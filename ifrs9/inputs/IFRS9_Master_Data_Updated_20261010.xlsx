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9b49de280ee4355" /></Relationships>
</file>

<file path=xl/workbook.xml><?xml version="1.0" encoding="utf-8"?>
<x:workbook xmlns:x="http://schemas.openxmlformats.org/spreadsheetml/2006/main">
  <x:sheets>
    <x:sheet xmlns:r="http://schemas.openxmlformats.org/officeDocument/2006/relationships" name="Selected_Inputs" sheetId="1" r:id="R5a454da61c7647b0"/>
    <x:sheet xmlns:r="http://schemas.openxmlformats.org/officeDocument/2006/relationships" name="Calculated_Ratios" sheetId="2" r:id="Ra4a71fe06cc34568"/>
    <x:sheet xmlns:r="http://schemas.openxmlformats.org/officeDocument/2006/relationships" name="Master_130" sheetId="3" r:id="R626b6c7a115841ba"/>
    <x:sheet xmlns:r="http://schemas.openxmlformats.org/officeDocument/2006/relationships" name="Upload_CSV" sheetId="4" r:id="Rbaca250ab94a40b9"/>
    <x:sheet xmlns:r="http://schemas.openxmlformats.org/officeDocument/2006/relationships" name="Upload_Word" sheetId="5" r:id="R468ff274c85b4ae2"/>
    <x:sheet xmlns:r="http://schemas.openxmlformats.org/officeDocument/2006/relationships" name="New_Evidence" sheetId="6" r:id="Rcee369fa1d6843f0"/>
    <x:sheet xmlns:r="http://schemas.openxmlformats.org/officeDocument/2006/relationships" name="Comparisons" sheetId="7" r:id="R44cc518d91fc491d"/>
    <x:sheet xmlns:r="http://schemas.openxmlformats.org/officeDocument/2006/relationships" name="Source_Notes" sheetId="8" r:id="R4e6b94e685db43ef"/>
    <x:sheet xmlns:r="http://schemas.openxmlformats.org/officeDocument/2006/relationships" name="Summary_Audit" sheetId="9" r:id="R8c73c8ca9872445a"/>
    <x:sheet xmlns:r="http://schemas.openxmlformats.org/officeDocument/2006/relationships" name="Raw_Statistics" sheetId="10" r:id="Ra9bf2c5da87f4b62"/>
    <x:sheet xmlns:r="http://schemas.openxmlformats.org/officeDocument/2006/relationships" name="Intake_Log" sheetId="11" r:id="R7c3ab2a60e5c4e76"/>
    <x:sheet xmlns:r="http://schemas.openxmlformats.org/officeDocument/2006/relationships" name="Definitions" sheetId="12" r:id="Rd6a6d8eb0e5745c0"/>
    <x:sheet xmlns:r="http://schemas.openxmlformats.org/officeDocument/2006/relationships" name="Read_Me" sheetId="13" r:id="R84863a9d3ec84a01"/>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Red](#,##0.000);0.000"/>
    <x:numFmt numFmtId="201" formatCode="0"/>
  </x:numFmts>
  <x:fonts count="3">
    <x:font>
      <x:sz val="11"/>
      <x:name val="Carlito"/>
    </x:font>
    <x:font>
      <x:b/>
      <x:sz val="11"/>
      <x:color rgb="FFFFFFFF"/>
      <x:name val="Carlito"/>
    </x:font>
    <x:font>
      <x:b/>
      <x:sz val="11"/>
      <x:name val="Carlito"/>
    </x:font>
  </x:fonts>
  <x:fills count="5">
    <x:fill>
      <x:patternFill patternType="none"/>
    </x:fill>
    <x:fill>
      <x:patternFill patternType="gray125"/>
    </x:fill>
    <x:fill>
      <x:patternFill patternType="solid">
        <x:fgColor rgb="FF18354A"/>
      </x:patternFill>
    </x:fill>
    <x:fill>
      <x:patternFill patternType="solid">
        <x:fgColor rgb="FFEDF5F5"/>
      </x:patternFill>
    </x:fill>
    <x:fill>
      <x:patternFill patternType="solid">
        <x:fgColor rgb="FF176B68"/>
      </x:patternFill>
    </x:fill>
  </x:fills>
  <x:borders count="2">
    <x:border/>
    <x:border/>
  </x:borders>
  <x:cellStyleXfs count="1">
    <x:xf numFmtId="0" fontId="0" fillId="0" borderId="0"/>
  </x:cellStyleXfs>
  <x:cellXfs count="4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0" fillId="3" borderId="0" xfId="0" applyNumberFormat="1" applyFont="1" applyFill="1" applyBorder="1" applyAlignment="1">
      <x:alignment wrapText="1"/>
    </x:xf>
    <x:xf numFmtId="0" fontId="0" fillId="3" borderId="0" xfId="0" applyNumberFormat="1" applyFont="1" applyFill="1" applyBorder="1" applyAlignment="1">
      <x:alignment vertical="center" wrapText="1"/>
    </x:xf>
    <x:xf numFmtId="0" fontId="0" fillId="3" borderId="1" xfId="0" applyNumberFormat="1" applyFont="1" applyFill="1" applyBorder="1"/>
    <x:xf numFmtId="0" fontId="0" fillId="3" borderId="1" xfId="0" applyNumberFormat="1" applyFont="1" applyFill="1" applyBorder="1" applyAlignment="1">
      <x:alignment wrapText="1"/>
    </x:xf>
    <x:xf numFmtId="0" fontId="0" fillId="3" borderId="1" xfId="0" applyNumberFormat="1" applyFont="1" applyFill="1" applyBorder="1" applyAlignment="1">
      <x:alignment vertical="center"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wrapText="1"/>
    </x:xf>
    <x:xf numFmtId="0" fontId="0" fillId="0" borderId="0" xfId="0" applyNumberFormat="1" applyFont="1" applyFill="1" applyBorder="1" applyAlignment="1">
      <x:alignment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x:xf>
    <x:xf numFmtId="200" fontId="0" fillId="0" borderId="1" xfId="0" applyNumberFormat="1" applyFont="1" applyFill="1" applyBorder="1" applyAlignment="1">
      <x:alignment vertical="top"/>
    </x:xf>
    <x:xf numFmtId="201" fontId="0" fillId="0" borderId="0" xfId="0" applyNumberFormat="1" applyFont="1" applyFill="1" applyBorder="1" applyAlignment="1">
      <x:alignment vertical="top"/>
    </x:xf>
    <x:xf numFmtId="201" fontId="0" fillId="0" borderId="1" xfId="0" applyNumberFormat="1" applyFont="1" applyFill="1" applyBorder="1" applyAlignment="1">
      <x:alignment vertical="top"/>
    </x:xf>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1" xfId="0" applyNumberFormat="1" applyFont="1" applyFill="1" applyBorder="1"/>
    <x:xf numFmtId="0" fontId="2" fillId="3" borderId="1" xfId="0" applyNumberFormat="1" applyFont="1" applyFill="1" applyBorder="1" applyAlignment="1">
      <x:alignment horizontal="center"/>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center" wrapText="1"/>
    </x:xf>
    <x:xf numFmtId="0" fontId="2" fillId="0" borderId="0" xfId="0" applyNumberFormat="1" applyFont="1" applyFill="1" applyBorder="1" applyAlignment="1">
      <x:alignment vertical="center" wrapText="1"/>
    </x:xf>
    <x:xf numFmtId="0" fontId="2" fillId="0" borderId="1" xfId="0" applyNumberFormat="1" applyFont="1" applyFill="1" applyBorder="1" applyAlignment="1">
      <x:alignment vertical="center" wrapText="1"/>
    </x:xf>
    <x:xf numFmtId="0" fontId="2" fillId="3" borderId="0" xfId="0" applyNumberFormat="1" applyFont="1" applyFill="1" applyBorder="1" applyAlignment="1">
      <x:alignment vertical="center" wrapText="1"/>
    </x:xf>
    <x:xf numFmtId="0" fontId="2" fillId="3" borderId="1" xfId="0" applyNumberFormat="1" applyFont="1" applyFill="1" applyBorder="1" applyAlignment="1">
      <x:alignment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1" xfId="0" applyNumberFormat="1" applyFont="1" applyFill="1" applyBorder="1"/>
    <x:xf numFmtId="0" fontId="2"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1" fillId="2" borderId="0" xfId="0" applyNumberFormat="1" applyFont="1" applyFill="1" applyBorder="1" applyAlignment="1">
      <x:alignment vertical="center"/>
    </x:xf>
    <x:xf numFmtId="0" fontId="1" fillId="2" borderId="1" xfId="0" applyNumberFormat="1" applyFont="1" applyFill="1" applyBorder="1" applyAlignment="1">
      <x:alignment vertical="center"/>
    </x:xf>
    <x:xf numFmtId="0" fontId="2" fillId="3" borderId="0" xfId="0" applyNumberFormat="1" applyFont="1" applyFill="1" applyBorder="1" applyAlignment="1">
      <x:alignment horizontal="center" vertical="center"/>
    </x:xf>
    <x:xf numFmtId="0" fontId="2" fillId="3" borderId="1" xfId="0" applyNumberFormat="1" applyFont="1" applyFill="1" applyBorder="1" applyAlignment="1">
      <x:alignment horizontal="center" vertical="center"/>
    </x:xf>
  </x:cellXfs>
  <x:cellStyles count="1">
    <x:cellStyle name="Normal" xfId="0"/>
  </x:cellStyles>
  <x:dxfs count="2">
    <x:dxf>
      <x:fill>
        <x:patternFill patternType="solid">
          <x:bgColor rgb="FFFCE4D6"/>
        </x:patternFill>
      </x:fill>
    </x:dxf>
    <x:dxf>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80050d9625a4be7" /><Relationship Type="http://schemas.openxmlformats.org/officeDocument/2006/relationships/theme" Target="/xl/theme/theme1.xml" Id="Rdc11c85fbd0c4393" /><Relationship Type="http://schemas.openxmlformats.org/officeDocument/2006/relationships/sharedStrings" Target="/xl/sharedStrings.xml" Id="R232d3d122cb3487b" /><Relationship Type="http://schemas.openxmlformats.org/officeDocument/2006/relationships/worksheet" Target="/xl/worksheets/sheet1.xml" Id="R5a454da61c7647b0" /><Relationship Type="http://schemas.openxmlformats.org/officeDocument/2006/relationships/worksheet" Target="/xl/worksheets/sheet2.xml" Id="Ra4a71fe06cc34568" /><Relationship Type="http://schemas.openxmlformats.org/officeDocument/2006/relationships/worksheet" Target="/xl/worksheets/sheet3.xml" Id="R626b6c7a115841ba" /><Relationship Type="http://schemas.openxmlformats.org/officeDocument/2006/relationships/worksheet" Target="/xl/worksheets/sheet4.xml" Id="Rbaca250ab94a40b9" /><Relationship Type="http://schemas.openxmlformats.org/officeDocument/2006/relationships/worksheet" Target="/xl/worksheets/sheet5.xml" Id="R468ff274c85b4ae2" /><Relationship Type="http://schemas.openxmlformats.org/officeDocument/2006/relationships/worksheet" Target="/xl/worksheets/sheet6.xml" Id="Rcee369fa1d6843f0" /><Relationship Type="http://schemas.openxmlformats.org/officeDocument/2006/relationships/worksheet" Target="/xl/worksheets/sheet7.xml" Id="R44cc518d91fc491d" /><Relationship Type="http://schemas.openxmlformats.org/officeDocument/2006/relationships/worksheet" Target="/xl/worksheets/sheet8.xml" Id="R4e6b94e685db43ef" /><Relationship Type="http://schemas.openxmlformats.org/officeDocument/2006/relationships/worksheet" Target="/xl/worksheets/sheet9.xml" Id="R8c73c8ca9872445a" /><Relationship Type="http://schemas.openxmlformats.org/officeDocument/2006/relationships/worksheet" Target="/xl/worksheets/sheet10.xml" Id="Ra9bf2c5da87f4b62" /><Relationship Type="http://schemas.openxmlformats.org/officeDocument/2006/relationships/worksheet" Target="/xl/worksheets/sheet11.xml" Id="R7c3ab2a60e5c4e76" /><Relationship Type="http://schemas.openxmlformats.org/officeDocument/2006/relationships/worksheet" Target="/xl/worksheets/sheet12.xml" Id="Rd6a6d8eb0e5745c0" /><Relationship Type="http://schemas.openxmlformats.org/officeDocument/2006/relationships/worksheet" Target="/xl/worksheets/sheet13.xml" Id="R84863a9d3ec84a01" /></Relationships>
</file>

<file path=xl/tables/table1.xml><?xml version="1.0" encoding="utf-8"?>
<x:table xmlns:x="http://schemas.openxmlformats.org/spreadsheetml/2006/main" id="1" name="tblSelectedInputs" displayName="tblSelectedInputs" ref="A5:AN52" headerRowCount="1" totalsRowCount="0" totalsRowShown="0">
  <x:tableColumns count="40">
    <x:tableColumn id="1" name="bank"/>
    <x:tableColumn id="2" name="year"/>
    <x:tableColumn id="3" name="tier"/>
    <x:tableColumn id="4" name="regime"/>
    <x:tableColumn id="5" name="pat"/>
    <x:tableColumn id="6" name="assets"/>
    <x:tableColumn id="7" name="liabilities"/>
    <x:tableColumn id="8" name="equity"/>
    <x:tableColumn id="9" name="ocf"/>
    <x:tableColumn id="10" name="opening_assets"/>
    <x:tableColumn id="11" name="gross_loans"/>
    <x:tableColumn id="12" name="loan_allowance"/>
    <x:tableColumn id="13" name="net_loans"/>
    <x:tableColumn id="14" name="total_impairment"/>
    <x:tableColumn id="15" name="loan_impairment"/>
    <x:tableColumn id="16" name="credit_impairment"/>
    <x:tableColumn id="17" name="other_impairment"/>
    <x:tableColumn id="18" name="regulatory_capital"/>
    <x:tableColumn id="19" name="rwa"/>
    <x:tableColumn id="20" name="car"/>
    <x:tableColumn id="21" name="car_transitional"/>
    <x:tableColumn id="22" name="car_minimum"/>
    <x:tableColumn id="23" name="liquidity"/>
    <x:tableColumn id="24" name="liquidity_admissible"/>
    <x:tableColumn id="25" name="liquidity_average"/>
    <x:tableColumn id="26" name="liquidity_max"/>
    <x:tableColumn id="27" name="liquidity_min"/>
    <x:tableColumn id="28" name="npl_amount"/>
    <x:tableColumn id="29" name="npl_reported"/>
    <x:tableColumn id="30" name="stage3_gross"/>
    <x:tableColumn id="31" name="stage3_allowance"/>
    <x:tableColumn id="32" name="gcu"/>
    <x:tableColumn id="33" name="pbt"/>
    <x:tableColumn id="34" name="gross_earnings"/>
    <x:tableColumn id="35" name="sources"/>
    <x:tableColumn id="36" name="source_url"/>
    <x:tableColumn id="37" name="version_note"/>
    <x:tableColumn id="38" name="allowance_rule"/>
    <x:tableColumn id="39" name="allowance_pool_status"/>
    <x:tableColumn id="40" name="origin"/>
  </x:tableColumns>
  <x:tableStyleInfo name="TableStyleMedium2" showFirstColumn="0" showLastColumn="0" showRowStripes="1" showColumnStripes="0"/>
</x:table>
</file>

<file path=xl/tables/table2.xml><?xml version="1.0" encoding="utf-8"?>
<x:table xmlns:x="http://schemas.openxmlformats.org/spreadsheetml/2006/main" id="2" name="tblCalculatedRatios" displayName="tblCalculatedRatios" ref="A5:U52" headerRowCount="1" totalsRowCount="0" totalsRowShown="0">
  <x:tableColumns count="21">
    <x:tableColumn id="1" name="bank"/>
    <x:tableColumn id="2" name="year"/>
    <x:tableColumn id="3" name="average_assets"/>
    <x:tableColumn id="4" name="roa"/>
    <x:tableColumn id="5" name="eqta"/>
    <x:tableColumn id="6" name="ocf_ratio"/>
    <x:tableColumn id="7" name="allr"/>
    <x:tableColumn id="8" name="car_computed"/>
    <x:tableColumn id="9" name="impairment_assets"/>
    <x:tableColumn id="10" name="broad_coverage"/>
    <x:tableColumn id="11" name="npl_calc"/>
    <x:tableColumn id="12" name="stage3_ratio"/>
    <x:tableColumn id="13" name="stage3_coverage"/>
    <x:tableColumn id="14" name="roa_closing"/>
    <x:tableColumn id="15" name="leverage"/>
    <x:tableColumn id="16" name="ln_assets"/>
    <x:tableColumn id="17" name="balance_residual"/>
    <x:tableColumn id="18" name="loan_residual"/>
    <x:tableColumn id="19" name="liquidity_accepted"/>
    <x:tableColumn id="20" name="car_buffer"/>
    <x:tableColumn id="21" name="version_note"/>
  </x:tableColumns>
  <x:tableStyleInfo name="TableStyleMedium2" showFirstColumn="0" showLastColumn="0" showRowStripes="1" showColumnStripes="0"/>
</x:table>
</file>

<file path=xl/tables/table3.xml><?xml version="1.0" encoding="utf-8"?>
<x:table xmlns:x="http://schemas.openxmlformats.org/spreadsheetml/2006/main" id="3" name="tblMaster130" displayName="tblMaster130" ref="A5:P135" headerRowCount="1" totalsRowCount="0" totalsRowShown="0">
  <x:tableColumns count="16">
    <x:tableColumn id="1" name="Bank"/>
    <x:tableColumn id="2" name="Year"/>
    <x:tableColumn id="3" name="Analytical tier"/>
    <x:tableColumn id="4" name="Regime"/>
    <x:tableColumn id="5" name="Evidence status"/>
    <x:tableColumn id="6" name="CSV row present"/>
    <x:tableColumn id="7" name="Word row present"/>
    <x:tableColumn id="8" name="Selected"/>
    <x:tableColumn id="9" name="PAT (NGNm)"/>
    <x:tableColumn id="10" name="Assets (NGNm)"/>
    <x:tableColumn id="11" name="Equity (NGNm)"/>
    <x:tableColumn id="12" name="ROA average (%)"/>
    <x:tableColumn id="13" name="Loan allowance / loans (%)"/>
    <x:tableColumn id="14" name="CAR reported (%)"/>
    <x:tableColumn id="15" name="Selected source IDs"/>
    <x:tableColumn id="16" name="Source / status note"/>
  </x:tableColumns>
  <x:tableStyleInfo name="TableStyleMedium2" showFirstColumn="0" showLastColumn="0" showRowStripes="1" showColumnStripes="0"/>
</x:table>
</file>

<file path=xl/tables/table4.xml><?xml version="1.0" encoding="utf-8"?>
<x:table xmlns:x="http://schemas.openxmlformats.org/spreadsheetml/2006/main" id="4" name="tblUploadCSV" displayName="tblUploadCSV" ref="A5:R101" headerRowCount="1" totalsRowCount="0" totalsRowShown="0">
  <x:tableColumns count="18">
    <x:tableColumn id="1" name="Bank"/>
    <x:tableColumn id="2" name="Year"/>
    <x:tableColumn id="3" name="Tier as supplied"/>
    <x:tableColumn id="4" name="PAT (NGNm)"/>
    <x:tableColumn id="5" name="Gross earnings (NGNm)"/>
    <x:tableColumn id="6" name="Total assets (NGNm)"/>
    <x:tableColumn id="7" name="Gross loans as labelled (NGNm)"/>
    <x:tableColumn id="8" name="Allowance as labelled (NGNm)"/>
    <x:tableColumn id="9" name="Impairment as supplied (NGNm)"/>
    <x:tableColumn id="10" name="NPL (%)"/>
    <x:tableColumn id="11" name="CAR (%)"/>
    <x:tableColumn id="12" name="ROA closing (%)"/>
    <x:tableColumn id="13" name="Allowance / loans (%)"/>
    <x:tableColumn id="14" name="Leverage (%)"/>
    <x:tableColumn id="15" name="ln assets"/>
    <x:tableColumn id="16" name="Auditor as supplied"/>
    <x:tableColumn id="17" name="GC code as supplied"/>
    <x:tableColumn id="18" name="IFRS 9 dummy"/>
  </x:tableColumns>
  <x:tableStyleInfo name="TableStyleMedium2" showFirstColumn="0" showLastColumn="0" showRowStripes="1" showColumnStripes="0"/>
</x:table>
</file>

<file path=xl/tables/table5.xml><?xml version="1.0" encoding="utf-8"?>
<x:table xmlns:x="http://schemas.openxmlformats.org/spreadsheetml/2006/main" id="5" name="tblUploadWord" displayName="tblUploadWord" ref="A5:S109" headerRowCount="1" totalsRowCount="0" totalsRowShown="0">
  <x:tableColumns count="19">
    <x:tableColumn id="1" name="Bank"/>
    <x:tableColumn id="2" name="Year"/>
    <x:tableColumn id="3" name="Tier as supplied"/>
    <x:tableColumn id="4" name="PAT (NGNm)"/>
    <x:tableColumn id="5" name="Gross earnings (NGNm)"/>
    <x:tableColumn id="6" name="Total assets (NGNm)"/>
    <x:tableColumn id="7" name="Gross loans as labelled (NGNm)"/>
    <x:tableColumn id="8" name="Allowance as labelled (NGNm)"/>
    <x:tableColumn id="9" name="Impairment as supplied (NGNm)"/>
    <x:tableColumn id="10" name="NPL (%)"/>
    <x:tableColumn id="11" name="CAR (%)"/>
    <x:tableColumn id="12" name="ROA closing (%)"/>
    <x:tableColumn id="13" name="Allowance / loans (%)"/>
    <x:tableColumn id="14" name="Leverage (%)"/>
    <x:tableColumn id="15" name="ln assets"/>
    <x:tableColumn id="16" name="Auditor as supplied"/>
    <x:tableColumn id="17" name="GC code as supplied"/>
    <x:tableColumn id="18" name="IFRS 9 dummy"/>
    <x:tableColumn id="19" name="Location"/>
  </x:tableColumns>
  <x:tableStyleInfo name="TableStyleMedium2" showFirstColumn="0" showLastColumn="0" showRowStripes="1" showColumnStripes="0"/>
</x:table>
</file>

<file path=xl/tables/table6.xml><?xml version="1.0" encoding="utf-8"?>
<x:table xmlns:x="http://schemas.openxmlformats.org/spreadsheetml/2006/main" id="6" name="tblNewEvidence" displayName="tblNewEvidence" ref="A5:N46" headerRowCount="1" totalsRowCount="0" totalsRowShown="0">
  <x:tableColumns count="14">
    <x:tableColumn id="1" name="bank"/>
    <x:tableColumn id="2" name="year"/>
    <x:tableColumn id="3" name="field"/>
    <x:tableColumn id="4" name="value"/>
    <x:tableColumn id="5" name="unit"/>
    <x:tableColumn id="6" name="source_id"/>
    <x:tableColumn id="7" name="source_url"/>
    <x:tableColumn id="8" name="report_year"/>
    <x:tableColumn id="9" name="scope"/>
    <x:tableColumn id="10" name="printed_page"/>
    <x:tableColumn id="11" name="pdf_page"/>
    <x:tableColumn id="12" name="note"/>
    <x:tableColumn id="13" name="source_status"/>
    <x:tableColumn id="14" name="version"/>
  </x:tableColumns>
  <x:tableStyleInfo name="TableStyleMedium2" showFirstColumn="0" showLastColumn="0" showRowStripes="1" showColumnStripes="0"/>
</x:table>
</file>

<file path=xl/tables/table7.xml><?xml version="1.0" encoding="utf-8"?>
<x:table xmlns:x="http://schemas.openxmlformats.org/spreadsheetml/2006/main" id="7" name="tblComparisons" displayName="tblComparisons" ref="A5:J525" headerRowCount="1" totalsRowCount="0" totalsRowShown="0">
  <x:tableColumns count="10">
    <x:tableColumn id="1" name="Upload"/>
    <x:tableColumn id="2" name="Bank"/>
    <x:tableColumn id="3" name="Year"/>
    <x:tableColumn id="4" name="Variable"/>
    <x:tableColumn id="5" name="Uploaded value"/>
    <x:tableColumn id="6" name="Selected value"/>
    <x:tableColumn id="7" name="Selected minus uploaded"/>
    <x:tableColumn id="8" name="Decision / classification"/>
    <x:tableColumn id="9" name="Selected source URL"/>
    <x:tableColumn id="10" name="Reporting-version note"/>
  </x:tableColumns>
  <x:tableStyleInfo name="TableStyleMedium2" showFirstColumn="0" showLastColumn="0" showRowStripes="1" showColumnStripes="0"/>
</x:table>
</file>

<file path=xl/tables/table8.xml><?xml version="1.0" encoding="utf-8"?>
<x:table xmlns:x="http://schemas.openxmlformats.org/spreadsheetml/2006/main" id="8" name="tblSourceNotes" displayName="tblSourceNotes" ref="A5:D66" headerRowCount="1" totalsRowCount="0" totalsRowShown="0">
  <x:tableColumns count="4">
    <x:tableColumn id="1" name="Bank"/>
    <x:tableColumn id="2" name="Text type"/>
    <x:tableColumn id="3" name="Part"/>
    <x:tableColumn id="4" name="Supplied text"/>
  </x:tableColumns>
  <x:tableStyleInfo name="TableStyleMedium2" showFirstColumn="0" showLastColumn="0" showRowStripes="1" showColumnStripes="0"/>
</x:table>
</file>

<file path=xl/tables/table9.xml><?xml version="1.0" encoding="utf-8"?>
<x:table xmlns:x="http://schemas.openxmlformats.org/spreadsheetml/2006/main" id="9" name="tblSummaryAudit" displayName="tblSummaryAudit" ref="A5:K13" headerRowCount="1" totalsRowCount="0" totalsRowShown="0">
  <x:tableColumns count="11">
    <x:tableColumn id="1" name="Variable"/>
    <x:tableColumn id="2" name="Pre n claimed"/>
    <x:tableColumn id="3" name="Post n claimed"/>
    <x:tableColumn id="4" name="Full mean claimed"/>
    <x:tableColumn id="5" name="Pre mean claimed"/>
    <x:tableColumn id="6" name="Post mean claimed"/>
    <x:tableColumn id="7" name="Weighted mean implied"/>
    <x:tableColumn id="8" name="Claim minus implied"/>
    <x:tableColumn id="9" name="Rounding tolerance"/>
    <x:tableColumn id="10" name="Arithmetic result"/>
    <x:tableColumn id="11" name="Source"/>
  </x:tableColumns>
  <x:tableStyleInfo name="TableStyleMedium2" showFirstColumn="0" showLastColumn="0" showRowStripes="1" showColumnStripes="0"/>
</x:table>
</file>

<file path=xl/tables/table10.xml><?xml version="1.0" encoding="utf-8"?>
<x:table xmlns:x="http://schemas.openxmlformats.org/spreadsheetml/2006/main" id="10" name="tblRawStatistics" displayName="tblRawStatistics" ref="A5:J16" headerRowCount="1" totalsRowCount="0" totalsRowShown="0">
  <x:tableColumns count="10">
    <x:tableColumn id="1" name="Variable"/>
    <x:tableColumn id="2" name="Numeric n"/>
    <x:tableColumn id="3" name="Pre numeric n"/>
    <x:tableColumn id="4" name="Post numeric n"/>
    <x:tableColumn id="5" name="Mean"/>
    <x:tableColumn id="6" name="Sample SD"/>
    <x:tableColumn id="7" name="Minimum"/>
    <x:tableColumn id="8" name="Maximum"/>
    <x:tableColumn id="9" name="Pre mean"/>
    <x:tableColumn id="10" name="Post mean"/>
  </x:tableColumns>
  <x:tableStyleInfo name="TableStyleMedium2" showFirstColumn="0" showLastColumn="0" showRowStripes="1" showColumnStripes="0"/>
</x:table>
</file>

<file path=xl/tables/table11.xml><?xml version="1.0" encoding="utf-8"?>
<x:table xmlns:x="http://schemas.openxmlformats.org/spreadsheetml/2006/main" id="11" name="tblIntakeLog" displayName="tblIntakeLog" ref="A5:E8" headerRowCount="1" totalsRowCount="0" totalsRowShown="0">
  <x:tableColumns count="5">
    <x:tableColumn id="1" name="File"/>
    <x:tableColumn id="2" name="Bytes"/>
    <x:tableColumn id="3" name="SHA-256"/>
    <x:tableColumn id="4" name="Observed content"/>
    <x:tableColumn id="5" name="Disposition"/>
  </x:tableColumns>
  <x:tableStyleInfo name="TableStyleMedium2" showFirstColumn="0" showLastColumn="0" showRowStripes="1" showColumnStripes="0"/>
</x:table>
</file>

<file path=xl/tables/table12.xml><?xml version="1.0" encoding="utf-8"?>
<x:table xmlns:x="http://schemas.openxmlformats.org/spreadsheetml/2006/main" id="12" name="tblDefinitions" displayName="tblDefinitions" ref="A5:C22" headerRowCount="1" totalsRowCount="0" totalsRowShown="0">
  <x:tableColumns count="3">
    <x:tableColumn id="1" name="Term"/>
    <x:tableColumn id="2" name="Definition"/>
    <x:tableColumn id="3" name="Interpretive bound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776874d3a324e7f" /></Relationships>
</file>

<file path=xl/worksheets/_rels/sheet2.xml.rels>&#65279;<?xml version="1.0" encoding="utf-8"?><Relationships xmlns="http://schemas.openxmlformats.org/package/2006/relationships"><Relationship Type="http://schemas.openxmlformats.org/officeDocument/2006/relationships/table" Target="/xl/tables/table2.xml" Id="R9ec7d9db298a4fab" /></Relationships>
</file>

<file path=xl/worksheets/_rels/sheet3.xml.rels>&#65279;<?xml version="1.0" encoding="utf-8"?><Relationships xmlns="http://schemas.openxmlformats.org/package/2006/relationships"><Relationship Type="http://schemas.openxmlformats.org/officeDocument/2006/relationships/table" Target="/xl/tables/table3.xml" Id="R47892d363d544e7d" /></Relationships>
</file>

<file path=xl/worksheets/_rels/sheet4.xml.rels>&#65279;<?xml version="1.0" encoding="utf-8"?><Relationships xmlns="http://schemas.openxmlformats.org/package/2006/relationships"><Relationship Type="http://schemas.openxmlformats.org/officeDocument/2006/relationships/table" Target="/xl/tables/table4.xml" Id="R3b4a3455da16431d" /></Relationships>
</file>

<file path=xl/worksheets/_rels/sheet5.xml.rels>&#65279;<?xml version="1.0" encoding="utf-8"?><Relationships xmlns="http://schemas.openxmlformats.org/package/2006/relationships"><Relationship Type="http://schemas.openxmlformats.org/officeDocument/2006/relationships/table" Target="/xl/tables/table5.xml" Id="R10edb05ec4de4139" /></Relationships>
</file>

<file path=xl/worksheets/_rels/sheet6.xml.rels>&#65279;<?xml version="1.0" encoding="utf-8"?><Relationships xmlns="http://schemas.openxmlformats.org/package/2006/relationships"><Relationship Type="http://schemas.openxmlformats.org/officeDocument/2006/relationships/table" Target="/xl/tables/table6.xml" Id="Rb14efdbbc0a14e5d" /></Relationships>
</file>

<file path=xl/worksheets/_rels/sheet7.xml.rels>&#65279;<?xml version="1.0" encoding="utf-8"?><Relationships xmlns="http://schemas.openxmlformats.org/package/2006/relationships"><Relationship Type="http://schemas.openxmlformats.org/officeDocument/2006/relationships/table" Target="/xl/tables/table7.xml" Id="R6572cc99a75b4f17" /></Relationships>
</file>

<file path=xl/worksheets/_rels/sheet8.xml.rels>&#65279;<?xml version="1.0" encoding="utf-8"?><Relationships xmlns="http://schemas.openxmlformats.org/package/2006/relationships"><Relationship Type="http://schemas.openxmlformats.org/officeDocument/2006/relationships/table" Target="/xl/tables/table8.xml" Id="Rc3fd9c74c29449be" /></Relationships>
</file>

<file path=xl/worksheets/_rels/sheet9.xml.rels>&#65279;<?xml version="1.0" encoding="utf-8"?><Relationships xmlns="http://schemas.openxmlformats.org/package/2006/relationships"><Relationship Type="http://schemas.openxmlformats.org/officeDocument/2006/relationships/table" Target="/xl/tables/table9.xml" Id="R8c7745edc00b4ee4" /></Relationships>
</file>

<file path=xl/worksheets/_rels/sheet10.xml.rels>&#65279;<?xml version="1.0" encoding="utf-8"?><Relationships xmlns="http://schemas.openxmlformats.org/package/2006/relationships"><Relationship Type="http://schemas.openxmlformats.org/officeDocument/2006/relationships/table" Target="/xl/tables/table10.xml" Id="R5fc07ef0d02e4ea1" /></Relationships>
</file>

<file path=xl/worksheets/_rels/sheet11.xml.rels>&#65279;<?xml version="1.0" encoding="utf-8"?><Relationships xmlns="http://schemas.openxmlformats.org/package/2006/relationships"><Relationship Type="http://schemas.openxmlformats.org/officeDocument/2006/relationships/table" Target="/xl/tables/table11.xml" Id="R687d2b4a39754fc2" /></Relationships>
</file>

<file path=xl/worksheets/_rels/sheet12.xml.rels>&#65279;<?xml version="1.0" encoding="utf-8"?><Relationships xmlns="http://schemas.openxmlformats.org/package/2006/relationships"><Relationship Type="http://schemas.openxmlformats.org/officeDocument/2006/relationships/table" Target="/xl/tables/table12.xml" Id="R80124564ae2343ac" /></Relationships>
</file>

<file path=xl/worksheets/sheet1.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1" hidden="0" customWidth="1"/>
    <x:col min="2" max="2" width="10" hidden="0" customWidth="1"/>
    <x:col min="3" max="3" width="12" hidden="0" customWidth="1"/>
    <x:col min="4" max="4" width="14"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 min="32" max="32" width="18" hidden="0" customWidth="1"/>
    <x:col min="33" max="33" width="18" hidden="0" customWidth="1"/>
    <x:col min="34" max="34" width="18" hidden="0" customWidth="1"/>
    <x:col min="35" max="35" width="25" hidden="0" customWidth="1"/>
    <x:col min="36" max="36" width="40" hidden="0" customWidth="1"/>
    <x:col min="37" max="37" width="40" hidden="0" customWidth="1"/>
    <x:col min="38" max="38" width="40" hidden="0" customWidth="1"/>
    <x:col min="39" max="39" width="40" hidden="0" customWidth="1"/>
    <x:col min="40" max="40" width="35" hidden="0" customWidth="1"/>
  </x:cols>
  <x:sheetData>
    <x:row r="1" ht="30" customHeight="1">
      <x:c r="A1" s="3" t="str">
        <x:v>SELECTED OPERATING-BANK INPUTS | 47 BANK-YEARS</x:v>
      </x:c>
      <x:c r="B1" s="3"/>
      <x:c r="C1" s="3"/>
      <x:c r="D1" s="3"/>
      <x:c r="E1" s="3"/>
      <x:c r="F1" s="3"/>
      <x:c r="G1" s="3"/>
      <x:c r="H1" s="3"/>
      <x:c r="I1" s="3"/>
      <x:c r="J1" s="3"/>
      <x:c r="K1" s="3"/>
      <x:c r="L1" s="3"/>
      <x:c r="M1" s="3"/>
      <x:c r="N1" s="3"/>
      <x:c r="O1" s="3"/>
      <x:c r="P1" s="3"/>
      <x:c r="Q1" s="3"/>
      <x:c r="R1" s="3"/>
      <x:c r="S1" s="3"/>
      <x:c r="T1" s="3"/>
      <x:c r="U1" s="3"/>
      <x:c r="V1" s="3"/>
      <x:c r="W1" s="3"/>
      <x:c r="X1" s="3"/>
      <x:c r="Y1" s="3"/>
      <x:c r="Z1" s="3"/>
      <x:c r="AA1" s="3"/>
      <x:c r="AB1" s="3"/>
      <x:c r="AC1" s="3"/>
      <x:c r="AD1" s="3"/>
      <x:c r="AE1" s="3"/>
      <x:c r="AF1" s="3"/>
      <x:c r="AG1" s="3"/>
      <x:c r="AH1" s="3"/>
      <x:c r="AI1" s="3"/>
      <x:c r="AJ1" s="3"/>
      <x:c r="AK1" s="3"/>
      <x:c r="AL1" s="3"/>
      <x:c r="AM1" s="3"/>
      <x:c r="AN1" s="3"/>
    </x:row>
    <x:row r="2" ht="25" customHeight="1">
      <x:c r="A2" s="8" t="str">
        <x:v>25 pre-adoption and 22 post-adoption records. Forty-five observations inherit prior source selection; only UBA 2015–2016 are newly page-checked. Monetary amounts are NGN million. Blank = unavailable or not admitted, never zero.</x:v>
      </x:c>
      <x:c r="B2" s="8"/>
      <x:c r="C2" s="8"/>
      <x:c r="D2" s="8"/>
      <x:c r="E2" s="8"/>
      <x:c r="F2" s="8"/>
      <x:c r="G2" s="8"/>
      <x:c r="H2" s="8"/>
      <x:c r="I2" s="8"/>
      <x:c r="J2" s="8"/>
      <x:c r="K2" s="8"/>
      <x:c r="L2" s="8"/>
      <x:c r="M2" s="8"/>
      <x:c r="N2" s="8"/>
      <x:c r="O2" s="8"/>
      <x:c r="P2" s="8"/>
      <x:c r="Q2" s="8"/>
      <x:c r="R2" s="8"/>
      <x:c r="S2" s="8"/>
      <x:c r="T2" s="8"/>
      <x:c r="U2" s="8"/>
      <x:c r="V2" s="8"/>
      <x:c r="W2" s="8"/>
      <x:c r="X2" s="8"/>
      <x:c r="Y2" s="8"/>
      <x:c r="Z2" s="8"/>
      <x:c r="AA2" s="8"/>
      <x:c r="AB2" s="8"/>
      <x:c r="AC2" s="8"/>
      <x:c r="AD2" s="8"/>
      <x:c r="AE2" s="8"/>
      <x:c r="AF2" s="8"/>
      <x:c r="AG2" s="8"/>
      <x:c r="AH2" s="8"/>
      <x:c r="AI2" s="8"/>
      <x:c r="AJ2" s="8"/>
      <x:c r="AK2" s="8"/>
      <x:c r="AL2" s="8"/>
      <x:c r="AM2" s="8"/>
      <x:c r="AN2" s="8"/>
    </x:row>
    <x:row r="3" ht="20" customHeight="1">
      <x:c r="A3" s="8"/>
      <x:c r="B3" s="8"/>
      <x:c r="C3" s="8"/>
      <x:c r="D3" s="8"/>
      <x:c r="E3" s="8"/>
      <x:c r="F3" s="8"/>
      <x:c r="G3" s="8"/>
      <x:c r="H3" s="8"/>
      <x:c r="I3" s="8"/>
      <x:c r="J3" s="8"/>
      <x:c r="K3" s="8"/>
      <x:c r="L3" s="8"/>
      <x:c r="M3" s="8"/>
      <x:c r="N3" s="8"/>
      <x:c r="O3" s="8"/>
      <x:c r="P3" s="8"/>
      <x:c r="Q3" s="8"/>
      <x:c r="R3" s="8"/>
      <x:c r="S3" s="8"/>
      <x:c r="T3" s="8"/>
      <x:c r="U3" s="8"/>
      <x:c r="V3" s="8"/>
      <x:c r="W3" s="8"/>
      <x:c r="X3" s="8"/>
      <x:c r="Y3" s="8"/>
      <x:c r="Z3" s="8"/>
      <x:c r="AA3" s="8"/>
      <x:c r="AB3" s="8"/>
      <x:c r="AC3" s="8"/>
      <x:c r="AD3" s="8"/>
      <x:c r="AE3" s="8"/>
      <x:c r="AF3" s="8"/>
      <x:c r="AG3" s="8"/>
      <x:c r="AH3" s="8"/>
      <x:c r="AI3" s="8"/>
      <x:c r="AJ3" s="8"/>
      <x:c r="AK3" s="8"/>
      <x:c r="AL3" s="8"/>
      <x:c r="AM3" s="8"/>
      <x:c r="AN3" s="8"/>
    </x:row>
    <x:row r="5" ht="34" customHeight="1">
      <x:c r="A5" s="14" t="str">
        <x:v>bank</x:v>
      </x:c>
      <x:c r="B5" s="14" t="str">
        <x:v>year</x:v>
      </x:c>
      <x:c r="C5" s="14" t="str">
        <x:v>tier</x:v>
      </x:c>
      <x:c r="D5" s="14" t="str">
        <x:v>regime</x:v>
      </x:c>
      <x:c r="E5" s="14" t="str">
        <x:v>pat</x:v>
      </x:c>
      <x:c r="F5" s="14" t="str">
        <x:v>assets</x:v>
      </x:c>
      <x:c r="G5" s="14" t="str">
        <x:v>liabilities</x:v>
      </x:c>
      <x:c r="H5" s="14" t="str">
        <x:v>equity</x:v>
      </x:c>
      <x:c r="I5" s="14" t="str">
        <x:v>ocf</x:v>
      </x:c>
      <x:c r="J5" s="14" t="str">
        <x:v>opening_assets</x:v>
      </x:c>
      <x:c r="K5" s="14" t="str">
        <x:v>gross_loans</x:v>
      </x:c>
      <x:c r="L5" s="14" t="str">
        <x:v>loan_allowance</x:v>
      </x:c>
      <x:c r="M5" s="14" t="str">
        <x:v>net_loans</x:v>
      </x:c>
      <x:c r="N5" s="14" t="str">
        <x:v>total_impairment</x:v>
      </x:c>
      <x:c r="O5" s="14" t="str">
        <x:v>loan_impairment</x:v>
      </x:c>
      <x:c r="P5" s="14" t="str">
        <x:v>credit_impairment</x:v>
      </x:c>
      <x:c r="Q5" s="14" t="str">
        <x:v>other_impairment</x:v>
      </x:c>
      <x:c r="R5" s="14" t="str">
        <x:v>regulatory_capital</x:v>
      </x:c>
      <x:c r="S5" s="14" t="str">
        <x:v>rwa</x:v>
      </x:c>
      <x:c r="T5" s="14" t="str">
        <x:v>car</x:v>
      </x:c>
      <x:c r="U5" s="14" t="str">
        <x:v>car_transitional</x:v>
      </x:c>
      <x:c r="V5" s="14" t="str">
        <x:v>car_minimum</x:v>
      </x:c>
      <x:c r="W5" s="14" t="str">
        <x:v>liquidity</x:v>
      </x:c>
      <x:c r="X5" s="14" t="str">
        <x:v>liquidity_admissible</x:v>
      </x:c>
      <x:c r="Y5" s="14" t="str">
        <x:v>liquidity_average</x:v>
      </x:c>
      <x:c r="Z5" s="14" t="str">
        <x:v>liquidity_max</x:v>
      </x:c>
      <x:c r="AA5" s="14" t="str">
        <x:v>liquidity_min</x:v>
      </x:c>
      <x:c r="AB5" s="14" t="str">
        <x:v>npl_amount</x:v>
      </x:c>
      <x:c r="AC5" s="14" t="str">
        <x:v>npl_reported</x:v>
      </x:c>
      <x:c r="AD5" s="14" t="str">
        <x:v>stage3_gross</x:v>
      </x:c>
      <x:c r="AE5" s="14" t="str">
        <x:v>stage3_allowance</x:v>
      </x:c>
      <x:c r="AF5" s="14" t="str">
        <x:v>gcu</x:v>
      </x:c>
      <x:c r="AG5" s="14" t="str">
        <x:v>pbt</x:v>
      </x:c>
      <x:c r="AH5" s="14" t="str">
        <x:v>gross_earnings</x:v>
      </x:c>
      <x:c r="AI5" s="14" t="str">
        <x:v>sources</x:v>
      </x:c>
      <x:c r="AJ5" s="14" t="str">
        <x:v>source_url</x:v>
      </x:c>
      <x:c r="AK5" s="14" t="str">
        <x:v>version_note</x:v>
      </x:c>
      <x:c r="AL5" s="14" t="str">
        <x:v>allowance_rule</x:v>
      </x:c>
      <x:c r="AM5" s="14" t="str">
        <x:v>allowance_pool_status</x:v>
      </x:c>
      <x:c r="AN5" s="14" t="str">
        <x:v>origin</x:v>
      </x:c>
    </x:row>
    <x:row r="6" ht="60" customHeight="1">
      <x:c r="A6" s="20" t="str">
        <x:v>Access</x:v>
      </x:c>
      <x:c r="B6" s="24" t="n">
        <x:v>2013</x:v>
      </x:c>
      <x:c r="C6" s="18" t="str">
        <x:v>Tier 1</x:v>
      </x:c>
      <x:c r="D6" s="18" t="str">
        <x:v>IAS 39</x:v>
      </x:c>
      <x:c r="E6" s="22" t="n">
        <x:v>26211.844</x:v>
      </x:c>
      <x:c r="F6" s="22" t="n">
        <x:v>1704094.012</x:v>
      </x:c>
      <x:c r="G6" s="22" t="n">
        <x:v>1458912.014</x:v>
      </x:c>
      <x:c r="H6" s="22" t="n">
        <x:v>245181.998</x:v>
      </x:c>
      <x:c r="I6" s="22"/>
      <x:c r="J6" s="22"/>
      <x:c r="K6" s="22"/>
      <x:c r="L6" s="22"/>
      <x:c r="M6" s="22"/>
      <x:c r="N6" s="22" t="n">
        <x:v>-7508.216</x:v>
      </x:c>
      <x:c r="O6" s="22"/>
      <x:c r="P6" s="22"/>
      <x:c r="Q6" s="22"/>
      <x:c r="R6" s="22"/>
      <x:c r="S6" s="22"/>
      <x:c r="T6" s="22"/>
      <x:c r="U6" s="22"/>
      <x:c r="V6" s="22"/>
      <x:c r="W6" s="22"/>
      <x:c r="X6" s="24"/>
      <x:c r="Y6" s="22"/>
      <x:c r="Z6" s="22"/>
      <x:c r="AA6" s="22"/>
      <x:c r="AB6" s="22" t="n">
        <x:v>17924.178</x:v>
      </x:c>
      <x:c r="AC6" s="22" t="n">
        <x:v>2.35</x:v>
      </x:c>
      <x:c r="AD6" s="22"/>
      <x:c r="AE6" s="22"/>
      <x:c r="AF6" s="24"/>
      <x:c r="AG6" s="22"/>
      <x:c r="AH6" s="22"/>
      <x:c r="AI6" s="20" t="str">
        <x:v>ACCESS2014A</x:v>
      </x:c>
      <x:c r="AJ6" s="20" t="str">
        <x:v>https://www.accessbankplc.com/access/media/Financial-Report/Quarterly%20Reports/2014-Financial-Statement-Abridged-Report.pdf?ext=.pdf</x:v>
      </x:c>
      <x:c r="AK6" s="20" t="str">
        <x:v>Prior source-selection policy retained; original evidence preserved in accompanying pack.</x:v>
      </x:c>
      <x:c r="AL6" s="20" t="str">
        <x:v>Reported total loan allowance</x:v>
      </x:c>
      <x:c r="AM6" s="20" t="str">
        <x:v>Prior selected basis; see evidence notes</x:v>
      </x:c>
      <x:c r="AN6" s="20" t="str">
        <x:v>Prior selected evidence</x:v>
      </x:c>
    </x:row>
    <x:row r="7" ht="60" customHeight="1">
      <x:c r="A7" s="20" t="str">
        <x:v>Access</x:v>
      </x:c>
      <x:c r="B7" s="24" t="n">
        <x:v>2014</x:v>
      </x:c>
      <x:c r="C7" s="18" t="str">
        <x:v>Tier 1</x:v>
      </x:c>
      <x:c r="D7" s="18" t="str">
        <x:v>IAS 39</x:v>
      </x:c>
      <x:c r="E7" s="22" t="n">
        <x:v>39941.126</x:v>
      </x:c>
      <x:c r="F7" s="22" t="n">
        <x:v>1981955.73</x:v>
      </x:c>
      <x:c r="G7" s="22" t="n">
        <x:v>1707799.944</x:v>
      </x:c>
      <x:c r="H7" s="22" t="n">
        <x:v>274155.785</x:v>
      </x:c>
      <x:c r="I7" s="22"/>
      <x:c r="J7" s="22" t="n">
        <x:v>1704094.012</x:v>
      </x:c>
      <x:c r="K7" s="22"/>
      <x:c r="L7" s="22"/>
      <x:c r="M7" s="22"/>
      <x:c r="N7" s="22" t="n">
        <x:v>10609.3</x:v>
      </x:c>
      <x:c r="O7" s="22"/>
      <x:c r="P7" s="22"/>
      <x:c r="Q7" s="22"/>
      <x:c r="R7" s="22"/>
      <x:c r="S7" s="22"/>
      <x:c r="T7" s="22"/>
      <x:c r="U7" s="22"/>
      <x:c r="V7" s="22"/>
      <x:c r="W7" s="22"/>
      <x:c r="X7" s="24"/>
      <x:c r="Y7" s="22"/>
      <x:c r="Z7" s="22"/>
      <x:c r="AA7" s="22"/>
      <x:c r="AB7" s="22" t="n">
        <x:v>19966.521</x:v>
      </x:c>
      <x:c r="AC7" s="22" t="n">
        <x:v>1.83</x:v>
      </x:c>
      <x:c r="AD7" s="22"/>
      <x:c r="AE7" s="22"/>
      <x:c r="AF7" s="24"/>
      <x:c r="AG7" s="22"/>
      <x:c r="AH7" s="22"/>
      <x:c r="AI7" s="20" t="str">
        <x:v>ACCESS2014A</x:v>
      </x:c>
      <x:c r="AJ7" s="20" t="str">
        <x:v>https://www.accessbankplc.com/access/media/Financial-Report/Quarterly%20Reports/2014-Financial-Statement-Abridged-Report.pdf?ext=.pdf</x:v>
      </x:c>
      <x:c r="AK7" s="20" t="str">
        <x:v>Prior source-selection policy retained; original evidence preserved in accompanying pack.</x:v>
      </x:c>
      <x:c r="AL7" s="20" t="str">
        <x:v>Reported total loan allowance</x:v>
      </x:c>
      <x:c r="AM7" s="20" t="str">
        <x:v>Prior selected basis; see evidence notes</x:v>
      </x:c>
      <x:c r="AN7" s="20" t="str">
        <x:v>Prior selected evidence</x:v>
      </x:c>
    </x:row>
    <x:row r="8" ht="60" customHeight="1">
      <x:c r="A8" s="20" t="str">
        <x:v>Ecobank Nigeria</x:v>
      </x:c>
      <x:c r="B8" s="24" t="n">
        <x:v>2016</x:v>
      </x:c>
      <x:c r="C8" s="18" t="str">
        <x:v>Tier 2</x:v>
      </x:c>
      <x:c r="D8" s="18" t="str">
        <x:v>IAS 39</x:v>
      </x:c>
      <x:c r="E8" s="22" t="n">
        <x:v>5780</x:v>
      </x:c>
      <x:c r="F8" s="22" t="n">
        <x:v>1808503</x:v>
      </x:c>
      <x:c r="G8" s="22" t="n">
        <x:v>1587728</x:v>
      </x:c>
      <x:c r="H8" s="22" t="n">
        <x:v>220775</x:v>
      </x:c>
      <x:c r="I8" s="22"/>
      <x:c r="J8" s="22"/>
      <x:c r="K8" s="22"/>
      <x:c r="L8" s="22"/>
      <x:c r="M8" s="22"/>
      <x:c r="N8" s="22" t="n">
        <x:v>82783</x:v>
      </x:c>
      <x:c r="O8" s="22"/>
      <x:c r="P8" s="22"/>
      <x:c r="Q8" s="22"/>
      <x:c r="R8" s="22"/>
      <x:c r="S8" s="22"/>
      <x:c r="T8" s="22"/>
      <x:c r="U8" s="22"/>
      <x:c r="V8" s="22"/>
      <x:c r="W8" s="22"/>
      <x:c r="X8" s="24"/>
      <x:c r="Y8" s="22"/>
      <x:c r="Z8" s="22"/>
      <x:c r="AA8" s="22"/>
      <x:c r="AB8" s="22"/>
      <x:c r="AC8" s="22" t="n">
        <x:v>9.1</x:v>
      </x:c>
      <x:c r="AD8" s="22"/>
      <x:c r="AE8" s="22"/>
      <x:c r="AF8" s="24"/>
      <x:c r="AG8" s="22"/>
      <x:c r="AH8" s="22"/>
      <x:c r="AI8" s="20" t="str">
        <x:v>DS_ECO17</x:v>
      </x:c>
      <x:c r="AJ8" s="20" t="str">
        <x:v>https://www.financialafrik.com/wp-content/uploads/2018/05/FINANCIAL_STATEMENT_EBN_2017-2.pdf</x:v>
      </x:c>
      <x:c r="AK8" s="20" t="str">
        <x:v>Prior source-selection policy retained; original evidence preserved in accompanying pack.</x:v>
      </x:c>
      <x:c r="AL8" s="20" t="str">
        <x:v>Reported total loan allowance</x:v>
      </x:c>
      <x:c r="AM8" s="20" t="str">
        <x:v>Prior selected basis; see evidence notes</x:v>
      </x:c>
      <x:c r="AN8" s="20" t="str">
        <x:v>Prior selected evidence</x:v>
      </x:c>
    </x:row>
    <x:row r="9" ht="60" customHeight="1">
      <x:c r="A9" s="20" t="str">
        <x:v>Ecobank Nigeria</x:v>
      </x:c>
      <x:c r="B9" s="24" t="n">
        <x:v>2017</x:v>
      </x:c>
      <x:c r="C9" s="18" t="str">
        <x:v>Tier 2</x:v>
      </x:c>
      <x:c r="D9" s="18" t="str">
        <x:v>IAS 39</x:v>
      </x:c>
      <x:c r="E9" s="22" t="n">
        <x:v>20204</x:v>
      </x:c>
      <x:c r="F9" s="22" t="n">
        <x:v>1829761</x:v>
      </x:c>
      <x:c r="G9" s="22" t="n">
        <x:v>1562432</x:v>
      </x:c>
      <x:c r="H9" s="22" t="n">
        <x:v>267329</x:v>
      </x:c>
      <x:c r="I9" s="22"/>
      <x:c r="J9" s="22" t="n">
        <x:v>1808503</x:v>
      </x:c>
      <x:c r="K9" s="22"/>
      <x:c r="L9" s="22"/>
      <x:c r="M9" s="22"/>
      <x:c r="N9" s="22" t="n">
        <x:v>59901</x:v>
      </x:c>
      <x:c r="O9" s="22"/>
      <x:c r="P9" s="22"/>
      <x:c r="Q9" s="22"/>
      <x:c r="R9" s="22"/>
      <x:c r="S9" s="22"/>
      <x:c r="T9" s="22"/>
      <x:c r="U9" s="22"/>
      <x:c r="V9" s="22"/>
      <x:c r="W9" s="22"/>
      <x:c r="X9" s="24"/>
      <x:c r="Y9" s="22"/>
      <x:c r="Z9" s="22"/>
      <x:c r="AA9" s="22"/>
      <x:c r="AB9" s="22"/>
      <x:c r="AC9" s="22" t="n">
        <x:v>14.5</x:v>
      </x:c>
      <x:c r="AD9" s="22"/>
      <x:c r="AE9" s="22"/>
      <x:c r="AF9" s="24"/>
      <x:c r="AG9" s="22"/>
      <x:c r="AH9" s="22"/>
      <x:c r="AI9" s="20" t="str">
        <x:v>DS_ECO17</x:v>
      </x:c>
      <x:c r="AJ9" s="20" t="str">
        <x:v>https://www.financialafrik.com/wp-content/uploads/2018/05/FINANCIAL_STATEMENT_EBN_2017-2.pdf</x:v>
      </x:c>
      <x:c r="AK9" s="20" t="str">
        <x:v>Prior source-selection policy retained; original evidence preserved in accompanying pack.</x:v>
      </x:c>
      <x:c r="AL9" s="20" t="str">
        <x:v>Reported total loan allowance</x:v>
      </x:c>
      <x:c r="AM9" s="20" t="str">
        <x:v>Prior selected basis; see evidence notes</x:v>
      </x:c>
      <x:c r="AN9" s="20" t="str">
        <x:v>Prior selected evidence</x:v>
      </x:c>
    </x:row>
    <x:row r="10" ht="60" customHeight="1">
      <x:c r="A10" s="20" t="str">
        <x:v>Fidelity</x:v>
      </x:c>
      <x:c r="B10" s="24" t="n">
        <x:v>2013</x:v>
      </x:c>
      <x:c r="C10" s="18" t="str">
        <x:v>Tier 2</x:v>
      </x:c>
      <x:c r="D10" s="18" t="str">
        <x:v>IAS 39</x:v>
      </x:c>
      <x:c r="E10" s="22" t="n">
        <x:v>7721</x:v>
      </x:c>
      <x:c r="F10" s="22" t="n">
        <x:v>1081217</x:v>
      </x:c>
      <x:c r="G10" s="22" t="n">
        <x:v>917762</x:v>
      </x:c>
      <x:c r="H10" s="22" t="n">
        <x:v>163455</x:v>
      </x:c>
      <x:c r="I10" s="22" t="n">
        <x:v>15048</x:v>
      </x:c>
      <x:c r="J10" s="22" t="n">
        <x:v>914360</x:v>
      </x:c>
      <x:c r="K10" s="22" t="n">
        <x:v>442649</x:v>
      </x:c>
      <x:c r="L10" s="22" t="n">
        <x:v>16573</x:v>
      </x:c>
      <x:c r="M10" s="22"/>
      <x:c r="N10" s="22" t="n">
        <x:v>7630</x:v>
      </x:c>
      <x:c r="O10" s="22" t="n">
        <x:v>3190</x:v>
      </x:c>
      <x:c r="P10" s="22"/>
      <x:c r="Q10" s="22"/>
      <x:c r="R10" s="22"/>
      <x:c r="S10" s="22"/>
      <x:c r="T10" s="22" t="n">
        <x:v>26</x:v>
      </x:c>
      <x:c r="U10" s="22"/>
      <x:c r="V10" s="22"/>
      <x:c r="W10" s="22"/>
      <x:c r="X10" s="24"/>
      <x:c r="Y10" s="22"/>
      <x:c r="Z10" s="22"/>
      <x:c r="AA10" s="22"/>
      <x:c r="AB10" s="22"/>
      <x:c r="AC10" s="22"/>
      <x:c r="AD10" s="22"/>
      <x:c r="AE10" s="22"/>
      <x:c r="AF10" s="24"/>
      <x:c r="AG10" s="22"/>
      <x:c r="AH10" s="22"/>
      <x:c r="AI10" s="20" t="str">
        <x:v>FID2013</x:v>
      </x:c>
      <x:c r="AJ10" s="20" t="str">
        <x:v>https://www.fidelitybank.ng/documents/FYE%202013%20Audited%20Financial%20Results.pdf</x:v>
      </x:c>
      <x:c r="AK10" s="20" t="str">
        <x:v>Prior source-selection policy retained; original evidence preserved in accompanying pack.</x:v>
      </x:c>
      <x:c r="AL10" s="20" t="str">
        <x:v>Reported total loan allowance</x:v>
      </x:c>
      <x:c r="AM10" s="20" t="str">
        <x:v>Prior selected basis; see evidence notes</x:v>
      </x:c>
      <x:c r="AN10" s="20" t="str">
        <x:v>Prior selected evidence</x:v>
      </x:c>
    </x:row>
    <x:row r="11" ht="60" customHeight="1">
      <x:c r="A11" s="20" t="str">
        <x:v>Fidelity</x:v>
      </x:c>
      <x:c r="B11" s="24" t="n">
        <x:v>2018</x:v>
      </x:c>
      <x:c r="C11" s="18" t="str">
        <x:v>Tier 2</x:v>
      </x:c>
      <x:c r="D11" s="18" t="str">
        <x:v>IFRS 9</x:v>
      </x:c>
      <x:c r="E11" s="22" t="n">
        <x:v>22926</x:v>
      </x:c>
      <x:c r="F11" s="22" t="n">
        <x:v>1719883</x:v>
      </x:c>
      <x:c r="G11" s="22" t="n">
        <x:v>1525467</x:v>
      </x:c>
      <x:c r="H11" s="22" t="n">
        <x:v>194416</x:v>
      </x:c>
      <x:c r="I11" s="22"/>
      <x:c r="J11" s="22"/>
      <x:c r="K11" s="22"/>
      <x:c r="L11" s="22"/>
      <x:c r="M11" s="22"/>
      <x:c r="N11" s="22" t="n">
        <x:v>4215</x:v>
      </x:c>
      <x:c r="O11" s="22"/>
      <x:c r="P11" s="22"/>
      <x:c r="Q11" s="22"/>
      <x:c r="R11" s="22"/>
      <x:c r="S11" s="22"/>
      <x:c r="T11" s="22"/>
      <x:c r="U11" s="22"/>
      <x:c r="V11" s="22"/>
      <x:c r="W11" s="22"/>
      <x:c r="X11" s="24"/>
      <x:c r="Y11" s="22"/>
      <x:c r="Z11" s="22"/>
      <x:c r="AA11" s="22"/>
      <x:c r="AB11" s="22"/>
      <x:c r="AC11" s="22"/>
      <x:c r="AD11" s="22"/>
      <x:c r="AE11" s="22"/>
      <x:c r="AF11" s="24"/>
      <x:c r="AG11" s="22"/>
      <x:c r="AH11" s="22"/>
      <x:c r="AI11" s="20" t="str">
        <x:v>FID2019</x:v>
      </x:c>
      <x:c r="AJ11" s="20" t="str">
        <x:v>https://www.fidelitybank.ng/documents/2019%20Annual%20report%20Final%20Web%20Version.pdf</x:v>
      </x:c>
      <x:c r="AK11" s="20" t="str">
        <x:v>Prior source-selection policy retained; original evidence preserved in accompanying pack.</x:v>
      </x:c>
      <x:c r="AL11" s="20" t="str">
        <x:v>Reported total loan allowance</x:v>
      </x:c>
      <x:c r="AM11" s="20" t="str">
        <x:v>Prior selected basis; see evidence notes</x:v>
      </x:c>
      <x:c r="AN11" s="20" t="str">
        <x:v>Prior selected evidence</x:v>
      </x:c>
    </x:row>
    <x:row r="12" ht="60" customHeight="1">
      <x:c r="A12" s="20" t="str">
        <x:v>Fidelity</x:v>
      </x:c>
      <x:c r="B12" s="24" t="n">
        <x:v>2019</x:v>
      </x:c>
      <x:c r="C12" s="18" t="str">
        <x:v>Tier 2</x:v>
      </x:c>
      <x:c r="D12" s="18" t="str">
        <x:v>IFRS 9</x:v>
      </x:c>
      <x:c r="E12" s="22" t="n">
        <x:v>28425</x:v>
      </x:c>
      <x:c r="F12" s="22" t="n">
        <x:v>2114037</x:v>
      </x:c>
      <x:c r="G12" s="22" t="n">
        <x:v>1880007</x:v>
      </x:c>
      <x:c r="H12" s="22" t="n">
        <x:v>234030</x:v>
      </x:c>
      <x:c r="I12" s="22"/>
      <x:c r="J12" s="22" t="n">
        <x:v>1719883</x:v>
      </x:c>
      <x:c r="K12" s="22"/>
      <x:c r="L12" s="22"/>
      <x:c r="M12" s="22"/>
      <x:c r="N12" s="22" t="n">
        <x:v>-5292</x:v>
      </x:c>
      <x:c r="O12" s="22"/>
      <x:c r="P12" s="22"/>
      <x:c r="Q12" s="22"/>
      <x:c r="R12" s="22"/>
      <x:c r="S12" s="22"/>
      <x:c r="T12" s="22"/>
      <x:c r="U12" s="22"/>
      <x:c r="V12" s="22"/>
      <x:c r="W12" s="22"/>
      <x:c r="X12" s="24"/>
      <x:c r="Y12" s="22"/>
      <x:c r="Z12" s="22"/>
      <x:c r="AA12" s="22"/>
      <x:c r="AB12" s="22"/>
      <x:c r="AC12" s="22"/>
      <x:c r="AD12" s="22"/>
      <x:c r="AE12" s="22"/>
      <x:c r="AF12" s="24"/>
      <x:c r="AG12" s="22"/>
      <x:c r="AH12" s="22"/>
      <x:c r="AI12" s="20" t="str">
        <x:v>FID2019</x:v>
      </x:c>
      <x:c r="AJ12" s="20" t="str">
        <x:v>https://www.fidelitybank.ng/documents/2019%20Annual%20report%20Final%20Web%20Version.pdf</x:v>
      </x:c>
      <x:c r="AK12" s="20" t="str">
        <x:v>Prior source-selection policy retained; original evidence preserved in accompanying pack.</x:v>
      </x:c>
      <x:c r="AL12" s="20" t="str">
        <x:v>Reported total loan allowance</x:v>
      </x:c>
      <x:c r="AM12" s="20" t="str">
        <x:v>Prior selected basis; see evidence notes</x:v>
      </x:c>
      <x:c r="AN12" s="20" t="str">
        <x:v>Prior selected evidence</x:v>
      </x:c>
    </x:row>
    <x:row r="13" ht="60" customHeight="1">
      <x:c r="A13" s="20" t="str">
        <x:v>First Bank</x:v>
      </x:c>
      <x:c r="B13" s="24" t="n">
        <x:v>2013</x:v>
      </x:c>
      <x:c r="C13" s="18" t="str">
        <x:v>Tier 1</x:v>
      </x:c>
      <x:c r="D13" s="18" t="str">
        <x:v>IAS 39</x:v>
      </x:c>
      <x:c r="E13" s="22" t="n">
        <x:v>59365</x:v>
      </x:c>
      <x:c r="F13" s="22" t="n">
        <x:v>3246579</x:v>
      </x:c>
      <x:c r="G13" s="22" t="n">
        <x:v>2895870</x:v>
      </x:c>
      <x:c r="H13" s="22" t="n">
        <x:v>350709</x:v>
      </x:c>
      <x:c r="I13" s="22" t="n">
        <x:v>179950</x:v>
      </x:c>
      <x:c r="J13" s="22"/>
      <x:c r="K13" s="22" t="n">
        <x:v>1515288</x:v>
      </x:c>
      <x:c r="L13" s="22" t="n">
        <x:v>41449</x:v>
      </x:c>
      <x:c r="M13" s="22"/>
      <x:c r="N13" s="22" t="n">
        <x:v>19838</x:v>
      </x:c>
      <x:c r="O13" s="22"/>
      <x:c r="P13" s="22"/>
      <x:c r="Q13" s="22"/>
      <x:c r="R13" s="22"/>
      <x:c r="S13" s="22"/>
      <x:c r="T13" s="22" t="n">
        <x:v>13.54</x:v>
      </x:c>
      <x:c r="U13" s="22"/>
      <x:c r="V13" s="22"/>
      <x:c r="W13" s="22"/>
      <x:c r="X13" s="24"/>
      <x:c r="Y13" s="22"/>
      <x:c r="Z13" s="22"/>
      <x:c r="AA13" s="22"/>
      <x:c r="AB13" s="22"/>
      <x:c r="AC13" s="22"/>
      <x:c r="AD13" s="22"/>
      <x:c r="AE13" s="22"/>
      <x:c r="AF13" s="24"/>
      <x:c r="AG13" s="22"/>
      <x:c r="AH13" s="22"/>
      <x:c r="AI13" s="20" t="str">
        <x:v>DS_FBN14</x:v>
      </x:c>
      <x:c r="AJ13" s="20" t="str">
        <x:v>https://first-holdco.com/wp-content/uploads/2021/02/First_Bank_of_Nigeria_Ltd_2014_Annual_Report.pdf</x:v>
      </x:c>
      <x:c r="AK13" s="20" t="str">
        <x:v>Prior source-selection policy retained; original evidence preserved in accompanying pack.</x:v>
      </x:c>
      <x:c r="AL13" s="20" t="str">
        <x:v>Reported total loan allowance</x:v>
      </x:c>
      <x:c r="AM13" s="20" t="str">
        <x:v>Prior selected basis; see evidence notes</x:v>
      </x:c>
      <x:c r="AN13" s="20" t="str">
        <x:v>Prior selected evidence</x:v>
      </x:c>
    </x:row>
    <x:row r="14" ht="60" customHeight="1">
      <x:c r="A14" s="20" t="str">
        <x:v>First Bank</x:v>
      </x:c>
      <x:c r="B14" s="24" t="n">
        <x:v>2014</x:v>
      </x:c>
      <x:c r="C14" s="18" t="str">
        <x:v>Tier 1</x:v>
      </x:c>
      <x:c r="D14" s="18" t="str">
        <x:v>IAS 39</x:v>
      </x:c>
      <x:c r="E14" s="22" t="n">
        <x:v>79351</x:v>
      </x:c>
      <x:c r="F14" s="22" t="n">
        <x:v>3490871</x:v>
      </x:c>
      <x:c r="G14" s="22" t="n">
        <x:v>3067824</x:v>
      </x:c>
      <x:c r="H14" s="22" t="n">
        <x:v>423047</x:v>
      </x:c>
      <x:c r="I14" s="22" t="n">
        <x:v>-506665</x:v>
      </x:c>
      <x:c r="J14" s="22" t="n">
        <x:v>3246579</x:v>
      </x:c>
      <x:c r="K14" s="22" t="n">
        <x:v>1832107</x:v>
      </x:c>
      <x:c r="L14" s="22" t="n">
        <x:v>38070</x:v>
      </x:c>
      <x:c r="M14" s="22"/>
      <x:c r="N14" s="22" t="n">
        <x:v>20924</x:v>
      </x:c>
      <x:c r="O14" s="22"/>
      <x:c r="P14" s="22"/>
      <x:c r="Q14" s="22"/>
      <x:c r="R14" s="22"/>
      <x:c r="S14" s="22"/>
      <x:c r="T14" s="22" t="n">
        <x:v>15.78</x:v>
      </x:c>
      <x:c r="U14" s="22"/>
      <x:c r="V14" s="22"/>
      <x:c r="W14" s="22"/>
      <x:c r="X14" s="24"/>
      <x:c r="Y14" s="22"/>
      <x:c r="Z14" s="22"/>
      <x:c r="AA14" s="22"/>
      <x:c r="AB14" s="22"/>
      <x:c r="AC14" s="22"/>
      <x:c r="AD14" s="22"/>
      <x:c r="AE14" s="22"/>
      <x:c r="AF14" s="24"/>
      <x:c r="AG14" s="22"/>
      <x:c r="AH14" s="22"/>
      <x:c r="AI14" s="20" t="str">
        <x:v>DS_FBN14</x:v>
      </x:c>
      <x:c r="AJ14" s="20" t="str">
        <x:v>https://first-holdco.com/wp-content/uploads/2021/02/First_Bank_of_Nigeria_Ltd_2014_Annual_Report.pdf</x:v>
      </x:c>
      <x:c r="AK14" s="20" t="str">
        <x:v>Prior source-selection policy retained; original evidence preserved in accompanying pack.</x:v>
      </x:c>
      <x:c r="AL14" s="20" t="str">
        <x:v>Reported total loan allowance</x:v>
      </x:c>
      <x:c r="AM14" s="20" t="str">
        <x:v>Prior selected basis; see evidence notes</x:v>
      </x:c>
      <x:c r="AN14" s="20" t="str">
        <x:v>Prior selected evidence</x:v>
      </x:c>
    </x:row>
    <x:row r="15" ht="60" customHeight="1">
      <x:c r="A15" s="20" t="str">
        <x:v>GTBank</x:v>
      </x:c>
      <x:c r="B15" s="24" t="n">
        <x:v>2013</x:v>
      </x:c>
      <x:c r="C15" s="18" t="str">
        <x:v>Tier 1</x:v>
      </x:c>
      <x:c r="D15" s="18" t="str">
        <x:v>IAS 39</x:v>
      </x:c>
      <x:c r="E15" s="22" t="n">
        <x:v>85546</x:v>
      </x:c>
      <x:c r="F15" s="22" t="n">
        <x:v>1904366</x:v>
      </x:c>
      <x:c r="G15" s="22" t="n">
        <x:v>1574719</x:v>
      </x:c>
      <x:c r="H15" s="22" t="n">
        <x:v>329647</x:v>
      </x:c>
      <x:c r="I15" s="22"/>
      <x:c r="J15" s="22"/>
      <x:c r="K15" s="22"/>
      <x:c r="L15" s="22"/>
      <x:c r="M15" s="22"/>
      <x:c r="N15" s="22"/>
      <x:c r="O15" s="22" t="n">
        <x:v>2913</x:v>
      </x:c>
      <x:c r="P15" s="22"/>
      <x:c r="Q15" s="22"/>
      <x:c r="R15" s="22"/>
      <x:c r="S15" s="22"/>
      <x:c r="T15" s="22"/>
      <x:c r="U15" s="22"/>
      <x:c r="V15" s="22"/>
      <x:c r="W15" s="22"/>
      <x:c r="X15" s="24"/>
      <x:c r="Y15" s="22"/>
      <x:c r="Z15" s="22"/>
      <x:c r="AA15" s="22"/>
      <x:c r="AB15" s="22" t="n">
        <x:v>27707</x:v>
      </x:c>
      <x:c r="AC15" s="22" t="n">
        <x:v>2.93</x:v>
      </x:c>
      <x:c r="AD15" s="22"/>
      <x:c r="AE15" s="22"/>
      <x:c r="AF15" s="24"/>
      <x:c r="AG15" s="22"/>
      <x:c r="AH15" s="22"/>
      <x:c r="AI15" s="20" t="str">
        <x:v>GT2014A</x:v>
      </x:c>
      <x:c r="AJ15" s="20" t="str">
        <x:v>https://gtbank-plc.files.svdcdn.com/production/financial-information/2014-Financial-Statement-Summary.pdf?dm=1517101701</x:v>
      </x:c>
      <x:c r="AK15" s="20" t="str">
        <x:v>Prior source-selection policy retained; original evidence preserved in accompanying pack.</x:v>
      </x:c>
      <x:c r="AL15" s="20" t="str">
        <x:v>Reported total loan allowance</x:v>
      </x:c>
      <x:c r="AM15" s="20" t="str">
        <x:v>Prior selected basis; see evidence notes</x:v>
      </x:c>
      <x:c r="AN15" s="20" t="str">
        <x:v>Prior selected evidence</x:v>
      </x:c>
    </x:row>
    <x:row r="16" ht="60" customHeight="1">
      <x:c r="A16" s="20" t="str">
        <x:v>GTBank</x:v>
      </x:c>
      <x:c r="B16" s="24" t="n">
        <x:v>2014</x:v>
      </x:c>
      <x:c r="C16" s="18" t="str">
        <x:v>Tier 1</x:v>
      </x:c>
      <x:c r="D16" s="18" t="str">
        <x:v>IAS 39</x:v>
      </x:c>
      <x:c r="E16" s="22" t="n">
        <x:v>93432</x:v>
      </x:c>
      <x:c r="F16" s="22" t="n">
        <x:v>2126608</x:v>
      </x:c>
      <x:c r="G16" s="22" t="n">
        <x:v>1757078</x:v>
      </x:c>
      <x:c r="H16" s="22" t="n">
        <x:v>369530</x:v>
      </x:c>
      <x:c r="I16" s="22"/>
      <x:c r="J16" s="22" t="n">
        <x:v>1904366</x:v>
      </x:c>
      <x:c r="K16" s="22"/>
      <x:c r="L16" s="22"/>
      <x:c r="M16" s="22"/>
      <x:c r="N16" s="22"/>
      <x:c r="O16" s="22" t="n">
        <x:v>6184</x:v>
      </x:c>
      <x:c r="P16" s="22"/>
      <x:c r="Q16" s="22"/>
      <x:c r="R16" s="22"/>
      <x:c r="S16" s="22"/>
      <x:c r="T16" s="22"/>
      <x:c r="U16" s="22"/>
      <x:c r="V16" s="22"/>
      <x:c r="W16" s="22"/>
      <x:c r="X16" s="24"/>
      <x:c r="Y16" s="22"/>
      <x:c r="Z16" s="22"/>
      <x:c r="AA16" s="22"/>
      <x:c r="AB16" s="22" t="n">
        <x:v>32616</x:v>
      </x:c>
      <x:c r="AC16" s="22" t="n">
        <x:v>2.7</x:v>
      </x:c>
      <x:c r="AD16" s="22"/>
      <x:c r="AE16" s="22"/>
      <x:c r="AF16" s="24"/>
      <x:c r="AG16" s="22"/>
      <x:c r="AH16" s="22"/>
      <x:c r="AI16" s="20" t="str">
        <x:v>GT2014A</x:v>
      </x:c>
      <x:c r="AJ16" s="20" t="str">
        <x:v>https://gtbank-plc.files.svdcdn.com/production/financial-information/2014-Financial-Statement-Summary.pdf?dm=1517101701</x:v>
      </x:c>
      <x:c r="AK16" s="20" t="str">
        <x:v>Prior source-selection policy retained; original evidence preserved in accompanying pack.</x:v>
      </x:c>
      <x:c r="AL16" s="20" t="str">
        <x:v>Reported total loan allowance</x:v>
      </x:c>
      <x:c r="AM16" s="20" t="str">
        <x:v>Prior selected basis; see evidence notes</x:v>
      </x:c>
      <x:c r="AN16" s="20" t="str">
        <x:v>Prior selected evidence</x:v>
      </x:c>
    </x:row>
    <x:row r="17" ht="60" customHeight="1">
      <x:c r="A17" s="20" t="str">
        <x:v>Sterling</x:v>
      </x:c>
      <x:c r="B17" s="24" t="n">
        <x:v>2013</x:v>
      </x:c>
      <x:c r="C17" s="18" t="str">
        <x:v>Tier 2</x:v>
      </x:c>
      <x:c r="D17" s="18" t="str">
        <x:v>IAS 39</x:v>
      </x:c>
      <x:c r="E17" s="22" t="n">
        <x:v>8274.864</x:v>
      </x:c>
      <x:c r="F17" s="22" t="n">
        <x:v>707797.181</x:v>
      </x:c>
      <x:c r="G17" s="22" t="n">
        <x:v>644339.285</x:v>
      </x:c>
      <x:c r="H17" s="22" t="n">
        <x:v>63457.896</x:v>
      </x:c>
      <x:c r="I17" s="22" t="n">
        <x:v>-41953.972</x:v>
      </x:c>
      <x:c r="J17" s="22"/>
      <x:c r="K17" s="22" t="n">
        <x:v>328664.904</x:v>
      </x:c>
      <x:c r="L17" s="22" t="n">
        <x:v>6921.156</x:v>
      </x:c>
      <x:c r="M17" s="22"/>
      <x:c r="N17" s="22" t="n">
        <x:v>8259.094</x:v>
      </x:c>
      <x:c r="O17" s="22"/>
      <x:c r="P17" s="22"/>
      <x:c r="Q17" s="22"/>
      <x:c r="R17" s="22"/>
      <x:c r="S17" s="22"/>
      <x:c r="T17" s="22" t="n">
        <x:v>14</x:v>
      </x:c>
      <x:c r="U17" s="22"/>
      <x:c r="V17" s="22"/>
      <x:c r="W17" s="22"/>
      <x:c r="X17" s="24"/>
      <x:c r="Y17" s="22"/>
      <x:c r="Z17" s="22"/>
      <x:c r="AA17" s="22"/>
      <x:c r="AB17" s="22"/>
      <x:c r="AC17" s="22" t="n">
        <x:v>2.1</x:v>
      </x:c>
      <x:c r="AD17" s="22"/>
      <x:c r="AE17" s="22"/>
      <x:c r="AF17" s="24"/>
      <x:c r="AG17" s="22"/>
      <x:c r="AH17" s="22"/>
      <x:c r="AI17" s="20" t="str">
        <x:v>STER2014</x:v>
      </x:c>
      <x:c r="AJ17" s="20" t="str">
        <x:v>https://sterling.ng/wp-content/uploads/2023/09/2014.pdf</x:v>
      </x:c>
      <x:c r="AK17" s="20" t="str">
        <x:v>Prior source-selection policy retained; original evidence preserved in accompanying pack.</x:v>
      </x:c>
      <x:c r="AL17" s="20" t="str">
        <x:v>Sum of separately reported specific and collective loan allowance</x:v>
      </x:c>
      <x:c r="AM17" s="20" t="str">
        <x:v>Prior selected basis; see evidence notes</x:v>
      </x:c>
      <x:c r="AN17" s="20" t="str">
        <x:v>Prior selected evidence</x:v>
      </x:c>
    </x:row>
    <x:row r="18" ht="60" customHeight="1">
      <x:c r="A18" s="20" t="str">
        <x:v>Sterling</x:v>
      </x:c>
      <x:c r="B18" s="24" t="n">
        <x:v>2014</x:v>
      </x:c>
      <x:c r="C18" s="18" t="str">
        <x:v>Tier 2</x:v>
      </x:c>
      <x:c r="D18" s="18" t="str">
        <x:v>IAS 39</x:v>
      </x:c>
      <x:c r="E18" s="22" t="n">
        <x:v>9004.973</x:v>
      </x:c>
      <x:c r="F18" s="22" t="n">
        <x:v>824539.426</x:v>
      </x:c>
      <x:c r="G18" s="22" t="n">
        <x:v>739824.141</x:v>
      </x:c>
      <x:c r="H18" s="22" t="n">
        <x:v>84715.285</x:v>
      </x:c>
      <x:c r="I18" s="22" t="n">
        <x:v>-755.006</x:v>
      </x:c>
      <x:c r="J18" s="22" t="n">
        <x:v>707797.181</x:v>
      </x:c>
      <x:c r="K18" s="22" t="n">
        <x:v>380924.4</x:v>
      </x:c>
      <x:c r="L18" s="22" t="n">
        <x:v>9678.127</x:v>
      </x:c>
      <x:c r="M18" s="22"/>
      <x:c r="N18" s="22" t="n">
        <x:v>7389.159</x:v>
      </x:c>
      <x:c r="O18" s="22"/>
      <x:c r="P18" s="22"/>
      <x:c r="Q18" s="22"/>
      <x:c r="R18" s="22"/>
      <x:c r="S18" s="22"/>
      <x:c r="T18" s="22" t="n">
        <x:v>14</x:v>
      </x:c>
      <x:c r="U18" s="22"/>
      <x:c r="V18" s="22"/>
      <x:c r="W18" s="22" t="n">
        <x:v>34</x:v>
      </x:c>
      <x:c r="X18" s="24" t="n">
        <x:v>1</x:v>
      </x:c>
      <x:c r="Y18" s="22"/>
      <x:c r="Z18" s="22"/>
      <x:c r="AA18" s="22"/>
      <x:c r="AB18" s="22"/>
      <x:c r="AC18" s="22" t="n">
        <x:v>3.1</x:v>
      </x:c>
      <x:c r="AD18" s="22"/>
      <x:c r="AE18" s="22"/>
      <x:c r="AF18" s="24"/>
      <x:c r="AG18" s="22"/>
      <x:c r="AH18" s="22"/>
      <x:c r="AI18" s="20" t="str">
        <x:v>STER2014</x:v>
      </x:c>
      <x:c r="AJ18" s="20" t="str">
        <x:v>https://sterling.ng/wp-content/uploads/2023/09/2014.pdf</x:v>
      </x:c>
      <x:c r="AK18" s="20" t="str">
        <x:v>Prior source-selection policy retained; original evidence preserved in accompanying pack.</x:v>
      </x:c>
      <x:c r="AL18" s="20" t="str">
        <x:v>Sum of separately reported specific and collective loan allowance</x:v>
      </x:c>
      <x:c r="AM18" s="20" t="str">
        <x:v>Prior selected basis; see evidence notes</x:v>
      </x:c>
      <x:c r="AN18" s="20" t="str">
        <x:v>Prior selected evidence</x:v>
      </x:c>
    </x:row>
    <x:row r="19" ht="60" customHeight="1">
      <x:c r="A19" s="20" t="str">
        <x:v>Sterling</x:v>
      </x:c>
      <x:c r="B19" s="24" t="n">
        <x:v>2018</x:v>
      </x:c>
      <x:c r="C19" s="18" t="str">
        <x:v>Tier 2</x:v>
      </x:c>
      <x:c r="D19" s="18" t="str">
        <x:v>IFRS 9</x:v>
      </x:c>
      <x:c r="E19" s="22" t="n">
        <x:v>9468</x:v>
      </x:c>
      <x:c r="F19" s="22" t="n">
        <x:v>1085876</x:v>
      </x:c>
      <x:c r="G19" s="22" t="n">
        <x:v>987867</x:v>
      </x:c>
      <x:c r="H19" s="22" t="n">
        <x:v>98009</x:v>
      </x:c>
      <x:c r="I19" s="22" t="n">
        <x:v>35086</x:v>
      </x:c>
      <x:c r="J19" s="22"/>
      <x:c r="K19" s="22" t="n">
        <x:v>640678</x:v>
      </x:c>
      <x:c r="L19" s="22" t="n">
        <x:v>19661</x:v>
      </x:c>
      <x:c r="M19" s="22"/>
      <x:c r="N19" s="22" t="n">
        <x:v>5832</x:v>
      </x:c>
      <x:c r="O19" s="22"/>
      <x:c r="P19" s="22"/>
      <x:c r="Q19" s="22"/>
      <x:c r="R19" s="22"/>
      <x:c r="S19" s="22"/>
      <x:c r="T19" s="22" t="n">
        <x:v>12.86</x:v>
      </x:c>
      <x:c r="U19" s="22"/>
      <x:c r="V19" s="22" t="n">
        <x:v>10</x:v>
      </x:c>
      <x:c r="W19" s="22"/>
      <x:c r="X19" s="24"/>
      <x:c r="Y19" s="22"/>
      <x:c r="Z19" s="22"/>
      <x:c r="AA19" s="22"/>
      <x:c r="AB19" s="22"/>
      <x:c r="AC19" s="22"/>
      <x:c r="AD19" s="22"/>
      <x:c r="AE19" s="22"/>
      <x:c r="AF19" s="24"/>
      <x:c r="AG19" s="22"/>
      <x:c r="AH19" s="22"/>
      <x:c r="AI19" s="20" t="str">
        <x:v>STER2019</x:v>
      </x:c>
      <x:c r="AJ19" s="20" t="str">
        <x:v>https://sterling.ng/wp-content/uploads/2020/03/FY-%E2%80%93-2019-Audited-Financials.pdf</x:v>
      </x:c>
      <x:c r="AK19" s="20" t="str">
        <x:v>Prior source-selection policy retained; original evidence preserved in accompanying pack.</x:v>
      </x:c>
      <x:c r="AL19" s="20" t="str">
        <x:v>Sum of separately reported corporate and retail loan allowance</x:v>
      </x:c>
      <x:c r="AM19" s="20" t="str">
        <x:v>Prior selected basis; see evidence notes</x:v>
      </x:c>
      <x:c r="AN19" s="20" t="str">
        <x:v>Prior selected evidence</x:v>
      </x:c>
    </x:row>
    <x:row r="20" ht="60" customHeight="1">
      <x:c r="A20" s="20" t="str">
        <x:v>Sterling</x:v>
      </x:c>
      <x:c r="B20" s="24" t="n">
        <x:v>2019</x:v>
      </x:c>
      <x:c r="C20" s="18" t="str">
        <x:v>Tier 2</x:v>
      </x:c>
      <x:c r="D20" s="18" t="str">
        <x:v>IFRS 9</x:v>
      </x:c>
      <x:c r="E20" s="22" t="n">
        <x:v>10163</x:v>
      </x:c>
      <x:c r="F20" s="22" t="n">
        <x:v>1165509</x:v>
      </x:c>
      <x:c r="G20" s="22" t="n">
        <x:v>1046181</x:v>
      </x:c>
      <x:c r="H20" s="22" t="n">
        <x:v>119328</x:v>
      </x:c>
      <x:c r="I20" s="22" t="n">
        <x:v>114414</x:v>
      </x:c>
      <x:c r="J20" s="22" t="n">
        <x:v>1085876</x:v>
      </x:c>
      <x:c r="K20" s="22" t="n">
        <x:v>631698</x:v>
      </x:c>
      <x:c r="L20" s="22" t="n">
        <x:v>12966</x:v>
      </x:c>
      <x:c r="M20" s="22"/>
      <x:c r="N20" s="22" t="n">
        <x:v>5842</x:v>
      </x:c>
      <x:c r="O20" s="22"/>
      <x:c r="P20" s="22"/>
      <x:c r="Q20" s="22"/>
      <x:c r="R20" s="22"/>
      <x:c r="S20" s="22"/>
      <x:c r="T20" s="22" t="n">
        <x:v>14.7</x:v>
      </x:c>
      <x:c r="U20" s="22"/>
      <x:c r="V20" s="22" t="n">
        <x:v>10</x:v>
      </x:c>
      <x:c r="W20" s="22"/>
      <x:c r="X20" s="24"/>
      <x:c r="Y20" s="22"/>
      <x:c r="Z20" s="22"/>
      <x:c r="AA20" s="22"/>
      <x:c r="AB20" s="22"/>
      <x:c r="AC20" s="22"/>
      <x:c r="AD20" s="22"/>
      <x:c r="AE20" s="22"/>
      <x:c r="AF20" s="24"/>
      <x:c r="AG20" s="22"/>
      <x:c r="AH20" s="22"/>
      <x:c r="AI20" s="20" t="str">
        <x:v>STER2019</x:v>
      </x:c>
      <x:c r="AJ20" s="20" t="str">
        <x:v>https://sterling.ng/wp-content/uploads/2020/03/FY-%E2%80%93-2019-Audited-Financials.pdf</x:v>
      </x:c>
      <x:c r="AK20" s="20" t="str">
        <x:v>Prior source-selection policy retained; original evidence preserved in accompanying pack.</x:v>
      </x:c>
      <x:c r="AL20" s="20" t="str">
        <x:v>Sum of separately reported corporate and retail loan allowance</x:v>
      </x:c>
      <x:c r="AM20" s="20" t="str">
        <x:v>Prior selected basis; see evidence notes</x:v>
      </x:c>
      <x:c r="AN20" s="20" t="str">
        <x:v>Prior selected evidence</x:v>
      </x:c>
    </x:row>
    <x:row r="21" ht="60" customHeight="1">
      <x:c r="A21" s="20" t="str">
        <x:v>UBA</x:v>
      </x:c>
      <x:c r="B21" s="24" t="n">
        <x:v>2013</x:v>
      </x:c>
      <x:c r="C21" s="18" t="str">
        <x:v>Tier 1</x:v>
      </x:c>
      <x:c r="D21" s="18" t="str">
        <x:v>IAS 39</x:v>
      </x:c>
      <x:c r="E21" s="22" t="n">
        <x:v>46483</x:v>
      </x:c>
      <x:c r="F21" s="22" t="n">
        <x:v>2217417</x:v>
      </x:c>
      <x:c r="G21" s="22" t="n">
        <x:v>1957879</x:v>
      </x:c>
      <x:c r="H21" s="22" t="n">
        <x:v>259538</x:v>
      </x:c>
      <x:c r="I21" s="22" t="n">
        <x:v>-136104</x:v>
      </x:c>
      <x:c r="J21" s="22"/>
      <x:c r="K21" s="22" t="n">
        <x:v>805259</x:v>
      </x:c>
      <x:c r="L21" s="22" t="n">
        <x:v>8317</x:v>
      </x:c>
      <x:c r="M21" s="22"/>
      <x:c r="N21" s="22" t="n">
        <x:v>181</x:v>
      </x:c>
      <x:c r="O21" s="22"/>
      <x:c r="P21" s="22"/>
      <x:c r="Q21" s="22"/>
      <x:c r="R21" s="22"/>
      <x:c r="S21" s="22"/>
      <x:c r="T21" s="22" t="n">
        <x:v>20</x:v>
      </x:c>
      <x:c r="U21" s="22"/>
      <x:c r="V21" s="22"/>
      <x:c r="W21" s="22"/>
      <x:c r="X21" s="24"/>
      <x:c r="Y21" s="22"/>
      <x:c r="Z21" s="22"/>
      <x:c r="AA21" s="22"/>
      <x:c r="AB21" s="22"/>
      <x:c r="AC21" s="22"/>
      <x:c r="AD21" s="22"/>
      <x:c r="AE21" s="22"/>
      <x:c r="AF21" s="24"/>
      <x:c r="AG21" s="22"/>
      <x:c r="AH21" s="22"/>
      <x:c r="AI21" s="20" t="str">
        <x:v>UBA2014</x:v>
      </x:c>
      <x:c r="AJ21" s="20" t="str">
        <x:v>https://www.ubagroup.com/wp-content/uploads/2018/08/2014-audited-financial-stateme_YQ8NW_20150414021324a7zd72ag66.pdf</x:v>
      </x:c>
      <x:c r="AK21" s="20" t="str">
        <x:v>Prior source-selection policy retained; original evidence preserved in accompanying pack.</x:v>
      </x:c>
      <x:c r="AL21" s="20" t="str">
        <x:v>Reported total loan allowance</x:v>
      </x:c>
      <x:c r="AM21" s="20" t="str">
        <x:v>Prior selected basis; see evidence notes</x:v>
      </x:c>
      <x:c r="AN21" s="20" t="str">
        <x:v>Prior selected evidence</x:v>
      </x:c>
    </x:row>
    <x:row r="22" ht="60" customHeight="1">
      <x:c r="A22" s="20" t="str">
        <x:v>UBA</x:v>
      </x:c>
      <x:c r="B22" s="24" t="n">
        <x:v>2014</x:v>
      </x:c>
      <x:c r="C22" s="18" t="str">
        <x:v>Tier 1</x:v>
      </x:c>
      <x:c r="D22" s="18" t="str">
        <x:v>IAS 39</x:v>
      </x:c>
      <x:c r="E22" s="22" t="n">
        <x:v>40083</x:v>
      </x:c>
      <x:c r="F22" s="22" t="n">
        <x:v>2338858</x:v>
      </x:c>
      <x:c r="G22" s="22" t="n">
        <x:v>2056925</x:v>
      </x:c>
      <x:c r="H22" s="22" t="n">
        <x:v>281933</x:v>
      </x:c>
      <x:c r="I22" s="22" t="n">
        <x:v>-92619</x:v>
      </x:c>
      <x:c r="J22" s="22" t="n">
        <x:v>2217417</x:v>
      </x:c>
      <x:c r="K22" s="22" t="n">
        <x:v>895109</x:v>
      </x:c>
      <x:c r="L22" s="22" t="n">
        <x:v>10522</x:v>
      </x:c>
      <x:c r="M22" s="22"/>
      <x:c r="N22" s="22" t="n">
        <x:v>3073</x:v>
      </x:c>
      <x:c r="O22" s="22"/>
      <x:c r="P22" s="22"/>
      <x:c r="Q22" s="22"/>
      <x:c r="R22" s="22"/>
      <x:c r="S22" s="22"/>
      <x:c r="T22" s="22" t="n">
        <x:v>17</x:v>
      </x:c>
      <x:c r="U22" s="22"/>
      <x:c r="V22" s="22"/>
      <x:c r="W22" s="22"/>
      <x:c r="X22" s="24"/>
      <x:c r="Y22" s="22"/>
      <x:c r="Z22" s="22"/>
      <x:c r="AA22" s="22"/>
      <x:c r="AB22" s="22"/>
      <x:c r="AC22" s="22"/>
      <x:c r="AD22" s="22"/>
      <x:c r="AE22" s="22"/>
      <x:c r="AF22" s="24"/>
      <x:c r="AG22" s="22"/>
      <x:c r="AH22" s="22"/>
      <x:c r="AI22" s="20" t="str">
        <x:v>UBA2014</x:v>
      </x:c>
      <x:c r="AJ22" s="20" t="str">
        <x:v>https://www.ubagroup.com/wp-content/uploads/2018/08/2014-audited-financial-stateme_YQ8NW_20150414021324a7zd72ag66.pdf</x:v>
      </x:c>
      <x:c r="AK22" s="20" t="str">
        <x:v>Prior source-selection policy retained; original evidence preserved in accompanying pack.</x:v>
      </x:c>
      <x:c r="AL22" s="20" t="str">
        <x:v>Reported total loan allowance</x:v>
      </x:c>
      <x:c r="AM22" s="20" t="str">
        <x:v>Prior selected basis; see evidence notes</x:v>
      </x:c>
      <x:c r="AN22" s="20" t="str">
        <x:v>Prior selected evidence</x:v>
      </x:c>
    </x:row>
    <x:row r="23" ht="60" customHeight="1">
      <x:c r="A23" s="20" t="str">
        <x:v>UBA</x:v>
      </x:c>
      <x:c r="B23" s="24" t="n">
        <x:v>2015</x:v>
      </x:c>
      <x:c r="C23" s="18" t="str">
        <x:v>Tier 1</x:v>
      </x:c>
      <x:c r="D23" s="18" t="str">
        <x:v>IAS 39</x:v>
      </x:c>
      <x:c r="E23" s="22" t="n">
        <x:v>47642</x:v>
      </x:c>
      <x:c r="F23" s="22" t="n">
        <x:v>2216337</x:v>
      </x:c>
      <x:c r="G23" s="22" t="n">
        <x:v>1878106</x:v>
      </x:c>
      <x:c r="H23" s="22" t="n">
        <x:v>338231</x:v>
      </x:c>
      <x:c r="I23" s="22" t="n">
        <x:v>58408</x:v>
      </x:c>
      <x:c r="J23" s="22" t="n">
        <x:v>2338858</x:v>
      </x:c>
      <x:c r="K23" s="22" t="n">
        <x:v>835737</x:v>
      </x:c>
      <x:c r="L23" s="22" t="n">
        <x:v>13043</x:v>
      </x:c>
      <x:c r="M23" s="22" t="n">
        <x:v>822694</x:v>
      </x:c>
      <x:c r="N23" s="22" t="n">
        <x:v>3491</x:v>
      </x:c>
      <x:c r="O23" s="22"/>
      <x:c r="P23" s="22"/>
      <x:c r="Q23" s="22"/>
      <x:c r="R23" s="22" t="n">
        <x:v>241091</x:v>
      </x:c>
      <x:c r="S23" s="22" t="n">
        <x:v>1208372</x:v>
      </x:c>
      <x:c r="T23" s="22" t="n">
        <x:v>20</x:v>
      </x:c>
      <x:c r="U23" s="22"/>
      <x:c r="V23" s="22"/>
      <x:c r="W23" s="22" t="n">
        <x:v>52.57</x:v>
      </x:c>
      <x:c r="X23" s="24" t="n">
        <x:v>1</x:v>
      </x:c>
      <x:c r="Y23" s="22" t="n">
        <x:v>42.61</x:v>
      </x:c>
      <x:c r="Z23" s="22" t="n">
        <x:v>52.57</x:v>
      </x:c>
      <x:c r="AA23" s="22" t="n">
        <x:v>35.7</x:v>
      </x:c>
      <x:c r="AB23" s="22"/>
      <x:c r="AC23" s="22"/>
      <x:c r="AD23" s="22"/>
      <x:c r="AE23" s="22"/>
      <x:c r="AF23" s="24"/>
      <x:c r="AG23" s="22" t="n">
        <x:v>50735</x:v>
      </x:c>
      <x:c r="AH23" s="22" t="n">
        <x:v>247378</x:v>
      </x:c>
      <x:c r="AI23" s="20" t="str">
        <x:v>UBA16_UPDATE; UBA2014</x:v>
      </x:c>
      <x:c r="AJ23" s="20" t="str">
        <x:v>https://www.ubagroup.com/wp-content/uploads/2018/08/UBA-Plc-2016-Annual-reports-and-Accounts_Low-Resolution.VAR_.pdf</x:v>
      </x:c>
      <x:c r="AK23" s="20" t="str">
        <x:v>2016 report 2015 comparative Bank columns; opening assets retained from the prior selected 2014 statement.</x:v>
      </x:c>
      <x:c r="AL23" s="20" t="str">
        <x:v>Customer-loan allowance only, reconciled to gross less net customer loans.</x:v>
      </x:c>
      <x:c r="AM23" s="20" t="str">
        <x:v>Selected matched loan-note total; do not combine with total allowances on other assets.</x:v>
      </x:c>
      <x:c r="AN23" s="20" t="str">
        <x:v>Primary report checked in this update</x:v>
      </x:c>
    </x:row>
    <x:row r="24" ht="60" customHeight="1">
      <x:c r="A24" s="20" t="str">
        <x:v>UBA</x:v>
      </x:c>
      <x:c r="B24" s="24" t="n">
        <x:v>2016</x:v>
      </x:c>
      <x:c r="C24" s="18" t="str">
        <x:v>Tier 1</x:v>
      </x:c>
      <x:c r="D24" s="18" t="str">
        <x:v>IAS 39</x:v>
      </x:c>
      <x:c r="E24" s="22" t="n">
        <x:v>47541</x:v>
      </x:c>
      <x:c r="F24" s="22" t="n">
        <x:v>2539585</x:v>
      </x:c>
      <x:c r="G24" s="22" t="n">
        <x:v>2148685</x:v>
      </x:c>
      <x:c r="H24" s="22" t="n">
        <x:v>390900</x:v>
      </x:c>
      <x:c r="I24" s="22" t="n">
        <x:v>-213392</x:v>
      </x:c>
      <x:c r="J24" s="22" t="n">
        <x:v>2216337</x:v>
      </x:c>
      <x:c r="K24" s="22" t="n">
        <x:v>1120096</x:v>
      </x:c>
      <x:c r="L24" s="22" t="n">
        <x:v>29741</x:v>
      </x:c>
      <x:c r="M24" s="22" t="n">
        <x:v>1090355</x:v>
      </x:c>
      <x:c r="N24" s="22" t="n">
        <x:v>25521</x:v>
      </x:c>
      <x:c r="O24" s="22"/>
      <x:c r="P24" s="22"/>
      <x:c r="Q24" s="22"/>
      <x:c r="R24" s="22" t="n">
        <x:v>262423</x:v>
      </x:c>
      <x:c r="S24" s="22" t="n">
        <x:v>1331901</x:v>
      </x:c>
      <x:c r="T24" s="22" t="n">
        <x:v>20</x:v>
      </x:c>
      <x:c r="U24" s="22"/>
      <x:c r="V24" s="22" t="n">
        <x:v>15</x:v>
      </x:c>
      <x:c r="W24" s="22" t="n">
        <x:v>38.57</x:v>
      </x:c>
      <x:c r="X24" s="24" t="n">
        <x:v>1</x:v>
      </x:c>
      <x:c r="Y24" s="22" t="n">
        <x:v>41.97</x:v>
      </x:c>
      <x:c r="Z24" s="22" t="n">
        <x:v>46.72</x:v>
      </x:c>
      <x:c r="AA24" s="22" t="n">
        <x:v>35.52</x:v>
      </x:c>
      <x:c r="AB24" s="22"/>
      <x:c r="AC24" s="22"/>
      <x:c r="AD24" s="22"/>
      <x:c r="AE24" s="22"/>
      <x:c r="AF24" s="24"/>
      <x:c r="AG24" s="22" t="n">
        <x:v>57649</x:v>
      </x:c>
      <x:c r="AH24" s="22" t="n">
        <x:v>269895</x:v>
      </x:c>
      <x:c r="AI24" s="20" t="str">
        <x:v>UBA16_UPDATE</x:v>
      </x:c>
      <x:c r="AJ24" s="20" t="str">
        <x:v>https://www.ubagroup.com/wp-content/uploads/2018/08/UBA-Plc-2016-Annual-reports-and-Accounts_Low-Resolution.VAR_.pdf</x:v>
      </x:c>
      <x:c r="AK24" s="20" t="str">
        <x:v>2016 report current-year Bank columns.</x:v>
      </x:c>
      <x:c r="AL24" s="20" t="str">
        <x:v>Customer-loan allowance only, reconciled to gross less net customer loans.</x:v>
      </x:c>
      <x:c r="AM24" s="20" t="str">
        <x:v>Selected matched loan-note total; do not combine with total allowances on other assets.</x:v>
      </x:c>
      <x:c r="AN24" s="20" t="str">
        <x:v>Primary report checked in this update</x:v>
      </x:c>
    </x:row>
    <x:row r="25" ht="60" customHeight="1">
      <x:c r="A25" s="20" t="str">
        <x:v>UBA</x:v>
      </x:c>
      <x:c r="B25" s="24" t="n">
        <x:v>2017</x:v>
      </x:c>
      <x:c r="C25" s="18" t="str">
        <x:v>Tier 1</x:v>
      </x:c>
      <x:c r="D25" s="18" t="str">
        <x:v>IAS 39</x:v>
      </x:c>
      <x:c r="E25" s="22" t="n">
        <x:v>41396</x:v>
      </x:c>
      <x:c r="F25" s="22" t="n">
        <x:v>2931826</x:v>
      </x:c>
      <x:c r="G25" s="22" t="n">
        <x:v>2530966</x:v>
      </x:c>
      <x:c r="H25" s="22" t="n">
        <x:v>400860</x:v>
      </x:c>
      <x:c r="I25" s="22" t="n">
        <x:v>59151</x:v>
      </x:c>
      <x:c r="J25" s="22" t="n">
        <x:v>2539585</x:v>
      </x:c>
      <x:c r="K25" s="22" t="n">
        <x:v>1204426</x:v>
      </x:c>
      <x:c r="L25" s="22" t="n">
        <x:v>31212</x:v>
      </x:c>
      <x:c r="M25" s="22" t="n">
        <x:v>1173214</x:v>
      </x:c>
      <x:c r="N25" s="22" t="n">
        <x:v>30433</x:v>
      </x:c>
      <x:c r="O25" s="22"/>
      <x:c r="P25" s="22"/>
      <x:c r="Q25" s="22"/>
      <x:c r="R25" s="22" t="n">
        <x:v>255027</x:v>
      </x:c>
      <x:c r="S25" s="22" t="n">
        <x:v>1265087</x:v>
      </x:c>
      <x:c r="T25" s="22" t="n">
        <x:v>20</x:v>
      </x:c>
      <x:c r="U25" s="22"/>
      <x:c r="V25" s="22"/>
      <x:c r="W25" s="22" t="n">
        <x:v>49.69</x:v>
      </x:c>
      <x:c r="X25" s="24" t="n">
        <x:v>1</x:v>
      </x:c>
      <x:c r="Y25" s="22"/>
      <x:c r="Z25" s="22"/>
      <x:c r="AA25" s="22"/>
      <x:c r="AB25" s="22"/>
      <x:c r="AC25" s="22"/>
      <x:c r="AD25" s="22"/>
      <x:c r="AE25" s="22"/>
      <x:c r="AF25" s="24"/>
      <x:c r="AG25" s="22" t="n">
        <x:v>52795</x:v>
      </x:c>
      <x:c r="AH25" s="22"/>
      <x:c r="AI25" s="20" t="str">
        <x:v>UBA18</x:v>
      </x:c>
      <x:c r="AJ25" s="20" t="str">
        <x:v>https://www.ubagroup.com/wp-content/uploads/2019/09/UBA-Plc-2018-Annual-Report-and-Acocunts.pdf</x:v>
      </x:c>
      <x:c r="AK25" s="20" t="str">
        <x:v>Prior source-selection policy retained; original evidence preserved in accompanying pack.</x:v>
      </x:c>
      <x:c r="AL25" s="20" t="str"/>
      <x:c r="AM25" s="20" t="str">
        <x:v>Prior selected basis; see evidence notes</x:v>
      </x:c>
      <x:c r="AN25" s="20" t="str">
        <x:v>Prior selected evidence</x:v>
      </x:c>
    </x:row>
    <x:row r="26" ht="60" customHeight="1">
      <x:c r="A26" s="20" t="str">
        <x:v>UBA</x:v>
      </x:c>
      <x:c r="B26" s="24" t="n">
        <x:v>2018</x:v>
      </x:c>
      <x:c r="C26" s="18" t="str">
        <x:v>Tier 1</x:v>
      </x:c>
      <x:c r="D26" s="18" t="str">
        <x:v>IFRS 9</x:v>
      </x:c>
      <x:c r="E26" s="22" t="n">
        <x:v>41047</x:v>
      </x:c>
      <x:c r="F26" s="22" t="n">
        <x:v>3591305</x:v>
      </x:c>
      <x:c r="G26" s="22" t="n">
        <x:v>3226707</x:v>
      </x:c>
      <x:c r="H26" s="22" t="n">
        <x:v>364598</x:v>
      </x:c>
      <x:c r="I26" s="22" t="n">
        <x:v>488626</x:v>
      </x:c>
      <x:c r="J26" s="22" t="n">
        <x:v>2931826</x:v>
      </x:c>
      <x:c r="K26" s="22" t="n">
        <x:v>1274112</x:v>
      </x:c>
      <x:c r="L26" s="22" t="n">
        <x:v>60311</x:v>
      </x:c>
      <x:c r="M26" s="22" t="n">
        <x:v>1213801</x:v>
      </x:c>
      <x:c r="N26" s="22" t="n">
        <x:v>4257</x:v>
      </x:c>
      <x:c r="O26" s="22"/>
      <x:c r="P26" s="22"/>
      <x:c r="Q26" s="22"/>
      <x:c r="R26" s="22" t="n">
        <x:v>245482</x:v>
      </x:c>
      <x:c r="S26" s="22" t="n">
        <x:v>1248509</x:v>
      </x:c>
      <x:c r="T26" s="22" t="n">
        <x:v>20</x:v>
      </x:c>
      <x:c r="U26" s="22" t="n">
        <x:v>22.08</x:v>
      </x:c>
      <x:c r="V26" s="22" t="n">
        <x:v>16</x:v>
      </x:c>
      <x:c r="W26" s="22" t="n">
        <x:v>55.84</x:v>
      </x:c>
      <x:c r="X26" s="24" t="n">
        <x:v>1</x:v>
      </x:c>
      <x:c r="Y26" s="22"/>
      <x:c r="Z26" s="22"/>
      <x:c r="AA26" s="22"/>
      <x:c r="AB26" s="22"/>
      <x:c r="AC26" s="22"/>
      <x:c r="AD26" s="22"/>
      <x:c r="AE26" s="22" t="n">
        <x:v>36951</x:v>
      </x:c>
      <x:c r="AF26" s="24"/>
      <x:c r="AG26" s="22" t="n">
        <x:v>55350</x:v>
      </x:c>
      <x:c r="AH26" s="22"/>
      <x:c r="AI26" s="20" t="str">
        <x:v>UBA18</x:v>
      </x:c>
      <x:c r="AJ26" s="20" t="str">
        <x:v>https://www.ubagroup.com/wp-content/uploads/2019/09/UBA-Plc-2018-Annual-Report-and-Acocunts.pdf</x:v>
      </x:c>
      <x:c r="AK26" s="20" t="str">
        <x:v>Prior source-selection policy retained; original evidence preserved in accompanying pack.</x:v>
      </x:c>
      <x:c r="AL26" s="20" t="str"/>
      <x:c r="AM26" s="20" t="str">
        <x:v>Prior selected basis; see evidence notes</x:v>
      </x:c>
      <x:c r="AN26" s="20" t="str">
        <x:v>Prior selected evidence</x:v>
      </x:c>
    </x:row>
    <x:row r="27" ht="60" customHeight="1">
      <x:c r="A27" s="20" t="str">
        <x:v>UBA</x:v>
      </x:c>
      <x:c r="B27" s="24" t="n">
        <x:v>2019</x:v>
      </x:c>
      <x:c r="C27" s="18" t="str">
        <x:v>Tier 1</x:v>
      </x:c>
      <x:c r="D27" s="18" t="str">
        <x:v>IFRS 9</x:v>
      </x:c>
      <x:c r="E27" s="22" t="n">
        <x:v>62750</x:v>
      </x:c>
      <x:c r="F27" s="22" t="n">
        <x:v>4136493</x:v>
      </x:c>
      <x:c r="G27" s="22" t="n">
        <x:v>3689971</x:v>
      </x:c>
      <x:c r="H27" s="22" t="n">
        <x:v>446522</x:v>
      </x:c>
      <x:c r="I27" s="22" t="n">
        <x:v>-317453</x:v>
      </x:c>
      <x:c r="J27" s="22" t="n">
        <x:v>3591305</x:v>
      </x:c>
      <x:c r="K27" s="22" t="n">
        <x:v>1557358</x:v>
      </x:c>
      <x:c r="L27" s="22" t="n">
        <x:v>53978</x:v>
      </x:c>
      <x:c r="M27" s="22" t="n">
        <x:v>1503380</x:v>
      </x:c>
      <x:c r="N27" s="22" t="n">
        <x:v>16369</x:v>
      </x:c>
      <x:c r="O27" s="22" t="n">
        <x:v>14695</x:v>
      </x:c>
      <x:c r="P27" s="22"/>
      <x:c r="Q27" s="22" t="n">
        <x:v>1674</x:v>
      </x:c>
      <x:c r="R27" s="22" t="n">
        <x:v>285664</x:v>
      </x:c>
      <x:c r="S27" s="22" t="n">
        <x:v>1328231</x:v>
      </x:c>
      <x:c r="T27" s="22" t="n">
        <x:v>22</x:v>
      </x:c>
      <x:c r="U27" s="22"/>
      <x:c r="V27" s="22"/>
      <x:c r="W27" s="22" t="n">
        <x:v>43.99</x:v>
      </x:c>
      <x:c r="X27" s="24" t="n">
        <x:v>1</x:v>
      </x:c>
      <x:c r="Y27" s="22"/>
      <x:c r="Z27" s="22"/>
      <x:c r="AA27" s="22"/>
      <x:c r="AB27" s="22"/>
      <x:c r="AC27" s="22"/>
      <x:c r="AD27" s="22"/>
      <x:c r="AE27" s="22" t="n">
        <x:v>21215</x:v>
      </x:c>
      <x:c r="AF27" s="24"/>
      <x:c r="AG27" s="22" t="n">
        <x:v>70063</x:v>
      </x:c>
      <x:c r="AH27" s="22"/>
      <x:c r="AI27" s="20" t="str">
        <x:v>UBA20</x:v>
      </x:c>
      <x:c r="AJ27" s="20" t="str">
        <x:v>https://www.ubagroup.com/wp-content/uploads/2021/03/UBA-Plc-2020-Annual-Report-and-Accounts.pdf</x:v>
      </x:c>
      <x:c r="AK27" s="20" t="str">
        <x:v>Prior source-selection policy retained; original evidence preserved in accompanying pack.</x:v>
      </x:c>
      <x:c r="AL27" s="20" t="str"/>
      <x:c r="AM27" s="20" t="str">
        <x:v>Prior selected basis; see evidence notes</x:v>
      </x:c>
      <x:c r="AN27" s="20" t="str">
        <x:v>Prior selected evidence</x:v>
      </x:c>
    </x:row>
    <x:row r="28" ht="60" customHeight="1">
      <x:c r="A28" s="20" t="str">
        <x:v>UBA</x:v>
      </x:c>
      <x:c r="B28" s="24" t="n">
        <x:v>2020</x:v>
      </x:c>
      <x:c r="C28" s="18" t="str">
        <x:v>Tier 1</x:v>
      </x:c>
      <x:c r="D28" s="18" t="str">
        <x:v>IFRS 9</x:v>
      </x:c>
      <x:c r="E28" s="22" t="n">
        <x:v>56911</x:v>
      </x:c>
      <x:c r="F28" s="22" t="n">
        <x:v>5207833</x:v>
      </x:c>
      <x:c r="G28" s="22" t="n">
        <x:v>4729893</x:v>
      </x:c>
      <x:c r="H28" s="22" t="n">
        <x:v>477940</x:v>
      </x:c>
      <x:c r="I28" s="22" t="n">
        <x:v>735114</x:v>
      </x:c>
      <x:c r="J28" s="22" t="n">
        <x:v>4136493</x:v>
      </x:c>
      <x:c r="K28" s="22" t="n">
        <x:v>1874858</x:v>
      </x:c>
      <x:c r="L28" s="22" t="n">
        <x:v>62322</x:v>
      </x:c>
      <x:c r="M28" s="22" t="n">
        <x:v>1812536</x:v>
      </x:c>
      <x:c r="N28" s="22" t="n">
        <x:v>21864</x:v>
      </x:c>
      <x:c r="O28" s="22" t="n">
        <x:v>14146</x:v>
      </x:c>
      <x:c r="P28" s="22"/>
      <x:c r="Q28" s="22" t="n">
        <x:v>7718</x:v>
      </x:c>
      <x:c r="R28" s="22" t="n">
        <x:v>276315</x:v>
      </x:c>
      <x:c r="S28" s="22" t="n">
        <x:v>1402955</x:v>
      </x:c>
      <x:c r="T28" s="22" t="n">
        <x:v>20</x:v>
      </x:c>
      <x:c r="U28" s="22"/>
      <x:c r="V28" s="22" t="n">
        <x:v>15</x:v>
      </x:c>
      <x:c r="W28" s="22" t="n">
        <x:v>44.3</x:v>
      </x:c>
      <x:c r="X28" s="24" t="n">
        <x:v>1</x:v>
      </x:c>
      <x:c r="Y28" s="22"/>
      <x:c r="Z28" s="22"/>
      <x:c r="AA28" s="22"/>
      <x:c r="AB28" s="22"/>
      <x:c r="AC28" s="22"/>
      <x:c r="AD28" s="22"/>
      <x:c r="AE28" s="22" t="n">
        <x:v>21933</x:v>
      </x:c>
      <x:c r="AF28" s="24"/>
      <x:c r="AG28" s="22" t="n">
        <x:v>58360</x:v>
      </x:c>
      <x:c r="AH28" s="22"/>
      <x:c r="AI28" s="20" t="str">
        <x:v>UBA20</x:v>
      </x:c>
      <x:c r="AJ28" s="20" t="str">
        <x:v>https://www.ubagroup.com/wp-content/uploads/2021/03/UBA-Plc-2020-Annual-Report-and-Accounts.pdf</x:v>
      </x:c>
      <x:c r="AK28" s="20" t="str">
        <x:v>Prior source-selection policy retained; original evidence preserved in accompanying pack.</x:v>
      </x:c>
      <x:c r="AL28" s="20" t="str"/>
      <x:c r="AM28" s="20" t="str">
        <x:v>Prior selected basis; see evidence notes</x:v>
      </x:c>
      <x:c r="AN28" s="20" t="str">
        <x:v>Prior selected evidence</x:v>
      </x:c>
    </x:row>
    <x:row r="29" ht="60" customHeight="1">
      <x:c r="A29" s="20" t="str">
        <x:v>UBA</x:v>
      </x:c>
      <x:c r="B29" s="24" t="n">
        <x:v>2021</x:v>
      </x:c>
      <x:c r="C29" s="18" t="str">
        <x:v>Tier 1</x:v>
      </x:c>
      <x:c r="D29" s="18" t="str">
        <x:v>IFRS 9</x:v>
      </x:c>
      <x:c r="E29" s="22" t="n">
        <x:v>58669</x:v>
      </x:c>
      <x:c r="F29" s="22" t="n">
        <x:v>5574976</x:v>
      </x:c>
      <x:c r="G29" s="22" t="n">
        <x:v>5073375</x:v>
      </x:c>
      <x:c r="H29" s="22" t="n">
        <x:v>501601</x:v>
      </x:c>
      <x:c r="I29" s="22" t="n">
        <x:v>671619</x:v>
      </x:c>
      <x:c r="J29" s="22" t="n">
        <x:v>5207833</x:v>
      </x:c>
      <x:c r="K29" s="22" t="n">
        <x:v>1913403</x:v>
      </x:c>
      <x:c r="L29" s="22" t="n">
        <x:v>65301</x:v>
      </x:c>
      <x:c r="M29" s="22" t="n">
        <x:v>1848102</x:v>
      </x:c>
      <x:c r="N29" s="22" t="n">
        <x:v>9749</x:v>
      </x:c>
      <x:c r="O29" s="22" t="n">
        <x:v>9049</x:v>
      </x:c>
      <x:c r="P29" s="22"/>
      <x:c r="Q29" s="22" t="n">
        <x:v>700</x:v>
      </x:c>
      <x:c r="R29" s="22" t="n">
        <x:v>336784</x:v>
      </x:c>
      <x:c r="S29" s="22" t="n">
        <x:v>1543338</x:v>
      </x:c>
      <x:c r="T29" s="22" t="n">
        <x:v>21.8</x:v>
      </x:c>
      <x:c r="U29" s="22"/>
      <x:c r="V29" s="22"/>
      <x:c r="W29" s="22" t="n">
        <x:v>47.56</x:v>
      </x:c>
      <x:c r="X29" s="24" t="n">
        <x:v>1</x:v>
      </x:c>
      <x:c r="Y29" s="22" t="n">
        <x:v>44.86</x:v>
      </x:c>
      <x:c r="Z29" s="22" t="n">
        <x:v>51.53</x:v>
      </x:c>
      <x:c r="AA29" s="22" t="n">
        <x:v>37.43</x:v>
      </x:c>
      <x:c r="AB29" s="22"/>
      <x:c r="AC29" s="22"/>
      <x:c r="AD29" s="22"/>
      <x:c r="AE29" s="22"/>
      <x:c r="AF29" s="24"/>
      <x:c r="AG29" s="22" t="n">
        <x:v>60519</x:v>
      </x:c>
      <x:c r="AH29" s="22"/>
      <x:c r="AI29" s="20" t="str">
        <x:v>UBA22</x:v>
      </x:c>
      <x:c r="AJ29" s="20" t="str">
        <x:v>https://doclib.ngxgroup.com/Financial_NewsDocs/37990_UNITED_BANK_FOR_AFRICA_PLC-_QUARTER_5_-_FINANCIAL_STATEMENT_FOR_2022_FINANCIAL_STATEMENTS_MARCH_2023.pdf</x:v>
      </x:c>
      <x:c r="AK29" s="20" t="str">
        <x:v>Prior source-selection policy retained; original evidence preserved in accompanying pack.</x:v>
      </x:c>
      <x:c r="AL29" s="20" t="str"/>
      <x:c r="AM29" s="20" t="str">
        <x:v>Prior selected basis; see evidence notes</x:v>
      </x:c>
      <x:c r="AN29" s="20" t="str">
        <x:v>Prior selected evidence</x:v>
      </x:c>
    </x:row>
    <x:row r="30" ht="60" customHeight="1">
      <x:c r="A30" s="20" t="str">
        <x:v>UBA</x:v>
      </x:c>
      <x:c r="B30" s="24" t="n">
        <x:v>2022</x:v>
      </x:c>
      <x:c r="C30" s="18" t="str">
        <x:v>Tier 1</x:v>
      </x:c>
      <x:c r="D30" s="18" t="str">
        <x:v>IFRS 9</x:v>
      </x:c>
      <x:c r="E30" s="22" t="n">
        <x:v>133696</x:v>
      </x:c>
      <x:c r="F30" s="22" t="n">
        <x:v>7361044</x:v>
      </x:c>
      <x:c r="G30" s="22" t="n">
        <x:v>6775851</x:v>
      </x:c>
      <x:c r="H30" s="22" t="n">
        <x:v>585193</x:v>
      </x:c>
      <x:c r="I30" s="22" t="n">
        <x:v>1063228</x:v>
      </x:c>
      <x:c r="J30" s="22" t="n">
        <x:v>5574976</x:v>
      </x:c>
      <x:c r="K30" s="22" t="n">
        <x:v>2174779</x:v>
      </x:c>
      <x:c r="L30" s="22" t="n">
        <x:v>51682</x:v>
      </x:c>
      <x:c r="M30" s="22" t="n">
        <x:v>2123097</x:v>
      </x:c>
      <x:c r="N30" s="22" t="n">
        <x:v>10565</x:v>
      </x:c>
      <x:c r="O30" s="22" t="n">
        <x:v>5669</x:v>
      </x:c>
      <x:c r="P30" s="22"/>
      <x:c r="Q30" s="22" t="n">
        <x:v>4896</x:v>
      </x:c>
      <x:c r="R30" s="22" t="n">
        <x:v>369520</x:v>
      </x:c>
      <x:c r="S30" s="22" t="n">
        <x:v>1690930</x:v>
      </x:c>
      <x:c r="T30" s="22" t="n">
        <x:v>21.9</x:v>
      </x:c>
      <x:c r="U30" s="22"/>
      <x:c r="V30" s="22" t="n">
        <x:v>17</x:v>
      </x:c>
      <x:c r="W30" s="22" t="n">
        <x:v>59.03</x:v>
      </x:c>
      <x:c r="X30" s="24" t="n">
        <x:v>0</x:v>
      </x:c>
      <x:c r="Y30" s="22"/>
      <x:c r="Z30" s="22"/>
      <x:c r="AA30" s="22"/>
      <x:c r="AB30" s="22"/>
      <x:c r="AC30" s="22"/>
      <x:c r="AD30" s="22"/>
      <x:c r="AE30" s="22"/>
      <x:c r="AF30" s="24"/>
      <x:c r="AG30" s="22" t="n">
        <x:v>141317</x:v>
      </x:c>
      <x:c r="AH30" s="22"/>
      <x:c r="AI30" s="20" t="str">
        <x:v>UBA22</x:v>
      </x:c>
      <x:c r="AJ30" s="20" t="str">
        <x:v>https://doclib.ngxgroup.com/Financial_NewsDocs/37990_UNITED_BANK_FOR_AFRICA_PLC-_QUARTER_5_-_FINANCIAL_STATEMENT_FOR_2022_FINANCIAL_STATEMENTS_MARCH_2023.pdf</x:v>
      </x:c>
      <x:c r="AK30" s="20" t="str">
        <x:v>Prior source-selection policy retained; original evidence preserved in accompanying pack.</x:v>
      </x:c>
      <x:c r="AL30" s="20" t="str"/>
      <x:c r="AM30" s="20" t="str">
        <x:v>Prior selected basis; see evidence notes</x:v>
      </x:c>
      <x:c r="AN30" s="20" t="str">
        <x:v>Prior selected evidence</x:v>
      </x:c>
    </x:row>
    <x:row r="31" ht="60" customHeight="1">
      <x:c r="A31" s="20" t="str">
        <x:v>Union</x:v>
      </x:c>
      <x:c r="B31" s="24" t="n">
        <x:v>2013</x:v>
      </x:c>
      <x:c r="C31" s="18" t="str">
        <x:v>Tier 2</x:v>
      </x:c>
      <x:c r="D31" s="18" t="str">
        <x:v>IAS 39</x:v>
      </x:c>
      <x:c r="E31" s="22" t="n">
        <x:v>5121</x:v>
      </x:c>
      <x:c r="F31" s="22" t="n">
        <x:v>882097</x:v>
      </x:c>
      <x:c r="G31" s="22" t="n">
        <x:v>694313</x:v>
      </x:c>
      <x:c r="H31" s="22" t="n">
        <x:v>187784</x:v>
      </x:c>
      <x:c r="I31" s="22" t="n">
        <x:v>-93031</x:v>
      </x:c>
      <x:c r="J31" s="22"/>
      <x:c r="K31" s="22" t="n">
        <x:v>230720</x:v>
      </x:c>
      <x:c r="L31" s="22" t="n">
        <x:v>20602</x:v>
      </x:c>
      <x:c r="M31" s="22"/>
      <x:c r="N31" s="22"/>
      <x:c r="O31" s="22" t="n">
        <x:v>13255</x:v>
      </x:c>
      <x:c r="P31" s="22"/>
      <x:c r="Q31" s="22"/>
      <x:c r="R31" s="22"/>
      <x:c r="S31" s="22"/>
      <x:c r="T31" s="22" t="n">
        <x:v>24.8</x:v>
      </x:c>
      <x:c r="U31" s="22"/>
      <x:c r="V31" s="22"/>
      <x:c r="W31" s="22"/>
      <x:c r="X31" s="24"/>
      <x:c r="Y31" s="22"/>
      <x:c r="Z31" s="22"/>
      <x:c r="AA31" s="22"/>
      <x:c r="AB31" s="22" t="n">
        <x:v>13644</x:v>
      </x:c>
      <x:c r="AC31" s="22" t="n">
        <x:v>5.91</x:v>
      </x:c>
      <x:c r="AD31" s="22"/>
      <x:c r="AE31" s="22"/>
      <x:c r="AF31" s="24"/>
      <x:c r="AG31" s="22"/>
      <x:c r="AH31" s="22"/>
      <x:c r="AI31" s="20" t="str">
        <x:v>DS_UNION14</x:v>
      </x:c>
      <x:c r="AJ31" s="20" t="str">
        <x:v>https://doclib.ngxgroup.com/Financial_NewsDocs/FinancialStatementFull_UNION%20BANK%20NIG.PLC._2015-04-15.pdf</x:v>
      </x:c>
      <x:c r="AK31" s="20" t="str">
        <x:v>Prior source-selection policy retained; original evidence preserved in accompanying pack.</x:v>
      </x:c>
      <x:c r="AL31" s="20" t="str">
        <x:v>Reported total loan allowance</x:v>
      </x:c>
      <x:c r="AM31" s="20" t="str">
        <x:v>Prior selected basis; see evidence notes</x:v>
      </x:c>
      <x:c r="AN31" s="20" t="str">
        <x:v>Prior selected evidence</x:v>
      </x:c>
    </x:row>
    <x:row r="32" ht="60" customHeight="1">
      <x:c r="A32" s="20" t="str">
        <x:v>Union</x:v>
      </x:c>
      <x:c r="B32" s="24" t="n">
        <x:v>2014</x:v>
      </x:c>
      <x:c r="C32" s="18" t="str">
        <x:v>Tier 2</x:v>
      </x:c>
      <x:c r="D32" s="18" t="str">
        <x:v>IAS 39</x:v>
      </x:c>
      <x:c r="E32" s="22" t="n">
        <x:v>20486</x:v>
      </x:c>
      <x:c r="F32" s="22" t="n">
        <x:v>920936</x:v>
      </x:c>
      <x:c r="G32" s="22" t="n">
        <x:v>714962</x:v>
      </x:c>
      <x:c r="H32" s="22" t="n">
        <x:v>205974</x:v>
      </x:c>
      <x:c r="I32" s="22" t="n">
        <x:v>-121957</x:v>
      </x:c>
      <x:c r="J32" s="22" t="n">
        <x:v>882097</x:v>
      </x:c>
      <x:c r="K32" s="22" t="n">
        <x:v>325748</x:v>
      </x:c>
      <x:c r="L32" s="22" t="n">
        <x:v>23376</x:v>
      </x:c>
      <x:c r="M32" s="22"/>
      <x:c r="N32" s="22"/>
      <x:c r="O32" s="22" t="n">
        <x:v>3307</x:v>
      </x:c>
      <x:c r="P32" s="22"/>
      <x:c r="Q32" s="22"/>
      <x:c r="R32" s="22"/>
      <x:c r="S32" s="22"/>
      <x:c r="T32" s="22" t="n">
        <x:v>16.39</x:v>
      </x:c>
      <x:c r="U32" s="22"/>
      <x:c r="V32" s="22"/>
      <x:c r="W32" s="22"/>
      <x:c r="X32" s="24"/>
      <x:c r="Y32" s="22"/>
      <x:c r="Z32" s="22"/>
      <x:c r="AA32" s="22"/>
      <x:c r="AB32" s="22" t="n">
        <x:v>16756</x:v>
      </x:c>
      <x:c r="AC32" s="22" t="n">
        <x:v>5.14</x:v>
      </x:c>
      <x:c r="AD32" s="22"/>
      <x:c r="AE32" s="22"/>
      <x:c r="AF32" s="24"/>
      <x:c r="AG32" s="22"/>
      <x:c r="AH32" s="22"/>
      <x:c r="AI32" s="20" t="str">
        <x:v>DS_UNION14</x:v>
      </x:c>
      <x:c r="AJ32" s="20" t="str">
        <x:v>https://doclib.ngxgroup.com/Financial_NewsDocs/FinancialStatementFull_UNION%20BANK%20NIG.PLC._2015-04-15.pdf</x:v>
      </x:c>
      <x:c r="AK32" s="20" t="str">
        <x:v>Prior source-selection policy retained; original evidence preserved in accompanying pack.</x:v>
      </x:c>
      <x:c r="AL32" s="20" t="str">
        <x:v>Reported total loan allowance</x:v>
      </x:c>
      <x:c r="AM32" s="20" t="str">
        <x:v>Prior selected basis; see evidence notes</x:v>
      </x:c>
      <x:c r="AN32" s="20" t="str">
        <x:v>Prior selected evidence</x:v>
      </x:c>
    </x:row>
    <x:row r="33" ht="60" customHeight="1">
      <x:c r="A33" s="20" t="str">
        <x:v>Union</x:v>
      </x:c>
      <x:c r="B33" s="24" t="n">
        <x:v>2017</x:v>
      </x:c>
      <x:c r="C33" s="18" t="str">
        <x:v>Tier 2</x:v>
      </x:c>
      <x:c r="D33" s="18" t="str">
        <x:v>IAS 39</x:v>
      </x:c>
      <x:c r="E33" s="22" t="n">
        <x:v>11239</x:v>
      </x:c>
      <x:c r="F33" s="22" t="n">
        <x:v>1334921</x:v>
      </x:c>
      <x:c r="G33" s="22" t="n">
        <x:v>1015802</x:v>
      </x:c>
      <x:c r="H33" s="22" t="n">
        <x:v>319119</x:v>
      </x:c>
      <x:c r="I33" s="22" t="n">
        <x:v>68160</x:v>
      </x:c>
      <x:c r="J33" s="22" t="n">
        <x:v>1123483</x:v>
      </x:c>
      <x:c r="K33" s="22" t="n">
        <x:v>531807</x:v>
      </x:c>
      <x:c r="L33" s="22" t="n">
        <x:v>43252</x:v>
      </x:c>
      <x:c r="M33" s="22" t="n">
        <x:v>488555</x:v>
      </x:c>
      <x:c r="N33" s="22" t="n">
        <x:v>25478</x:v>
      </x:c>
      <x:c r="O33" s="22"/>
      <x:c r="P33" s="22" t="n">
        <x:v>25510</x:v>
      </x:c>
      <x:c r="Q33" s="22" t="n">
        <x:v>-32</x:v>
      </x:c>
      <x:c r="R33" s="22" t="n">
        <x:v>137875</x:v>
      </x:c>
      <x:c r="S33" s="22" t="n">
        <x:v>774497</x:v>
      </x:c>
      <x:c r="T33" s="22" t="n">
        <x:v>17.8</x:v>
      </x:c>
      <x:c r="U33" s="22"/>
      <x:c r="V33" s="22" t="n">
        <x:v>15</x:v>
      </x:c>
      <x:c r="W33" s="22"/>
      <x:c r="X33" s="24"/>
      <x:c r="Y33" s="22"/>
      <x:c r="Z33" s="22"/>
      <x:c r="AA33" s="22"/>
      <x:c r="AB33" s="22" t="n">
        <x:v>110685</x:v>
      </x:c>
      <x:c r="AC33" s="22"/>
      <x:c r="AD33" s="22"/>
      <x:c r="AE33" s="22"/>
      <x:c r="AF33" s="24"/>
      <x:c r="AG33" s="22" t="n">
        <x:v>11576</x:v>
      </x:c>
      <x:c r="AH33" s="22" t="n">
        <x:v>157566</x:v>
      </x:c>
      <x:c r="AI33" s="20" t="str">
        <x:v>UNION18</x:v>
      </x:c>
      <x:c r="AJ33" s="20" t="str">
        <x:v>https://greenwichregistrars.com/wp-content/uploads/2021/06/2018-Annual-Report_UBN_New.pdf</x:v>
      </x:c>
      <x:c r="AK33" s="20" t="str">
        <x:v>2018 report: restated 2017 main statements</x:v>
      </x:c>
      <x:c r="AL33" s="20" t="str">
        <x:v>Matched customer-loan allowance from loan note</x:v>
      </x:c>
      <x:c r="AM33" s="20" t="str">
        <x:v>Selected loan-note total; stage-specific exceptions separately recorded</x:v>
      </x:c>
      <x:c r="AN33" s="20" t="str">
        <x:v>New page-checked Union reports</x:v>
      </x:c>
    </x:row>
    <x:row r="34" ht="60" customHeight="1">
      <x:c r="A34" s="20" t="str">
        <x:v>Union</x:v>
      </x:c>
      <x:c r="B34" s="24" t="n">
        <x:v>2018</x:v>
      </x:c>
      <x:c r="C34" s="18" t="str">
        <x:v>Tier 2</x:v>
      </x:c>
      <x:c r="D34" s="18" t="str">
        <x:v>IFRS 9</x:v>
      </x:c>
      <x:c r="E34" s="22" t="n">
        <x:v>18438</x:v>
      </x:c>
      <x:c r="F34" s="22" t="n">
        <x:v>1324297</x:v>
      </x:c>
      <x:c r="G34" s="22" t="n">
        <x:v>1124210</x:v>
      </x:c>
      <x:c r="H34" s="22" t="n">
        <x:v>200087</x:v>
      </x:c>
      <x:c r="I34" s="22" t="n">
        <x:v>37394</x:v>
      </x:c>
      <x:c r="J34" s="22" t="n">
        <x:v>1334921</x:v>
      </x:c>
      <x:c r="K34" s="22" t="n">
        <x:v>473396</x:v>
      </x:c>
      <x:c r="L34" s="22" t="n">
        <x:v>45359</x:v>
      </x:c>
      <x:c r="M34" s="22" t="n">
        <x:v>428037</x:v>
      </x:c>
      <x:c r="N34" s="22" t="n">
        <x:v>-3515</x:v>
      </x:c>
      <x:c r="O34" s="22" t="n">
        <x:v>-3732</x:v>
      </x:c>
      <x:c r="P34" s="22" t="n">
        <x:v>-3897</x:v>
      </x:c>
      <x:c r="Q34" s="22" t="n">
        <x:v>382</x:v>
      </x:c>
      <x:c r="R34" s="22" t="n">
        <x:v>88017</x:v>
      </x:c>
      <x:c r="S34" s="22" t="n">
        <x:v>767770</x:v>
      </x:c>
      <x:c r="T34" s="22" t="n">
        <x:v>11.5</x:v>
      </x:c>
      <x:c r="U34" s="22" t="n">
        <x:v>16.4</x:v>
      </x:c>
      <x:c r="V34" s="22" t="n">
        <x:v>15</x:v>
      </x:c>
      <x:c r="W34" s="22"/>
      <x:c r="X34" s="24"/>
      <x:c r="Y34" s="22"/>
      <x:c r="Z34" s="22"/>
      <x:c r="AA34" s="22"/>
      <x:c r="AB34" s="22" t="n">
        <x:v>38496</x:v>
      </x:c>
      <x:c r="AC34" s="22"/>
      <x:c r="AD34" s="22" t="n">
        <x:v>123328</x:v>
      </x:c>
      <x:c r="AE34" s="22" t="n">
        <x:v>30149</x:v>
      </x:c>
      <x:c r="AF34" s="24"/>
      <x:c r="AG34" s="22" t="n">
        <x:v>18660</x:v>
      </x:c>
      <x:c r="AH34" s="22" t="n">
        <x:v>140066</x:v>
      </x:c>
      <x:c r="AI34" s="20" t="str">
        <x:v>UNION18</x:v>
      </x:c>
      <x:c r="AJ34" s="20" t="str">
        <x:v>https://greenwichregistrars.com/wp-content/uploads/2021/06/2018-Annual-Report_UBN_New.pdf</x:v>
      </x:c>
      <x:c r="AK34" s="20" t="str">
        <x:v>Original 2018 presentation; loan reinstatement alternatives held separately</x:v>
      </x:c>
      <x:c r="AL34" s="20" t="str">
        <x:v>Original 2018 loan basis; later reinstatement alternatives unresolved</x:v>
      </x:c>
      <x:c r="AM34" s="20" t="str">
        <x:v>Exclude from pooled allowance inference: unreconciled revised comparatives</x:v>
      </x:c>
      <x:c r="AN34" s="20" t="str">
        <x:v>New page-checked Union reports</x:v>
      </x:c>
    </x:row>
    <x:row r="35" ht="60" customHeight="1">
      <x:c r="A35" s="20" t="str">
        <x:v>Union</x:v>
      </x:c>
      <x:c r="B35" s="24" t="n">
        <x:v>2019</x:v>
      </x:c>
      <x:c r="C35" s="18" t="str">
        <x:v>Tier 2</x:v>
      </x:c>
      <x:c r="D35" s="18" t="str">
        <x:v>IFRS 9</x:v>
      </x:c>
      <x:c r="E35" s="22" t="n">
        <x:v>24375</x:v>
      </x:c>
      <x:c r="F35" s="22" t="n">
        <x:v>1711739</x:v>
      </x:c>
      <x:c r="G35" s="22" t="n">
        <x:v>1480547</x:v>
      </x:c>
      <x:c r="H35" s="22" t="n">
        <x:v>231192</x:v>
      </x:c>
      <x:c r="I35" s="22" t="n">
        <x:v>207318</x:v>
      </x:c>
      <x:c r="J35" s="22" t="n">
        <x:v>1324297</x:v>
      </x:c>
      <x:c r="K35" s="22" t="n">
        <x:v>595298</x:v>
      </x:c>
      <x:c r="L35" s="22" t="n">
        <x:v>44685</x:v>
      </x:c>
      <x:c r="M35" s="22" t="n">
        <x:v>550613</x:v>
      </x:c>
      <x:c r="N35" s="22" t="n">
        <x:v>-504</x:v>
      </x:c>
      <x:c r="O35" s="22"/>
      <x:c r="P35" s="22" t="n">
        <x:v>184</x:v>
      </x:c>
      <x:c r="Q35" s="22" t="n">
        <x:v>-688</x:v>
      </x:c>
      <x:c r="R35" s="22" t="n">
        <x:v>139997</x:v>
      </x:c>
      <x:c r="S35" s="22" t="n">
        <x:v>880146</x:v>
      </x:c>
      <x:c r="T35" s="22" t="n">
        <x:v>15.91</x:v>
      </x:c>
      <x:c r="U35" s="22" t="n">
        <x:v>19.73</x:v>
      </x:c>
      <x:c r="V35" s="22" t="n">
        <x:v>15</x:v>
      </x:c>
      <x:c r="W35" s="22"/>
      <x:c r="X35" s="24"/>
      <x:c r="Y35" s="22"/>
      <x:c r="Z35" s="22"/>
      <x:c r="AA35" s="22"/>
      <x:c r="AB35" s="22" t="n">
        <x:v>34760</x:v>
      </x:c>
      <x:c r="AC35" s="22"/>
      <x:c r="AD35" s="22" t="n">
        <x:v>58769</x:v>
      </x:c>
      <x:c r="AE35" s="22" t="n">
        <x:v>16198</x:v>
      </x:c>
      <x:c r="AF35" s="24"/>
      <x:c r="AG35" s="22" t="n">
        <x:v>24746</x:v>
      </x:c>
      <x:c r="AH35" s="22" t="n">
        <x:v>159861</x:v>
      </x:c>
      <x:c r="AI35" s="20" t="str">
        <x:v>UNION18; UNION19; UNION20</x:v>
      </x:c>
      <x:c r="AJ35" s="20" t="str">
        <x:v>https://doclib.ngxgroup.com/Financial_NewsDocs/32629_UNION_BANK_OF_NIGERIA_PLC%20_AUDITED_FINANCIAL_STATEMENT.pdf</x:v>
      </x:c>
      <x:c r="AK35" s="20" t="str">
        <x:v>2020 audited-report comparative</x:v>
      </x:c>
      <x:c r="AL35" s="20" t="str">
        <x:v>Matched customer-loan allowance from loan note</x:v>
      </x:c>
      <x:c r="AM35" s="20" t="str">
        <x:v>Selected loan-note total; stage-specific exceptions separately recorded</x:v>
      </x:c>
      <x:c r="AN35" s="20" t="str">
        <x:v>New page-checked Union reports</x:v>
      </x:c>
    </x:row>
    <x:row r="36" ht="60" customHeight="1">
      <x:c r="A36" s="20" t="str">
        <x:v>Union</x:v>
      </x:c>
      <x:c r="B36" s="24" t="n">
        <x:v>2020</x:v>
      </x:c>
      <x:c r="C36" s="18" t="str">
        <x:v>Tier 2</x:v>
      </x:c>
      <x:c r="D36" s="18" t="str">
        <x:v>IFRS 9</x:v>
      </x:c>
      <x:c r="E36" s="22" t="n">
        <x:v>24653</x:v>
      </x:c>
      <x:c r="F36" s="22" t="n">
        <x:v>2073758</x:v>
      </x:c>
      <x:c r="G36" s="22" t="n">
        <x:v>1826237</x:v>
      </x:c>
      <x:c r="H36" s="22" t="n">
        <x:v>247521</x:v>
      </x:c>
      <x:c r="I36" s="22" t="n">
        <x:v>-35912</x:v>
      </x:c>
      <x:c r="J36" s="22" t="n">
        <x:v>1711739</x:v>
      </x:c>
      <x:c r="K36" s="22" t="n">
        <x:v>736712</x:v>
      </x:c>
      <x:c r="L36" s="22" t="n">
        <x:v>43909</x:v>
      </x:c>
      <x:c r="M36" s="22" t="n">
        <x:v>692803</x:v>
      </x:c>
      <x:c r="N36" s="22" t="n">
        <x:v>-2559</x:v>
      </x:c>
      <x:c r="O36" s="22"/>
      <x:c r="P36" s="22" t="n">
        <x:v>-2253</x:v>
      </x:c>
      <x:c r="Q36" s="22" t="n">
        <x:v>-306</x:v>
      </x:c>
      <x:c r="R36" s="22" t="n">
        <x:v>156168</x:v>
      </x:c>
      <x:c r="S36" s="22" t="n">
        <x:v>990958</x:v>
      </x:c>
      <x:c r="T36" s="22" t="n">
        <x:v>15.76</x:v>
      </x:c>
      <x:c r="U36" s="22" t="n">
        <x:v>17.46</x:v>
      </x:c>
      <x:c r="V36" s="22" t="n">
        <x:v>15</x:v>
      </x:c>
      <x:c r="W36" s="22"/>
      <x:c r="X36" s="24"/>
      <x:c r="Y36" s="22"/>
      <x:c r="Z36" s="22"/>
      <x:c r="AA36" s="22"/>
      <x:c r="AB36" s="22"/>
      <x:c r="AC36" s="22"/>
      <x:c r="AD36" s="22" t="n">
        <x:v>61895</x:v>
      </x:c>
      <x:c r="AE36" s="22" t="n">
        <x:v>22564</x:v>
      </x:c>
      <x:c r="AF36" s="24"/>
      <x:c r="AG36" s="22" t="n">
        <x:v>25425</x:v>
      </x:c>
      <x:c r="AH36" s="22" t="n">
        <x:v>156885</x:v>
      </x:c>
      <x:c r="AI36" s="20" t="str">
        <x:v>UNION20</x:v>
      </x:c>
      <x:c r="AJ36" s="20" t="str">
        <x:v>https://doclib.ngxgroup.com/Financial_NewsDocs/32629_UNION_BANK_OF_NIGERIA_PLC%20_AUDITED_FINANCIAL_STATEMENT.pdf</x:v>
      </x:c>
      <x:c r="AK36" s="20" t="str">
        <x:v>2020 audited-report current-year</x:v>
      </x:c>
      <x:c r="AL36" s="20" t="str">
        <x:v>Matched customer-loan allowance from loan note</x:v>
      </x:c>
      <x:c r="AM36" s="20" t="str">
        <x:v>Selected loan-note total; stage-specific exceptions separately recorded</x:v>
      </x:c>
      <x:c r="AN36" s="20" t="str">
        <x:v>New page-checked Union reports</x:v>
      </x:c>
    </x:row>
    <x:row r="37" ht="60" customHeight="1">
      <x:c r="A37" s="20" t="str">
        <x:v>Union</x:v>
      </x:c>
      <x:c r="B37" s="24" t="n">
        <x:v>2021</x:v>
      </x:c>
      <x:c r="C37" s="18" t="str">
        <x:v>Tier 2</x:v>
      </x:c>
      <x:c r="D37" s="18" t="str">
        <x:v>IFRS 9</x:v>
      </x:c>
      <x:c r="E37" s="22" t="n">
        <x:v>19180</x:v>
      </x:c>
      <x:c r="F37" s="22" t="n">
        <x:v>2567441</x:v>
      </x:c>
      <x:c r="G37" s="22" t="n">
        <x:v>2315954</x:v>
      </x:c>
      <x:c r="H37" s="22" t="n">
        <x:v>251487</x:v>
      </x:c>
      <x:c r="I37" s="22" t="n">
        <x:v>252140</x:v>
      </x:c>
      <x:c r="J37" s="22" t="n">
        <x:v>2073758</x:v>
      </x:c>
      <x:c r="K37" s="22" t="n">
        <x:v>899106</x:v>
      </x:c>
      <x:c r="L37" s="22" t="n">
        <x:v>30266</x:v>
      </x:c>
      <x:c r="M37" s="22" t="n">
        <x:v>868840</x:v>
      </x:c>
      <x:c r="N37" s="22" t="n">
        <x:v>286</x:v>
      </x:c>
      <x:c r="O37" s="22"/>
      <x:c r="P37" s="22" t="n">
        <x:v>-34</x:v>
      </x:c>
      <x:c r="Q37" s="22" t="n">
        <x:v>320</x:v>
      </x:c>
      <x:c r="R37" s="22" t="n">
        <x:v>156040</x:v>
      </x:c>
      <x:c r="S37" s="22" t="n">
        <x:v>1068135</x:v>
      </x:c>
      <x:c r="T37" s="22" t="n">
        <x:v>14.61</x:v>
      </x:c>
      <x:c r="U37" s="22"/>
      <x:c r="V37" s="22"/>
      <x:c r="W37" s="22"/>
      <x:c r="X37" s="24"/>
      <x:c r="Y37" s="22"/>
      <x:c r="Z37" s="22"/>
      <x:c r="AA37" s="22"/>
      <x:c r="AB37" s="22" t="n">
        <x:v>38660</x:v>
      </x:c>
      <x:c r="AC37" s="22"/>
      <x:c r="AD37" s="22" t="n">
        <x:v>62064</x:v>
      </x:c>
      <x:c r="AE37" s="22" t="n">
        <x:v>13274</x:v>
      </x:c>
      <x:c r="AF37" s="24"/>
      <x:c r="AG37" s="22" t="n">
        <x:v>20532</x:v>
      </x:c>
      <x:c r="AH37" s="22" t="n">
        <x:v>175006</x:v>
      </x:c>
      <x:c r="AI37" s="20" t="str">
        <x:v>UNION20; UNION22</x:v>
      </x:c>
      <x:c r="AJ37" s="20" t="str">
        <x:v>https://doclib.ngxgroup.com/Financial_NewsDocs/38269_UNION_BANK_OF_NIGERIA_PLC-_QUARTER_5_-_FINANCIAL_STATEMENT_FOR_2022_FINANCIAL_STATEMENTS_APRIL_2023.pdf</x:v>
      </x:c>
      <x:c r="AK37" s="20" t="str">
        <x:v>2022 audited-report comparative</x:v>
      </x:c>
      <x:c r="AL37" s="20" t="str">
        <x:v>Matched customer-loan allowance from loan note</x:v>
      </x:c>
      <x:c r="AM37" s="20" t="str">
        <x:v>Selected loan-note total; stage-specific exceptions separately recorded</x:v>
      </x:c>
      <x:c r="AN37" s="20" t="str">
        <x:v>New page-checked Union reports</x:v>
      </x:c>
    </x:row>
    <x:row r="38" ht="60" customHeight="1">
      <x:c r="A38" s="20" t="str">
        <x:v>Union</x:v>
      </x:c>
      <x:c r="B38" s="24" t="n">
        <x:v>2022</x:v>
      </x:c>
      <x:c r="C38" s="18" t="str">
        <x:v>Tier 2</x:v>
      </x:c>
      <x:c r="D38" s="18" t="str">
        <x:v>IFRS 9</x:v>
      </x:c>
      <x:c r="E38" s="22" t="n">
        <x:v>29009</x:v>
      </x:c>
      <x:c r="F38" s="22" t="n">
        <x:v>2793674</x:v>
      </x:c>
      <x:c r="G38" s="22" t="n">
        <x:v>2503824</x:v>
      </x:c>
      <x:c r="H38" s="22" t="n">
        <x:v>289850</x:v>
      </x:c>
      <x:c r="I38" s="22" t="n">
        <x:v>80277</x:v>
      </x:c>
      <x:c r="J38" s="22" t="n">
        <x:v>2567441</x:v>
      </x:c>
      <x:c r="K38" s="22" t="n">
        <x:v>1000903</x:v>
      </x:c>
      <x:c r="L38" s="22" t="n">
        <x:v>32015</x:v>
      </x:c>
      <x:c r="M38" s="22" t="n">
        <x:v>968888</x:v>
      </x:c>
      <x:c r="N38" s="22" t="n">
        <x:v>4475</x:v>
      </x:c>
      <x:c r="O38" s="22"/>
      <x:c r="P38" s="22" t="n">
        <x:v>3209</x:v>
      </x:c>
      <x:c r="Q38" s="22" t="n">
        <x:v>1266</x:v>
      </x:c>
      <x:c r="R38" s="22" t="n">
        <x:v>180613</x:v>
      </x:c>
      <x:c r="S38" s="22" t="n">
        <x:v>1252579</x:v>
      </x:c>
      <x:c r="T38" s="22" t="n">
        <x:v>14.42</x:v>
      </x:c>
      <x:c r="U38" s="22"/>
      <x:c r="V38" s="22" t="n">
        <x:v>10</x:v>
      </x:c>
      <x:c r="W38" s="22"/>
      <x:c r="X38" s="24"/>
      <x:c r="Y38" s="22"/>
      <x:c r="Z38" s="22"/>
      <x:c r="AA38" s="22"/>
      <x:c r="AB38" s="22" t="n">
        <x:v>40276</x:v>
      </x:c>
      <x:c r="AC38" s="22"/>
      <x:c r="AD38" s="22" t="n">
        <x:v>74070</x:v>
      </x:c>
      <x:c r="AE38" s="22"/>
      <x:c r="AF38" s="24"/>
      <x:c r="AG38" s="22" t="n">
        <x:v>30206</x:v>
      </x:c>
      <x:c r="AH38" s="22" t="n">
        <x:v>208171</x:v>
      </x:c>
      <x:c r="AI38" s="20" t="str">
        <x:v>UNION22</x:v>
      </x:c>
      <x:c r="AJ38" s="20" t="str">
        <x:v>https://doclib.ngxgroup.com/Financial_NewsDocs/38269_UNION_BANK_OF_NIGERIA_PLC-_QUARTER_5_-_FINANCIAL_STATEMENT_FOR_2022_FINANCIAL_STATEMENTS_APRIL_2023.pdf</x:v>
      </x:c>
      <x:c r="AK38" s="20" t="str">
        <x:v>2022 audited-report current-year</x:v>
      </x:c>
      <x:c r="AL38" s="20" t="str">
        <x:v>Matched customer-loan allowance from loan note</x:v>
      </x:c>
      <x:c r="AM38" s="20" t="str">
        <x:v>Selected loan-note total; stage-specific exceptions separately recorded</x:v>
      </x:c>
      <x:c r="AN38" s="20" t="str">
        <x:v>New page-checked Union reports</x:v>
      </x:c>
    </x:row>
    <x:row r="39" ht="60" customHeight="1">
      <x:c r="A39" s="20" t="str">
        <x:v>Unity</x:v>
      </x:c>
      <x:c r="B39" s="24" t="n">
        <x:v>2018</x:v>
      </x:c>
      <x:c r="C39" s="18" t="str">
        <x:v>Tier 2</x:v>
      </x:c>
      <x:c r="D39" s="18" t="str">
        <x:v>IFRS 9</x:v>
      </x:c>
      <x:c r="E39" s="22" t="n">
        <x:v>-7695.32</x:v>
      </x:c>
      <x:c r="F39" s="22" t="n">
        <x:v>210800.841</x:v>
      </x:c>
      <x:c r="G39" s="22" t="n">
        <x:v>495175.495</x:v>
      </x:c>
      <x:c r="H39" s="22" t="n">
        <x:v>-284374.654</x:v>
      </x:c>
      <x:c r="I39" s="22" t="n">
        <x:v>-442.603</x:v>
      </x:c>
      <x:c r="J39" s="22"/>
      <x:c r="K39" s="22" t="n">
        <x:v>44841.156</x:v>
      </x:c>
      <x:c r="L39" s="22" t="n">
        <x:v>744.197</x:v>
      </x:c>
      <x:c r="M39" s="22"/>
      <x:c r="N39" s="22" t="n">
        <x:v>5958.492</x:v>
      </x:c>
      <x:c r="O39" s="22"/>
      <x:c r="P39" s="22"/>
      <x:c r="Q39" s="22"/>
      <x:c r="R39" s="22"/>
      <x:c r="S39" s="22"/>
      <x:c r="T39" s="22" t="n">
        <x:v>-214.8</x:v>
      </x:c>
      <x:c r="U39" s="22" t="n">
        <x:v>-213.68</x:v>
      </x:c>
      <x:c r="V39" s="22" t="n">
        <x:v>10</x:v>
      </x:c>
      <x:c r="W39" s="22"/>
      <x:c r="X39" s="24"/>
      <x:c r="Y39" s="22"/>
      <x:c r="Z39" s="22"/>
      <x:c r="AA39" s="22"/>
      <x:c r="AB39" s="22"/>
      <x:c r="AC39" s="22"/>
      <x:c r="AD39" s="22"/>
      <x:c r="AE39" s="22"/>
      <x:c r="AF39" s="24"/>
      <x:c r="AG39" s="22"/>
      <x:c r="AH39" s="22"/>
      <x:c r="AI39" s="20" t="str">
        <x:v>UNITY2019</x:v>
      </x:c>
      <x:c r="AJ39" s="20" t="str">
        <x:v>https://doclib.ngxgroup.com/Financial_NewsDocs/30502_UNITY_BANK_PLC_FINANCIAL_STATEMENTS_JUNE_2020.pdf</x:v>
      </x:c>
      <x:c r="AK39" s="20" t="str">
        <x:v>Prior source-selection policy retained; original evidence preserved in accompanying pack.</x:v>
      </x:c>
      <x:c r="AL39" s="20" t="str">
        <x:v>Reported total loan allowance</x:v>
      </x:c>
      <x:c r="AM39" s="20" t="str">
        <x:v>Prior selected basis; see evidence notes</x:v>
      </x:c>
      <x:c r="AN39" s="20" t="str">
        <x:v>Prior selected evidence</x:v>
      </x:c>
    </x:row>
    <x:row r="40" ht="60" customHeight="1">
      <x:c r="A40" s="20" t="str">
        <x:v>Unity</x:v>
      </x:c>
      <x:c r="B40" s="24" t="n">
        <x:v>2019</x:v>
      </x:c>
      <x:c r="C40" s="18" t="str">
        <x:v>Tier 2</x:v>
      </x:c>
      <x:c r="D40" s="18" t="str">
        <x:v>IFRS 9</x:v>
      </x:c>
      <x:c r="E40" s="22" t="n">
        <x:v>3383.189</x:v>
      </x:c>
      <x:c r="F40" s="22" t="n">
        <x:v>293052.07</x:v>
      </x:c>
      <x:c r="G40" s="22" t="n">
        <x:v>571907.958</x:v>
      </x:c>
      <x:c r="H40" s="22" t="n">
        <x:v>-278855.888</x:v>
      </x:c>
      <x:c r="I40" s="22" t="n">
        <x:v>-39427.662</x:v>
      </x:c>
      <x:c r="J40" s="22" t="n">
        <x:v>210800.841</x:v>
      </x:c>
      <x:c r="K40" s="22" t="n">
        <x:v>106913.813</x:v>
      </x:c>
      <x:c r="L40" s="22" t="n">
        <x:v>2896.088</x:v>
      </x:c>
      <x:c r="M40" s="22"/>
      <x:c r="N40" s="22" t="n">
        <x:v>1921.923</x:v>
      </x:c>
      <x:c r="O40" s="22"/>
      <x:c r="P40" s="22"/>
      <x:c r="Q40" s="22"/>
      <x:c r="R40" s="22"/>
      <x:c r="S40" s="22"/>
      <x:c r="T40" s="22" t="n">
        <x:v>-201.59</x:v>
      </x:c>
      <x:c r="U40" s="22" t="n">
        <x:v>-200.88</x:v>
      </x:c>
      <x:c r="V40" s="22" t="n">
        <x:v>10</x:v>
      </x:c>
      <x:c r="W40" s="22"/>
      <x:c r="X40" s="24"/>
      <x:c r="Y40" s="22"/>
      <x:c r="Z40" s="22"/>
      <x:c r="AA40" s="22"/>
      <x:c r="AB40" s="22"/>
      <x:c r="AC40" s="22"/>
      <x:c r="AD40" s="22"/>
      <x:c r="AE40" s="22"/>
      <x:c r="AF40" s="24" t="n">
        <x:v>1</x:v>
      </x:c>
      <x:c r="AG40" s="22"/>
      <x:c r="AH40" s="22"/>
      <x:c r="AI40" s="20" t="str">
        <x:v>UNITY2019</x:v>
      </x:c>
      <x:c r="AJ40" s="20" t="str">
        <x:v>https://doclib.ngxgroup.com/Financial_NewsDocs/30502_UNITY_BANK_PLC_FINANCIAL_STATEMENTS_JUNE_2020.pdf</x:v>
      </x:c>
      <x:c r="AK40" s="20" t="str">
        <x:v>Prior source-selection policy retained; original evidence preserved in accompanying pack.</x:v>
      </x:c>
      <x:c r="AL40" s="20" t="str">
        <x:v>Reported total loan allowance</x:v>
      </x:c>
      <x:c r="AM40" s="20" t="str">
        <x:v>Prior selected basis; see evidence notes</x:v>
      </x:c>
      <x:c r="AN40" s="20" t="str">
        <x:v>Prior selected evidence</x:v>
      </x:c>
    </x:row>
    <x:row r="41" ht="60" customHeight="1">
      <x:c r="A41" s="20" t="str">
        <x:v>Wema</x:v>
      </x:c>
      <x:c r="B41" s="24" t="n">
        <x:v>2014</x:v>
      </x:c>
      <x:c r="C41" s="18" t="str">
        <x:v>Tier 2</x:v>
      </x:c>
      <x:c r="D41" s="18" t="str">
        <x:v>IAS 39</x:v>
      </x:c>
      <x:c r="E41" s="22" t="n">
        <x:v>2372.445</x:v>
      </x:c>
      <x:c r="F41" s="22" t="n">
        <x:v>382562.312</x:v>
      </x:c>
      <x:c r="G41" s="22" t="n">
        <x:v>338793.663</x:v>
      </x:c>
      <x:c r="H41" s="22" t="n">
        <x:v>43768.649</x:v>
      </x:c>
      <x:c r="I41" s="22" t="n">
        <x:v>-40148.459</x:v>
      </x:c>
      <x:c r="J41" s="22"/>
      <x:c r="K41" s="22" t="n">
        <x:v>152292.015</x:v>
      </x:c>
      <x:c r="L41" s="22" t="n">
        <x:v>2998.166</x:v>
      </x:c>
      <x:c r="M41" s="22"/>
      <x:c r="N41" s="22" t="n">
        <x:v>88.173</x:v>
      </x:c>
      <x:c r="O41" s="22"/>
      <x:c r="P41" s="22"/>
      <x:c r="Q41" s="22"/>
      <x:c r="R41" s="22"/>
      <x:c r="S41" s="22"/>
      <x:c r="T41" s="22" t="n">
        <x:v>18.22</x:v>
      </x:c>
      <x:c r="U41" s="22"/>
      <x:c r="V41" s="22"/>
      <x:c r="W41" s="22"/>
      <x:c r="X41" s="24"/>
      <x:c r="Y41" s="22"/>
      <x:c r="Z41" s="22"/>
      <x:c r="AA41" s="22"/>
      <x:c r="AB41" s="22"/>
      <x:c r="AC41" s="22" t="n">
        <x:v>2.49</x:v>
      </x:c>
      <x:c r="AD41" s="22"/>
      <x:c r="AE41" s="22"/>
      <x:c r="AF41" s="24"/>
      <x:c r="AG41" s="22"/>
      <x:c r="AH41" s="22"/>
      <x:c r="AI41" s="20" t="str">
        <x:v>DS_WEMA15</x:v>
      </x:c>
      <x:c r="AJ41" s="20" t="str">
        <x:v>https://greenwichregistrars.com/wp-content/uploads/2021/06/Wema-Bank-2015-Report.pdf</x:v>
      </x:c>
      <x:c r="AK41" s="20" t="str">
        <x:v>Prior source-selection policy retained; original evidence preserved in accompanying pack.</x:v>
      </x:c>
      <x:c r="AL41" s="20" t="str">
        <x:v>Reported total loan allowance</x:v>
      </x:c>
      <x:c r="AM41" s="20" t="str">
        <x:v>Prior selected basis; see evidence notes</x:v>
      </x:c>
      <x:c r="AN41" s="20" t="str">
        <x:v>Prior selected evidence</x:v>
      </x:c>
    </x:row>
    <x:row r="42" ht="60" customHeight="1">
      <x:c r="A42" s="20" t="str">
        <x:v>Wema</x:v>
      </x:c>
      <x:c r="B42" s="24" t="n">
        <x:v>2015</x:v>
      </x:c>
      <x:c r="C42" s="18" t="str">
        <x:v>Tier 2</x:v>
      </x:c>
      <x:c r="D42" s="18" t="str">
        <x:v>IAS 39</x:v>
      </x:c>
      <x:c r="E42" s="22" t="n">
        <x:v>2273.205</x:v>
      </x:c>
      <x:c r="F42" s="22" t="n">
        <x:v>396743.314</x:v>
      </x:c>
      <x:c r="G42" s="22" t="n">
        <x:v>350679.204</x:v>
      </x:c>
      <x:c r="H42" s="22" t="n">
        <x:v>46064.11</x:v>
      </x:c>
      <x:c r="I42" s="22" t="n">
        <x:v>14676.273</x:v>
      </x:c>
      <x:c r="J42" s="22" t="n">
        <x:v>382562.312</x:v>
      </x:c>
      <x:c r="K42" s="22" t="n">
        <x:v>188022.922</x:v>
      </x:c>
      <x:c r="L42" s="22" t="n">
        <x:v>2426.332</x:v>
      </x:c>
      <x:c r="M42" s="22"/>
      <x:c r="N42" s="22" t="n">
        <x:v>-77.64</x:v>
      </x:c>
      <x:c r="O42" s="22"/>
      <x:c r="P42" s="22"/>
      <x:c r="Q42" s="22"/>
      <x:c r="R42" s="22"/>
      <x:c r="S42" s="22"/>
      <x:c r="T42" s="22" t="n">
        <x:v>15.09</x:v>
      </x:c>
      <x:c r="U42" s="22"/>
      <x:c r="V42" s="22"/>
      <x:c r="W42" s="22"/>
      <x:c r="X42" s="24"/>
      <x:c r="Y42" s="22"/>
      <x:c r="Z42" s="22"/>
      <x:c r="AA42" s="22"/>
      <x:c r="AB42" s="22"/>
      <x:c r="AC42" s="22" t="n">
        <x:v>2.67</x:v>
      </x:c>
      <x:c r="AD42" s="22"/>
      <x:c r="AE42" s="22"/>
      <x:c r="AF42" s="24"/>
      <x:c r="AG42" s="22"/>
      <x:c r="AH42" s="22"/>
      <x:c r="AI42" s="20" t="str">
        <x:v>DS_WEMA15; WEMA2016</x:v>
      </x:c>
      <x:c r="AJ42" s="20" t="str">
        <x:v>https://greenwichregistrars.com/wp-content/uploads/2021/06/Wema-Bank-2015-Report.pdf | https://greenwichregistrars.com/wp-content/uploads/2021/06/Wema-Bank-2016-Report.pdf</x:v>
      </x:c>
      <x:c r="AK42" s="20" t="str">
        <x:v>Prior source-selection policy retained; original evidence preserved in accompanying pack.</x:v>
      </x:c>
      <x:c r="AL42" s="20" t="str">
        <x:v>Reported total loan allowance</x:v>
      </x:c>
      <x:c r="AM42" s="20" t="str">
        <x:v>Prior selected basis; see evidence notes</x:v>
      </x:c>
      <x:c r="AN42" s="20" t="str">
        <x:v>Prior selected evidence</x:v>
      </x:c>
    </x:row>
    <x:row r="43" ht="60" customHeight="1">
      <x:c r="A43" s="20" t="str">
        <x:v>Wema</x:v>
      </x:c>
      <x:c r="B43" s="24" t="n">
        <x:v>2016</x:v>
      </x:c>
      <x:c r="C43" s="18" t="str">
        <x:v>Tier 2</x:v>
      </x:c>
      <x:c r="D43" s="18" t="str">
        <x:v>IAS 39</x:v>
      </x:c>
      <x:c r="E43" s="22" t="n">
        <x:v>2591.8</x:v>
      </x:c>
      <x:c r="F43" s="22" t="n">
        <x:v>421221.036</x:v>
      </x:c>
      <x:c r="G43" s="22" t="n">
        <x:v>372719.082</x:v>
      </x:c>
      <x:c r="H43" s="22" t="n">
        <x:v>48501.954</x:v>
      </x:c>
      <x:c r="I43" s="22" t="n">
        <x:v>15892.427</x:v>
      </x:c>
      <x:c r="J43" s="22" t="n">
        <x:v>396743.314</x:v>
      </x:c>
      <x:c r="K43" s="22"/>
      <x:c r="L43" s="22"/>
      <x:c r="M43" s="22"/>
      <x:c r="N43" s="22" t="n">
        <x:v>412.401</x:v>
      </x:c>
      <x:c r="O43" s="22"/>
      <x:c r="P43" s="22"/>
      <x:c r="Q43" s="22"/>
      <x:c r="R43" s="22"/>
      <x:c r="S43" s="22"/>
      <x:c r="T43" s="22"/>
      <x:c r="U43" s="22"/>
      <x:c r="V43" s="22"/>
      <x:c r="W43" s="22"/>
      <x:c r="X43" s="24"/>
      <x:c r="Y43" s="22"/>
      <x:c r="Z43" s="22"/>
      <x:c r="AA43" s="22"/>
      <x:c r="AB43" s="22"/>
      <x:c r="AC43" s="22"/>
      <x:c r="AD43" s="22"/>
      <x:c r="AE43" s="22"/>
      <x:c r="AF43" s="24"/>
      <x:c r="AG43" s="22"/>
      <x:c r="AH43" s="22"/>
      <x:c r="AI43" s="20" t="str">
        <x:v>WEMA2016</x:v>
      </x:c>
      <x:c r="AJ43" s="20" t="str">
        <x:v>https://greenwichregistrars.com/wp-content/uploads/2021/06/Wema-Bank-2016-Report.pdf</x:v>
      </x:c>
      <x:c r="AK43" s="20" t="str">
        <x:v>Prior source-selection policy retained; original evidence preserved in accompanying pack.</x:v>
      </x:c>
      <x:c r="AL43" s="20" t="str">
        <x:v>Reported total loan allowance</x:v>
      </x:c>
      <x:c r="AM43" s="20" t="str">
        <x:v>Prior selected basis; see evidence notes</x:v>
      </x:c>
      <x:c r="AN43" s="20" t="str">
        <x:v>Prior selected evidence</x:v>
      </x:c>
    </x:row>
    <x:row r="44" ht="60" customHeight="1">
      <x:c r="A44" s="20" t="str">
        <x:v>Wema</x:v>
      </x:c>
      <x:c r="B44" s="24" t="n">
        <x:v>2017</x:v>
      </x:c>
      <x:c r="C44" s="18" t="str">
        <x:v>Tier 2</x:v>
      </x:c>
      <x:c r="D44" s="18" t="str">
        <x:v>IAS 39</x:v>
      </x:c>
      <x:c r="E44" s="22" t="n">
        <x:v>2301.158</x:v>
      </x:c>
      <x:c r="F44" s="22" t="n">
        <x:v>384779.809</x:v>
      </x:c>
      <x:c r="G44" s="22" t="n">
        <x:v>335087.669</x:v>
      </x:c>
      <x:c r="H44" s="22" t="n">
        <x:v>49692.14</x:v>
      </x:c>
      <x:c r="I44" s="22" t="n">
        <x:v>-25950.964</x:v>
      </x:c>
      <x:c r="J44" s="22" t="n">
        <x:v>421221.036</x:v>
      </x:c>
      <x:c r="K44" s="22" t="n">
        <x:v>220076.031</x:v>
      </x:c>
      <x:c r="L44" s="22" t="n">
        <x:v>4236.001</x:v>
      </x:c>
      <x:c r="M44" s="22"/>
      <x:c r="N44" s="22" t="n">
        <x:v>2179.798</x:v>
      </x:c>
      <x:c r="O44" s="22"/>
      <x:c r="P44" s="22"/>
      <x:c r="Q44" s="22"/>
      <x:c r="R44" s="22"/>
      <x:c r="S44" s="22"/>
      <x:c r="T44" s="22" t="n">
        <x:v>14.32</x:v>
      </x:c>
      <x:c r="U44" s="22"/>
      <x:c r="V44" s="22"/>
      <x:c r="W44" s="22" t="n">
        <x:v>26.25</x:v>
      </x:c>
      <x:c r="X44" s="24" t="n">
        <x:v>1</x:v>
      </x:c>
      <x:c r="Y44" s="22"/>
      <x:c r="Z44" s="22"/>
      <x:c r="AA44" s="22"/>
      <x:c r="AB44" s="22"/>
      <x:c r="AC44" s="22" t="n">
        <x:v>3.52</x:v>
      </x:c>
      <x:c r="AD44" s="22"/>
      <x:c r="AE44" s="22"/>
      <x:c r="AF44" s="24"/>
      <x:c r="AG44" s="22"/>
      <x:c r="AH44" s="22"/>
      <x:c r="AI44" s="20" t="str">
        <x:v>WEMA2018</x:v>
      </x:c>
      <x:c r="AJ44" s="20" t="str">
        <x:v>https://arthursteven.com/reports/market/WEMA_BANK_PLC._FINANCIAL_STATEMENTS_MARCH_2019.pdf</x:v>
      </x:c>
      <x:c r="AK44" s="20" t="str">
        <x:v>Prior source-selection policy retained; original evidence preserved in accompanying pack.</x:v>
      </x:c>
      <x:c r="AL44" s="20" t="str">
        <x:v>Reported total loan allowance</x:v>
      </x:c>
      <x:c r="AM44" s="20" t="str">
        <x:v>Prior selected basis; see evidence notes</x:v>
      </x:c>
      <x:c r="AN44" s="20" t="str">
        <x:v>Prior selected evidence</x:v>
      </x:c>
    </x:row>
    <x:row r="45" ht="60" customHeight="1">
      <x:c r="A45" s="20" t="str">
        <x:v>Wema</x:v>
      </x:c>
      <x:c r="B45" s="24" t="n">
        <x:v>2018</x:v>
      </x:c>
      <x:c r="C45" s="18" t="str">
        <x:v>Tier 2</x:v>
      </x:c>
      <x:c r="D45" s="18" t="str">
        <x:v>IFRS 9</x:v>
      </x:c>
      <x:c r="E45" s="22" t="n">
        <x:v>3359.259</x:v>
      </x:c>
      <x:c r="F45" s="22" t="n">
        <x:v>477915.742</x:v>
      </x:c>
      <x:c r="G45" s="22" t="n">
        <x:v>426916.863</x:v>
      </x:c>
      <x:c r="H45" s="22" t="n">
        <x:v>50998.879</x:v>
      </x:c>
      <x:c r="I45" s="22" t="n">
        <x:v>49309.182</x:v>
      </x:c>
      <x:c r="J45" s="22" t="n">
        <x:v>384779.809</x:v>
      </x:c>
      <x:c r="K45" s="22" t="n">
        <x:v>261583.723</x:v>
      </x:c>
      <x:c r="L45" s="22" t="n">
        <x:v>9394.11</x:v>
      </x:c>
      <x:c r="M45" s="22"/>
      <x:c r="N45" s="22" t="n">
        <x:v>3510.537</x:v>
      </x:c>
      <x:c r="O45" s="22"/>
      <x:c r="P45" s="22"/>
      <x:c r="Q45" s="22"/>
      <x:c r="R45" s="22"/>
      <x:c r="S45" s="22"/>
      <x:c r="T45" s="22" t="n">
        <x:v>18.01</x:v>
      </x:c>
      <x:c r="U45" s="22"/>
      <x:c r="V45" s="22"/>
      <x:c r="W45" s="22" t="n">
        <x:v>34.64</x:v>
      </x:c>
      <x:c r="X45" s="24" t="n">
        <x:v>1</x:v>
      </x:c>
      <x:c r="Y45" s="22"/>
      <x:c r="Z45" s="22"/>
      <x:c r="AA45" s="22"/>
      <x:c r="AB45" s="22"/>
      <x:c r="AC45" s="22" t="n">
        <x:v>4.98</x:v>
      </x:c>
      <x:c r="AD45" s="22"/>
      <x:c r="AE45" s="22"/>
      <x:c r="AF45" s="24" t="n">
        <x:v>0</x:v>
      </x:c>
      <x:c r="AG45" s="22"/>
      <x:c r="AH45" s="22"/>
      <x:c r="AI45" s="20" t="str">
        <x:v>WEMA2018</x:v>
      </x:c>
      <x:c r="AJ45" s="20" t="str">
        <x:v>https://arthursteven.com/reports/market/WEMA_BANK_PLC._FINANCIAL_STATEMENTS_MARCH_2019.pdf</x:v>
      </x:c>
      <x:c r="AK45" s="20" t="str">
        <x:v>Prior source-selection policy retained; original evidence preserved in accompanying pack.</x:v>
      </x:c>
      <x:c r="AL45" s="20" t="str">
        <x:v>Reported total loan allowance</x:v>
      </x:c>
      <x:c r="AM45" s="20" t="str">
        <x:v>Prior selected basis; see evidence notes</x:v>
      </x:c>
      <x:c r="AN45" s="20" t="str">
        <x:v>Prior selected evidence</x:v>
      </x:c>
    </x:row>
    <x:row r="46" ht="60" customHeight="1">
      <x:c r="A46" s="20" t="str">
        <x:v>Wema</x:v>
      </x:c>
      <x:c r="B46" s="24" t="n">
        <x:v>2019</x:v>
      </x:c>
      <x:c r="C46" s="18" t="str">
        <x:v>Tier 2</x:v>
      </x:c>
      <x:c r="D46" s="18" t="str">
        <x:v>IFRS 9</x:v>
      </x:c>
      <x:c r="E46" s="22" t="n">
        <x:v>5210.748</x:v>
      </x:c>
      <x:c r="F46" s="22" t="n">
        <x:v>704955.604</x:v>
      </x:c>
      <x:c r="G46" s="22" t="n">
        <x:v>649598.753</x:v>
      </x:c>
      <x:c r="H46" s="22" t="n">
        <x:v>55356.851</x:v>
      </x:c>
      <x:c r="I46" s="22" t="n">
        <x:v>107380.822</x:v>
      </x:c>
      <x:c r="J46" s="22" t="n">
        <x:v>477915.742</x:v>
      </x:c>
      <x:c r="K46" s="22" t="n">
        <x:v>301368.302</x:v>
      </x:c>
      <x:c r="L46" s="22" t="n">
        <x:v>12128.432</x:v>
      </x:c>
      <x:c r="M46" s="22" t="n">
        <x:v>289239.87</x:v>
      </x:c>
      <x:c r="N46" s="22" t="n">
        <x:v>6130.6</x:v>
      </x:c>
      <x:c r="O46" s="22"/>
      <x:c r="P46" s="22"/>
      <x:c r="Q46" s="22"/>
      <x:c r="R46" s="22" t="n">
        <x:v>33853.301</x:v>
      </x:c>
      <x:c r="S46" s="22" t="n">
        <x:v>248951.162</x:v>
      </x:c>
      <x:c r="T46" s="22" t="n">
        <x:v>13.6</x:v>
      </x:c>
      <x:c r="U46" s="22"/>
      <x:c r="V46" s="22"/>
      <x:c r="W46" s="22"/>
      <x:c r="X46" s="24"/>
      <x:c r="Y46" s="22"/>
      <x:c r="Z46" s="22"/>
      <x:c r="AA46" s="22"/>
      <x:c r="AB46" s="22"/>
      <x:c r="AC46" s="22"/>
      <x:c r="AD46" s="22"/>
      <x:c r="AE46" s="22" t="n">
        <x:v>4646.11</x:v>
      </x:c>
      <x:c r="AF46" s="24"/>
      <x:c r="AG46" s="22" t="n">
        <x:v>6770.828</x:v>
      </x:c>
      <x:c r="AH46" s="22"/>
      <x:c r="AI46" s="20" t="str">
        <x:v>WEMA20</x:v>
      </x:c>
      <x:c r="AJ46" s="20" t="str">
        <x:v>https://doclib.ngxgroup.com/Financial_NewsDocs/33124_WEMA_BANK_PLC%20_AUDITED_FINANCIAL_STATEMENT_FOR_2020_F.pdf</x:v>
      </x:c>
      <x:c r="AK46" s="20" t="str">
        <x:v>Prior source-selection policy retained; original evidence preserved in accompanying pack.</x:v>
      </x:c>
      <x:c r="AL46" s="20" t="str"/>
      <x:c r="AM46" s="20" t="str">
        <x:v>Prior selected basis; see evidence notes</x:v>
      </x:c>
      <x:c r="AN46" s="20" t="str">
        <x:v>Prior selected evidence</x:v>
      </x:c>
    </x:row>
    <x:row r="47" ht="60" customHeight="1">
      <x:c r="A47" s="20" t="str">
        <x:v>Wema</x:v>
      </x:c>
      <x:c r="B47" s="24" t="n">
        <x:v>2020</x:v>
      </x:c>
      <x:c r="C47" s="18" t="str">
        <x:v>Tier 2</x:v>
      </x:c>
      <x:c r="D47" s="18" t="str">
        <x:v>IFRS 9</x:v>
      </x:c>
      <x:c r="E47" s="22" t="n">
        <x:v>4592.217</x:v>
      </x:c>
      <x:c r="F47" s="22" t="n">
        <x:v>968582.084</x:v>
      </x:c>
      <x:c r="G47" s="22" t="n">
        <x:v>909229.251</x:v>
      </x:c>
      <x:c r="H47" s="22" t="n">
        <x:v>59352.833</x:v>
      </x:c>
      <x:c r="I47" s="22" t="n">
        <x:v>46804.348</x:v>
      </x:c>
      <x:c r="J47" s="22" t="n">
        <x:v>704955.604</x:v>
      </x:c>
      <x:c r="K47" s="22" t="n">
        <x:v>375039.658</x:v>
      </x:c>
      <x:c r="L47" s="22" t="n">
        <x:v>14963.578</x:v>
      </x:c>
      <x:c r="M47" s="22" t="n">
        <x:v>360076.079</x:v>
      </x:c>
      <x:c r="N47" s="22" t="n">
        <x:v>5635.165</x:v>
      </x:c>
      <x:c r="O47" s="22"/>
      <x:c r="P47" s="22"/>
      <x:c r="Q47" s="22"/>
      <x:c r="R47" s="22" t="n">
        <x:v>41760.881</x:v>
      </x:c>
      <x:c r="S47" s="22" t="n">
        <x:v>278133.743</x:v>
      </x:c>
      <x:c r="T47" s="22" t="n">
        <x:v>15.01</x:v>
      </x:c>
      <x:c r="U47" s="22"/>
      <x:c r="V47" s="22"/>
      <x:c r="W47" s="22"/>
      <x:c r="X47" s="24"/>
      <x:c r="Y47" s="22"/>
      <x:c r="Z47" s="22"/>
      <x:c r="AA47" s="22"/>
      <x:c r="AB47" s="22"/>
      <x:c r="AC47" s="22"/>
      <x:c r="AD47" s="22"/>
      <x:c r="AE47" s="22" t="n">
        <x:v>5411.37</x:v>
      </x:c>
      <x:c r="AF47" s="24"/>
      <x:c r="AG47" s="22" t="n">
        <x:v>5946.523</x:v>
      </x:c>
      <x:c r="AH47" s="22"/>
      <x:c r="AI47" s="20" t="str">
        <x:v>WEMA20</x:v>
      </x:c>
      <x:c r="AJ47" s="20" t="str">
        <x:v>https://doclib.ngxgroup.com/Financial_NewsDocs/33124_WEMA_BANK_PLC%20_AUDITED_FINANCIAL_STATEMENT_FOR_2020_F.pdf</x:v>
      </x:c>
      <x:c r="AK47" s="20" t="str">
        <x:v>Prior source-selection policy retained; original evidence preserved in accompanying pack.</x:v>
      </x:c>
      <x:c r="AL47" s="20" t="str"/>
      <x:c r="AM47" s="20" t="str">
        <x:v>Prior selected basis; see evidence notes</x:v>
      </x:c>
      <x:c r="AN47" s="20" t="str">
        <x:v>Prior selected evidence</x:v>
      </x:c>
    </x:row>
    <x:row r="48" ht="60" customHeight="1">
      <x:c r="A48" s="20" t="str">
        <x:v>Wema</x:v>
      </x:c>
      <x:c r="B48" s="24" t="n">
        <x:v>2022</x:v>
      </x:c>
      <x:c r="C48" s="18" t="str">
        <x:v>Tier 2</x:v>
      </x:c>
      <x:c r="D48" s="18" t="str">
        <x:v>IFRS 9</x:v>
      </x:c>
      <x:c r="E48" s="22" t="n">
        <x:v>11214.027</x:v>
      </x:c>
      <x:c r="F48" s="22" t="n">
        <x:v>1433703.656</x:v>
      </x:c>
      <x:c r="G48" s="22" t="n">
        <x:v>1351080.98</x:v>
      </x:c>
      <x:c r="H48" s="22" t="n">
        <x:v>82622.676</x:v>
      </x:c>
      <x:c r="I48" s="22" t="n">
        <x:v>179324.77</x:v>
      </x:c>
      <x:c r="J48" s="22"/>
      <x:c r="K48" s="22" t="n">
        <x:v>539372.013</x:v>
      </x:c>
      <x:c r="L48" s="22" t="n">
        <x:v>17941.317</x:v>
      </x:c>
      <x:c r="M48" s="22" t="n">
        <x:v>521430.696</x:v>
      </x:c>
      <x:c r="N48" s="22" t="n">
        <x:v>4762.274</x:v>
      </x:c>
      <x:c r="O48" s="22"/>
      <x:c r="P48" s="22"/>
      <x:c r="Q48" s="22"/>
      <x:c r="R48" s="22" t="n">
        <x:v>59144.646</x:v>
      </x:c>
      <x:c r="S48" s="22" t="n">
        <x:v>464338.153</x:v>
      </x:c>
      <x:c r="T48" s="22" t="n">
        <x:v>12.74</x:v>
      </x:c>
      <x:c r="U48" s="22"/>
      <x:c r="V48" s="22"/>
      <x:c r="W48" s="22"/>
      <x:c r="X48" s="24"/>
      <x:c r="Y48" s="22"/>
      <x:c r="Z48" s="22"/>
      <x:c r="AA48" s="22"/>
      <x:c r="AB48" s="22"/>
      <x:c r="AC48" s="22"/>
      <x:c r="AD48" s="22"/>
      <x:c r="AE48" s="22" t="n">
        <x:v>12600.451</x:v>
      </x:c>
      <x:c r="AF48" s="24"/>
      <x:c r="AG48" s="22" t="n">
        <x:v>14746.008</x:v>
      </x:c>
      <x:c r="AH48" s="22"/>
      <x:c r="AI48" s="20" t="str">
        <x:v>WEMA23</x:v>
      </x:c>
      <x:c r="AJ48" s="20" t="str">
        <x:v>https://doclib.ngxgroup.com/Financial_NewsDocs/40841_WEMA_BANK_PLC.-_QUARTER_5_-_FINANCIAL_STATEMENT_FOR_2023_FINANCIAL_STATEMENTS_APRIL_2024.pdf</x:v>
      </x:c>
      <x:c r="AK48" s="20" t="str">
        <x:v>Prior source-selection policy retained; original evidence preserved in accompanying pack.</x:v>
      </x:c>
      <x:c r="AL48" s="20" t="str"/>
      <x:c r="AM48" s="20" t="str">
        <x:v>Prior selected basis; see evidence notes</x:v>
      </x:c>
      <x:c r="AN48" s="20" t="str">
        <x:v>Prior selected evidence</x:v>
      </x:c>
    </x:row>
    <x:row r="49" ht="60" customHeight="1">
      <x:c r="A49" s="20" t="str">
        <x:v>Zenith</x:v>
      </x:c>
      <x:c r="B49" s="24" t="n">
        <x:v>2014</x:v>
      </x:c>
      <x:c r="C49" s="18" t="str">
        <x:v>Tier 1</x:v>
      </x:c>
      <x:c r="D49" s="18" t="str">
        <x:v>IAS 39</x:v>
      </x:c>
      <x:c r="E49" s="22" t="n">
        <x:v>92479</x:v>
      </x:c>
      <x:c r="F49" s="22" t="n">
        <x:v>3423819</x:v>
      </x:c>
      <x:c r="G49" s="22" t="n">
        <x:v>2911112</x:v>
      </x:c>
      <x:c r="H49" s="22" t="n">
        <x:v>512707</x:v>
      </x:c>
      <x:c r="I49" s="22" t="n">
        <x:v>-145986</x:v>
      </x:c>
      <x:c r="J49" s="22"/>
      <x:c r="K49" s="22" t="n">
        <x:v>1605581</x:v>
      </x:c>
      <x:c r="L49" s="22" t="n">
        <x:v>25331</x:v>
      </x:c>
      <x:c r="M49" s="22"/>
      <x:c r="N49" s="22" t="n">
        <x:v>12392</x:v>
      </x:c>
      <x:c r="O49" s="22"/>
      <x:c r="P49" s="22"/>
      <x:c r="Q49" s="22"/>
      <x:c r="R49" s="22"/>
      <x:c r="S49" s="22"/>
      <x:c r="T49" s="22" t="n">
        <x:v>19</x:v>
      </x:c>
      <x:c r="U49" s="22"/>
      <x:c r="V49" s="22"/>
      <x:c r="W49" s="22"/>
      <x:c r="X49" s="24"/>
      <x:c r="Y49" s="22"/>
      <x:c r="Z49" s="22"/>
      <x:c r="AA49" s="22"/>
      <x:c r="AB49" s="22" t="n">
        <x:v>26407</x:v>
      </x:c>
      <x:c r="AC49" s="22"/>
      <x:c r="AD49" s="22"/>
      <x:c r="AE49" s="22"/>
      <x:c r="AF49" s="24"/>
      <x:c r="AG49" s="22"/>
      <x:c r="AH49" s="22"/>
      <x:c r="AI49" s="20" t="str">
        <x:v>DS_ZEN15</x:v>
      </x:c>
      <x:c r="AJ49" s="20" t="str">
        <x:v>https://www.annualreports.com/HostedData/AnnualReportArchive/z/LSE_ZENB_2015.pdf</x:v>
      </x:c>
      <x:c r="AK49" s="20" t="str">
        <x:v>Prior source-selection policy retained; original evidence preserved in accompanying pack.</x:v>
      </x:c>
      <x:c r="AL49" s="20" t="str">
        <x:v>Reported total loan allowance</x:v>
      </x:c>
      <x:c r="AM49" s="20" t="str">
        <x:v>Prior selected basis; see evidence notes</x:v>
      </x:c>
      <x:c r="AN49" s="20" t="str">
        <x:v>Prior selected evidence</x:v>
      </x:c>
    </x:row>
    <x:row r="50" ht="60" customHeight="1">
      <x:c r="A50" s="20" t="str">
        <x:v>Zenith</x:v>
      </x:c>
      <x:c r="B50" s="24" t="n">
        <x:v>2015</x:v>
      </x:c>
      <x:c r="C50" s="18" t="str">
        <x:v>Tier 1</x:v>
      </x:c>
      <x:c r="D50" s="18" t="str">
        <x:v>IAS 39</x:v>
      </x:c>
      <x:c r="E50" s="22" t="n">
        <x:v>98784</x:v>
      </x:c>
      <x:c r="F50" s="22" t="n">
        <x:v>3750327</x:v>
      </x:c>
      <x:c r="G50" s="22" t="n">
        <x:v>3203381</x:v>
      </x:c>
      <x:c r="H50" s="22" t="n">
        <x:v>546946</x:v>
      </x:c>
      <x:c r="I50" s="22" t="n">
        <x:v>-415396</x:v>
      </x:c>
      <x:c r="J50" s="22" t="n">
        <x:v>3423819</x:v>
      </x:c>
      <x:c r="K50" s="22" t="n">
        <x:v>1884941</x:v>
      </x:c>
      <x:c r="L50" s="22" t="n">
        <x:v>35716</x:v>
      </x:c>
      <x:c r="M50" s="22"/>
      <x:c r="N50" s="22" t="n">
        <x:v>11091</x:v>
      </x:c>
      <x:c r="O50" s="22"/>
      <x:c r="P50" s="22"/>
      <x:c r="Q50" s="22"/>
      <x:c r="R50" s="22"/>
      <x:c r="S50" s="22"/>
      <x:c r="T50" s="22" t="n">
        <x:v>20</x:v>
      </x:c>
      <x:c r="U50" s="22"/>
      <x:c r="V50" s="22"/>
      <x:c r="W50" s="22"/>
      <x:c r="X50" s="24"/>
      <x:c r="Y50" s="22"/>
      <x:c r="Z50" s="22"/>
      <x:c r="AA50" s="22"/>
      <x:c r="AB50" s="22" t="n">
        <x:v>30871</x:v>
      </x:c>
      <x:c r="AC50" s="22"/>
      <x:c r="AD50" s="22"/>
      <x:c r="AE50" s="22"/>
      <x:c r="AF50" s="24"/>
      <x:c r="AG50" s="22"/>
      <x:c r="AH50" s="22"/>
      <x:c r="AI50" s="20" t="str">
        <x:v>DS_ZEN15</x:v>
      </x:c>
      <x:c r="AJ50" s="20" t="str">
        <x:v>https://www.annualreports.com/HostedData/AnnualReportArchive/z/LSE_ZENB_2015.pdf</x:v>
      </x:c>
      <x:c r="AK50" s="20" t="str">
        <x:v>Prior source-selection policy retained; original evidence preserved in accompanying pack.</x:v>
      </x:c>
      <x:c r="AL50" s="20" t="str">
        <x:v>Reported total loan allowance</x:v>
      </x:c>
      <x:c r="AM50" s="20" t="str">
        <x:v>Prior selected basis; see evidence notes</x:v>
      </x:c>
      <x:c r="AN50" s="20" t="str">
        <x:v>Prior selected evidence</x:v>
      </x:c>
    </x:row>
    <x:row r="51" ht="60" customHeight="1">
      <x:c r="A51" s="20" t="str">
        <x:v>Zenith</x:v>
      </x:c>
      <x:c r="B51" s="24" t="n">
        <x:v>2021</x:v>
      </x:c>
      <x:c r="C51" s="18" t="str">
        <x:v>Tier 1</x:v>
      </x:c>
      <x:c r="D51" s="18" t="str">
        <x:v>IFRS 9</x:v>
      </x:c>
      <x:c r="E51" s="22" t="n">
        <x:v>233133</x:v>
      </x:c>
      <x:c r="F51" s="22" t="n">
        <x:v>7872292</x:v>
      </x:c>
      <x:c r="G51" s="22" t="n">
        <x:v>6822517</x:v>
      </x:c>
      <x:c r="H51" s="22" t="n">
        <x:v>1049775</x:v>
      </x:c>
      <x:c r="I51" s="22" t="n">
        <x:v>457857</x:v>
      </x:c>
      <x:c r="J51" s="22"/>
      <x:c r="K51" s="22" t="n">
        <x:v>3237973</x:v>
      </x:c>
      <x:c r="L51" s="22" t="n">
        <x:v>138521</x:v>
      </x:c>
      <x:c r="M51" s="22" t="n">
        <x:v>3099452</x:v>
      </x:c>
      <x:c r="N51" s="22" t="n">
        <x:v>56175</x:v>
      </x:c>
      <x:c r="O51" s="22"/>
      <x:c r="P51" s="22"/>
      <x:c r="Q51" s="22"/>
      <x:c r="R51" s="22" t="n">
        <x:v>985934</x:v>
      </x:c>
      <x:c r="S51" s="22" t="n">
        <x:v>5032121</x:v>
      </x:c>
      <x:c r="T51" s="22" t="n">
        <x:v>20</x:v>
      </x:c>
      <x:c r="U51" s="22"/>
      <x:c r="V51" s="22"/>
      <x:c r="W51" s="22"/>
      <x:c r="X51" s="24"/>
      <x:c r="Y51" s="22"/>
      <x:c r="Z51" s="22"/>
      <x:c r="AA51" s="22"/>
      <x:c r="AB51" s="22"/>
      <x:c r="AC51" s="22"/>
      <x:c r="AD51" s="22"/>
      <x:c r="AE51" s="22"/>
      <x:c r="AF51" s="24"/>
      <x:c r="AG51" s="22" t="n">
        <x:v>257167</x:v>
      </x:c>
      <x:c r="AH51" s="22"/>
      <x:c r="AI51" s="20" t="str">
        <x:v>ZEN22</x:v>
      </x:c>
      <x:c r="AJ51" s="20" t="str">
        <x:v>https://www.annualreports.com/HostedData/AnnualReportArchive/z/LSE_ZENB_2022.pdf</x:v>
      </x:c>
      <x:c r="AK51" s="20" t="str">
        <x:v>Prior source-selection policy retained; original evidence preserved in accompanying pack.</x:v>
      </x:c>
      <x:c r="AL51" s="20" t="str"/>
      <x:c r="AM51" s="20" t="str">
        <x:v>Prior selected basis; see evidence notes</x:v>
      </x:c>
      <x:c r="AN51" s="20" t="str">
        <x:v>Prior selected evidence</x:v>
      </x:c>
    </x:row>
    <x:row r="52" ht="60" customHeight="1">
      <x:c r="A52" s="20" t="str">
        <x:v>Zenith</x:v>
      </x:c>
      <x:c r="B52" s="24" t="n">
        <x:v>2022</x:v>
      </x:c>
      <x:c r="C52" s="18" t="str">
        <x:v>Tier 1</x:v>
      </x:c>
      <x:c r="D52" s="18" t="str">
        <x:v>IFRS 9</x:v>
      </x:c>
      <x:c r="E52" s="22" t="n">
        <x:v>234593</x:v>
      </x:c>
      <x:c r="F52" s="22" t="n">
        <x:v>10570678</x:v>
      </x:c>
      <x:c r="G52" s="22" t="n">
        <x:v>9375531</x:v>
      </x:c>
      <x:c r="H52" s="22" t="n">
        <x:v>1195147</x:v>
      </x:c>
      <x:c r="I52" s="22" t="n">
        <x:v>1279758</x:v>
      </x:c>
      <x:c r="J52" s="22" t="n">
        <x:v>7872292</x:v>
      </x:c>
      <x:c r="K52" s="22" t="n">
        <x:v>3838805</x:v>
      </x:c>
      <x:c r="L52" s="22" t="n">
        <x:v>103129</x:v>
      </x:c>
      <x:c r="M52" s="22" t="n">
        <x:v>3735676</x:v>
      </x:c>
      <x:c r="N52" s="22" t="n">
        <x:v>61896</x:v>
      </x:c>
      <x:c r="O52" s="22"/>
      <x:c r="P52" s="22"/>
      <x:c r="Q52" s="22"/>
      <x:c r="R52" s="22" t="n">
        <x:v>1042652</x:v>
      </x:c>
      <x:c r="S52" s="22" t="n">
        <x:v>5488669</x:v>
      </x:c>
      <x:c r="T52" s="22" t="n">
        <x:v>19</x:v>
      </x:c>
      <x:c r="U52" s="22"/>
      <x:c r="V52" s="22"/>
      <x:c r="W52" s="22"/>
      <x:c r="X52" s="24"/>
      <x:c r="Y52" s="22"/>
      <x:c r="Z52" s="22"/>
      <x:c r="AA52" s="22"/>
      <x:c r="AB52" s="22"/>
      <x:c r="AC52" s="22"/>
      <x:c r="AD52" s="22"/>
      <x:c r="AE52" s="22"/>
      <x:c r="AF52" s="24"/>
      <x:c r="AG52" s="22" t="n">
        <x:v>294050</x:v>
      </x:c>
      <x:c r="AH52" s="22"/>
      <x:c r="AI52" s="20" t="str">
        <x:v>ZEN22</x:v>
      </x:c>
      <x:c r="AJ52" s="20" t="str">
        <x:v>https://www.annualreports.com/HostedData/AnnualReportArchive/z/LSE_ZENB_2022.pdf</x:v>
      </x:c>
      <x:c r="AK52" s="20" t="str">
        <x:v>Prior source-selection policy retained; original evidence preserved in accompanying pack.</x:v>
      </x:c>
      <x:c r="AL52" s="20" t="str"/>
      <x:c r="AM52" s="20" t="str">
        <x:v>Prior selected basis; see evidence notes</x:v>
      </x:c>
      <x:c r="AN52" s="20" t="str">
        <x:v>Prior selected evidence</x:v>
      </x:c>
    </x:row>
  </x:sheetData>
  <x:mergeCells>
    <x:mergeCell ref="A1:AN1"/>
    <x:mergeCell ref="A2:AN3"/>
  </x:mergeCells>
  <x:pageMargins left="0.7" right="0.7" top="0.75" bottom="0.75" header="0.3" footer="0.3"/>
  <x:tableParts count="1">
    <x:tablePart xmlns:r="http://schemas.openxmlformats.org/officeDocument/2006/relationships" r:id="R2776874d3a324e7f"/>
  </x:tableParts>
</x:worksheet>
</file>

<file path=xl/worksheets/sheet2.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1" hidden="0" customWidth="1"/>
    <x:col min="2" max="2" width="10"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40" hidden="0" customWidth="1"/>
  </x:cols>
  <x:sheetData>
    <x:row r="1" ht="30" customHeight="1">
      <x:c r="A1" s="3" t="str">
        <x:v>RECOMPUTED RATIOS AND RECONCILIATIONS</x:v>
      </x:c>
      <x:c r="B1" s="3"/>
      <x:c r="C1" s="3"/>
      <x:c r="D1" s="3"/>
      <x:c r="E1" s="3"/>
      <x:c r="F1" s="3"/>
      <x:c r="G1" s="3"/>
      <x:c r="H1" s="3"/>
      <x:c r="I1" s="3"/>
      <x:c r="J1" s="3"/>
      <x:c r="K1" s="3"/>
      <x:c r="L1" s="3"/>
      <x:c r="M1" s="3"/>
      <x:c r="N1" s="3"/>
      <x:c r="O1" s="3"/>
      <x:c r="P1" s="3"/>
      <x:c r="Q1" s="3"/>
      <x:c r="R1" s="3"/>
      <x:c r="S1" s="3"/>
      <x:c r="T1" s="3"/>
      <x:c r="U1" s="3"/>
    </x:row>
    <x:row r="2" ht="25" customHeight="1">
      <x:c r="A2" s="8" t="str">
        <x:v>Percent measures are numeric percentage points, not Excel percentage fractions. ROA and OCF use matched average assets. Broad NPL coverage is total customer-loan allowance / NPL, not NPL-specific coverage. CAR buffer uses the reported basis and documented year-specific minimum.</x:v>
      </x:c>
      <x:c r="B2" s="8"/>
      <x:c r="C2" s="8"/>
      <x:c r="D2" s="8"/>
      <x:c r="E2" s="8"/>
      <x:c r="F2" s="8"/>
      <x:c r="G2" s="8"/>
      <x:c r="H2" s="8"/>
      <x:c r="I2" s="8"/>
      <x:c r="J2" s="8"/>
      <x:c r="K2" s="8"/>
      <x:c r="L2" s="8"/>
      <x:c r="M2" s="8"/>
      <x:c r="N2" s="8"/>
      <x:c r="O2" s="8"/>
      <x:c r="P2" s="8"/>
      <x:c r="Q2" s="8"/>
      <x:c r="R2" s="8"/>
      <x:c r="S2" s="8"/>
      <x:c r="T2" s="8"/>
      <x:c r="U2" s="8"/>
    </x:row>
    <x:row r="3" ht="20" customHeight="1">
      <x:c r="A3" s="8"/>
      <x:c r="B3" s="8"/>
      <x:c r="C3" s="8"/>
      <x:c r="D3" s="8"/>
      <x:c r="E3" s="8"/>
      <x:c r="F3" s="8"/>
      <x:c r="G3" s="8"/>
      <x:c r="H3" s="8"/>
      <x:c r="I3" s="8"/>
      <x:c r="J3" s="8"/>
      <x:c r="K3" s="8"/>
      <x:c r="L3" s="8"/>
      <x:c r="M3" s="8"/>
      <x:c r="N3" s="8"/>
      <x:c r="O3" s="8"/>
      <x:c r="P3" s="8"/>
      <x:c r="Q3" s="8"/>
      <x:c r="R3" s="8"/>
      <x:c r="S3" s="8"/>
      <x:c r="T3" s="8"/>
      <x:c r="U3" s="8"/>
    </x:row>
    <x:row r="5" ht="34" customHeight="1">
      <x:c r="A5" s="14" t="str">
        <x:v>bank</x:v>
      </x:c>
      <x:c r="B5" s="14" t="str">
        <x:v>year</x:v>
      </x:c>
      <x:c r="C5" s="14" t="str">
        <x:v>average_assets</x:v>
      </x:c>
      <x:c r="D5" s="14" t="str">
        <x:v>roa</x:v>
      </x:c>
      <x:c r="E5" s="14" t="str">
        <x:v>eqta</x:v>
      </x:c>
      <x:c r="F5" s="14" t="str">
        <x:v>ocf_ratio</x:v>
      </x:c>
      <x:c r="G5" s="14" t="str">
        <x:v>allr</x:v>
      </x:c>
      <x:c r="H5" s="14" t="str">
        <x:v>car_computed</x:v>
      </x:c>
      <x:c r="I5" s="14" t="str">
        <x:v>impairment_assets</x:v>
      </x:c>
      <x:c r="J5" s="14" t="str">
        <x:v>broad_coverage</x:v>
      </x:c>
      <x:c r="K5" s="14" t="str">
        <x:v>npl_calc</x:v>
      </x:c>
      <x:c r="L5" s="14" t="str">
        <x:v>stage3_ratio</x:v>
      </x:c>
      <x:c r="M5" s="14" t="str">
        <x:v>stage3_coverage</x:v>
      </x:c>
      <x:c r="N5" s="14" t="str">
        <x:v>roa_closing</x:v>
      </x:c>
      <x:c r="O5" s="14" t="str">
        <x:v>leverage</x:v>
      </x:c>
      <x:c r="P5" s="14" t="str">
        <x:v>ln_assets</x:v>
      </x:c>
      <x:c r="Q5" s="14" t="str">
        <x:v>balance_residual</x:v>
      </x:c>
      <x:c r="R5" s="14" t="str">
        <x:v>loan_residual</x:v>
      </x:c>
      <x:c r="S5" s="14" t="str">
        <x:v>liquidity_accepted</x:v>
      </x:c>
      <x:c r="T5" s="14" t="str">
        <x:v>car_buffer</x:v>
      </x:c>
      <x:c r="U5" s="14" t="str">
        <x:v>version_note</x:v>
      </x:c>
    </x:row>
    <x:row r="6" ht="28" customHeight="1">
      <x:c r="A6" s="18" t="str">
        <x:f>'Selected_Inputs'!A6</x:f>
        <x:v>Access</x:v>
      </x:c>
      <x:c r="B6" s="24" t="n">
        <x:f>'Selected_Inputs'!B6</x:f>
        <x:v>2013</x:v>
      </x:c>
      <x:c r="C6" s="22" t="str">
        <x:f>IF(COUNT('Selected_Inputs'!F6,'Selected_Inputs'!J6)=2,IF(AND('Selected_Inputs'!F6&gt;0,'Selected_Inputs'!J6&gt;0),('Selected_Inputs'!F6+'Selected_Inputs'!J6)/2,""),"")</x:f>
      </x:c>
      <x:c r="D6" s="22" t="str">
        <x:f>IF(COUNT('Selected_Inputs'!E6,C6)=2,IF(C6&gt;0,100*'Selected_Inputs'!E6/C6,""),"")</x:f>
      </x:c>
      <x:c r="E6" s="22" t="n">
        <x:f>IF(COUNT('Selected_Inputs'!H6,'Selected_Inputs'!F6)=2,IF('Selected_Inputs'!F6&gt;0,100*'Selected_Inputs'!H6/'Selected_Inputs'!F6,""),"")</x:f>
        <x:v>14.387821110423571</x:v>
      </x:c>
      <x:c r="F6" s="22" t="str">
        <x:f>IF(COUNT('Selected_Inputs'!I6,C6)=2,IF(C6&gt;0,100*'Selected_Inputs'!I6/C6,""),"")</x:f>
      </x:c>
      <x:c r="G6" s="22" t="str">
        <x:f>IF(COUNT('Selected_Inputs'!L6,'Selected_Inputs'!K6)=2,IF('Selected_Inputs'!K6&gt;0,100*'Selected_Inputs'!L6/'Selected_Inputs'!K6,""),"")</x:f>
      </x:c>
      <x:c r="H6" s="22" t="str">
        <x:f>IF(COUNT('Selected_Inputs'!R6,'Selected_Inputs'!S6)=2,IF('Selected_Inputs'!S6&gt;0,100*'Selected_Inputs'!R6/'Selected_Inputs'!S6,""),"")</x:f>
      </x:c>
      <x:c r="I6" s="22" t="str">
        <x:f>IF(COUNT('Selected_Inputs'!N6,C6)=2,IF(C6&gt;0,100*'Selected_Inputs'!N6/C6,""),"")</x:f>
      </x:c>
      <x:c r="J6" s="22" t="str">
        <x:f>IF(COUNT('Selected_Inputs'!L6,'Selected_Inputs'!AB6)=2,IF('Selected_Inputs'!AB6&gt;0,100*'Selected_Inputs'!L6/'Selected_Inputs'!AB6,""),"")</x:f>
      </x:c>
      <x:c r="K6" s="22" t="str">
        <x:f>IF(COUNT('Selected_Inputs'!AB6,'Selected_Inputs'!K6)=2,IF('Selected_Inputs'!K6&gt;0,100*'Selected_Inputs'!AB6/'Selected_Inputs'!K6,""),"")</x:f>
      </x:c>
      <x:c r="L6" s="22" t="str">
        <x:f>IF(COUNT('Selected_Inputs'!AD6,'Selected_Inputs'!K6)=2,IF('Selected_Inputs'!K6&gt;0,100*'Selected_Inputs'!AD6/'Selected_Inputs'!K6,""),"")</x:f>
      </x:c>
      <x:c r="M6" s="22" t="str">
        <x:f>IF(COUNT('Selected_Inputs'!AE6,'Selected_Inputs'!AD6)=2,IF('Selected_Inputs'!AD6&gt;0,100*'Selected_Inputs'!AE6/'Selected_Inputs'!AD6,""),"")</x:f>
      </x:c>
      <x:c r="N6" s="22" t="n">
        <x:f>IF(COUNT('Selected_Inputs'!E6,'Selected_Inputs'!F6)=2,IF('Selected_Inputs'!F6&gt;0,100*'Selected_Inputs'!E6/'Selected_Inputs'!F6,""),"")</x:f>
        <x:v>1.5381688929964972</x:v>
      </x:c>
      <x:c r="O6" s="22" t="n">
        <x:f>IF(COUNT('Selected_Inputs'!G6,'Selected_Inputs'!F6)=2,IF('Selected_Inputs'!F6&gt;0,100*'Selected_Inputs'!G6/'Selected_Inputs'!F6,""),"")</x:f>
        <x:v>85.61217888957643</x:v>
      </x:c>
      <x:c r="P6" s="22" t="n">
        <x:f>IF(COUNT('Selected_Inputs'!F6)=1,IF('Selected_Inputs'!F6&gt;0,LN('Selected_Inputs'!F6),""),"")</x:f>
        <x:v>14.348544156211016</x:v>
      </x:c>
      <x:c r="Q6" s="22" t="n">
        <x:f>IF(COUNT('Selected_Inputs'!F6,'Selected_Inputs'!G6,'Selected_Inputs'!H6)=3,'Selected_Inputs'!F6-'Selected_Inputs'!G6-'Selected_Inputs'!H6,"")</x:f>
        <x:v>1.4551915228366852e-10</x:v>
      </x:c>
      <x:c r="R6" s="22" t="str">
        <x:f>IF(COUNT('Selected_Inputs'!K6,'Selected_Inputs'!L6,'Selected_Inputs'!M6)=3,'Selected_Inputs'!K6-'Selected_Inputs'!L6-'Selected_Inputs'!M6,"")</x:f>
      </x:c>
      <x:c r="S6" s="22" t="str">
        <x:f>IF(AND('Selected_Inputs'!X6=1,COUNT('Selected_Inputs'!W6)=1),'Selected_Inputs'!W6,"")</x:f>
      </x:c>
      <x:c r="T6" s="22" t="str">
        <x:f>IF(COUNT('Selected_Inputs'!T6,'Selected_Inputs'!V6)=2,'Selected_Inputs'!T6-'Selected_Inputs'!V6,"")</x:f>
      </x:c>
      <x:c r="U6" s="20" t="str">
        <x:f>'Selected_Inputs'!AK6</x:f>
        <x:v>Prior source-selection policy retained; original evidence preserved in accompanying pack.</x:v>
      </x:c>
    </x:row>
    <x:row r="7" ht="28" customHeight="1">
      <x:c r="A7" s="18" t="str">
        <x:f>'Selected_Inputs'!A7</x:f>
        <x:v>Access</x:v>
      </x:c>
      <x:c r="B7" s="24" t="n">
        <x:f>'Selected_Inputs'!B7</x:f>
        <x:v>2014</x:v>
      </x:c>
      <x:c r="C7" s="22" t="n">
        <x:f>IF(COUNT('Selected_Inputs'!F7,'Selected_Inputs'!J7)=2,IF(AND('Selected_Inputs'!F7&gt;0,'Selected_Inputs'!J7&gt;0),('Selected_Inputs'!F7+'Selected_Inputs'!J7)/2,""),"")</x:f>
        <x:v>1843024.871</x:v>
      </x:c>
      <x:c r="D7" s="22" t="n">
        <x:f>IF(COUNT('Selected_Inputs'!E7,C7)=2,IF(C7&gt;0,100*'Selected_Inputs'!E7/C7,""),"")</x:f>
        <x:v>2.1671506786736137</x:v>
      </x:c>
      <x:c r="E7" s="22" t="n">
        <x:f>IF(COUNT('Selected_Inputs'!H7,'Selected_Inputs'!F7)=2,IF('Selected_Inputs'!F7&gt;0,100*'Selected_Inputs'!H7/'Selected_Inputs'!F7,""),"")</x:f>
        <x:v>13.832588732948135</x:v>
      </x:c>
      <x:c r="F7" s="22" t="str">
        <x:f>IF(COUNT('Selected_Inputs'!I7,C7)=2,IF(C7&gt;0,100*'Selected_Inputs'!I7/C7,""),"")</x:f>
      </x:c>
      <x:c r="G7" s="22" t="str">
        <x:f>IF(COUNT('Selected_Inputs'!L7,'Selected_Inputs'!K7)=2,IF('Selected_Inputs'!K7&gt;0,100*'Selected_Inputs'!L7/'Selected_Inputs'!K7,""),"")</x:f>
      </x:c>
      <x:c r="H7" s="22" t="str">
        <x:f>IF(COUNT('Selected_Inputs'!R7,'Selected_Inputs'!S7)=2,IF('Selected_Inputs'!S7&gt;0,100*'Selected_Inputs'!R7/'Selected_Inputs'!S7,""),"")</x:f>
      </x:c>
      <x:c r="I7" s="22" t="n">
        <x:f>IF(COUNT('Selected_Inputs'!N7,C7)=2,IF(C7&gt;0,100*'Selected_Inputs'!N7/C7,""),"")</x:f>
        <x:v>0.5756460570303394</x:v>
      </x:c>
      <x:c r="J7" s="22" t="str">
        <x:f>IF(COUNT('Selected_Inputs'!L7,'Selected_Inputs'!AB7)=2,IF('Selected_Inputs'!AB7&gt;0,100*'Selected_Inputs'!L7/'Selected_Inputs'!AB7,""),"")</x:f>
      </x:c>
      <x:c r="K7" s="22" t="str">
        <x:f>IF(COUNT('Selected_Inputs'!AB7,'Selected_Inputs'!K7)=2,IF('Selected_Inputs'!K7&gt;0,100*'Selected_Inputs'!AB7/'Selected_Inputs'!K7,""),"")</x:f>
      </x:c>
      <x:c r="L7" s="22" t="str">
        <x:f>IF(COUNT('Selected_Inputs'!AD7,'Selected_Inputs'!K7)=2,IF('Selected_Inputs'!K7&gt;0,100*'Selected_Inputs'!AD7/'Selected_Inputs'!K7,""),"")</x:f>
      </x:c>
      <x:c r="M7" s="22" t="str">
        <x:f>IF(COUNT('Selected_Inputs'!AE7,'Selected_Inputs'!AD7)=2,IF('Selected_Inputs'!AD7&gt;0,100*'Selected_Inputs'!AE7/'Selected_Inputs'!AD7,""),"")</x:f>
      </x:c>
      <x:c r="N7" s="22" t="n">
        <x:f>IF(COUNT('Selected_Inputs'!E7,'Selected_Inputs'!F7)=2,IF('Selected_Inputs'!F7&gt;0,100*'Selected_Inputs'!E7/'Selected_Inputs'!F7,""),"")</x:f>
        <x:v>2.015238049741908</x:v>
      </x:c>
      <x:c r="O7" s="22" t="n">
        <x:f>IF(COUNT('Selected_Inputs'!G7,'Selected_Inputs'!F7)=2,IF('Selected_Inputs'!F7&gt;0,100*'Selected_Inputs'!G7/'Selected_Inputs'!F7,""),"")</x:f>
        <x:v>86.16741121659663</x:v>
      </x:c>
      <x:c r="P7" s="22" t="n">
        <x:f>IF(COUNT('Selected_Inputs'!F7)=1,IF('Selected_Inputs'!F7&gt;0,LN('Selected_Inputs'!F7),""),"")</x:f>
        <x:v>14.499594657598399</x:v>
      </x:c>
      <x:c r="Q7" s="22" t="n">
        <x:f>IF(COUNT('Selected_Inputs'!F7,'Selected_Inputs'!G7,'Selected_Inputs'!H7)=3,'Selected_Inputs'!F7-'Selected_Inputs'!G7-'Selected_Inputs'!H7,"")</x:f>
        <x:v>0.0010000001057051122</x:v>
      </x:c>
      <x:c r="R7" s="22" t="str">
        <x:f>IF(COUNT('Selected_Inputs'!K7,'Selected_Inputs'!L7,'Selected_Inputs'!M7)=3,'Selected_Inputs'!K7-'Selected_Inputs'!L7-'Selected_Inputs'!M7,"")</x:f>
      </x:c>
      <x:c r="S7" s="22" t="str">
        <x:f>IF(AND('Selected_Inputs'!X7=1,COUNT('Selected_Inputs'!W7)=1),'Selected_Inputs'!W7,"")</x:f>
      </x:c>
      <x:c r="T7" s="22" t="str">
        <x:f>IF(COUNT('Selected_Inputs'!T7,'Selected_Inputs'!V7)=2,'Selected_Inputs'!T7-'Selected_Inputs'!V7,"")</x:f>
      </x:c>
      <x:c r="U7" s="20" t="str">
        <x:f>'Selected_Inputs'!AK7</x:f>
        <x:v>Prior source-selection policy retained; original evidence preserved in accompanying pack.</x:v>
      </x:c>
    </x:row>
    <x:row r="8" ht="28" customHeight="1">
      <x:c r="A8" s="18" t="str">
        <x:f>'Selected_Inputs'!A8</x:f>
        <x:v>Ecobank Nigeria</x:v>
      </x:c>
      <x:c r="B8" s="24" t="n">
        <x:f>'Selected_Inputs'!B8</x:f>
        <x:v>2016</x:v>
      </x:c>
      <x:c r="C8" s="22" t="str">
        <x:f>IF(COUNT('Selected_Inputs'!F8,'Selected_Inputs'!J8)=2,IF(AND('Selected_Inputs'!F8&gt;0,'Selected_Inputs'!J8&gt;0),('Selected_Inputs'!F8+'Selected_Inputs'!J8)/2,""),"")</x:f>
      </x:c>
      <x:c r="D8" s="22" t="str">
        <x:f>IF(COUNT('Selected_Inputs'!E8,C8)=2,IF(C8&gt;0,100*'Selected_Inputs'!E8/C8,""),"")</x:f>
      </x:c>
      <x:c r="E8" s="22" t="n">
        <x:f>IF(COUNT('Selected_Inputs'!H8,'Selected_Inputs'!F8)=2,IF('Selected_Inputs'!F8&gt;0,100*'Selected_Inputs'!H8/'Selected_Inputs'!F8,""),"")</x:f>
        <x:v>12.20761038273091</x:v>
      </x:c>
      <x:c r="F8" s="22" t="str">
        <x:f>IF(COUNT('Selected_Inputs'!I8,C8)=2,IF(C8&gt;0,100*'Selected_Inputs'!I8/C8,""),"")</x:f>
      </x:c>
      <x:c r="G8" s="22" t="str">
        <x:f>IF(COUNT('Selected_Inputs'!L8,'Selected_Inputs'!K8)=2,IF('Selected_Inputs'!K8&gt;0,100*'Selected_Inputs'!L8/'Selected_Inputs'!K8,""),"")</x:f>
      </x:c>
      <x:c r="H8" s="22" t="str">
        <x:f>IF(COUNT('Selected_Inputs'!R8,'Selected_Inputs'!S8)=2,IF('Selected_Inputs'!S8&gt;0,100*'Selected_Inputs'!R8/'Selected_Inputs'!S8,""),"")</x:f>
      </x:c>
      <x:c r="I8" s="22" t="str">
        <x:f>IF(COUNT('Selected_Inputs'!N8,C8)=2,IF(C8&gt;0,100*'Selected_Inputs'!N8/C8,""),"")</x:f>
      </x:c>
      <x:c r="J8" s="22" t="str">
        <x:f>IF(COUNT('Selected_Inputs'!L8,'Selected_Inputs'!AB8)=2,IF('Selected_Inputs'!AB8&gt;0,100*'Selected_Inputs'!L8/'Selected_Inputs'!AB8,""),"")</x:f>
      </x:c>
      <x:c r="K8" s="22" t="str">
        <x:f>IF(COUNT('Selected_Inputs'!AB8,'Selected_Inputs'!K8)=2,IF('Selected_Inputs'!K8&gt;0,100*'Selected_Inputs'!AB8/'Selected_Inputs'!K8,""),"")</x:f>
      </x:c>
      <x:c r="L8" s="22" t="str">
        <x:f>IF(COUNT('Selected_Inputs'!AD8,'Selected_Inputs'!K8)=2,IF('Selected_Inputs'!K8&gt;0,100*'Selected_Inputs'!AD8/'Selected_Inputs'!K8,""),"")</x:f>
      </x:c>
      <x:c r="M8" s="22" t="str">
        <x:f>IF(COUNT('Selected_Inputs'!AE8,'Selected_Inputs'!AD8)=2,IF('Selected_Inputs'!AD8&gt;0,100*'Selected_Inputs'!AE8/'Selected_Inputs'!AD8,""),"")</x:f>
      </x:c>
      <x:c r="N8" s="22" t="n">
        <x:f>IF(COUNT('Selected_Inputs'!E8,'Selected_Inputs'!F8)=2,IF('Selected_Inputs'!F8&gt;0,100*'Selected_Inputs'!E8/'Selected_Inputs'!F8,""),"")</x:f>
        <x:v>0.3196013498457011</x:v>
      </x:c>
      <x:c r="O8" s="22" t="n">
        <x:f>IF(COUNT('Selected_Inputs'!G8,'Selected_Inputs'!F8)=2,IF('Selected_Inputs'!F8&gt;0,100*'Selected_Inputs'!G8/'Selected_Inputs'!F8,""),"")</x:f>
        <x:v>87.7923896172691</x:v>
      </x:c>
      <x:c r="P8" s="22" t="n">
        <x:f>IF(COUNT('Selected_Inputs'!F8)=1,IF('Selected_Inputs'!F8&gt;0,LN('Selected_Inputs'!F8),""),"")</x:f>
        <x:v>14.408009989206201</x:v>
      </x:c>
      <x:c r="Q8" s="22" t="n">
        <x:f>IF(COUNT('Selected_Inputs'!F8,'Selected_Inputs'!G8,'Selected_Inputs'!H8)=3,'Selected_Inputs'!F8-'Selected_Inputs'!G8-'Selected_Inputs'!H8,"")</x:f>
        <x:v>0</x:v>
      </x:c>
      <x:c r="R8" s="22" t="str">
        <x:f>IF(COUNT('Selected_Inputs'!K8,'Selected_Inputs'!L8,'Selected_Inputs'!M8)=3,'Selected_Inputs'!K8-'Selected_Inputs'!L8-'Selected_Inputs'!M8,"")</x:f>
      </x:c>
      <x:c r="S8" s="22" t="str">
        <x:f>IF(AND('Selected_Inputs'!X8=1,COUNT('Selected_Inputs'!W8)=1),'Selected_Inputs'!W8,"")</x:f>
      </x:c>
      <x:c r="T8" s="22" t="str">
        <x:f>IF(COUNT('Selected_Inputs'!T8,'Selected_Inputs'!V8)=2,'Selected_Inputs'!T8-'Selected_Inputs'!V8,"")</x:f>
      </x:c>
      <x:c r="U8" s="20" t="str">
        <x:f>'Selected_Inputs'!AK8</x:f>
        <x:v>Prior source-selection policy retained; original evidence preserved in accompanying pack.</x:v>
      </x:c>
    </x:row>
    <x:row r="9" ht="28" customHeight="1">
      <x:c r="A9" s="18" t="str">
        <x:f>'Selected_Inputs'!A9</x:f>
        <x:v>Ecobank Nigeria</x:v>
      </x:c>
      <x:c r="B9" s="24" t="n">
        <x:f>'Selected_Inputs'!B9</x:f>
        <x:v>2017</x:v>
      </x:c>
      <x:c r="C9" s="22" t="n">
        <x:f>IF(COUNT('Selected_Inputs'!F9,'Selected_Inputs'!J9)=2,IF(AND('Selected_Inputs'!F9&gt;0,'Selected_Inputs'!J9&gt;0),('Selected_Inputs'!F9+'Selected_Inputs'!J9)/2,""),"")</x:f>
        <x:v>1819132</x:v>
      </x:c>
      <x:c r="D9" s="22" t="n">
        <x:f>IF(COUNT('Selected_Inputs'!E9,C9)=2,IF(C9&gt;0,100*'Selected_Inputs'!E9/C9,""),"")</x:f>
        <x:v>1.1106395797556197</x:v>
      </x:c>
      <x:c r="E9" s="22" t="n">
        <x:f>IF(COUNT('Selected_Inputs'!H9,'Selected_Inputs'!F9)=2,IF('Selected_Inputs'!F9&gt;0,100*'Selected_Inputs'!H9/'Selected_Inputs'!F9,""),"")</x:f>
        <x:v>14.610050165021551</x:v>
      </x:c>
      <x:c r="F9" s="22" t="str">
        <x:f>IF(COUNT('Selected_Inputs'!I9,C9)=2,IF(C9&gt;0,100*'Selected_Inputs'!I9/C9,""),"")</x:f>
      </x:c>
      <x:c r="G9" s="22" t="str">
        <x:f>IF(COUNT('Selected_Inputs'!L9,'Selected_Inputs'!K9)=2,IF('Selected_Inputs'!K9&gt;0,100*'Selected_Inputs'!L9/'Selected_Inputs'!K9,""),"")</x:f>
      </x:c>
      <x:c r="H9" s="22" t="str">
        <x:f>IF(COUNT('Selected_Inputs'!R9,'Selected_Inputs'!S9)=2,IF('Selected_Inputs'!S9&gt;0,100*'Selected_Inputs'!R9/'Selected_Inputs'!S9,""),"")</x:f>
      </x:c>
      <x:c r="I9" s="22" t="n">
        <x:f>IF(COUNT('Selected_Inputs'!N9,C9)=2,IF(C9&gt;0,100*'Selected_Inputs'!N9/C9,""),"")</x:f>
        <x:v>3.2928341648654413</x:v>
      </x:c>
      <x:c r="J9" s="22" t="str">
        <x:f>IF(COUNT('Selected_Inputs'!L9,'Selected_Inputs'!AB9)=2,IF('Selected_Inputs'!AB9&gt;0,100*'Selected_Inputs'!L9/'Selected_Inputs'!AB9,""),"")</x:f>
      </x:c>
      <x:c r="K9" s="22" t="str">
        <x:f>IF(COUNT('Selected_Inputs'!AB9,'Selected_Inputs'!K9)=2,IF('Selected_Inputs'!K9&gt;0,100*'Selected_Inputs'!AB9/'Selected_Inputs'!K9,""),"")</x:f>
      </x:c>
      <x:c r="L9" s="22" t="str">
        <x:f>IF(COUNT('Selected_Inputs'!AD9,'Selected_Inputs'!K9)=2,IF('Selected_Inputs'!K9&gt;0,100*'Selected_Inputs'!AD9/'Selected_Inputs'!K9,""),"")</x:f>
      </x:c>
      <x:c r="M9" s="22" t="str">
        <x:f>IF(COUNT('Selected_Inputs'!AE9,'Selected_Inputs'!AD9)=2,IF('Selected_Inputs'!AD9&gt;0,100*'Selected_Inputs'!AE9/'Selected_Inputs'!AD9,""),"")</x:f>
      </x:c>
      <x:c r="N9" s="22" t="n">
        <x:f>IF(COUNT('Selected_Inputs'!E9,'Selected_Inputs'!F9)=2,IF('Selected_Inputs'!F9&gt;0,100*'Selected_Inputs'!E9/'Selected_Inputs'!F9,""),"")</x:f>
        <x:v>1.1041879239966312</x:v>
      </x:c>
      <x:c r="O9" s="22" t="n">
        <x:f>IF(COUNT('Selected_Inputs'!G9,'Selected_Inputs'!F9)=2,IF('Selected_Inputs'!F9&gt;0,100*'Selected_Inputs'!G9/'Selected_Inputs'!F9,""),"")</x:f>
        <x:v>85.38994983497845</x:v>
      </x:c>
      <x:c r="P9" s="22" t="n">
        <x:f>IF(COUNT('Selected_Inputs'!F9)=1,IF('Selected_Inputs'!F9&gt;0,LN('Selected_Inputs'!F9),""),"")</x:f>
        <x:v>14.419695915195643</x:v>
      </x:c>
      <x:c r="Q9" s="22" t="n">
        <x:f>IF(COUNT('Selected_Inputs'!F9,'Selected_Inputs'!G9,'Selected_Inputs'!H9)=3,'Selected_Inputs'!F9-'Selected_Inputs'!G9-'Selected_Inputs'!H9,"")</x:f>
        <x:v>0</x:v>
      </x:c>
      <x:c r="R9" s="22" t="str">
        <x:f>IF(COUNT('Selected_Inputs'!K9,'Selected_Inputs'!L9,'Selected_Inputs'!M9)=3,'Selected_Inputs'!K9-'Selected_Inputs'!L9-'Selected_Inputs'!M9,"")</x:f>
      </x:c>
      <x:c r="S9" s="22" t="str">
        <x:f>IF(AND('Selected_Inputs'!X9=1,COUNT('Selected_Inputs'!W9)=1),'Selected_Inputs'!W9,"")</x:f>
      </x:c>
      <x:c r="T9" s="22" t="str">
        <x:f>IF(COUNT('Selected_Inputs'!T9,'Selected_Inputs'!V9)=2,'Selected_Inputs'!T9-'Selected_Inputs'!V9,"")</x:f>
      </x:c>
      <x:c r="U9" s="20" t="str">
        <x:f>'Selected_Inputs'!AK9</x:f>
        <x:v>Prior source-selection policy retained; original evidence preserved in accompanying pack.</x:v>
      </x:c>
    </x:row>
    <x:row r="10" ht="28" customHeight="1">
      <x:c r="A10" s="18" t="str">
        <x:f>'Selected_Inputs'!A10</x:f>
        <x:v>Fidelity</x:v>
      </x:c>
      <x:c r="B10" s="24" t="n">
        <x:f>'Selected_Inputs'!B10</x:f>
        <x:v>2013</x:v>
      </x:c>
      <x:c r="C10" s="22" t="n">
        <x:f>IF(COUNT('Selected_Inputs'!F10,'Selected_Inputs'!J10)=2,IF(AND('Selected_Inputs'!F10&gt;0,'Selected_Inputs'!J10&gt;0),('Selected_Inputs'!F10+'Selected_Inputs'!J10)/2,""),"")</x:f>
        <x:v>997788.5</x:v>
      </x:c>
      <x:c r="D10" s="22" t="n">
        <x:f>IF(COUNT('Selected_Inputs'!E10,C10)=2,IF(C10&gt;0,100*'Selected_Inputs'!E10/C10,""),"")</x:f>
        <x:v>0.7738112836538004</x:v>
      </x:c>
      <x:c r="E10" s="22" t="n">
        <x:f>IF(COUNT('Selected_Inputs'!H10,'Selected_Inputs'!F10)=2,IF('Selected_Inputs'!F10&gt;0,100*'Selected_Inputs'!H10/'Selected_Inputs'!F10,""),"")</x:f>
        <x:v>15.117686828823446</x:v>
      </x:c>
      <x:c r="F10" s="22" t="n">
        <x:f>IF(COUNT('Selected_Inputs'!I10,C10)=2,IF(C10&gt;0,100*'Selected_Inputs'!I10/C10,""),"")</x:f>
        <x:v>1.508135241085661</x:v>
      </x:c>
      <x:c r="G10" s="22" t="n">
        <x:f>IF(COUNT('Selected_Inputs'!L10,'Selected_Inputs'!K10)=2,IF('Selected_Inputs'!K10&gt;0,100*'Selected_Inputs'!L10/'Selected_Inputs'!K10,""),"")</x:f>
        <x:v>3.744050026092909</x:v>
      </x:c>
      <x:c r="H10" s="22" t="str">
        <x:f>IF(COUNT('Selected_Inputs'!R10,'Selected_Inputs'!S10)=2,IF('Selected_Inputs'!S10&gt;0,100*'Selected_Inputs'!R10/'Selected_Inputs'!S10,""),"")</x:f>
      </x:c>
      <x:c r="I10" s="22" t="n">
        <x:f>IF(COUNT('Selected_Inputs'!N10,C10)=2,IF(C10&gt;0,100*'Selected_Inputs'!N10/C10,""),"")</x:f>
        <x:v>0.7646911143994944</x:v>
      </x:c>
      <x:c r="J10" s="22" t="str">
        <x:f>IF(COUNT('Selected_Inputs'!L10,'Selected_Inputs'!AB10)=2,IF('Selected_Inputs'!AB10&gt;0,100*'Selected_Inputs'!L10/'Selected_Inputs'!AB10,""),"")</x:f>
      </x:c>
      <x:c r="K10" s="22" t="str">
        <x:f>IF(COUNT('Selected_Inputs'!AB10,'Selected_Inputs'!K10)=2,IF('Selected_Inputs'!K10&gt;0,100*'Selected_Inputs'!AB10/'Selected_Inputs'!K10,""),"")</x:f>
      </x:c>
      <x:c r="L10" s="22" t="str">
        <x:f>IF(COUNT('Selected_Inputs'!AD10,'Selected_Inputs'!K10)=2,IF('Selected_Inputs'!K10&gt;0,100*'Selected_Inputs'!AD10/'Selected_Inputs'!K10,""),"")</x:f>
      </x:c>
      <x:c r="M10" s="22" t="str">
        <x:f>IF(COUNT('Selected_Inputs'!AE10,'Selected_Inputs'!AD10)=2,IF('Selected_Inputs'!AD10&gt;0,100*'Selected_Inputs'!AE10/'Selected_Inputs'!AD10,""),"")</x:f>
      </x:c>
      <x:c r="N10" s="22" t="n">
        <x:f>IF(COUNT('Selected_Inputs'!E10,'Selected_Inputs'!F10)=2,IF('Selected_Inputs'!F10&gt;0,100*'Selected_Inputs'!E10/'Selected_Inputs'!F10,""),"")</x:f>
        <x:v>0.714102719435599</x:v>
      </x:c>
      <x:c r="O10" s="22" t="n">
        <x:f>IF(COUNT('Selected_Inputs'!G10,'Selected_Inputs'!F10)=2,IF('Selected_Inputs'!F10&gt;0,100*'Selected_Inputs'!G10/'Selected_Inputs'!F10,""),"")</x:f>
        <x:v>84.88231317117655</x:v>
      </x:c>
      <x:c r="P10" s="22" t="n">
        <x:f>IF(COUNT('Selected_Inputs'!F10)=1,IF('Selected_Inputs'!F10&gt;0,LN('Selected_Inputs'!F10),""),"")</x:f>
        <x:v>13.89359781653126</x:v>
      </x:c>
      <x:c r="Q10" s="22" t="n">
        <x:f>IF(COUNT('Selected_Inputs'!F10,'Selected_Inputs'!G10,'Selected_Inputs'!H10)=3,'Selected_Inputs'!F10-'Selected_Inputs'!G10-'Selected_Inputs'!H10,"")</x:f>
        <x:v>0</x:v>
      </x:c>
      <x:c r="R10" s="22" t="str">
        <x:f>IF(COUNT('Selected_Inputs'!K10,'Selected_Inputs'!L10,'Selected_Inputs'!M10)=3,'Selected_Inputs'!K10-'Selected_Inputs'!L10-'Selected_Inputs'!M10,"")</x:f>
      </x:c>
      <x:c r="S10" s="22" t="str">
        <x:f>IF(AND('Selected_Inputs'!X10=1,COUNT('Selected_Inputs'!W10)=1),'Selected_Inputs'!W10,"")</x:f>
      </x:c>
      <x:c r="T10" s="22" t="str">
        <x:f>IF(COUNT('Selected_Inputs'!T10,'Selected_Inputs'!V10)=2,'Selected_Inputs'!T10-'Selected_Inputs'!V10,"")</x:f>
      </x:c>
      <x:c r="U10" s="20" t="str">
        <x:f>'Selected_Inputs'!AK10</x:f>
        <x:v>Prior source-selection policy retained; original evidence preserved in accompanying pack.</x:v>
      </x:c>
    </x:row>
    <x:row r="11" ht="28" customHeight="1">
      <x:c r="A11" s="18" t="str">
        <x:f>'Selected_Inputs'!A11</x:f>
        <x:v>Fidelity</x:v>
      </x:c>
      <x:c r="B11" s="24" t="n">
        <x:f>'Selected_Inputs'!B11</x:f>
        <x:v>2018</x:v>
      </x:c>
      <x:c r="C11" s="22" t="str">
        <x:f>IF(COUNT('Selected_Inputs'!F11,'Selected_Inputs'!J11)=2,IF(AND('Selected_Inputs'!F11&gt;0,'Selected_Inputs'!J11&gt;0),('Selected_Inputs'!F11+'Selected_Inputs'!J11)/2,""),"")</x:f>
      </x:c>
      <x:c r="D11" s="22" t="str">
        <x:f>IF(COUNT('Selected_Inputs'!E11,C11)=2,IF(C11&gt;0,100*'Selected_Inputs'!E11/C11,""),"")</x:f>
      </x:c>
      <x:c r="E11" s="22" t="n">
        <x:f>IF(COUNT('Selected_Inputs'!H11,'Selected_Inputs'!F11)=2,IF('Selected_Inputs'!F11&gt;0,100*'Selected_Inputs'!H11/'Selected_Inputs'!F11,""),"")</x:f>
        <x:v>11.30402475052082</x:v>
      </x:c>
      <x:c r="F11" s="22" t="str">
        <x:f>IF(COUNT('Selected_Inputs'!I11,C11)=2,IF(C11&gt;0,100*'Selected_Inputs'!I11/C11,""),"")</x:f>
      </x:c>
      <x:c r="G11" s="22" t="str">
        <x:f>IF(COUNT('Selected_Inputs'!L11,'Selected_Inputs'!K11)=2,IF('Selected_Inputs'!K11&gt;0,100*'Selected_Inputs'!L11/'Selected_Inputs'!K11,""),"")</x:f>
      </x:c>
      <x:c r="H11" s="22" t="str">
        <x:f>IF(COUNT('Selected_Inputs'!R11,'Selected_Inputs'!S11)=2,IF('Selected_Inputs'!S11&gt;0,100*'Selected_Inputs'!R11/'Selected_Inputs'!S11,""),"")</x:f>
      </x:c>
      <x:c r="I11" s="22" t="str">
        <x:f>IF(COUNT('Selected_Inputs'!N11,C11)=2,IF(C11&gt;0,100*'Selected_Inputs'!N11/C11,""),"")</x:f>
      </x:c>
      <x:c r="J11" s="22" t="str">
        <x:f>IF(COUNT('Selected_Inputs'!L11,'Selected_Inputs'!AB11)=2,IF('Selected_Inputs'!AB11&gt;0,100*'Selected_Inputs'!L11/'Selected_Inputs'!AB11,""),"")</x:f>
      </x:c>
      <x:c r="K11" s="22" t="str">
        <x:f>IF(COUNT('Selected_Inputs'!AB11,'Selected_Inputs'!K11)=2,IF('Selected_Inputs'!K11&gt;0,100*'Selected_Inputs'!AB11/'Selected_Inputs'!K11,""),"")</x:f>
      </x:c>
      <x:c r="L11" s="22" t="str">
        <x:f>IF(COUNT('Selected_Inputs'!AD11,'Selected_Inputs'!K11)=2,IF('Selected_Inputs'!K11&gt;0,100*'Selected_Inputs'!AD11/'Selected_Inputs'!K11,""),"")</x:f>
      </x:c>
      <x:c r="M11" s="22" t="str">
        <x:f>IF(COUNT('Selected_Inputs'!AE11,'Selected_Inputs'!AD11)=2,IF('Selected_Inputs'!AD11&gt;0,100*'Selected_Inputs'!AE11/'Selected_Inputs'!AD11,""),"")</x:f>
      </x:c>
      <x:c r="N11" s="22" t="n">
        <x:f>IF(COUNT('Selected_Inputs'!E11,'Selected_Inputs'!F11)=2,IF('Selected_Inputs'!F11&gt;0,100*'Selected_Inputs'!E11/'Selected_Inputs'!F11,""),"")</x:f>
        <x:v>1.3329976515844393</x:v>
      </x:c>
      <x:c r="O11" s="22" t="n">
        <x:f>IF(COUNT('Selected_Inputs'!G11,'Selected_Inputs'!F11)=2,IF('Selected_Inputs'!F11&gt;0,100*'Selected_Inputs'!G11/'Selected_Inputs'!F11,""),"")</x:f>
        <x:v>88.69597524947918</x:v>
      </x:c>
      <x:c r="P11" s="22" t="n">
        <x:f>IF(COUNT('Selected_Inputs'!F11)=1,IF('Selected_Inputs'!F11&gt;0,LN('Selected_Inputs'!F11),""),"")</x:f>
        <x:v>14.357766823220135</x:v>
      </x:c>
      <x:c r="Q11" s="22" t="n">
        <x:f>IF(COUNT('Selected_Inputs'!F11,'Selected_Inputs'!G11,'Selected_Inputs'!H11)=3,'Selected_Inputs'!F11-'Selected_Inputs'!G11-'Selected_Inputs'!H11,"")</x:f>
        <x:v>0</x:v>
      </x:c>
      <x:c r="R11" s="22" t="str">
        <x:f>IF(COUNT('Selected_Inputs'!K11,'Selected_Inputs'!L11,'Selected_Inputs'!M11)=3,'Selected_Inputs'!K11-'Selected_Inputs'!L11-'Selected_Inputs'!M11,"")</x:f>
      </x:c>
      <x:c r="S11" s="22" t="str">
        <x:f>IF(AND('Selected_Inputs'!X11=1,COUNT('Selected_Inputs'!W11)=1),'Selected_Inputs'!W11,"")</x:f>
      </x:c>
      <x:c r="T11" s="22" t="str">
        <x:f>IF(COUNT('Selected_Inputs'!T11,'Selected_Inputs'!V11)=2,'Selected_Inputs'!T11-'Selected_Inputs'!V11,"")</x:f>
      </x:c>
      <x:c r="U11" s="20" t="str">
        <x:f>'Selected_Inputs'!AK11</x:f>
        <x:v>Prior source-selection policy retained; original evidence preserved in accompanying pack.</x:v>
      </x:c>
    </x:row>
    <x:row r="12" ht="28" customHeight="1">
      <x:c r="A12" s="18" t="str">
        <x:f>'Selected_Inputs'!A12</x:f>
        <x:v>Fidelity</x:v>
      </x:c>
      <x:c r="B12" s="24" t="n">
        <x:f>'Selected_Inputs'!B12</x:f>
        <x:v>2019</x:v>
      </x:c>
      <x:c r="C12" s="22" t="n">
        <x:f>IF(COUNT('Selected_Inputs'!F12,'Selected_Inputs'!J12)=2,IF(AND('Selected_Inputs'!F12&gt;0,'Selected_Inputs'!J12&gt;0),('Selected_Inputs'!F12+'Selected_Inputs'!J12)/2,""),"")</x:f>
        <x:v>1916960</x:v>
      </x:c>
      <x:c r="D12" s="22" t="n">
        <x:f>IF(COUNT('Selected_Inputs'!E12,C12)=2,IF(C12&gt;0,100*'Selected_Inputs'!E12/C12,""),"")</x:f>
        <x:v>1.4828165428595277</x:v>
      </x:c>
      <x:c r="E12" s="22" t="n">
        <x:f>IF(COUNT('Selected_Inputs'!H12,'Selected_Inputs'!F12)=2,IF('Selected_Inputs'!F12&gt;0,100*'Selected_Inputs'!H12/'Selected_Inputs'!F12,""),"")</x:f>
        <x:v>11.070288741398565</x:v>
      </x:c>
      <x:c r="F12" s="22" t="str">
        <x:f>IF(COUNT('Selected_Inputs'!I12,C12)=2,IF(C12&gt;0,100*'Selected_Inputs'!I12/C12,""),"")</x:f>
      </x:c>
      <x:c r="G12" s="22" t="str">
        <x:f>IF(COUNT('Selected_Inputs'!L12,'Selected_Inputs'!K12)=2,IF('Selected_Inputs'!K12&gt;0,100*'Selected_Inputs'!L12/'Selected_Inputs'!K12,""),"")</x:f>
      </x:c>
      <x:c r="H12" s="22" t="str">
        <x:f>IF(COUNT('Selected_Inputs'!R12,'Selected_Inputs'!S12)=2,IF('Selected_Inputs'!S12&gt;0,100*'Selected_Inputs'!R12/'Selected_Inputs'!S12,""),"")</x:f>
      </x:c>
      <x:c r="I12" s="22" t="n">
        <x:f>IF(COUNT('Selected_Inputs'!N12,C12)=2,IF(C12&gt;0,100*'Selected_Inputs'!N12/C12,""),"")</x:f>
        <x:v>-0.2760620983223437</x:v>
      </x:c>
      <x:c r="J12" s="22" t="str">
        <x:f>IF(COUNT('Selected_Inputs'!L12,'Selected_Inputs'!AB12)=2,IF('Selected_Inputs'!AB12&gt;0,100*'Selected_Inputs'!L12/'Selected_Inputs'!AB12,""),"")</x:f>
      </x:c>
      <x:c r="K12" s="22" t="str">
        <x:f>IF(COUNT('Selected_Inputs'!AB12,'Selected_Inputs'!K12)=2,IF('Selected_Inputs'!K12&gt;0,100*'Selected_Inputs'!AB12/'Selected_Inputs'!K12,""),"")</x:f>
      </x:c>
      <x:c r="L12" s="22" t="str">
        <x:f>IF(COUNT('Selected_Inputs'!AD12,'Selected_Inputs'!K12)=2,IF('Selected_Inputs'!K12&gt;0,100*'Selected_Inputs'!AD12/'Selected_Inputs'!K12,""),"")</x:f>
      </x:c>
      <x:c r="M12" s="22" t="str">
        <x:f>IF(COUNT('Selected_Inputs'!AE12,'Selected_Inputs'!AD12)=2,IF('Selected_Inputs'!AD12&gt;0,100*'Selected_Inputs'!AE12/'Selected_Inputs'!AD12,""),"")</x:f>
      </x:c>
      <x:c r="N12" s="22" t="n">
        <x:f>IF(COUNT('Selected_Inputs'!E12,'Selected_Inputs'!F12)=2,IF('Selected_Inputs'!F12&gt;0,100*'Selected_Inputs'!E12/'Selected_Inputs'!F12,""),"")</x:f>
        <x:v>1.3445838459780979</x:v>
      </x:c>
      <x:c r="O12" s="22" t="n">
        <x:f>IF(COUNT('Selected_Inputs'!G12,'Selected_Inputs'!F12)=2,IF('Selected_Inputs'!F12&gt;0,100*'Selected_Inputs'!G12/'Selected_Inputs'!F12,""),"")</x:f>
        <x:v>88.92971125860143</x:v>
      </x:c>
      <x:c r="P12" s="22" t="n">
        <x:f>IF(COUNT('Selected_Inputs'!F12)=1,IF('Selected_Inputs'!F12&gt;0,LN('Selected_Inputs'!F12),""),"")</x:f>
        <x:v>14.56410994762434</x:v>
      </x:c>
      <x:c r="Q12" s="22" t="n">
        <x:f>IF(COUNT('Selected_Inputs'!F12,'Selected_Inputs'!G12,'Selected_Inputs'!H12)=3,'Selected_Inputs'!F12-'Selected_Inputs'!G12-'Selected_Inputs'!H12,"")</x:f>
        <x:v>0</x:v>
      </x:c>
      <x:c r="R12" s="22" t="str">
        <x:f>IF(COUNT('Selected_Inputs'!K12,'Selected_Inputs'!L12,'Selected_Inputs'!M12)=3,'Selected_Inputs'!K12-'Selected_Inputs'!L12-'Selected_Inputs'!M12,"")</x:f>
      </x:c>
      <x:c r="S12" s="22" t="str">
        <x:f>IF(AND('Selected_Inputs'!X12=1,COUNT('Selected_Inputs'!W12)=1),'Selected_Inputs'!W12,"")</x:f>
      </x:c>
      <x:c r="T12" s="22" t="str">
        <x:f>IF(COUNT('Selected_Inputs'!T12,'Selected_Inputs'!V12)=2,'Selected_Inputs'!T12-'Selected_Inputs'!V12,"")</x:f>
      </x:c>
      <x:c r="U12" s="20" t="str">
        <x:f>'Selected_Inputs'!AK12</x:f>
        <x:v>Prior source-selection policy retained; original evidence preserved in accompanying pack.</x:v>
      </x:c>
    </x:row>
    <x:row r="13" ht="28" customHeight="1">
      <x:c r="A13" s="18" t="str">
        <x:f>'Selected_Inputs'!A13</x:f>
        <x:v>First Bank</x:v>
      </x:c>
      <x:c r="B13" s="24" t="n">
        <x:f>'Selected_Inputs'!B13</x:f>
        <x:v>2013</x:v>
      </x:c>
      <x:c r="C13" s="22" t="str">
        <x:f>IF(COUNT('Selected_Inputs'!F13,'Selected_Inputs'!J13)=2,IF(AND('Selected_Inputs'!F13&gt;0,'Selected_Inputs'!J13&gt;0),('Selected_Inputs'!F13+'Selected_Inputs'!J13)/2,""),"")</x:f>
      </x:c>
      <x:c r="D13" s="22" t="str">
        <x:f>IF(COUNT('Selected_Inputs'!E13,C13)=2,IF(C13&gt;0,100*'Selected_Inputs'!E13/C13,""),"")</x:f>
      </x:c>
      <x:c r="E13" s="22" t="n">
        <x:f>IF(COUNT('Selected_Inputs'!H13,'Selected_Inputs'!F13)=2,IF('Selected_Inputs'!F13&gt;0,100*'Selected_Inputs'!H13/'Selected_Inputs'!F13,""),"")</x:f>
        <x:v>10.802416944112556</x:v>
      </x:c>
      <x:c r="F13" s="22" t="str">
        <x:f>IF(COUNT('Selected_Inputs'!I13,C13)=2,IF(C13&gt;0,100*'Selected_Inputs'!I13/C13,""),"")</x:f>
      </x:c>
      <x:c r="G13" s="22" t="n">
        <x:f>IF(COUNT('Selected_Inputs'!L13,'Selected_Inputs'!K13)=2,IF('Selected_Inputs'!K13&gt;0,100*'Selected_Inputs'!L13/'Selected_Inputs'!K13,""),"")</x:f>
        <x:v>2.7353875962853267</x:v>
      </x:c>
      <x:c r="H13" s="22" t="str">
        <x:f>IF(COUNT('Selected_Inputs'!R13,'Selected_Inputs'!S13)=2,IF('Selected_Inputs'!S13&gt;0,100*'Selected_Inputs'!R13/'Selected_Inputs'!S13,""),"")</x:f>
      </x:c>
      <x:c r="I13" s="22" t="str">
        <x:f>IF(COUNT('Selected_Inputs'!N13,C13)=2,IF(C13&gt;0,100*'Selected_Inputs'!N13/C13,""),"")</x:f>
      </x:c>
      <x:c r="J13" s="22" t="str">
        <x:f>IF(COUNT('Selected_Inputs'!L13,'Selected_Inputs'!AB13)=2,IF('Selected_Inputs'!AB13&gt;0,100*'Selected_Inputs'!L13/'Selected_Inputs'!AB13,""),"")</x:f>
      </x:c>
      <x:c r="K13" s="22" t="str">
        <x:f>IF(COUNT('Selected_Inputs'!AB13,'Selected_Inputs'!K13)=2,IF('Selected_Inputs'!K13&gt;0,100*'Selected_Inputs'!AB13/'Selected_Inputs'!K13,""),"")</x:f>
      </x:c>
      <x:c r="L13" s="22" t="str">
        <x:f>IF(COUNT('Selected_Inputs'!AD13,'Selected_Inputs'!K13)=2,IF('Selected_Inputs'!K13&gt;0,100*'Selected_Inputs'!AD13/'Selected_Inputs'!K13,""),"")</x:f>
      </x:c>
      <x:c r="M13" s="22" t="str">
        <x:f>IF(COUNT('Selected_Inputs'!AE13,'Selected_Inputs'!AD13)=2,IF('Selected_Inputs'!AD13&gt;0,100*'Selected_Inputs'!AE13/'Selected_Inputs'!AD13,""),"")</x:f>
      </x:c>
      <x:c r="N13" s="22" t="n">
        <x:f>IF(COUNT('Selected_Inputs'!E13,'Selected_Inputs'!F13)=2,IF('Selected_Inputs'!F13&gt;0,100*'Selected_Inputs'!E13/'Selected_Inputs'!F13,""),"")</x:f>
        <x:v>1.8285401340919165</x:v>
      </x:c>
      <x:c r="O13" s="22" t="n">
        <x:f>IF(COUNT('Selected_Inputs'!G13,'Selected_Inputs'!F13)=2,IF('Selected_Inputs'!F13&gt;0,100*'Selected_Inputs'!G13/'Selected_Inputs'!F13,""),"")</x:f>
        <x:v>89.19758305588745</x:v>
      </x:c>
      <x:c r="P13" s="22" t="n">
        <x:f>IF(COUNT('Selected_Inputs'!F13)=1,IF('Selected_Inputs'!F13&gt;0,LN('Selected_Inputs'!F13),""),"")</x:f>
        <x:v>14.993112384532658</x:v>
      </x:c>
      <x:c r="Q13" s="22" t="n">
        <x:f>IF(COUNT('Selected_Inputs'!F13,'Selected_Inputs'!G13,'Selected_Inputs'!H13)=3,'Selected_Inputs'!F13-'Selected_Inputs'!G13-'Selected_Inputs'!H13,"")</x:f>
        <x:v>0</x:v>
      </x:c>
      <x:c r="R13" s="22" t="str">
        <x:f>IF(COUNT('Selected_Inputs'!K13,'Selected_Inputs'!L13,'Selected_Inputs'!M13)=3,'Selected_Inputs'!K13-'Selected_Inputs'!L13-'Selected_Inputs'!M13,"")</x:f>
      </x:c>
      <x:c r="S13" s="22" t="str">
        <x:f>IF(AND('Selected_Inputs'!X13=1,COUNT('Selected_Inputs'!W13)=1),'Selected_Inputs'!W13,"")</x:f>
      </x:c>
      <x:c r="T13" s="22" t="str">
        <x:f>IF(COUNT('Selected_Inputs'!T13,'Selected_Inputs'!V13)=2,'Selected_Inputs'!T13-'Selected_Inputs'!V13,"")</x:f>
      </x:c>
      <x:c r="U13" s="20" t="str">
        <x:f>'Selected_Inputs'!AK13</x:f>
        <x:v>Prior source-selection policy retained; original evidence preserved in accompanying pack.</x:v>
      </x:c>
    </x:row>
    <x:row r="14" ht="28" customHeight="1">
      <x:c r="A14" s="18" t="str">
        <x:f>'Selected_Inputs'!A14</x:f>
        <x:v>First Bank</x:v>
      </x:c>
      <x:c r="B14" s="24" t="n">
        <x:f>'Selected_Inputs'!B14</x:f>
        <x:v>2014</x:v>
      </x:c>
      <x:c r="C14" s="22" t="n">
        <x:f>IF(COUNT('Selected_Inputs'!F14,'Selected_Inputs'!J14)=2,IF(AND('Selected_Inputs'!F14&gt;0,'Selected_Inputs'!J14&gt;0),('Selected_Inputs'!F14+'Selected_Inputs'!J14)/2,""),"")</x:f>
        <x:v>3368725</x:v>
      </x:c>
      <x:c r="D14" s="22" t="n">
        <x:f>IF(COUNT('Selected_Inputs'!E14,C14)=2,IF(C14&gt;0,100*'Selected_Inputs'!E14/C14,""),"")</x:f>
        <x:v>2.355520263601214</x:v>
      </x:c>
      <x:c r="E14" s="22" t="n">
        <x:f>IF(COUNT('Selected_Inputs'!H14,'Selected_Inputs'!F14)=2,IF('Selected_Inputs'!F14&gt;0,100*'Selected_Inputs'!H14/'Selected_Inputs'!F14,""),"")</x:f>
        <x:v>12.118666086486725</x:v>
      </x:c>
      <x:c r="F14" s="22" t="n">
        <x:f>IF(COUNT('Selected_Inputs'!I14,C14)=2,IF(C14&gt;0,100*'Selected_Inputs'!I14/C14,""),"")</x:f>
        <x:v>-15.040260039035541</x:v>
      </x:c>
      <x:c r="G14" s="22" t="n">
        <x:f>IF(COUNT('Selected_Inputs'!L14,'Selected_Inputs'!K14)=2,IF('Selected_Inputs'!K14&gt;0,100*'Selected_Inputs'!L14/'Selected_Inputs'!K14,""),"")</x:f>
        <x:v>2.077935404427798</x:v>
      </x:c>
      <x:c r="H14" s="22" t="str">
        <x:f>IF(COUNT('Selected_Inputs'!R14,'Selected_Inputs'!S14)=2,IF('Selected_Inputs'!S14&gt;0,100*'Selected_Inputs'!R14/'Selected_Inputs'!S14,""),"")</x:f>
      </x:c>
      <x:c r="I14" s="22" t="n">
        <x:f>IF(COUNT('Selected_Inputs'!N14,C14)=2,IF(C14&gt;0,100*'Selected_Inputs'!N14/C14,""),"")</x:f>
        <x:v>0.6211252031554965</x:v>
      </x:c>
      <x:c r="J14" s="22" t="str">
        <x:f>IF(COUNT('Selected_Inputs'!L14,'Selected_Inputs'!AB14)=2,IF('Selected_Inputs'!AB14&gt;0,100*'Selected_Inputs'!L14/'Selected_Inputs'!AB14,""),"")</x:f>
      </x:c>
      <x:c r="K14" s="22" t="str">
        <x:f>IF(COUNT('Selected_Inputs'!AB14,'Selected_Inputs'!K14)=2,IF('Selected_Inputs'!K14&gt;0,100*'Selected_Inputs'!AB14/'Selected_Inputs'!K14,""),"")</x:f>
      </x:c>
      <x:c r="L14" s="22" t="str">
        <x:f>IF(COUNT('Selected_Inputs'!AD14,'Selected_Inputs'!K14)=2,IF('Selected_Inputs'!K14&gt;0,100*'Selected_Inputs'!AD14/'Selected_Inputs'!K14,""),"")</x:f>
      </x:c>
      <x:c r="M14" s="22" t="str">
        <x:f>IF(COUNT('Selected_Inputs'!AE14,'Selected_Inputs'!AD14)=2,IF('Selected_Inputs'!AD14&gt;0,100*'Selected_Inputs'!AE14/'Selected_Inputs'!AD14,""),"")</x:f>
      </x:c>
      <x:c r="N14" s="22" t="n">
        <x:f>IF(COUNT('Selected_Inputs'!E14,'Selected_Inputs'!F14)=2,IF('Selected_Inputs'!F14&gt;0,100*'Selected_Inputs'!E14/'Selected_Inputs'!F14,""),"")</x:f>
        <x:v>2.2731003236728027</x:v>
      </x:c>
      <x:c r="O14" s="22" t="n">
        <x:f>IF(COUNT('Selected_Inputs'!G14,'Selected_Inputs'!F14)=2,IF('Selected_Inputs'!F14&gt;0,100*'Selected_Inputs'!G14/'Selected_Inputs'!F14,""),"")</x:f>
        <x:v>87.88133391351327</x:v>
      </x:c>
      <x:c r="P14" s="22" t="n">
        <x:f>IF(COUNT('Selected_Inputs'!F14)=1,IF('Selected_Inputs'!F14&gt;0,LN('Selected_Inputs'!F14),""),"")</x:f>
        <x:v>15.065661833241721</x:v>
      </x:c>
      <x:c r="Q14" s="22" t="n">
        <x:f>IF(COUNT('Selected_Inputs'!F14,'Selected_Inputs'!G14,'Selected_Inputs'!H14)=3,'Selected_Inputs'!F14-'Selected_Inputs'!G14-'Selected_Inputs'!H14,"")</x:f>
        <x:v>0</x:v>
      </x:c>
      <x:c r="R14" s="22" t="str">
        <x:f>IF(COUNT('Selected_Inputs'!K14,'Selected_Inputs'!L14,'Selected_Inputs'!M14)=3,'Selected_Inputs'!K14-'Selected_Inputs'!L14-'Selected_Inputs'!M14,"")</x:f>
      </x:c>
      <x:c r="S14" s="22" t="str">
        <x:f>IF(AND('Selected_Inputs'!X14=1,COUNT('Selected_Inputs'!W14)=1),'Selected_Inputs'!W14,"")</x:f>
      </x:c>
      <x:c r="T14" s="22" t="str">
        <x:f>IF(COUNT('Selected_Inputs'!T14,'Selected_Inputs'!V14)=2,'Selected_Inputs'!T14-'Selected_Inputs'!V14,"")</x:f>
      </x:c>
      <x:c r="U14" s="20" t="str">
        <x:f>'Selected_Inputs'!AK14</x:f>
        <x:v>Prior source-selection policy retained; original evidence preserved in accompanying pack.</x:v>
      </x:c>
    </x:row>
    <x:row r="15" ht="28" customHeight="1">
      <x:c r="A15" s="18" t="str">
        <x:f>'Selected_Inputs'!A15</x:f>
        <x:v>GTBank</x:v>
      </x:c>
      <x:c r="B15" s="24" t="n">
        <x:f>'Selected_Inputs'!B15</x:f>
        <x:v>2013</x:v>
      </x:c>
      <x:c r="C15" s="22" t="str">
        <x:f>IF(COUNT('Selected_Inputs'!F15,'Selected_Inputs'!J15)=2,IF(AND('Selected_Inputs'!F15&gt;0,'Selected_Inputs'!J15&gt;0),('Selected_Inputs'!F15+'Selected_Inputs'!J15)/2,""),"")</x:f>
      </x:c>
      <x:c r="D15" s="22" t="str">
        <x:f>IF(COUNT('Selected_Inputs'!E15,C15)=2,IF(C15&gt;0,100*'Selected_Inputs'!E15/C15,""),"")</x:f>
      </x:c>
      <x:c r="E15" s="22" t="n">
        <x:f>IF(COUNT('Selected_Inputs'!H15,'Selected_Inputs'!F15)=2,IF('Selected_Inputs'!F15&gt;0,100*'Selected_Inputs'!H15/'Selected_Inputs'!F15,""),"")</x:f>
        <x:v>17.310065397092785</x:v>
      </x:c>
      <x:c r="F15" s="22" t="str">
        <x:f>IF(COUNT('Selected_Inputs'!I15,C15)=2,IF(C15&gt;0,100*'Selected_Inputs'!I15/C15,""),"")</x:f>
      </x:c>
      <x:c r="G15" s="22" t="str">
        <x:f>IF(COUNT('Selected_Inputs'!L15,'Selected_Inputs'!K15)=2,IF('Selected_Inputs'!K15&gt;0,100*'Selected_Inputs'!L15/'Selected_Inputs'!K15,""),"")</x:f>
      </x:c>
      <x:c r="H15" s="22" t="str">
        <x:f>IF(COUNT('Selected_Inputs'!R15,'Selected_Inputs'!S15)=2,IF('Selected_Inputs'!S15&gt;0,100*'Selected_Inputs'!R15/'Selected_Inputs'!S15,""),"")</x:f>
      </x:c>
      <x:c r="I15" s="22" t="str">
        <x:f>IF(COUNT('Selected_Inputs'!N15,C15)=2,IF(C15&gt;0,100*'Selected_Inputs'!N15/C15,""),"")</x:f>
      </x:c>
      <x:c r="J15" s="22" t="str">
        <x:f>IF(COUNT('Selected_Inputs'!L15,'Selected_Inputs'!AB15)=2,IF('Selected_Inputs'!AB15&gt;0,100*'Selected_Inputs'!L15/'Selected_Inputs'!AB15,""),"")</x:f>
      </x:c>
      <x:c r="K15" s="22" t="str">
        <x:f>IF(COUNT('Selected_Inputs'!AB15,'Selected_Inputs'!K15)=2,IF('Selected_Inputs'!K15&gt;0,100*'Selected_Inputs'!AB15/'Selected_Inputs'!K15,""),"")</x:f>
      </x:c>
      <x:c r="L15" s="22" t="str">
        <x:f>IF(COUNT('Selected_Inputs'!AD15,'Selected_Inputs'!K15)=2,IF('Selected_Inputs'!K15&gt;0,100*'Selected_Inputs'!AD15/'Selected_Inputs'!K15,""),"")</x:f>
      </x:c>
      <x:c r="M15" s="22" t="str">
        <x:f>IF(COUNT('Selected_Inputs'!AE15,'Selected_Inputs'!AD15)=2,IF('Selected_Inputs'!AD15&gt;0,100*'Selected_Inputs'!AE15/'Selected_Inputs'!AD15,""),"")</x:f>
      </x:c>
      <x:c r="N15" s="22" t="n">
        <x:f>IF(COUNT('Selected_Inputs'!E15,'Selected_Inputs'!F15)=2,IF('Selected_Inputs'!F15&gt;0,100*'Selected_Inputs'!E15/'Selected_Inputs'!F15,""),"")</x:f>
        <x:v>4.492098682711202</x:v>
      </x:c>
      <x:c r="O15" s="22" t="n">
        <x:f>IF(COUNT('Selected_Inputs'!G15,'Selected_Inputs'!F15)=2,IF('Selected_Inputs'!F15&gt;0,100*'Selected_Inputs'!G15/'Selected_Inputs'!F15,""),"")</x:f>
        <x:v>82.68993460290721</x:v>
      </x:c>
      <x:c r="P15" s="22" t="n">
        <x:f>IF(COUNT('Selected_Inputs'!F15)=1,IF('Selected_Inputs'!F15&gt;0,LN('Selected_Inputs'!F15),""),"")</x:f>
        <x:v>14.459659702750983</x:v>
      </x:c>
      <x:c r="Q15" s="22" t="n">
        <x:f>IF(COUNT('Selected_Inputs'!F15,'Selected_Inputs'!G15,'Selected_Inputs'!H15)=3,'Selected_Inputs'!F15-'Selected_Inputs'!G15-'Selected_Inputs'!H15,"")</x:f>
        <x:v>0</x:v>
      </x:c>
      <x:c r="R15" s="22" t="str">
        <x:f>IF(COUNT('Selected_Inputs'!K15,'Selected_Inputs'!L15,'Selected_Inputs'!M15)=3,'Selected_Inputs'!K15-'Selected_Inputs'!L15-'Selected_Inputs'!M15,"")</x:f>
      </x:c>
      <x:c r="S15" s="22" t="str">
        <x:f>IF(AND('Selected_Inputs'!X15=1,COUNT('Selected_Inputs'!W15)=1),'Selected_Inputs'!W15,"")</x:f>
      </x:c>
      <x:c r="T15" s="22" t="str">
        <x:f>IF(COUNT('Selected_Inputs'!T15,'Selected_Inputs'!V15)=2,'Selected_Inputs'!T15-'Selected_Inputs'!V15,"")</x:f>
      </x:c>
      <x:c r="U15" s="20" t="str">
        <x:f>'Selected_Inputs'!AK15</x:f>
        <x:v>Prior source-selection policy retained; original evidence preserved in accompanying pack.</x:v>
      </x:c>
    </x:row>
    <x:row r="16" ht="28" customHeight="1">
      <x:c r="A16" s="18" t="str">
        <x:f>'Selected_Inputs'!A16</x:f>
        <x:v>GTBank</x:v>
      </x:c>
      <x:c r="B16" s="24" t="n">
        <x:f>'Selected_Inputs'!B16</x:f>
        <x:v>2014</x:v>
      </x:c>
      <x:c r="C16" s="22" t="n">
        <x:f>IF(COUNT('Selected_Inputs'!F16,'Selected_Inputs'!J16)=2,IF(AND('Selected_Inputs'!F16&gt;0,'Selected_Inputs'!J16&gt;0),('Selected_Inputs'!F16+'Selected_Inputs'!J16)/2,""),"")</x:f>
        <x:v>2015487</x:v>
      </x:c>
      <x:c r="D16" s="22" t="n">
        <x:f>IF(COUNT('Selected_Inputs'!E16,C16)=2,IF(C16&gt;0,100*'Selected_Inputs'!E16/C16,""),"")</x:f>
        <x:v>4.635703430486031</x:v>
      </x:c>
      <x:c r="E16" s="22" t="n">
        <x:f>IF(COUNT('Selected_Inputs'!H16,'Selected_Inputs'!F16)=2,IF('Selected_Inputs'!F16&gt;0,100*'Selected_Inputs'!H16/'Selected_Inputs'!F16,""),"")</x:f>
        <x:v>17.376498160450822</x:v>
      </x:c>
      <x:c r="F16" s="22" t="str">
        <x:f>IF(COUNT('Selected_Inputs'!I16,C16)=2,IF(C16&gt;0,100*'Selected_Inputs'!I16/C16,""),"")</x:f>
      </x:c>
      <x:c r="G16" s="22" t="str">
        <x:f>IF(COUNT('Selected_Inputs'!L16,'Selected_Inputs'!K16)=2,IF('Selected_Inputs'!K16&gt;0,100*'Selected_Inputs'!L16/'Selected_Inputs'!K16,""),"")</x:f>
      </x:c>
      <x:c r="H16" s="22" t="str">
        <x:f>IF(COUNT('Selected_Inputs'!R16,'Selected_Inputs'!S16)=2,IF('Selected_Inputs'!S16&gt;0,100*'Selected_Inputs'!R16/'Selected_Inputs'!S16,""),"")</x:f>
      </x:c>
      <x:c r="I16" s="22" t="str">
        <x:f>IF(COUNT('Selected_Inputs'!N16,C16)=2,IF(C16&gt;0,100*'Selected_Inputs'!N16/C16,""),"")</x:f>
      </x:c>
      <x:c r="J16" s="22" t="str">
        <x:f>IF(COUNT('Selected_Inputs'!L16,'Selected_Inputs'!AB16)=2,IF('Selected_Inputs'!AB16&gt;0,100*'Selected_Inputs'!L16/'Selected_Inputs'!AB16,""),"")</x:f>
      </x:c>
      <x:c r="K16" s="22" t="str">
        <x:f>IF(COUNT('Selected_Inputs'!AB16,'Selected_Inputs'!K16)=2,IF('Selected_Inputs'!K16&gt;0,100*'Selected_Inputs'!AB16/'Selected_Inputs'!K16,""),"")</x:f>
      </x:c>
      <x:c r="L16" s="22" t="str">
        <x:f>IF(COUNT('Selected_Inputs'!AD16,'Selected_Inputs'!K16)=2,IF('Selected_Inputs'!K16&gt;0,100*'Selected_Inputs'!AD16/'Selected_Inputs'!K16,""),"")</x:f>
      </x:c>
      <x:c r="M16" s="22" t="str">
        <x:f>IF(COUNT('Selected_Inputs'!AE16,'Selected_Inputs'!AD16)=2,IF('Selected_Inputs'!AD16&gt;0,100*'Selected_Inputs'!AE16/'Selected_Inputs'!AD16,""),"")</x:f>
      </x:c>
      <x:c r="N16" s="22" t="n">
        <x:f>IF(COUNT('Selected_Inputs'!E16,'Selected_Inputs'!F16)=2,IF('Selected_Inputs'!F16&gt;0,100*'Selected_Inputs'!E16/'Selected_Inputs'!F16,""),"")</x:f>
        <x:v>4.393475431297165</x:v>
      </x:c>
      <x:c r="O16" s="22" t="n">
        <x:f>IF(COUNT('Selected_Inputs'!G16,'Selected_Inputs'!F16)=2,IF('Selected_Inputs'!F16&gt;0,100*'Selected_Inputs'!G16/'Selected_Inputs'!F16,""),"")</x:f>
        <x:v>82.62350183954918</x:v>
      </x:c>
      <x:c r="P16" s="22" t="n">
        <x:f>IF(COUNT('Selected_Inputs'!F16)=1,IF('Selected_Inputs'!F16&gt;0,LN('Selected_Inputs'!F16),""),"")</x:f>
        <x:v>14.57003878006546</x:v>
      </x:c>
      <x:c r="Q16" s="22" t="n">
        <x:f>IF(COUNT('Selected_Inputs'!F16,'Selected_Inputs'!G16,'Selected_Inputs'!H16)=3,'Selected_Inputs'!F16-'Selected_Inputs'!G16-'Selected_Inputs'!H16,"")</x:f>
        <x:v>0</x:v>
      </x:c>
      <x:c r="R16" s="22" t="str">
        <x:f>IF(COUNT('Selected_Inputs'!K16,'Selected_Inputs'!L16,'Selected_Inputs'!M16)=3,'Selected_Inputs'!K16-'Selected_Inputs'!L16-'Selected_Inputs'!M16,"")</x:f>
      </x:c>
      <x:c r="S16" s="22" t="str">
        <x:f>IF(AND('Selected_Inputs'!X16=1,COUNT('Selected_Inputs'!W16)=1),'Selected_Inputs'!W16,"")</x:f>
      </x:c>
      <x:c r="T16" s="22" t="str">
        <x:f>IF(COUNT('Selected_Inputs'!T16,'Selected_Inputs'!V16)=2,'Selected_Inputs'!T16-'Selected_Inputs'!V16,"")</x:f>
      </x:c>
      <x:c r="U16" s="20" t="str">
        <x:f>'Selected_Inputs'!AK16</x:f>
        <x:v>Prior source-selection policy retained; original evidence preserved in accompanying pack.</x:v>
      </x:c>
    </x:row>
    <x:row r="17" ht="28" customHeight="1">
      <x:c r="A17" s="18" t="str">
        <x:f>'Selected_Inputs'!A17</x:f>
        <x:v>Sterling</x:v>
      </x:c>
      <x:c r="B17" s="24" t="n">
        <x:f>'Selected_Inputs'!B17</x:f>
        <x:v>2013</x:v>
      </x:c>
      <x:c r="C17" s="22" t="str">
        <x:f>IF(COUNT('Selected_Inputs'!F17,'Selected_Inputs'!J17)=2,IF(AND('Selected_Inputs'!F17&gt;0,'Selected_Inputs'!J17&gt;0),('Selected_Inputs'!F17+'Selected_Inputs'!J17)/2,""),"")</x:f>
      </x:c>
      <x:c r="D17" s="22" t="str">
        <x:f>IF(COUNT('Selected_Inputs'!E17,C17)=2,IF(C17&gt;0,100*'Selected_Inputs'!E17/C17,""),"")</x:f>
      </x:c>
      <x:c r="E17" s="22" t="n">
        <x:f>IF(COUNT('Selected_Inputs'!H17,'Selected_Inputs'!F17)=2,IF('Selected_Inputs'!F17&gt;0,100*'Selected_Inputs'!H17/'Selected_Inputs'!F17,""),"")</x:f>
        <x:v>8.96554799926506</x:v>
      </x:c>
      <x:c r="F17" s="22" t="str">
        <x:f>IF(COUNT('Selected_Inputs'!I17,C17)=2,IF(C17&gt;0,100*'Selected_Inputs'!I17/C17,""),"")</x:f>
      </x:c>
      <x:c r="G17" s="22" t="n">
        <x:f>IF(COUNT('Selected_Inputs'!L17,'Selected_Inputs'!K17)=2,IF('Selected_Inputs'!K17&gt;0,100*'Selected_Inputs'!L17/'Selected_Inputs'!K17,""),"")</x:f>
        <x:v>2.1058396913593183</x:v>
      </x:c>
      <x:c r="H17" s="22" t="str">
        <x:f>IF(COUNT('Selected_Inputs'!R17,'Selected_Inputs'!S17)=2,IF('Selected_Inputs'!S17&gt;0,100*'Selected_Inputs'!R17/'Selected_Inputs'!S17,""),"")</x:f>
      </x:c>
      <x:c r="I17" s="22" t="str">
        <x:f>IF(COUNT('Selected_Inputs'!N17,C17)=2,IF(C17&gt;0,100*'Selected_Inputs'!N17/C17,""),"")</x:f>
      </x:c>
      <x:c r="J17" s="22" t="str">
        <x:f>IF(COUNT('Selected_Inputs'!L17,'Selected_Inputs'!AB17)=2,IF('Selected_Inputs'!AB17&gt;0,100*'Selected_Inputs'!L17/'Selected_Inputs'!AB17,""),"")</x:f>
      </x:c>
      <x:c r="K17" s="22" t="str">
        <x:f>IF(COUNT('Selected_Inputs'!AB17,'Selected_Inputs'!K17)=2,IF('Selected_Inputs'!K17&gt;0,100*'Selected_Inputs'!AB17/'Selected_Inputs'!K17,""),"")</x:f>
      </x:c>
      <x:c r="L17" s="22" t="str">
        <x:f>IF(COUNT('Selected_Inputs'!AD17,'Selected_Inputs'!K17)=2,IF('Selected_Inputs'!K17&gt;0,100*'Selected_Inputs'!AD17/'Selected_Inputs'!K17,""),"")</x:f>
      </x:c>
      <x:c r="M17" s="22" t="str">
        <x:f>IF(COUNT('Selected_Inputs'!AE17,'Selected_Inputs'!AD17)=2,IF('Selected_Inputs'!AD17&gt;0,100*'Selected_Inputs'!AE17/'Selected_Inputs'!AD17,""),"")</x:f>
      </x:c>
      <x:c r="N17" s="22" t="n">
        <x:f>IF(COUNT('Selected_Inputs'!E17,'Selected_Inputs'!F17)=2,IF('Selected_Inputs'!F17&gt;0,100*'Selected_Inputs'!E17/'Selected_Inputs'!F17,""),"")</x:f>
        <x:v>1.169101011155341</x:v>
      </x:c>
      <x:c r="O17" s="22" t="n">
        <x:f>IF(COUNT('Selected_Inputs'!G17,'Selected_Inputs'!F17)=2,IF('Selected_Inputs'!F17&gt;0,100*'Selected_Inputs'!G17/'Selected_Inputs'!F17,""),"")</x:f>
        <x:v>91.03445200073494</x:v>
      </x:c>
      <x:c r="P17" s="22" t="n">
        <x:f>IF(COUNT('Selected_Inputs'!F17)=1,IF('Selected_Inputs'!F17&gt;0,LN('Selected_Inputs'!F17),""),"")</x:f>
        <x:v>13.469912864122076</x:v>
      </x:c>
      <x:c r="Q17" s="22" t="n">
        <x:f>IF(COUNT('Selected_Inputs'!F17,'Selected_Inputs'!G17,'Selected_Inputs'!H17)=3,'Selected_Inputs'!F17-'Selected_Inputs'!G17-'Selected_Inputs'!H17,"")</x:f>
        <x:v>-5.093170329928398e-11</x:v>
      </x:c>
      <x:c r="R17" s="22" t="str">
        <x:f>IF(COUNT('Selected_Inputs'!K17,'Selected_Inputs'!L17,'Selected_Inputs'!M17)=3,'Selected_Inputs'!K17-'Selected_Inputs'!L17-'Selected_Inputs'!M17,"")</x:f>
      </x:c>
      <x:c r="S17" s="22" t="str">
        <x:f>IF(AND('Selected_Inputs'!X17=1,COUNT('Selected_Inputs'!W17)=1),'Selected_Inputs'!W17,"")</x:f>
      </x:c>
      <x:c r="T17" s="22" t="str">
        <x:f>IF(COUNT('Selected_Inputs'!T17,'Selected_Inputs'!V17)=2,'Selected_Inputs'!T17-'Selected_Inputs'!V17,"")</x:f>
      </x:c>
      <x:c r="U17" s="20" t="str">
        <x:f>'Selected_Inputs'!AK17</x:f>
        <x:v>Prior source-selection policy retained; original evidence preserved in accompanying pack.</x:v>
      </x:c>
    </x:row>
    <x:row r="18" ht="28" customHeight="1">
      <x:c r="A18" s="18" t="str">
        <x:f>'Selected_Inputs'!A18</x:f>
        <x:v>Sterling</x:v>
      </x:c>
      <x:c r="B18" s="24" t="n">
        <x:f>'Selected_Inputs'!B18</x:f>
        <x:v>2014</x:v>
      </x:c>
      <x:c r="C18" s="22" t="n">
        <x:f>IF(COUNT('Selected_Inputs'!F18,'Selected_Inputs'!J18)=2,IF(AND('Selected_Inputs'!F18&gt;0,'Selected_Inputs'!J18&gt;0),('Selected_Inputs'!F18+'Selected_Inputs'!J18)/2,""),"")</x:f>
        <x:v>766168.3034999999</x:v>
      </x:c>
      <x:c r="D18" s="22" t="n">
        <x:f>IF(COUNT('Selected_Inputs'!E18,C18)=2,IF(C18&gt;0,100*'Selected_Inputs'!E18/C18,""),"")</x:f>
        <x:v>1.1753257030946858</x:v>
      </x:c>
      <x:c r="E18" s="22" t="n">
        <x:f>IF(COUNT('Selected_Inputs'!H18,'Selected_Inputs'!F18)=2,IF('Selected_Inputs'!F18&gt;0,100*'Selected_Inputs'!H18/'Selected_Inputs'!F18,""),"")</x:f>
        <x:v>10.274255217966981</x:v>
      </x:c>
      <x:c r="F18" s="22" t="n">
        <x:f>IF(COUNT('Selected_Inputs'!I18,C18)=2,IF(C18&gt;0,100*'Selected_Inputs'!I18/C18,""),"")</x:f>
        <x:v>-0.09854310032808607</x:v>
      </x:c>
      <x:c r="G18" s="22" t="n">
        <x:f>IF(COUNT('Selected_Inputs'!L18,'Selected_Inputs'!K18)=2,IF('Selected_Inputs'!K18&gt;0,100*'Selected_Inputs'!L18/'Selected_Inputs'!K18,""),"")</x:f>
        <x:v>2.540694951544191</x:v>
      </x:c>
      <x:c r="H18" s="22" t="str">
        <x:f>IF(COUNT('Selected_Inputs'!R18,'Selected_Inputs'!S18)=2,IF('Selected_Inputs'!S18&gt;0,100*'Selected_Inputs'!R18/'Selected_Inputs'!S18,""),"")</x:f>
      </x:c>
      <x:c r="I18" s="22" t="n">
        <x:f>IF(COUNT('Selected_Inputs'!N18,C18)=2,IF(C18&gt;0,100*'Selected_Inputs'!N18/C18,""),"")</x:f>
        <x:v>0.9644302650272715</x:v>
      </x:c>
      <x:c r="J18" s="22" t="str">
        <x:f>IF(COUNT('Selected_Inputs'!L18,'Selected_Inputs'!AB18)=2,IF('Selected_Inputs'!AB18&gt;0,100*'Selected_Inputs'!L18/'Selected_Inputs'!AB18,""),"")</x:f>
      </x:c>
      <x:c r="K18" s="22" t="str">
        <x:f>IF(COUNT('Selected_Inputs'!AB18,'Selected_Inputs'!K18)=2,IF('Selected_Inputs'!K18&gt;0,100*'Selected_Inputs'!AB18/'Selected_Inputs'!K18,""),"")</x:f>
      </x:c>
      <x:c r="L18" s="22" t="str">
        <x:f>IF(COUNT('Selected_Inputs'!AD18,'Selected_Inputs'!K18)=2,IF('Selected_Inputs'!K18&gt;0,100*'Selected_Inputs'!AD18/'Selected_Inputs'!K18,""),"")</x:f>
      </x:c>
      <x:c r="M18" s="22" t="str">
        <x:f>IF(COUNT('Selected_Inputs'!AE18,'Selected_Inputs'!AD18)=2,IF('Selected_Inputs'!AD18&gt;0,100*'Selected_Inputs'!AE18/'Selected_Inputs'!AD18,""),"")</x:f>
      </x:c>
      <x:c r="N18" s="22" t="n">
        <x:f>IF(COUNT('Selected_Inputs'!E18,'Selected_Inputs'!F18)=2,IF('Selected_Inputs'!F18&gt;0,100*'Selected_Inputs'!E18/'Selected_Inputs'!F18,""),"")</x:f>
        <x:v>1.0921215791566043</x:v>
      </x:c>
      <x:c r="O18" s="22" t="n">
        <x:f>IF(COUNT('Selected_Inputs'!G18,'Selected_Inputs'!F18)=2,IF('Selected_Inputs'!F18&gt;0,100*'Selected_Inputs'!G18/'Selected_Inputs'!F18,""),"")</x:f>
        <x:v>89.72574478203302</x:v>
      </x:c>
      <x:c r="P18" s="22" t="n">
        <x:f>IF(COUNT('Selected_Inputs'!F18)=1,IF('Selected_Inputs'!F18&gt;0,LN('Selected_Inputs'!F18),""),"")</x:f>
        <x:v>13.622580237910102</x:v>
      </x:c>
      <x:c r="Q18" s="22" t="n">
        <x:f>IF(COUNT('Selected_Inputs'!F18,'Selected_Inputs'!G18,'Selected_Inputs'!H18)=3,'Selected_Inputs'!F18-'Selected_Inputs'!G18-'Selected_Inputs'!H18,"")</x:f>
        <x:v>2.9103830456733704e-11</x:v>
      </x:c>
      <x:c r="R18" s="22" t="str">
        <x:f>IF(COUNT('Selected_Inputs'!K18,'Selected_Inputs'!L18,'Selected_Inputs'!M18)=3,'Selected_Inputs'!K18-'Selected_Inputs'!L18-'Selected_Inputs'!M18,"")</x:f>
      </x:c>
      <x:c r="S18" s="22" t="n">
        <x:f>IF(AND('Selected_Inputs'!X18=1,COUNT('Selected_Inputs'!W18)=1),'Selected_Inputs'!W18,"")</x:f>
        <x:v>34</x:v>
      </x:c>
      <x:c r="T18" s="22" t="str">
        <x:f>IF(COUNT('Selected_Inputs'!T18,'Selected_Inputs'!V18)=2,'Selected_Inputs'!T18-'Selected_Inputs'!V18,"")</x:f>
      </x:c>
      <x:c r="U18" s="20" t="str">
        <x:f>'Selected_Inputs'!AK18</x:f>
        <x:v>Prior source-selection policy retained; original evidence preserved in accompanying pack.</x:v>
      </x:c>
    </x:row>
    <x:row r="19" ht="28" customHeight="1">
      <x:c r="A19" s="18" t="str">
        <x:f>'Selected_Inputs'!A19</x:f>
        <x:v>Sterling</x:v>
      </x:c>
      <x:c r="B19" s="24" t="n">
        <x:f>'Selected_Inputs'!B19</x:f>
        <x:v>2018</x:v>
      </x:c>
      <x:c r="C19" s="22" t="str">
        <x:f>IF(COUNT('Selected_Inputs'!F19,'Selected_Inputs'!J19)=2,IF(AND('Selected_Inputs'!F19&gt;0,'Selected_Inputs'!J19&gt;0),('Selected_Inputs'!F19+'Selected_Inputs'!J19)/2,""),"")</x:f>
      </x:c>
      <x:c r="D19" s="22" t="str">
        <x:f>IF(COUNT('Selected_Inputs'!E19,C19)=2,IF(C19&gt;0,100*'Selected_Inputs'!E19/C19,""),"")</x:f>
      </x:c>
      <x:c r="E19" s="22" t="n">
        <x:f>IF(COUNT('Selected_Inputs'!H19,'Selected_Inputs'!F19)=2,IF('Selected_Inputs'!F19&gt;0,100*'Selected_Inputs'!H19/'Selected_Inputs'!F19,""),"")</x:f>
        <x:v>9.025800367629452</x:v>
      </x:c>
      <x:c r="F19" s="22" t="str">
        <x:f>IF(COUNT('Selected_Inputs'!I19,C19)=2,IF(C19&gt;0,100*'Selected_Inputs'!I19/C19,""),"")</x:f>
      </x:c>
      <x:c r="G19" s="22" t="n">
        <x:f>IF(COUNT('Selected_Inputs'!L19,'Selected_Inputs'!K19)=2,IF('Selected_Inputs'!K19&gt;0,100*'Selected_Inputs'!L19/'Selected_Inputs'!K19,""),"")</x:f>
        <x:v>3.0687802609110975</x:v>
      </x:c>
      <x:c r="H19" s="22" t="str">
        <x:f>IF(COUNT('Selected_Inputs'!R19,'Selected_Inputs'!S19)=2,IF('Selected_Inputs'!S19&gt;0,100*'Selected_Inputs'!R19/'Selected_Inputs'!S19,""),"")</x:f>
      </x:c>
      <x:c r="I19" s="22" t="str">
        <x:f>IF(COUNT('Selected_Inputs'!N19,C19)=2,IF(C19&gt;0,100*'Selected_Inputs'!N19/C19,""),"")</x:f>
      </x:c>
      <x:c r="J19" s="22" t="str">
        <x:f>IF(COUNT('Selected_Inputs'!L19,'Selected_Inputs'!AB19)=2,IF('Selected_Inputs'!AB19&gt;0,100*'Selected_Inputs'!L19/'Selected_Inputs'!AB19,""),"")</x:f>
      </x:c>
      <x:c r="K19" s="22" t="str">
        <x:f>IF(COUNT('Selected_Inputs'!AB19,'Selected_Inputs'!K19)=2,IF('Selected_Inputs'!K19&gt;0,100*'Selected_Inputs'!AB19/'Selected_Inputs'!K19,""),"")</x:f>
      </x:c>
      <x:c r="L19" s="22" t="str">
        <x:f>IF(COUNT('Selected_Inputs'!AD19,'Selected_Inputs'!K19)=2,IF('Selected_Inputs'!K19&gt;0,100*'Selected_Inputs'!AD19/'Selected_Inputs'!K19,""),"")</x:f>
      </x:c>
      <x:c r="M19" s="22" t="str">
        <x:f>IF(COUNT('Selected_Inputs'!AE19,'Selected_Inputs'!AD19)=2,IF('Selected_Inputs'!AD19&gt;0,100*'Selected_Inputs'!AE19/'Selected_Inputs'!AD19,""),"")</x:f>
      </x:c>
      <x:c r="N19" s="22" t="n">
        <x:f>IF(COUNT('Selected_Inputs'!E19,'Selected_Inputs'!F19)=2,IF('Selected_Inputs'!F19&gt;0,100*'Selected_Inputs'!E19/'Selected_Inputs'!F19,""),"")</x:f>
        <x:v>0.8719227609782333</x:v>
      </x:c>
      <x:c r="O19" s="22" t="n">
        <x:f>IF(COUNT('Selected_Inputs'!G19,'Selected_Inputs'!F19)=2,IF('Selected_Inputs'!F19&gt;0,100*'Selected_Inputs'!G19/'Selected_Inputs'!F19,""),"")</x:f>
        <x:v>90.97419963237054</x:v>
      </x:c>
      <x:c r="P19" s="22" t="n">
        <x:f>IF(COUNT('Selected_Inputs'!F19)=1,IF('Selected_Inputs'!F19&gt;0,LN('Selected_Inputs'!F19),""),"")</x:f>
        <x:v>13.89789759247811</x:v>
      </x:c>
      <x:c r="Q19" s="22" t="n">
        <x:f>IF(COUNT('Selected_Inputs'!F19,'Selected_Inputs'!G19,'Selected_Inputs'!H19)=3,'Selected_Inputs'!F19-'Selected_Inputs'!G19-'Selected_Inputs'!H19,"")</x:f>
        <x:v>0</x:v>
      </x:c>
      <x:c r="R19" s="22" t="str">
        <x:f>IF(COUNT('Selected_Inputs'!K19,'Selected_Inputs'!L19,'Selected_Inputs'!M19)=3,'Selected_Inputs'!K19-'Selected_Inputs'!L19-'Selected_Inputs'!M19,"")</x:f>
      </x:c>
      <x:c r="S19" s="22" t="str">
        <x:f>IF(AND('Selected_Inputs'!X19=1,COUNT('Selected_Inputs'!W19)=1),'Selected_Inputs'!W19,"")</x:f>
      </x:c>
      <x:c r="T19" s="22" t="n">
        <x:f>IF(COUNT('Selected_Inputs'!T19,'Selected_Inputs'!V19)=2,'Selected_Inputs'!T19-'Selected_Inputs'!V19,"")</x:f>
        <x:v>2.8599999999999994</x:v>
      </x:c>
      <x:c r="U19" s="20" t="str">
        <x:f>'Selected_Inputs'!AK19</x:f>
        <x:v>Prior source-selection policy retained; original evidence preserved in accompanying pack.</x:v>
      </x:c>
    </x:row>
    <x:row r="20" ht="28" customHeight="1">
      <x:c r="A20" s="18" t="str">
        <x:f>'Selected_Inputs'!A20</x:f>
        <x:v>Sterling</x:v>
      </x:c>
      <x:c r="B20" s="24" t="n">
        <x:f>'Selected_Inputs'!B20</x:f>
        <x:v>2019</x:v>
      </x:c>
      <x:c r="C20" s="22" t="n">
        <x:f>IF(COUNT('Selected_Inputs'!F20,'Selected_Inputs'!J20)=2,IF(AND('Selected_Inputs'!F20&gt;0,'Selected_Inputs'!J20&gt;0),('Selected_Inputs'!F20+'Selected_Inputs'!J20)/2,""),"")</x:f>
        <x:v>1125692.5</x:v>
      </x:c>
      <x:c r="D20" s="22" t="n">
        <x:f>IF(COUNT('Selected_Inputs'!E20,C20)=2,IF(C20&gt;0,100*'Selected_Inputs'!E20/C20,""),"")</x:f>
        <x:v>0.9028220406549746</x:v>
      </x:c>
      <x:c r="E20" s="22" t="n">
        <x:f>IF(COUNT('Selected_Inputs'!H20,'Selected_Inputs'!F20)=2,IF('Selected_Inputs'!F20&gt;0,100*'Selected_Inputs'!H20/'Selected_Inputs'!F20,""),"")</x:f>
        <x:v>10.238273578325007</x:v>
      </x:c>
      <x:c r="F20" s="22" t="n">
        <x:f>IF(COUNT('Selected_Inputs'!I20,C20)=2,IF(C20&gt;0,100*'Selected_Inputs'!I20/C20,""),"")</x:f>
        <x:v>10.163876902440053</x:v>
      </x:c>
      <x:c r="G20" s="22" t="n">
        <x:f>IF(COUNT('Selected_Inputs'!L20,'Selected_Inputs'!K20)=2,IF('Selected_Inputs'!K20&gt;0,100*'Selected_Inputs'!L20/'Selected_Inputs'!K20,""),"")</x:f>
        <x:v>2.052563091857185</x:v>
      </x:c>
      <x:c r="H20" s="22" t="str">
        <x:f>IF(COUNT('Selected_Inputs'!R20,'Selected_Inputs'!S20)=2,IF('Selected_Inputs'!S20&gt;0,100*'Selected_Inputs'!R20/'Selected_Inputs'!S20,""),"")</x:f>
      </x:c>
      <x:c r="I20" s="22" t="n">
        <x:f>IF(COUNT('Selected_Inputs'!N20,C20)=2,IF(C20&gt;0,100*'Selected_Inputs'!N20/C20,""),"")</x:f>
        <x:v>0.5189694343703987</x:v>
      </x:c>
      <x:c r="J20" s="22" t="str">
        <x:f>IF(COUNT('Selected_Inputs'!L20,'Selected_Inputs'!AB20)=2,IF('Selected_Inputs'!AB20&gt;0,100*'Selected_Inputs'!L20/'Selected_Inputs'!AB20,""),"")</x:f>
      </x:c>
      <x:c r="K20" s="22" t="str">
        <x:f>IF(COUNT('Selected_Inputs'!AB20,'Selected_Inputs'!K20)=2,IF('Selected_Inputs'!K20&gt;0,100*'Selected_Inputs'!AB20/'Selected_Inputs'!K20,""),"")</x:f>
      </x:c>
      <x:c r="L20" s="22" t="str">
        <x:f>IF(COUNT('Selected_Inputs'!AD20,'Selected_Inputs'!K20)=2,IF('Selected_Inputs'!K20&gt;0,100*'Selected_Inputs'!AD20/'Selected_Inputs'!K20,""),"")</x:f>
      </x:c>
      <x:c r="M20" s="22" t="str">
        <x:f>IF(COUNT('Selected_Inputs'!AE20,'Selected_Inputs'!AD20)=2,IF('Selected_Inputs'!AD20&gt;0,100*'Selected_Inputs'!AE20/'Selected_Inputs'!AD20,""),"")</x:f>
      </x:c>
      <x:c r="N20" s="22" t="n">
        <x:f>IF(COUNT('Selected_Inputs'!E20,'Selected_Inputs'!F20)=2,IF('Selected_Inputs'!F20&gt;0,100*'Selected_Inputs'!E20/'Selected_Inputs'!F20,""),"")</x:f>
        <x:v>0.8719795385535418</x:v>
      </x:c>
      <x:c r="O20" s="22" t="n">
        <x:f>IF(COUNT('Selected_Inputs'!G20,'Selected_Inputs'!F20)=2,IF('Selected_Inputs'!F20&gt;0,100*'Selected_Inputs'!G20/'Selected_Inputs'!F20,""),"")</x:f>
        <x:v>89.761726421675</x:v>
      </x:c>
      <x:c r="P20" s="22" t="n">
        <x:f>IF(COUNT('Selected_Inputs'!F20)=1,IF('Selected_Inputs'!F20&gt;0,LN('Selected_Inputs'!F20),""),"")</x:f>
        <x:v>13.968668459435856</x:v>
      </x:c>
      <x:c r="Q20" s="22" t="n">
        <x:f>IF(COUNT('Selected_Inputs'!F20,'Selected_Inputs'!G20,'Selected_Inputs'!H20)=3,'Selected_Inputs'!F20-'Selected_Inputs'!G20-'Selected_Inputs'!H20,"")</x:f>
        <x:v>0</x:v>
      </x:c>
      <x:c r="R20" s="22" t="str">
        <x:f>IF(COUNT('Selected_Inputs'!K20,'Selected_Inputs'!L20,'Selected_Inputs'!M20)=3,'Selected_Inputs'!K20-'Selected_Inputs'!L20-'Selected_Inputs'!M20,"")</x:f>
      </x:c>
      <x:c r="S20" s="22" t="str">
        <x:f>IF(AND('Selected_Inputs'!X20=1,COUNT('Selected_Inputs'!W20)=1),'Selected_Inputs'!W20,"")</x:f>
      </x:c>
      <x:c r="T20" s="22" t="n">
        <x:f>IF(COUNT('Selected_Inputs'!T20,'Selected_Inputs'!V20)=2,'Selected_Inputs'!T20-'Selected_Inputs'!V20,"")</x:f>
        <x:v>4.699999999999999</x:v>
      </x:c>
      <x:c r="U20" s="20" t="str">
        <x:f>'Selected_Inputs'!AK20</x:f>
        <x:v>Prior source-selection policy retained; original evidence preserved in accompanying pack.</x:v>
      </x:c>
    </x:row>
    <x:row r="21" ht="28" customHeight="1">
      <x:c r="A21" s="18" t="str">
        <x:f>'Selected_Inputs'!A21</x:f>
        <x:v>UBA</x:v>
      </x:c>
      <x:c r="B21" s="24" t="n">
        <x:f>'Selected_Inputs'!B21</x:f>
        <x:v>2013</x:v>
      </x:c>
      <x:c r="C21" s="22" t="str">
        <x:f>IF(COUNT('Selected_Inputs'!F21,'Selected_Inputs'!J21)=2,IF(AND('Selected_Inputs'!F21&gt;0,'Selected_Inputs'!J21&gt;0),('Selected_Inputs'!F21+'Selected_Inputs'!J21)/2,""),"")</x:f>
      </x:c>
      <x:c r="D21" s="22" t="str">
        <x:f>IF(COUNT('Selected_Inputs'!E21,C21)=2,IF(C21&gt;0,100*'Selected_Inputs'!E21/C21,""),"")</x:f>
      </x:c>
      <x:c r="E21" s="22" t="n">
        <x:f>IF(COUNT('Selected_Inputs'!H21,'Selected_Inputs'!F21)=2,IF('Selected_Inputs'!F21&gt;0,100*'Selected_Inputs'!H21/'Selected_Inputs'!F21,""),"")</x:f>
        <x:v>11.704519267237512</x:v>
      </x:c>
      <x:c r="F21" s="22" t="str">
        <x:f>IF(COUNT('Selected_Inputs'!I21,C21)=2,IF(C21&gt;0,100*'Selected_Inputs'!I21/C21,""),"")</x:f>
      </x:c>
      <x:c r="G21" s="22" t="n">
        <x:f>IF(COUNT('Selected_Inputs'!L21,'Selected_Inputs'!K21)=2,IF('Selected_Inputs'!K21&gt;0,100*'Selected_Inputs'!L21/'Selected_Inputs'!K21,""),"")</x:f>
        <x:v>1.0328353983004226</x:v>
      </x:c>
      <x:c r="H21" s="22" t="str">
        <x:f>IF(COUNT('Selected_Inputs'!R21,'Selected_Inputs'!S21)=2,IF('Selected_Inputs'!S21&gt;0,100*'Selected_Inputs'!R21/'Selected_Inputs'!S21,""),"")</x:f>
      </x:c>
      <x:c r="I21" s="22" t="str">
        <x:f>IF(COUNT('Selected_Inputs'!N21,C21)=2,IF(C21&gt;0,100*'Selected_Inputs'!N21/C21,""),"")</x:f>
      </x:c>
      <x:c r="J21" s="22" t="str">
        <x:f>IF(COUNT('Selected_Inputs'!L21,'Selected_Inputs'!AB21)=2,IF('Selected_Inputs'!AB21&gt;0,100*'Selected_Inputs'!L21/'Selected_Inputs'!AB21,""),"")</x:f>
      </x:c>
      <x:c r="K21" s="22" t="str">
        <x:f>IF(COUNT('Selected_Inputs'!AB21,'Selected_Inputs'!K21)=2,IF('Selected_Inputs'!K21&gt;0,100*'Selected_Inputs'!AB21/'Selected_Inputs'!K21,""),"")</x:f>
      </x:c>
      <x:c r="L21" s="22" t="str">
        <x:f>IF(COUNT('Selected_Inputs'!AD21,'Selected_Inputs'!K21)=2,IF('Selected_Inputs'!K21&gt;0,100*'Selected_Inputs'!AD21/'Selected_Inputs'!K21,""),"")</x:f>
      </x:c>
      <x:c r="M21" s="22" t="str">
        <x:f>IF(COUNT('Selected_Inputs'!AE21,'Selected_Inputs'!AD21)=2,IF('Selected_Inputs'!AD21&gt;0,100*'Selected_Inputs'!AE21/'Selected_Inputs'!AD21,""),"")</x:f>
      </x:c>
      <x:c r="N21" s="22" t="n">
        <x:f>IF(COUNT('Selected_Inputs'!E21,'Selected_Inputs'!F21)=2,IF('Selected_Inputs'!F21&gt;0,100*'Selected_Inputs'!E21/'Selected_Inputs'!F21,""),"")</x:f>
        <x:v>2.096267864817488</x:v>
      </x:c>
      <x:c r="O21" s="22" t="n">
        <x:f>IF(COUNT('Selected_Inputs'!G21,'Selected_Inputs'!F21)=2,IF('Selected_Inputs'!F21&gt;0,100*'Selected_Inputs'!G21/'Selected_Inputs'!F21,""),"")</x:f>
        <x:v>88.29548073276248</x:v>
      </x:c>
      <x:c r="P21" s="22" t="n">
        <x:f>IF(COUNT('Selected_Inputs'!F21)=1,IF('Selected_Inputs'!F21&gt;0,LN('Selected_Inputs'!F21),""),"")</x:f>
        <x:v>14.611853562927601</x:v>
      </x:c>
      <x:c r="Q21" s="22" t="n">
        <x:f>IF(COUNT('Selected_Inputs'!F21,'Selected_Inputs'!G21,'Selected_Inputs'!H21)=3,'Selected_Inputs'!F21-'Selected_Inputs'!G21-'Selected_Inputs'!H21,"")</x:f>
        <x:v>0</x:v>
      </x:c>
      <x:c r="R21" s="22" t="str">
        <x:f>IF(COUNT('Selected_Inputs'!K21,'Selected_Inputs'!L21,'Selected_Inputs'!M21)=3,'Selected_Inputs'!K21-'Selected_Inputs'!L21-'Selected_Inputs'!M21,"")</x:f>
      </x:c>
      <x:c r="S21" s="22" t="str">
        <x:f>IF(AND('Selected_Inputs'!X21=1,COUNT('Selected_Inputs'!W21)=1),'Selected_Inputs'!W21,"")</x:f>
      </x:c>
      <x:c r="T21" s="22" t="str">
        <x:f>IF(COUNT('Selected_Inputs'!T21,'Selected_Inputs'!V21)=2,'Selected_Inputs'!T21-'Selected_Inputs'!V21,"")</x:f>
      </x:c>
      <x:c r="U21" s="20" t="str">
        <x:f>'Selected_Inputs'!AK21</x:f>
        <x:v>Prior source-selection policy retained; original evidence preserved in accompanying pack.</x:v>
      </x:c>
    </x:row>
    <x:row r="22" ht="28" customHeight="1">
      <x:c r="A22" s="18" t="str">
        <x:f>'Selected_Inputs'!A22</x:f>
        <x:v>UBA</x:v>
      </x:c>
      <x:c r="B22" s="24" t="n">
        <x:f>'Selected_Inputs'!B22</x:f>
        <x:v>2014</x:v>
      </x:c>
      <x:c r="C22" s="22" t="n">
        <x:f>IF(COUNT('Selected_Inputs'!F22,'Selected_Inputs'!J22)=2,IF(AND('Selected_Inputs'!F22&gt;0,'Selected_Inputs'!J22&gt;0),('Selected_Inputs'!F22+'Selected_Inputs'!J22)/2,""),"")</x:f>
        <x:v>2278137.5</x:v>
      </x:c>
      <x:c r="D22" s="22" t="n">
        <x:f>IF(COUNT('Selected_Inputs'!E22,C22)=2,IF(C22&gt;0,100*'Selected_Inputs'!E22/C22,""),"")</x:f>
        <x:v>1.7594635969075616</x:v>
      </x:c>
      <x:c r="E22" s="22" t="n">
        <x:f>IF(COUNT('Selected_Inputs'!H22,'Selected_Inputs'!F22)=2,IF('Selected_Inputs'!F22&gt;0,100*'Selected_Inputs'!H22/'Selected_Inputs'!F22,""),"")</x:f>
        <x:v>12.05430171476849</x:v>
      </x:c>
      <x:c r="F22" s="22" t="n">
        <x:f>IF(COUNT('Selected_Inputs'!I22,C22)=2,IF(C22&gt;0,100*'Selected_Inputs'!I22/C22,""),"")</x:f>
        <x:v>-4.065557939325436</x:v>
      </x:c>
      <x:c r="G22" s="22" t="n">
        <x:f>IF(COUNT('Selected_Inputs'!L22,'Selected_Inputs'!K22)=2,IF('Selected_Inputs'!K22&gt;0,100*'Selected_Inputs'!L22/'Selected_Inputs'!K22,""),"")</x:f>
        <x:v>1.175499296733694</x:v>
      </x:c>
      <x:c r="H22" s="22" t="str">
        <x:f>IF(COUNT('Selected_Inputs'!R22,'Selected_Inputs'!S22)=2,IF('Selected_Inputs'!S22&gt;0,100*'Selected_Inputs'!R22/'Selected_Inputs'!S22,""),"")</x:f>
      </x:c>
      <x:c r="I22" s="22" t="n">
        <x:f>IF(COUNT('Selected_Inputs'!N22,C22)=2,IF(C22&gt;0,100*'Selected_Inputs'!N22/C22,""),"")</x:f>
        <x:v>0.134890892231044</x:v>
      </x:c>
      <x:c r="J22" s="22" t="str">
        <x:f>IF(COUNT('Selected_Inputs'!L22,'Selected_Inputs'!AB22)=2,IF('Selected_Inputs'!AB22&gt;0,100*'Selected_Inputs'!L22/'Selected_Inputs'!AB22,""),"")</x:f>
      </x:c>
      <x:c r="K22" s="22" t="str">
        <x:f>IF(COUNT('Selected_Inputs'!AB22,'Selected_Inputs'!K22)=2,IF('Selected_Inputs'!K22&gt;0,100*'Selected_Inputs'!AB22/'Selected_Inputs'!K22,""),"")</x:f>
      </x:c>
      <x:c r="L22" s="22" t="str">
        <x:f>IF(COUNT('Selected_Inputs'!AD22,'Selected_Inputs'!K22)=2,IF('Selected_Inputs'!K22&gt;0,100*'Selected_Inputs'!AD22/'Selected_Inputs'!K22,""),"")</x:f>
      </x:c>
      <x:c r="M22" s="22" t="str">
        <x:f>IF(COUNT('Selected_Inputs'!AE22,'Selected_Inputs'!AD22)=2,IF('Selected_Inputs'!AD22&gt;0,100*'Selected_Inputs'!AE22/'Selected_Inputs'!AD22,""),"")</x:f>
      </x:c>
      <x:c r="N22" s="22" t="n">
        <x:f>IF(COUNT('Selected_Inputs'!E22,'Selected_Inputs'!F22)=2,IF('Selected_Inputs'!F22&gt;0,100*'Selected_Inputs'!E22/'Selected_Inputs'!F22,""),"")</x:f>
        <x:v>1.7137851036702527</x:v>
      </x:c>
      <x:c r="O22" s="22" t="n">
        <x:f>IF(COUNT('Selected_Inputs'!G22,'Selected_Inputs'!F22)=2,IF('Selected_Inputs'!F22&gt;0,100*'Selected_Inputs'!G22/'Selected_Inputs'!F22,""),"")</x:f>
        <x:v>87.94569828523152</x:v>
      </x:c>
      <x:c r="P22" s="22" t="n">
        <x:f>IF(COUNT('Selected_Inputs'!F22)=1,IF('Selected_Inputs'!F22&gt;0,LN('Selected_Inputs'!F22),""),"")</x:f>
        <x:v>14.665173334018405</x:v>
      </x:c>
      <x:c r="Q22" s="22" t="n">
        <x:f>IF(COUNT('Selected_Inputs'!F22,'Selected_Inputs'!G22,'Selected_Inputs'!H22)=3,'Selected_Inputs'!F22-'Selected_Inputs'!G22-'Selected_Inputs'!H22,"")</x:f>
        <x:v>0</x:v>
      </x:c>
      <x:c r="R22" s="22" t="str">
        <x:f>IF(COUNT('Selected_Inputs'!K22,'Selected_Inputs'!L22,'Selected_Inputs'!M22)=3,'Selected_Inputs'!K22-'Selected_Inputs'!L22-'Selected_Inputs'!M22,"")</x:f>
      </x:c>
      <x:c r="S22" s="22" t="str">
        <x:f>IF(AND('Selected_Inputs'!X22=1,COUNT('Selected_Inputs'!W22)=1),'Selected_Inputs'!W22,"")</x:f>
      </x:c>
      <x:c r="T22" s="22" t="str">
        <x:f>IF(COUNT('Selected_Inputs'!T22,'Selected_Inputs'!V22)=2,'Selected_Inputs'!T22-'Selected_Inputs'!V22,"")</x:f>
      </x:c>
      <x:c r="U22" s="20" t="str">
        <x:f>'Selected_Inputs'!AK22</x:f>
        <x:v>Prior source-selection policy retained; original evidence preserved in accompanying pack.</x:v>
      </x:c>
    </x:row>
    <x:row r="23" ht="28" customHeight="1">
      <x:c r="A23" s="18" t="str">
        <x:f>'Selected_Inputs'!A23</x:f>
        <x:v>UBA</x:v>
      </x:c>
      <x:c r="B23" s="24" t="n">
        <x:f>'Selected_Inputs'!B23</x:f>
        <x:v>2015</x:v>
      </x:c>
      <x:c r="C23" s="22" t="n">
        <x:f>IF(COUNT('Selected_Inputs'!F23,'Selected_Inputs'!J23)=2,IF(AND('Selected_Inputs'!F23&gt;0,'Selected_Inputs'!J23&gt;0),('Selected_Inputs'!F23+'Selected_Inputs'!J23)/2,""),"")</x:f>
        <x:v>2277597.5</x:v>
      </x:c>
      <x:c r="D23" s="22" t="n">
        <x:f>IF(COUNT('Selected_Inputs'!E23,C23)=2,IF(C23&gt;0,100*'Selected_Inputs'!E23/C23,""),"")</x:f>
        <x:v>2.091765555590924</x:v>
      </x:c>
      <x:c r="E23" s="22" t="n">
        <x:f>IF(COUNT('Selected_Inputs'!H23,'Selected_Inputs'!F23)=2,IF('Selected_Inputs'!F23&gt;0,100*'Selected_Inputs'!H23/'Selected_Inputs'!F23,""),"")</x:f>
        <x:v>15.260810968729034</x:v>
      </x:c>
      <x:c r="F23" s="22" t="n">
        <x:f>IF(COUNT('Selected_Inputs'!I23,C23)=2,IF(C23&gt;0,100*'Selected_Inputs'!I23/C23,""),"")</x:f>
        <x:v>2.5644566258963666</x:v>
      </x:c>
      <x:c r="G23" s="22" t="n">
        <x:f>IF(COUNT('Selected_Inputs'!L23,'Selected_Inputs'!K23)=2,IF('Selected_Inputs'!K23&gt;0,100*'Selected_Inputs'!L23/'Selected_Inputs'!K23,""),"")</x:f>
        <x:v>1.56065843680488</x:v>
      </x:c>
      <x:c r="H23" s="22" t="n">
        <x:f>IF(COUNT('Selected_Inputs'!R23,'Selected_Inputs'!S23)=2,IF('Selected_Inputs'!S23&gt;0,100*'Selected_Inputs'!R23/'Selected_Inputs'!S23,""),"")</x:f>
        <x:v>19.951720165644353</x:v>
      </x:c>
      <x:c r="I23" s="22" t="n">
        <x:f>IF(COUNT('Selected_Inputs'!N23,C23)=2,IF(C23&gt;0,100*'Selected_Inputs'!N23/C23,""),"")</x:f>
        <x:v>0.15327554583283481</x:v>
      </x:c>
      <x:c r="J23" s="22" t="str">
        <x:f>IF(COUNT('Selected_Inputs'!L23,'Selected_Inputs'!AB23)=2,IF('Selected_Inputs'!AB23&gt;0,100*'Selected_Inputs'!L23/'Selected_Inputs'!AB23,""),"")</x:f>
      </x:c>
      <x:c r="K23" s="22" t="str">
        <x:f>IF(COUNT('Selected_Inputs'!AB23,'Selected_Inputs'!K23)=2,IF('Selected_Inputs'!K23&gt;0,100*'Selected_Inputs'!AB23/'Selected_Inputs'!K23,""),"")</x:f>
      </x:c>
      <x:c r="L23" s="22" t="str">
        <x:f>IF(COUNT('Selected_Inputs'!AD23,'Selected_Inputs'!K23)=2,IF('Selected_Inputs'!K23&gt;0,100*'Selected_Inputs'!AD23/'Selected_Inputs'!K23,""),"")</x:f>
      </x:c>
      <x:c r="M23" s="22" t="str">
        <x:f>IF(COUNT('Selected_Inputs'!AE23,'Selected_Inputs'!AD23)=2,IF('Selected_Inputs'!AD23&gt;0,100*'Selected_Inputs'!AE23/'Selected_Inputs'!AD23,""),"")</x:f>
      </x:c>
      <x:c r="N23" s="22" t="n">
        <x:f>IF(COUNT('Selected_Inputs'!E23,'Selected_Inputs'!F23)=2,IF('Selected_Inputs'!F23&gt;0,100*'Selected_Inputs'!E23/'Selected_Inputs'!F23,""),"")</x:f>
        <x:v>2.1495828477347985</x:v>
      </x:c>
      <x:c r="O23" s="22" t="n">
        <x:f>IF(COUNT('Selected_Inputs'!G23,'Selected_Inputs'!F23)=2,IF('Selected_Inputs'!F23&gt;0,100*'Selected_Inputs'!G23/'Selected_Inputs'!F23,""),"")</x:f>
        <x:v>84.73918903127097</x:v>
      </x:c>
      <x:c r="P23" s="22" t="n">
        <x:f>IF(COUNT('Selected_Inputs'!F23)=1,IF('Selected_Inputs'!F23&gt;0,LN('Selected_Inputs'!F23),""),"")</x:f>
        <x:v>14.611366391099232</x:v>
      </x:c>
      <x:c r="Q23" s="22" t="n">
        <x:f>IF(COUNT('Selected_Inputs'!F23,'Selected_Inputs'!G23,'Selected_Inputs'!H23)=3,'Selected_Inputs'!F23-'Selected_Inputs'!G23-'Selected_Inputs'!H23,"")</x:f>
        <x:v>0</x:v>
      </x:c>
      <x:c r="R23" s="22" t="n">
        <x:f>IF(COUNT('Selected_Inputs'!K23,'Selected_Inputs'!L23,'Selected_Inputs'!M23)=3,'Selected_Inputs'!K23-'Selected_Inputs'!L23-'Selected_Inputs'!M23,"")</x:f>
        <x:v>0</x:v>
      </x:c>
      <x:c r="S23" s="22" t="n">
        <x:f>IF(AND('Selected_Inputs'!X23=1,COUNT('Selected_Inputs'!W23)=1),'Selected_Inputs'!W23,"")</x:f>
        <x:v>52.57</x:v>
      </x:c>
      <x:c r="T23" s="22" t="str">
        <x:f>IF(COUNT('Selected_Inputs'!T23,'Selected_Inputs'!V23)=2,'Selected_Inputs'!T23-'Selected_Inputs'!V23,"")</x:f>
      </x:c>
      <x:c r="U23" s="20" t="str">
        <x:f>'Selected_Inputs'!AK23</x:f>
        <x:v>2016 report 2015 comparative Bank columns; opening assets retained from the prior selected 2014 statement.</x:v>
      </x:c>
    </x:row>
    <x:row r="24" ht="28" customHeight="1">
      <x:c r="A24" s="18" t="str">
        <x:f>'Selected_Inputs'!A24</x:f>
        <x:v>UBA</x:v>
      </x:c>
      <x:c r="B24" s="24" t="n">
        <x:f>'Selected_Inputs'!B24</x:f>
        <x:v>2016</x:v>
      </x:c>
      <x:c r="C24" s="22" t="n">
        <x:f>IF(COUNT('Selected_Inputs'!F24,'Selected_Inputs'!J24)=2,IF(AND('Selected_Inputs'!F24&gt;0,'Selected_Inputs'!J24&gt;0),('Selected_Inputs'!F24+'Selected_Inputs'!J24)/2,""),"")</x:f>
        <x:v>2377961</x:v>
      </x:c>
      <x:c r="D24" s="22" t="n">
        <x:f>IF(COUNT('Selected_Inputs'!E24,C24)=2,IF(C24&gt;0,100*'Selected_Inputs'!E24/C24,""),"")</x:f>
        <x:v>1.999233797358325</x:v>
      </x:c>
      <x:c r="E24" s="22" t="n">
        <x:f>IF(COUNT('Selected_Inputs'!H24,'Selected_Inputs'!F24)=2,IF('Selected_Inputs'!F24&gt;0,100*'Selected_Inputs'!H24/'Selected_Inputs'!F24,""),"")</x:f>
        <x:v>15.392278659702274</x:v>
      </x:c>
      <x:c r="F24" s="22" t="n">
        <x:f>IF(COUNT('Selected_Inputs'!I24,C24)=2,IF(C24&gt;0,100*'Selected_Inputs'!I24/C24,""),"")</x:f>
        <x:v>-8.973738425483008</x:v>
      </x:c>
      <x:c r="G24" s="22" t="n">
        <x:f>IF(COUNT('Selected_Inputs'!L24,'Selected_Inputs'!K24)=2,IF('Selected_Inputs'!K24&gt;0,100*'Selected_Inputs'!L24/'Selected_Inputs'!K24,""),"")</x:f>
        <x:v>2.6552188383852813</x:v>
      </x:c>
      <x:c r="H24" s="22" t="n">
        <x:f>IF(COUNT('Selected_Inputs'!R24,'Selected_Inputs'!S24)=2,IF('Selected_Inputs'!S24&gt;0,100*'Selected_Inputs'!R24/'Selected_Inputs'!S24,""),"")</x:f>
        <x:v>19.702890830474637</x:v>
      </x:c>
      <x:c r="I24" s="22" t="n">
        <x:f>IF(COUNT('Selected_Inputs'!N24,C24)=2,IF(C24&gt;0,100*'Selected_Inputs'!N24/C24,""),"")</x:f>
        <x:v>1.0732303851913467</x:v>
      </x:c>
      <x:c r="J24" s="22" t="str">
        <x:f>IF(COUNT('Selected_Inputs'!L24,'Selected_Inputs'!AB24)=2,IF('Selected_Inputs'!AB24&gt;0,100*'Selected_Inputs'!L24/'Selected_Inputs'!AB24,""),"")</x:f>
      </x:c>
      <x:c r="K24" s="22" t="str">
        <x:f>IF(COUNT('Selected_Inputs'!AB24,'Selected_Inputs'!K24)=2,IF('Selected_Inputs'!K24&gt;0,100*'Selected_Inputs'!AB24/'Selected_Inputs'!K24,""),"")</x:f>
      </x:c>
      <x:c r="L24" s="22" t="str">
        <x:f>IF(COUNT('Selected_Inputs'!AD24,'Selected_Inputs'!K24)=2,IF('Selected_Inputs'!K24&gt;0,100*'Selected_Inputs'!AD24/'Selected_Inputs'!K24,""),"")</x:f>
      </x:c>
      <x:c r="M24" s="22" t="str">
        <x:f>IF(COUNT('Selected_Inputs'!AE24,'Selected_Inputs'!AD24)=2,IF('Selected_Inputs'!AD24&gt;0,100*'Selected_Inputs'!AE24/'Selected_Inputs'!AD24,""),"")</x:f>
      </x:c>
      <x:c r="N24" s="22" t="n">
        <x:f>IF(COUNT('Selected_Inputs'!E24,'Selected_Inputs'!F24)=2,IF('Selected_Inputs'!F24&gt;0,100*'Selected_Inputs'!E24/'Selected_Inputs'!F24,""),"")</x:f>
        <x:v>1.8719987714528161</x:v>
      </x:c>
      <x:c r="O24" s="22" t="n">
        <x:f>IF(COUNT('Selected_Inputs'!G24,'Selected_Inputs'!F24)=2,IF('Selected_Inputs'!F24&gt;0,100*'Selected_Inputs'!G24/'Selected_Inputs'!F24,""),"")</x:f>
        <x:v>84.60772134029773</x:v>
      </x:c>
      <x:c r="P24" s="22" t="n">
        <x:f>IF(COUNT('Selected_Inputs'!F24)=1,IF('Selected_Inputs'!F24&gt;0,LN('Selected_Inputs'!F24),""),"")</x:f>
        <x:v>14.74751123981903</x:v>
      </x:c>
      <x:c r="Q24" s="22" t="n">
        <x:f>IF(COUNT('Selected_Inputs'!F24,'Selected_Inputs'!G24,'Selected_Inputs'!H24)=3,'Selected_Inputs'!F24-'Selected_Inputs'!G24-'Selected_Inputs'!H24,"")</x:f>
        <x:v>0</x:v>
      </x:c>
      <x:c r="R24" s="22" t="n">
        <x:f>IF(COUNT('Selected_Inputs'!K24,'Selected_Inputs'!L24,'Selected_Inputs'!M24)=3,'Selected_Inputs'!K24-'Selected_Inputs'!L24-'Selected_Inputs'!M24,"")</x:f>
        <x:v>0</x:v>
      </x:c>
      <x:c r="S24" s="22" t="n">
        <x:f>IF(AND('Selected_Inputs'!X24=1,COUNT('Selected_Inputs'!W24)=1),'Selected_Inputs'!W24,"")</x:f>
        <x:v>38.57</x:v>
      </x:c>
      <x:c r="T24" s="22" t="n">
        <x:f>IF(COUNT('Selected_Inputs'!T24,'Selected_Inputs'!V24)=2,'Selected_Inputs'!T24-'Selected_Inputs'!V24,"")</x:f>
        <x:v>5</x:v>
      </x:c>
      <x:c r="U24" s="20" t="str">
        <x:f>'Selected_Inputs'!AK24</x:f>
        <x:v>2016 report current-year Bank columns.</x:v>
      </x:c>
    </x:row>
    <x:row r="25" ht="28" customHeight="1">
      <x:c r="A25" s="18" t="str">
        <x:f>'Selected_Inputs'!A25</x:f>
        <x:v>UBA</x:v>
      </x:c>
      <x:c r="B25" s="24" t="n">
        <x:f>'Selected_Inputs'!B25</x:f>
        <x:v>2017</x:v>
      </x:c>
      <x:c r="C25" s="22" t="n">
        <x:f>IF(COUNT('Selected_Inputs'!F25,'Selected_Inputs'!J25)=2,IF(AND('Selected_Inputs'!F25&gt;0,'Selected_Inputs'!J25&gt;0),('Selected_Inputs'!F25+'Selected_Inputs'!J25)/2,""),"")</x:f>
        <x:v>2735705.5</x:v>
      </x:c>
      <x:c r="D25" s="22" t="n">
        <x:f>IF(COUNT('Selected_Inputs'!E25,C25)=2,IF(C25&gt;0,100*'Selected_Inputs'!E25/C25,""),"")</x:f>
        <x:v>1.5131745723360939</x:v>
      </x:c>
      <x:c r="E25" s="22" t="n">
        <x:f>IF(COUNT('Selected_Inputs'!H25,'Selected_Inputs'!F25)=2,IF('Selected_Inputs'!F25&gt;0,100*'Selected_Inputs'!H25/'Selected_Inputs'!F25,""),"")</x:f>
        <x:v>13.672707725492577</x:v>
      </x:c>
      <x:c r="F25" s="22" t="n">
        <x:f>IF(COUNT('Selected_Inputs'!I25,C25)=2,IF(C25&gt;0,100*'Selected_Inputs'!I25/C25,""),"")</x:f>
        <x:v>2.16218448952199</x:v>
      </x:c>
      <x:c r="G25" s="22" t="n">
        <x:f>IF(COUNT('Selected_Inputs'!L25,'Selected_Inputs'!K25)=2,IF('Selected_Inputs'!K25&gt;0,100*'Selected_Inputs'!L25/'Selected_Inputs'!K25,""),"")</x:f>
        <x:v>2.5914418984644967</x:v>
      </x:c>
      <x:c r="H25" s="22" t="n">
        <x:f>IF(COUNT('Selected_Inputs'!R25,'Selected_Inputs'!S25)=2,IF('Selected_Inputs'!S25&gt;0,100*'Selected_Inputs'!R25/'Selected_Inputs'!S25,""),"")</x:f>
        <x:v>20.15885073516683</x:v>
      </x:c>
      <x:c r="I25" s="22" t="n">
        <x:f>IF(COUNT('Selected_Inputs'!N25,C25)=2,IF(C25&gt;0,100*'Selected_Inputs'!N25/C25,""),"")</x:f>
        <x:v>1.1124369929438678</x:v>
      </x:c>
      <x:c r="J25" s="22" t="str">
        <x:f>IF(COUNT('Selected_Inputs'!L25,'Selected_Inputs'!AB25)=2,IF('Selected_Inputs'!AB25&gt;0,100*'Selected_Inputs'!L25/'Selected_Inputs'!AB25,""),"")</x:f>
      </x:c>
      <x:c r="K25" s="22" t="str">
        <x:f>IF(COUNT('Selected_Inputs'!AB25,'Selected_Inputs'!K25)=2,IF('Selected_Inputs'!K25&gt;0,100*'Selected_Inputs'!AB25/'Selected_Inputs'!K25,""),"")</x:f>
      </x:c>
      <x:c r="L25" s="22" t="str">
        <x:f>IF(COUNT('Selected_Inputs'!AD25,'Selected_Inputs'!K25)=2,IF('Selected_Inputs'!K25&gt;0,100*'Selected_Inputs'!AD25/'Selected_Inputs'!K25,""),"")</x:f>
      </x:c>
      <x:c r="M25" s="22" t="str">
        <x:f>IF(COUNT('Selected_Inputs'!AE25,'Selected_Inputs'!AD25)=2,IF('Selected_Inputs'!AD25&gt;0,100*'Selected_Inputs'!AE25/'Selected_Inputs'!AD25,""),"")</x:f>
      </x:c>
      <x:c r="N25" s="22" t="n">
        <x:f>IF(COUNT('Selected_Inputs'!E25,'Selected_Inputs'!F25)=2,IF('Selected_Inputs'!F25&gt;0,100*'Selected_Inputs'!E25/'Selected_Inputs'!F25,""),"")</x:f>
        <x:v>1.4119528239397563</x:v>
      </x:c>
      <x:c r="O25" s="22" t="n">
        <x:f>IF(COUNT('Selected_Inputs'!G25,'Selected_Inputs'!F25)=2,IF('Selected_Inputs'!F25&gt;0,100*'Selected_Inputs'!G25/'Selected_Inputs'!F25,""),"")</x:f>
        <x:v>86.32729227450743</x:v>
      </x:c>
      <x:c r="P25" s="22" t="n">
        <x:f>IF(COUNT('Selected_Inputs'!F25)=1,IF('Selected_Inputs'!F25&gt;0,LN('Selected_Inputs'!F25),""),"")</x:f>
        <x:v>14.891135995070796</x:v>
      </x:c>
      <x:c r="Q25" s="22" t="n">
        <x:f>IF(COUNT('Selected_Inputs'!F25,'Selected_Inputs'!G25,'Selected_Inputs'!H25)=3,'Selected_Inputs'!F25-'Selected_Inputs'!G25-'Selected_Inputs'!H25,"")</x:f>
        <x:v>0</x:v>
      </x:c>
      <x:c r="R25" s="22" t="n">
        <x:f>IF(COUNT('Selected_Inputs'!K25,'Selected_Inputs'!L25,'Selected_Inputs'!M25)=3,'Selected_Inputs'!K25-'Selected_Inputs'!L25-'Selected_Inputs'!M25,"")</x:f>
        <x:v>0</x:v>
      </x:c>
      <x:c r="S25" s="22" t="n">
        <x:f>IF(AND('Selected_Inputs'!X25=1,COUNT('Selected_Inputs'!W25)=1),'Selected_Inputs'!W25,"")</x:f>
        <x:v>49.69</x:v>
      </x:c>
      <x:c r="T25" s="22" t="str">
        <x:f>IF(COUNT('Selected_Inputs'!T25,'Selected_Inputs'!V25)=2,'Selected_Inputs'!T25-'Selected_Inputs'!V25,"")</x:f>
      </x:c>
      <x:c r="U25" s="20" t="str">
        <x:f>'Selected_Inputs'!AK25</x:f>
        <x:v>Prior source-selection policy retained; original evidence preserved in accompanying pack.</x:v>
      </x:c>
    </x:row>
    <x:row r="26" ht="28" customHeight="1">
      <x:c r="A26" s="18" t="str">
        <x:f>'Selected_Inputs'!A26</x:f>
        <x:v>UBA</x:v>
      </x:c>
      <x:c r="B26" s="24" t="n">
        <x:f>'Selected_Inputs'!B26</x:f>
        <x:v>2018</x:v>
      </x:c>
      <x:c r="C26" s="22" t="n">
        <x:f>IF(COUNT('Selected_Inputs'!F26,'Selected_Inputs'!J26)=2,IF(AND('Selected_Inputs'!F26&gt;0,'Selected_Inputs'!J26&gt;0),('Selected_Inputs'!F26+'Selected_Inputs'!J26)/2,""),"")</x:f>
        <x:v>3261565.5</x:v>
      </x:c>
      <x:c r="D26" s="22" t="n">
        <x:f>IF(COUNT('Selected_Inputs'!E26,C26)=2,IF(C26&gt;0,100*'Selected_Inputs'!E26/C26,""),"")</x:f>
        <x:v>1.2585060762998628</x:v>
      </x:c>
      <x:c r="E26" s="22" t="n">
        <x:f>IF(COUNT('Selected_Inputs'!H26,'Selected_Inputs'!F26)=2,IF('Selected_Inputs'!F26&gt;0,100*'Selected_Inputs'!H26/'Selected_Inputs'!F26,""),"")</x:f>
        <x:v>10.152242708430501</x:v>
      </x:c>
      <x:c r="F26" s="22" t="n">
        <x:f>IF(COUNT('Selected_Inputs'!I26,C26)=2,IF(C26&gt;0,100*'Selected_Inputs'!I26/C26,""),"")</x:f>
        <x:v>14.981333350503002</x:v>
      </x:c>
      <x:c r="G26" s="22" t="n">
        <x:f>IF(COUNT('Selected_Inputs'!L26,'Selected_Inputs'!K26)=2,IF('Selected_Inputs'!K26&gt;0,100*'Selected_Inputs'!L26/'Selected_Inputs'!K26,""),"")</x:f>
        <x:v>4.733571302993771</x:v>
      </x:c>
      <x:c r="H26" s="22" t="n">
        <x:f>IF(COUNT('Selected_Inputs'!R26,'Selected_Inputs'!S26)=2,IF('Selected_Inputs'!S26&gt;0,100*'Selected_Inputs'!R26/'Selected_Inputs'!S26,""),"")</x:f>
        <x:v>19.6620128489262</x:v>
      </x:c>
      <x:c r="I26" s="22" t="n">
        <x:f>IF(COUNT('Selected_Inputs'!N26,C26)=2,IF(C26&gt;0,100*'Selected_Inputs'!N26/C26,""),"")</x:f>
        <x:v>0.13052014439078413</x:v>
      </x:c>
      <x:c r="J26" s="22" t="str">
        <x:f>IF(COUNT('Selected_Inputs'!L26,'Selected_Inputs'!AB26)=2,IF('Selected_Inputs'!AB26&gt;0,100*'Selected_Inputs'!L26/'Selected_Inputs'!AB26,""),"")</x:f>
      </x:c>
      <x:c r="K26" s="22" t="str">
        <x:f>IF(COUNT('Selected_Inputs'!AB26,'Selected_Inputs'!K26)=2,IF('Selected_Inputs'!K26&gt;0,100*'Selected_Inputs'!AB26/'Selected_Inputs'!K26,""),"")</x:f>
      </x:c>
      <x:c r="L26" s="22" t="str">
        <x:f>IF(COUNT('Selected_Inputs'!AD26,'Selected_Inputs'!K26)=2,IF('Selected_Inputs'!K26&gt;0,100*'Selected_Inputs'!AD26/'Selected_Inputs'!K26,""),"")</x:f>
      </x:c>
      <x:c r="M26" s="22" t="str">
        <x:f>IF(COUNT('Selected_Inputs'!AE26,'Selected_Inputs'!AD26)=2,IF('Selected_Inputs'!AD26&gt;0,100*'Selected_Inputs'!AE26/'Selected_Inputs'!AD26,""),"")</x:f>
      </x:c>
      <x:c r="N26" s="22" t="n">
        <x:f>IF(COUNT('Selected_Inputs'!E26,'Selected_Inputs'!F26)=2,IF('Selected_Inputs'!F26&gt;0,100*'Selected_Inputs'!E26/'Selected_Inputs'!F26,""),"")</x:f>
        <x:v>1.1429549982527243</x:v>
      </x:c>
      <x:c r="O26" s="22" t="n">
        <x:f>IF(COUNT('Selected_Inputs'!G26,'Selected_Inputs'!F26)=2,IF('Selected_Inputs'!F26&gt;0,100*'Selected_Inputs'!G26/'Selected_Inputs'!F26,""),"")</x:f>
        <x:v>89.8477572915695</x:v>
      </x:c>
      <x:c r="P26" s="22" t="n">
        <x:f>IF(COUNT('Selected_Inputs'!F26)=1,IF('Selected_Inputs'!F26&gt;0,LN('Selected_Inputs'!F26),""),"")</x:f>
        <x:v>15.094026204160103</x:v>
      </x:c>
      <x:c r="Q26" s="22" t="n">
        <x:f>IF(COUNT('Selected_Inputs'!F26,'Selected_Inputs'!G26,'Selected_Inputs'!H26)=3,'Selected_Inputs'!F26-'Selected_Inputs'!G26-'Selected_Inputs'!H26,"")</x:f>
        <x:v>0</x:v>
      </x:c>
      <x:c r="R26" s="22" t="n">
        <x:f>IF(COUNT('Selected_Inputs'!K26,'Selected_Inputs'!L26,'Selected_Inputs'!M26)=3,'Selected_Inputs'!K26-'Selected_Inputs'!L26-'Selected_Inputs'!M26,"")</x:f>
        <x:v>0</x:v>
      </x:c>
      <x:c r="S26" s="22" t="n">
        <x:f>IF(AND('Selected_Inputs'!X26=1,COUNT('Selected_Inputs'!W26)=1),'Selected_Inputs'!W26,"")</x:f>
        <x:v>55.84</x:v>
      </x:c>
      <x:c r="T26" s="22" t="n">
        <x:f>IF(COUNT('Selected_Inputs'!T26,'Selected_Inputs'!V26)=2,'Selected_Inputs'!T26-'Selected_Inputs'!V26,"")</x:f>
        <x:v>4</x:v>
      </x:c>
      <x:c r="U26" s="20" t="str">
        <x:f>'Selected_Inputs'!AK26</x:f>
        <x:v>Prior source-selection policy retained; original evidence preserved in accompanying pack.</x:v>
      </x:c>
    </x:row>
    <x:row r="27" ht="28" customHeight="1">
      <x:c r="A27" s="18" t="str">
        <x:f>'Selected_Inputs'!A27</x:f>
        <x:v>UBA</x:v>
      </x:c>
      <x:c r="B27" s="24" t="n">
        <x:f>'Selected_Inputs'!B27</x:f>
        <x:v>2019</x:v>
      </x:c>
      <x:c r="C27" s="22" t="n">
        <x:f>IF(COUNT('Selected_Inputs'!F27,'Selected_Inputs'!J27)=2,IF(AND('Selected_Inputs'!F27&gt;0,'Selected_Inputs'!J27&gt;0),('Selected_Inputs'!F27+'Selected_Inputs'!J27)/2,""),"")</x:f>
        <x:v>3863899</x:v>
      </x:c>
      <x:c r="D27" s="22" t="n">
        <x:f>IF(COUNT('Selected_Inputs'!E27,C27)=2,IF(C27&gt;0,100*'Selected_Inputs'!E27/C27,""),"")</x:f>
        <x:v>1.62400725277757</x:v>
      </x:c>
      <x:c r="E27" s="22" t="n">
        <x:f>IF(COUNT('Selected_Inputs'!H27,'Selected_Inputs'!F27)=2,IF('Selected_Inputs'!F27&gt;0,100*'Selected_Inputs'!H27/'Selected_Inputs'!F27,""),"")</x:f>
        <x:v>10.794699761367903</x:v>
      </x:c>
      <x:c r="F27" s="22" t="n">
        <x:f>IF(COUNT('Selected_Inputs'!I27,C27)=2,IF(C27&gt;0,100*'Selected_Inputs'!I27/C27,""),"")</x:f>
        <x:v>-8.21587210224698</x:v>
      </x:c>
      <x:c r="G27" s="22" t="n">
        <x:f>IF(COUNT('Selected_Inputs'!L27,'Selected_Inputs'!K27)=2,IF('Selected_Inputs'!K27&gt;0,100*'Selected_Inputs'!L27/'Selected_Inputs'!K27,""),"")</x:f>
        <x:v>3.4659981841041043</x:v>
      </x:c>
      <x:c r="H27" s="22" t="n">
        <x:f>IF(COUNT('Selected_Inputs'!R27,'Selected_Inputs'!S27)=2,IF('Selected_Inputs'!S27&gt;0,100*'Selected_Inputs'!R27/'Selected_Inputs'!S27,""),"")</x:f>
        <x:v>21.50710230374084</x:v>
      </x:c>
      <x:c r="I27" s="22" t="n">
        <x:f>IF(COUNT('Selected_Inputs'!N27,C27)=2,IF(C27&gt;0,100*'Selected_Inputs'!N27/C27,""),"")</x:f>
        <x:v>0.42363943778033536</x:v>
      </x:c>
      <x:c r="J27" s="22" t="str">
        <x:f>IF(COUNT('Selected_Inputs'!L27,'Selected_Inputs'!AB27)=2,IF('Selected_Inputs'!AB27&gt;0,100*'Selected_Inputs'!L27/'Selected_Inputs'!AB27,""),"")</x:f>
      </x:c>
      <x:c r="K27" s="22" t="str">
        <x:f>IF(COUNT('Selected_Inputs'!AB27,'Selected_Inputs'!K27)=2,IF('Selected_Inputs'!K27&gt;0,100*'Selected_Inputs'!AB27/'Selected_Inputs'!K27,""),"")</x:f>
      </x:c>
      <x:c r="L27" s="22" t="str">
        <x:f>IF(COUNT('Selected_Inputs'!AD27,'Selected_Inputs'!K27)=2,IF('Selected_Inputs'!K27&gt;0,100*'Selected_Inputs'!AD27/'Selected_Inputs'!K27,""),"")</x:f>
      </x:c>
      <x:c r="M27" s="22" t="str">
        <x:f>IF(COUNT('Selected_Inputs'!AE27,'Selected_Inputs'!AD27)=2,IF('Selected_Inputs'!AD27&gt;0,100*'Selected_Inputs'!AE27/'Selected_Inputs'!AD27,""),"")</x:f>
      </x:c>
      <x:c r="N27" s="22" t="n">
        <x:f>IF(COUNT('Selected_Inputs'!E27,'Selected_Inputs'!F27)=2,IF('Selected_Inputs'!F27&gt;0,100*'Selected_Inputs'!E27/'Selected_Inputs'!F27,""),"")</x:f>
        <x:v>1.5169855237274668</x:v>
      </x:c>
      <x:c r="O27" s="22" t="n">
        <x:f>IF(COUNT('Selected_Inputs'!G27,'Selected_Inputs'!F27)=2,IF('Selected_Inputs'!F27&gt;0,100*'Selected_Inputs'!G27/'Selected_Inputs'!F27,""),"")</x:f>
        <x:v>89.20530023863209</x:v>
      </x:c>
      <x:c r="P27" s="22" t="n">
        <x:f>IF(COUNT('Selected_Inputs'!F27)=1,IF('Selected_Inputs'!F27&gt;0,LN('Selected_Inputs'!F27),""),"")</x:f>
        <x:v>15.23535888535904</x:v>
      </x:c>
      <x:c r="Q27" s="22" t="n">
        <x:f>IF(COUNT('Selected_Inputs'!F27,'Selected_Inputs'!G27,'Selected_Inputs'!H27)=3,'Selected_Inputs'!F27-'Selected_Inputs'!G27-'Selected_Inputs'!H27,"")</x:f>
        <x:v>0</x:v>
      </x:c>
      <x:c r="R27" s="22" t="n">
        <x:f>IF(COUNT('Selected_Inputs'!K27,'Selected_Inputs'!L27,'Selected_Inputs'!M27)=3,'Selected_Inputs'!K27-'Selected_Inputs'!L27-'Selected_Inputs'!M27,"")</x:f>
        <x:v>0</x:v>
      </x:c>
      <x:c r="S27" s="22" t="n">
        <x:f>IF(AND('Selected_Inputs'!X27=1,COUNT('Selected_Inputs'!W27)=1),'Selected_Inputs'!W27,"")</x:f>
        <x:v>43.99</x:v>
      </x:c>
      <x:c r="T27" s="22" t="str">
        <x:f>IF(COUNT('Selected_Inputs'!T27,'Selected_Inputs'!V27)=2,'Selected_Inputs'!T27-'Selected_Inputs'!V27,"")</x:f>
      </x:c>
      <x:c r="U27" s="20" t="str">
        <x:f>'Selected_Inputs'!AK27</x:f>
        <x:v>Prior source-selection policy retained; original evidence preserved in accompanying pack.</x:v>
      </x:c>
    </x:row>
    <x:row r="28" ht="28" customHeight="1">
      <x:c r="A28" s="18" t="str">
        <x:f>'Selected_Inputs'!A28</x:f>
        <x:v>UBA</x:v>
      </x:c>
      <x:c r="B28" s="24" t="n">
        <x:f>'Selected_Inputs'!B28</x:f>
        <x:v>2020</x:v>
      </x:c>
      <x:c r="C28" s="22" t="n">
        <x:f>IF(COUNT('Selected_Inputs'!F28,'Selected_Inputs'!J28)=2,IF(AND('Selected_Inputs'!F28&gt;0,'Selected_Inputs'!J28&gt;0),('Selected_Inputs'!F28+'Selected_Inputs'!J28)/2,""),"")</x:f>
        <x:v>4672163</x:v>
      </x:c>
      <x:c r="D28" s="22" t="n">
        <x:f>IF(COUNT('Selected_Inputs'!E28,C28)=2,IF(C28&gt;0,100*'Selected_Inputs'!E28/C28,""),"")</x:f>
        <x:v>1.218086783359228</x:v>
      </x:c>
      <x:c r="E28" s="22" t="n">
        <x:f>IF(COUNT('Selected_Inputs'!H28,'Selected_Inputs'!F28)=2,IF('Selected_Inputs'!F28&gt;0,100*'Selected_Inputs'!H28/'Selected_Inputs'!F28,""),"")</x:f>
        <x:v>9.17732961099175</x:v>
      </x:c>
      <x:c r="F28" s="22" t="n">
        <x:f>IF(COUNT('Selected_Inputs'!I28,C28)=2,IF(C28&gt;0,100*'Selected_Inputs'!I28/C28,""),"")</x:f>
        <x:v>15.733911680735455</x:v>
      </x:c>
      <x:c r="G28" s="22" t="n">
        <x:f>IF(COUNT('Selected_Inputs'!L28,'Selected_Inputs'!K28)=2,IF('Selected_Inputs'!K28&gt;0,100*'Selected_Inputs'!L28/'Selected_Inputs'!K28,""),"")</x:f>
        <x:v>3.3240917445481206</x:v>
      </x:c>
      <x:c r="H28" s="22" t="n">
        <x:f>IF(COUNT('Selected_Inputs'!R28,'Selected_Inputs'!S28)=2,IF('Selected_Inputs'!S28&gt;0,100*'Selected_Inputs'!R28/'Selected_Inputs'!S28,""),"")</x:f>
        <x:v>19.6952147431671</x:v>
      </x:c>
      <x:c r="I28" s="22" t="n">
        <x:f>IF(COUNT('Selected_Inputs'!N28,C28)=2,IF(C28&gt;0,100*'Selected_Inputs'!N28/C28,""),"")</x:f>
        <x:v>0.46796312543034135</x:v>
      </x:c>
      <x:c r="J28" s="22" t="str">
        <x:f>IF(COUNT('Selected_Inputs'!L28,'Selected_Inputs'!AB28)=2,IF('Selected_Inputs'!AB28&gt;0,100*'Selected_Inputs'!L28/'Selected_Inputs'!AB28,""),"")</x:f>
      </x:c>
      <x:c r="K28" s="22" t="str">
        <x:f>IF(COUNT('Selected_Inputs'!AB28,'Selected_Inputs'!K28)=2,IF('Selected_Inputs'!K28&gt;0,100*'Selected_Inputs'!AB28/'Selected_Inputs'!K28,""),"")</x:f>
      </x:c>
      <x:c r="L28" s="22" t="str">
        <x:f>IF(COUNT('Selected_Inputs'!AD28,'Selected_Inputs'!K28)=2,IF('Selected_Inputs'!K28&gt;0,100*'Selected_Inputs'!AD28/'Selected_Inputs'!K28,""),"")</x:f>
      </x:c>
      <x:c r="M28" s="22" t="str">
        <x:f>IF(COUNT('Selected_Inputs'!AE28,'Selected_Inputs'!AD28)=2,IF('Selected_Inputs'!AD28&gt;0,100*'Selected_Inputs'!AE28/'Selected_Inputs'!AD28,""),"")</x:f>
      </x:c>
      <x:c r="N28" s="22" t="n">
        <x:f>IF(COUNT('Selected_Inputs'!E28,'Selected_Inputs'!F28)=2,IF('Selected_Inputs'!F28&gt;0,100*'Selected_Inputs'!E28/'Selected_Inputs'!F28,""),"")</x:f>
        <x:v>1.0927961783720792</x:v>
      </x:c>
      <x:c r="O28" s="22" t="n">
        <x:f>IF(COUNT('Selected_Inputs'!G28,'Selected_Inputs'!F28)=2,IF('Selected_Inputs'!F28&gt;0,100*'Selected_Inputs'!G28/'Selected_Inputs'!F28,""),"")</x:f>
        <x:v>90.82267038900825</x:v>
      </x:c>
      <x:c r="P28" s="22" t="n">
        <x:f>IF(COUNT('Selected_Inputs'!F28)=1,IF('Selected_Inputs'!F28&gt;0,LN('Selected_Inputs'!F28),""),"")</x:f>
        <x:v>15.465674396304188</x:v>
      </x:c>
      <x:c r="Q28" s="22" t="n">
        <x:f>IF(COUNT('Selected_Inputs'!F28,'Selected_Inputs'!G28,'Selected_Inputs'!H28)=3,'Selected_Inputs'!F28-'Selected_Inputs'!G28-'Selected_Inputs'!H28,"")</x:f>
        <x:v>0</x:v>
      </x:c>
      <x:c r="R28" s="22" t="n">
        <x:f>IF(COUNT('Selected_Inputs'!K28,'Selected_Inputs'!L28,'Selected_Inputs'!M28)=3,'Selected_Inputs'!K28-'Selected_Inputs'!L28-'Selected_Inputs'!M28,"")</x:f>
        <x:v>0</x:v>
      </x:c>
      <x:c r="S28" s="22" t="n">
        <x:f>IF(AND('Selected_Inputs'!X28=1,COUNT('Selected_Inputs'!W28)=1),'Selected_Inputs'!W28,"")</x:f>
        <x:v>44.3</x:v>
      </x:c>
      <x:c r="T28" s="22" t="n">
        <x:f>IF(COUNT('Selected_Inputs'!T28,'Selected_Inputs'!V28)=2,'Selected_Inputs'!T28-'Selected_Inputs'!V28,"")</x:f>
        <x:v>5</x:v>
      </x:c>
      <x:c r="U28" s="20" t="str">
        <x:f>'Selected_Inputs'!AK28</x:f>
        <x:v>Prior source-selection policy retained; original evidence preserved in accompanying pack.</x:v>
      </x:c>
    </x:row>
    <x:row r="29" ht="28" customHeight="1">
      <x:c r="A29" s="18" t="str">
        <x:f>'Selected_Inputs'!A29</x:f>
        <x:v>UBA</x:v>
      </x:c>
      <x:c r="B29" s="24" t="n">
        <x:f>'Selected_Inputs'!B29</x:f>
        <x:v>2021</x:v>
      </x:c>
      <x:c r="C29" s="22" t="n">
        <x:f>IF(COUNT('Selected_Inputs'!F29,'Selected_Inputs'!J29)=2,IF(AND('Selected_Inputs'!F29&gt;0,'Selected_Inputs'!J29&gt;0),('Selected_Inputs'!F29+'Selected_Inputs'!J29)/2,""),"")</x:f>
        <x:v>5391404.5</x:v>
      </x:c>
      <x:c r="D29" s="22" t="n">
        <x:f>IF(COUNT('Selected_Inputs'!E29,C29)=2,IF(C29&gt;0,100*'Selected_Inputs'!E29/C29,""),"")</x:f>
        <x:v>1.088195107601368</x:v>
      </x:c>
      <x:c r="E29" s="22" t="n">
        <x:f>IF(COUNT('Selected_Inputs'!H29,'Selected_Inputs'!F29)=2,IF('Selected_Inputs'!F29&gt;0,100*'Selected_Inputs'!H29/'Selected_Inputs'!F29,""),"")</x:f>
        <x:v>8.997366087315891</x:v>
      </x:c>
      <x:c r="F29" s="22" t="n">
        <x:f>IF(COUNT('Selected_Inputs'!I29,C29)=2,IF(C29&gt;0,100*'Selected_Inputs'!I29/C29,""),"")</x:f>
        <x:v>12.457217780635824</x:v>
      </x:c>
      <x:c r="G29" s="22" t="n">
        <x:f>IF(COUNT('Selected_Inputs'!L29,'Selected_Inputs'!K29)=2,IF('Selected_Inputs'!K29&gt;0,100*'Selected_Inputs'!L29/'Selected_Inputs'!K29,""),"")</x:f>
        <x:v>3.412819986171235</x:v>
      </x:c>
      <x:c r="H29" s="22" t="n">
        <x:f>IF(COUNT('Selected_Inputs'!R29,'Selected_Inputs'!S29)=2,IF('Selected_Inputs'!S29&gt;0,100*'Selected_Inputs'!R29/'Selected_Inputs'!S29,""),"")</x:f>
        <x:v>21.821791467585197</x:v>
      </x:c>
      <x:c r="I29" s="22" t="n">
        <x:f>IF(COUNT('Selected_Inputs'!N29,C29)=2,IF(C29&gt;0,100*'Selected_Inputs'!N29/C29,""),"")</x:f>
        <x:v>0.1808248666928998</x:v>
      </x:c>
      <x:c r="J29" s="22" t="str">
        <x:f>IF(COUNT('Selected_Inputs'!L29,'Selected_Inputs'!AB29)=2,IF('Selected_Inputs'!AB29&gt;0,100*'Selected_Inputs'!L29/'Selected_Inputs'!AB29,""),"")</x:f>
      </x:c>
      <x:c r="K29" s="22" t="str">
        <x:f>IF(COUNT('Selected_Inputs'!AB29,'Selected_Inputs'!K29)=2,IF('Selected_Inputs'!K29&gt;0,100*'Selected_Inputs'!AB29/'Selected_Inputs'!K29,""),"")</x:f>
      </x:c>
      <x:c r="L29" s="22" t="str">
        <x:f>IF(COUNT('Selected_Inputs'!AD29,'Selected_Inputs'!K29)=2,IF('Selected_Inputs'!K29&gt;0,100*'Selected_Inputs'!AD29/'Selected_Inputs'!K29,""),"")</x:f>
      </x:c>
      <x:c r="M29" s="22" t="str">
        <x:f>IF(COUNT('Selected_Inputs'!AE29,'Selected_Inputs'!AD29)=2,IF('Selected_Inputs'!AD29&gt;0,100*'Selected_Inputs'!AE29/'Selected_Inputs'!AD29,""),"")</x:f>
      </x:c>
      <x:c r="N29" s="22" t="n">
        <x:f>IF(COUNT('Selected_Inputs'!E29,'Selected_Inputs'!F29)=2,IF('Selected_Inputs'!F29&gt;0,100*'Selected_Inputs'!E29/'Selected_Inputs'!F29,""),"")</x:f>
        <x:v>1.0523632747477298</x:v>
      </x:c>
      <x:c r="O29" s="22" t="n">
        <x:f>IF(COUNT('Selected_Inputs'!G29,'Selected_Inputs'!F29)=2,IF('Selected_Inputs'!F29&gt;0,100*'Selected_Inputs'!G29/'Selected_Inputs'!F29,""),"")</x:f>
        <x:v>91.0026339126841</x:v>
      </x:c>
      <x:c r="P29" s="22" t="n">
        <x:f>IF(COUNT('Selected_Inputs'!F29)=1,IF('Selected_Inputs'!F29&gt;0,LN('Selected_Inputs'!F29),""),"")</x:f>
        <x:v>15.533798570368456</x:v>
      </x:c>
      <x:c r="Q29" s="22" t="n">
        <x:f>IF(COUNT('Selected_Inputs'!F29,'Selected_Inputs'!G29,'Selected_Inputs'!H29)=3,'Selected_Inputs'!F29-'Selected_Inputs'!G29-'Selected_Inputs'!H29,"")</x:f>
        <x:v>0</x:v>
      </x:c>
      <x:c r="R29" s="22" t="n">
        <x:f>IF(COUNT('Selected_Inputs'!K29,'Selected_Inputs'!L29,'Selected_Inputs'!M29)=3,'Selected_Inputs'!K29-'Selected_Inputs'!L29-'Selected_Inputs'!M29,"")</x:f>
        <x:v>0</x:v>
      </x:c>
      <x:c r="S29" s="22" t="n">
        <x:f>IF(AND('Selected_Inputs'!X29=1,COUNT('Selected_Inputs'!W29)=1),'Selected_Inputs'!W29,"")</x:f>
        <x:v>47.56</x:v>
      </x:c>
      <x:c r="T29" s="22" t="str">
        <x:f>IF(COUNT('Selected_Inputs'!T29,'Selected_Inputs'!V29)=2,'Selected_Inputs'!T29-'Selected_Inputs'!V29,"")</x:f>
      </x:c>
      <x:c r="U29" s="20" t="str">
        <x:f>'Selected_Inputs'!AK29</x:f>
        <x:v>Prior source-selection policy retained; original evidence preserved in accompanying pack.</x:v>
      </x:c>
    </x:row>
    <x:row r="30" ht="28" customHeight="1">
      <x:c r="A30" s="18" t="str">
        <x:f>'Selected_Inputs'!A30</x:f>
        <x:v>UBA</x:v>
      </x:c>
      <x:c r="B30" s="24" t="n">
        <x:f>'Selected_Inputs'!B30</x:f>
        <x:v>2022</x:v>
      </x:c>
      <x:c r="C30" s="22" t="n">
        <x:f>IF(COUNT('Selected_Inputs'!F30,'Selected_Inputs'!J30)=2,IF(AND('Selected_Inputs'!F30&gt;0,'Selected_Inputs'!J30&gt;0),('Selected_Inputs'!F30+'Selected_Inputs'!J30)/2,""),"")</x:f>
        <x:v>6468010</x:v>
      </x:c>
      <x:c r="D30" s="22" t="n">
        <x:f>IF(COUNT('Selected_Inputs'!E30,C30)=2,IF(C30&gt;0,100*'Selected_Inputs'!E30/C30,""),"")</x:f>
        <x:v>2.0670345283943594</x:v>
      </x:c>
      <x:c r="E30" s="22" t="n">
        <x:f>IF(COUNT('Selected_Inputs'!H30,'Selected_Inputs'!F30)=2,IF('Selected_Inputs'!F30&gt;0,100*'Selected_Inputs'!H30/'Selected_Inputs'!F30,""),"")</x:f>
        <x:v>7.949864176874911</x:v>
      </x:c>
      <x:c r="F30" s="22" t="n">
        <x:f>IF(COUNT('Selected_Inputs'!I30,C30)=2,IF(C30&gt;0,100*'Selected_Inputs'!I30/C30,""),"")</x:f>
        <x:v>16.438255352109845</x:v>
      </x:c>
      <x:c r="G30" s="22" t="n">
        <x:f>IF(COUNT('Selected_Inputs'!L30,'Selected_Inputs'!K30)=2,IF('Selected_Inputs'!K30&gt;0,100*'Selected_Inputs'!L30/'Selected_Inputs'!K30,""),"")</x:f>
        <x:v>2.3764253747162356</x:v>
      </x:c>
      <x:c r="H30" s="22" t="n">
        <x:f>IF(COUNT('Selected_Inputs'!R30,'Selected_Inputs'!S30)=2,IF('Selected_Inputs'!S30&gt;0,100*'Selected_Inputs'!R30/'Selected_Inputs'!S30,""),"")</x:f>
        <x:v>21.853063107284157</x:v>
      </x:c>
      <x:c r="I30" s="22" t="n">
        <x:f>IF(COUNT('Selected_Inputs'!N30,C30)=2,IF(C30&gt;0,100*'Selected_Inputs'!N30/C30,""),"")</x:f>
        <x:v>0.16334235723197707</x:v>
      </x:c>
      <x:c r="J30" s="22" t="str">
        <x:f>IF(COUNT('Selected_Inputs'!L30,'Selected_Inputs'!AB30)=2,IF('Selected_Inputs'!AB30&gt;0,100*'Selected_Inputs'!L30/'Selected_Inputs'!AB30,""),"")</x:f>
      </x:c>
      <x:c r="K30" s="22" t="str">
        <x:f>IF(COUNT('Selected_Inputs'!AB30,'Selected_Inputs'!K30)=2,IF('Selected_Inputs'!K30&gt;0,100*'Selected_Inputs'!AB30/'Selected_Inputs'!K30,""),"")</x:f>
      </x:c>
      <x:c r="L30" s="22" t="str">
        <x:f>IF(COUNT('Selected_Inputs'!AD30,'Selected_Inputs'!K30)=2,IF('Selected_Inputs'!K30&gt;0,100*'Selected_Inputs'!AD30/'Selected_Inputs'!K30,""),"")</x:f>
      </x:c>
      <x:c r="M30" s="22" t="str">
        <x:f>IF(COUNT('Selected_Inputs'!AE30,'Selected_Inputs'!AD30)=2,IF('Selected_Inputs'!AD30&gt;0,100*'Selected_Inputs'!AE30/'Selected_Inputs'!AD30,""),"")</x:f>
      </x:c>
      <x:c r="N30" s="22" t="n">
        <x:f>IF(COUNT('Selected_Inputs'!E30,'Selected_Inputs'!F30)=2,IF('Selected_Inputs'!F30&gt;0,100*'Selected_Inputs'!E30/'Selected_Inputs'!F30,""),"")</x:f>
        <x:v>1.8162641060153968</x:v>
      </x:c>
      <x:c r="O30" s="22" t="n">
        <x:f>IF(COUNT('Selected_Inputs'!G30,'Selected_Inputs'!F30)=2,IF('Selected_Inputs'!F30&gt;0,100*'Selected_Inputs'!G30/'Selected_Inputs'!F30,""),"")</x:f>
        <x:v>92.05013582312509</x:v>
      </x:c>
      <x:c r="P30" s="22" t="n">
        <x:f>IF(COUNT('Selected_Inputs'!F30)=1,IF('Selected_Inputs'!F30&gt;0,LN('Selected_Inputs'!F30),""),"")</x:f>
        <x:v>15.811712328471694</x:v>
      </x:c>
      <x:c r="Q30" s="22" t="n">
        <x:f>IF(COUNT('Selected_Inputs'!F30,'Selected_Inputs'!G30,'Selected_Inputs'!H30)=3,'Selected_Inputs'!F30-'Selected_Inputs'!G30-'Selected_Inputs'!H30,"")</x:f>
        <x:v>0</x:v>
      </x:c>
      <x:c r="R30" s="22" t="n">
        <x:f>IF(COUNT('Selected_Inputs'!K30,'Selected_Inputs'!L30,'Selected_Inputs'!M30)=3,'Selected_Inputs'!K30-'Selected_Inputs'!L30-'Selected_Inputs'!M30,"")</x:f>
        <x:v>0</x:v>
      </x:c>
      <x:c r="S30" s="22" t="str">
        <x:f>IF(AND('Selected_Inputs'!X30=1,COUNT('Selected_Inputs'!W30)=1),'Selected_Inputs'!W30,"")</x:f>
      </x:c>
      <x:c r="T30" s="22" t="n">
        <x:f>IF(COUNT('Selected_Inputs'!T30,'Selected_Inputs'!V30)=2,'Selected_Inputs'!T30-'Selected_Inputs'!V30,"")</x:f>
        <x:v>4.899999999999999</x:v>
      </x:c>
      <x:c r="U30" s="20" t="str">
        <x:f>'Selected_Inputs'!AK30</x:f>
        <x:v>Prior source-selection policy retained; original evidence preserved in accompanying pack.</x:v>
      </x:c>
    </x:row>
    <x:row r="31" ht="28" customHeight="1">
      <x:c r="A31" s="18" t="str">
        <x:f>'Selected_Inputs'!A31</x:f>
        <x:v>Union</x:v>
      </x:c>
      <x:c r="B31" s="24" t="n">
        <x:f>'Selected_Inputs'!B31</x:f>
        <x:v>2013</x:v>
      </x:c>
      <x:c r="C31" s="22" t="str">
        <x:f>IF(COUNT('Selected_Inputs'!F31,'Selected_Inputs'!J31)=2,IF(AND('Selected_Inputs'!F31&gt;0,'Selected_Inputs'!J31&gt;0),('Selected_Inputs'!F31+'Selected_Inputs'!J31)/2,""),"")</x:f>
      </x:c>
      <x:c r="D31" s="22" t="str">
        <x:f>IF(COUNT('Selected_Inputs'!E31,C31)=2,IF(C31&gt;0,100*'Selected_Inputs'!E31/C31,""),"")</x:f>
      </x:c>
      <x:c r="E31" s="22" t="n">
        <x:f>IF(COUNT('Selected_Inputs'!H31,'Selected_Inputs'!F31)=2,IF('Selected_Inputs'!F31&gt;0,100*'Selected_Inputs'!H31/'Selected_Inputs'!F31,""),"")</x:f>
        <x:v>21.28836171078691</x:v>
      </x:c>
      <x:c r="F31" s="22" t="str">
        <x:f>IF(COUNT('Selected_Inputs'!I31,C31)=2,IF(C31&gt;0,100*'Selected_Inputs'!I31/C31,""),"")</x:f>
      </x:c>
      <x:c r="G31" s="22" t="n">
        <x:f>IF(COUNT('Selected_Inputs'!L31,'Selected_Inputs'!K31)=2,IF('Selected_Inputs'!K31&gt;0,100*'Selected_Inputs'!L31/'Selected_Inputs'!K31,""),"")</x:f>
        <x:v>8.929438280166435</x:v>
      </x:c>
      <x:c r="H31" s="22" t="str">
        <x:f>IF(COUNT('Selected_Inputs'!R31,'Selected_Inputs'!S31)=2,IF('Selected_Inputs'!S31&gt;0,100*'Selected_Inputs'!R31/'Selected_Inputs'!S31,""),"")</x:f>
      </x:c>
      <x:c r="I31" s="22" t="str">
        <x:f>IF(COUNT('Selected_Inputs'!N31,C31)=2,IF(C31&gt;0,100*'Selected_Inputs'!N31/C31,""),"")</x:f>
      </x:c>
      <x:c r="J31" s="22" t="n">
        <x:f>IF(COUNT('Selected_Inputs'!L31,'Selected_Inputs'!AB31)=2,IF('Selected_Inputs'!AB31&gt;0,100*'Selected_Inputs'!L31/'Selected_Inputs'!AB31,""),"")</x:f>
        <x:v>150.99677513925536</x:v>
      </x:c>
      <x:c r="K31" s="22" t="n">
        <x:f>IF(COUNT('Selected_Inputs'!AB31,'Selected_Inputs'!K31)=2,IF('Selected_Inputs'!K31&gt;0,100*'Selected_Inputs'!AB31/'Selected_Inputs'!K31,""),"")</x:f>
        <x:v>5.913661581137309</x:v>
      </x:c>
      <x:c r="L31" s="22" t="str">
        <x:f>IF(COUNT('Selected_Inputs'!AD31,'Selected_Inputs'!K31)=2,IF('Selected_Inputs'!K31&gt;0,100*'Selected_Inputs'!AD31/'Selected_Inputs'!K31,""),"")</x:f>
      </x:c>
      <x:c r="M31" s="22" t="str">
        <x:f>IF(COUNT('Selected_Inputs'!AE31,'Selected_Inputs'!AD31)=2,IF('Selected_Inputs'!AD31&gt;0,100*'Selected_Inputs'!AE31/'Selected_Inputs'!AD31,""),"")</x:f>
      </x:c>
      <x:c r="N31" s="22" t="n">
        <x:f>IF(COUNT('Selected_Inputs'!E31,'Selected_Inputs'!F31)=2,IF('Selected_Inputs'!F31&gt;0,100*'Selected_Inputs'!E31/'Selected_Inputs'!F31,""),"")</x:f>
        <x:v>0.5805483977385707</x:v>
      </x:c>
      <x:c r="O31" s="22" t="n">
        <x:f>IF(COUNT('Selected_Inputs'!G31,'Selected_Inputs'!F31)=2,IF('Selected_Inputs'!F31&gt;0,100*'Selected_Inputs'!G31/'Selected_Inputs'!F31,""),"")</x:f>
        <x:v>78.71163828921308</x:v>
      </x:c>
      <x:c r="P31" s="22" t="n">
        <x:f>IF(COUNT('Selected_Inputs'!F31)=1,IF('Selected_Inputs'!F31&gt;0,LN('Selected_Inputs'!F31),""),"")</x:f>
        <x:v>13.690057306266128</x:v>
      </x:c>
      <x:c r="Q31" s="22" t="n">
        <x:f>IF(COUNT('Selected_Inputs'!F31,'Selected_Inputs'!G31,'Selected_Inputs'!H31)=3,'Selected_Inputs'!F31-'Selected_Inputs'!G31-'Selected_Inputs'!H31,"")</x:f>
        <x:v>0</x:v>
      </x:c>
      <x:c r="R31" s="22" t="str">
        <x:f>IF(COUNT('Selected_Inputs'!K31,'Selected_Inputs'!L31,'Selected_Inputs'!M31)=3,'Selected_Inputs'!K31-'Selected_Inputs'!L31-'Selected_Inputs'!M31,"")</x:f>
      </x:c>
      <x:c r="S31" s="22" t="str">
        <x:f>IF(AND('Selected_Inputs'!X31=1,COUNT('Selected_Inputs'!W31)=1),'Selected_Inputs'!W31,"")</x:f>
      </x:c>
      <x:c r="T31" s="22" t="str">
        <x:f>IF(COUNT('Selected_Inputs'!T31,'Selected_Inputs'!V31)=2,'Selected_Inputs'!T31-'Selected_Inputs'!V31,"")</x:f>
      </x:c>
      <x:c r="U31" s="20" t="str">
        <x:f>'Selected_Inputs'!AK31</x:f>
        <x:v>Prior source-selection policy retained; original evidence preserved in accompanying pack.</x:v>
      </x:c>
    </x:row>
    <x:row r="32" ht="28" customHeight="1">
      <x:c r="A32" s="18" t="str">
        <x:f>'Selected_Inputs'!A32</x:f>
        <x:v>Union</x:v>
      </x:c>
      <x:c r="B32" s="24" t="n">
        <x:f>'Selected_Inputs'!B32</x:f>
        <x:v>2014</x:v>
      </x:c>
      <x:c r="C32" s="22" t="n">
        <x:f>IF(COUNT('Selected_Inputs'!F32,'Selected_Inputs'!J32)=2,IF(AND('Selected_Inputs'!F32&gt;0,'Selected_Inputs'!J32&gt;0),('Selected_Inputs'!F32+'Selected_Inputs'!J32)/2,""),"")</x:f>
        <x:v>901516.5</x:v>
      </x:c>
      <x:c r="D32" s="22" t="n">
        <x:f>IF(COUNT('Selected_Inputs'!E32,C32)=2,IF(C32&gt;0,100*'Selected_Inputs'!E32/C32,""),"")</x:f>
        <x:v>2.2723932396134736</x:v>
      </x:c>
      <x:c r="E32" s="22" t="n">
        <x:f>IF(COUNT('Selected_Inputs'!H32,'Selected_Inputs'!F32)=2,IF('Selected_Inputs'!F32&gt;0,100*'Selected_Inputs'!H32/'Selected_Inputs'!F32,""),"")</x:f>
        <x:v>22.365723568195836</x:v>
      </x:c>
      <x:c r="F32" s="22" t="n">
        <x:f>IF(COUNT('Selected_Inputs'!I32,C32)=2,IF(C32&gt;0,100*'Selected_Inputs'!I32/C32,""),"")</x:f>
        <x:v>-13.527983126210113</x:v>
      </x:c>
      <x:c r="G32" s="22" t="n">
        <x:f>IF(COUNT('Selected_Inputs'!L32,'Selected_Inputs'!K32)=2,IF('Selected_Inputs'!K32&gt;0,100*'Selected_Inputs'!L32/'Selected_Inputs'!K32,""),"")</x:f>
        <x:v>7.1760993160357085</x:v>
      </x:c>
      <x:c r="H32" s="22" t="str">
        <x:f>IF(COUNT('Selected_Inputs'!R32,'Selected_Inputs'!S32)=2,IF('Selected_Inputs'!S32&gt;0,100*'Selected_Inputs'!R32/'Selected_Inputs'!S32,""),"")</x:f>
      </x:c>
      <x:c r="I32" s="22" t="str">
        <x:f>IF(COUNT('Selected_Inputs'!N32,C32)=2,IF(C32&gt;0,100*'Selected_Inputs'!N32/C32,""),"")</x:f>
      </x:c>
      <x:c r="J32" s="22" t="n">
        <x:f>IF(COUNT('Selected_Inputs'!L32,'Selected_Inputs'!AB32)=2,IF('Selected_Inputs'!AB32&gt;0,100*'Selected_Inputs'!L32/'Selected_Inputs'!AB32,""),"")</x:f>
        <x:v>139.50823585581284</x:v>
      </x:c>
      <x:c r="K32" s="22" t="n">
        <x:f>IF(COUNT('Selected_Inputs'!AB32,'Selected_Inputs'!K32)=2,IF('Selected_Inputs'!K32&gt;0,100*'Selected_Inputs'!AB32/'Selected_Inputs'!K32,""),"")</x:f>
        <x:v>5.143853530950305</x:v>
      </x:c>
      <x:c r="L32" s="22" t="str">
        <x:f>IF(COUNT('Selected_Inputs'!AD32,'Selected_Inputs'!K32)=2,IF('Selected_Inputs'!K32&gt;0,100*'Selected_Inputs'!AD32/'Selected_Inputs'!K32,""),"")</x:f>
      </x:c>
      <x:c r="M32" s="22" t="str">
        <x:f>IF(COUNT('Selected_Inputs'!AE32,'Selected_Inputs'!AD32)=2,IF('Selected_Inputs'!AD32&gt;0,100*'Selected_Inputs'!AE32/'Selected_Inputs'!AD32,""),"")</x:f>
      </x:c>
      <x:c r="N32" s="22" t="n">
        <x:f>IF(COUNT('Selected_Inputs'!E32,'Selected_Inputs'!F32)=2,IF('Selected_Inputs'!F32&gt;0,100*'Selected_Inputs'!E32/'Selected_Inputs'!F32,""),"")</x:f>
        <x:v>2.2244759679282815</x:v>
      </x:c>
      <x:c r="O32" s="22" t="n">
        <x:f>IF(COUNT('Selected_Inputs'!G32,'Selected_Inputs'!F32)=2,IF('Selected_Inputs'!F32&gt;0,100*'Selected_Inputs'!G32/'Selected_Inputs'!F32,""),"")</x:f>
        <x:v>77.63427643180417</x:v>
      </x:c>
      <x:c r="P32" s="22" t="n">
        <x:f>IF(COUNT('Selected_Inputs'!F32)=1,IF('Selected_Inputs'!F32&gt;0,LN('Selected_Inputs'!F32),""),"")</x:f>
        <x:v>13.733145823137798</x:v>
      </x:c>
      <x:c r="Q32" s="22" t="n">
        <x:f>IF(COUNT('Selected_Inputs'!F32,'Selected_Inputs'!G32,'Selected_Inputs'!H32)=3,'Selected_Inputs'!F32-'Selected_Inputs'!G32-'Selected_Inputs'!H32,"")</x:f>
        <x:v>0</x:v>
      </x:c>
      <x:c r="R32" s="22" t="str">
        <x:f>IF(COUNT('Selected_Inputs'!K32,'Selected_Inputs'!L32,'Selected_Inputs'!M32)=3,'Selected_Inputs'!K32-'Selected_Inputs'!L32-'Selected_Inputs'!M32,"")</x:f>
      </x:c>
      <x:c r="S32" s="22" t="str">
        <x:f>IF(AND('Selected_Inputs'!X32=1,COUNT('Selected_Inputs'!W32)=1),'Selected_Inputs'!W32,"")</x:f>
      </x:c>
      <x:c r="T32" s="22" t="str">
        <x:f>IF(COUNT('Selected_Inputs'!T32,'Selected_Inputs'!V32)=2,'Selected_Inputs'!T32-'Selected_Inputs'!V32,"")</x:f>
      </x:c>
      <x:c r="U32" s="20" t="str">
        <x:f>'Selected_Inputs'!AK32</x:f>
        <x:v>Prior source-selection policy retained; original evidence preserved in accompanying pack.</x:v>
      </x:c>
    </x:row>
    <x:row r="33" ht="28" customHeight="1">
      <x:c r="A33" s="18" t="str">
        <x:f>'Selected_Inputs'!A33</x:f>
        <x:v>Union</x:v>
      </x:c>
      <x:c r="B33" s="24" t="n">
        <x:f>'Selected_Inputs'!B33</x:f>
        <x:v>2017</x:v>
      </x:c>
      <x:c r="C33" s="22" t="n">
        <x:f>IF(COUNT('Selected_Inputs'!F33,'Selected_Inputs'!J33)=2,IF(AND('Selected_Inputs'!F33&gt;0,'Selected_Inputs'!J33&gt;0),('Selected_Inputs'!F33+'Selected_Inputs'!J33)/2,""),"")</x:f>
        <x:v>1229202</x:v>
      </x:c>
      <x:c r="D33" s="22" t="n">
        <x:f>IF(COUNT('Selected_Inputs'!E33,C33)=2,IF(C33&gt;0,100*'Selected_Inputs'!E33/C33,""),"")</x:f>
        <x:v>0.9143330388333244</x:v>
      </x:c>
      <x:c r="E33" s="22" t="n">
        <x:f>IF(COUNT('Selected_Inputs'!H33,'Selected_Inputs'!F33)=2,IF('Selected_Inputs'!F33&gt;0,100*'Selected_Inputs'!H33/'Selected_Inputs'!F33,""),"")</x:f>
        <x:v>23.905459574012244</x:v>
      </x:c>
      <x:c r="F33" s="22" t="n">
        <x:f>IF(COUNT('Selected_Inputs'!I33,C33)=2,IF(C33&gt;0,100*'Selected_Inputs'!I33/C33,""),"")</x:f>
        <x:v>5.54506094197699</x:v>
      </x:c>
      <x:c r="G33" s="22" t="n">
        <x:f>IF(COUNT('Selected_Inputs'!L33,'Selected_Inputs'!K33)=2,IF('Selected_Inputs'!K33&gt;0,100*'Selected_Inputs'!L33/'Selected_Inputs'!K33,""),"")</x:f>
        <x:v>8.133025702933583</x:v>
      </x:c>
      <x:c r="H33" s="22" t="n">
        <x:f>IF(COUNT('Selected_Inputs'!R33,'Selected_Inputs'!S33)=2,IF('Selected_Inputs'!S33&gt;0,100*'Selected_Inputs'!R33/'Selected_Inputs'!S33,""),"")</x:f>
        <x:v>17.80187657279499</x:v>
      </x:c>
      <x:c r="I33" s="22" t="n">
        <x:f>IF(COUNT('Selected_Inputs'!N33,C33)=2,IF(C33&gt;0,100*'Selected_Inputs'!N33/C33,""),"")</x:f>
        <x:v>2.0727268585635232</x:v>
      </x:c>
      <x:c r="J33" s="22" t="n">
        <x:f>IF(COUNT('Selected_Inputs'!L33,'Selected_Inputs'!AB33)=2,IF('Selected_Inputs'!AB33&gt;0,100*'Selected_Inputs'!L33/'Selected_Inputs'!AB33,""),"")</x:f>
        <x:v>39.07665898721597</x:v>
      </x:c>
      <x:c r="K33" s="22" t="n">
        <x:f>IF(COUNT('Selected_Inputs'!AB33,'Selected_Inputs'!K33)=2,IF('Selected_Inputs'!K33&gt;0,100*'Selected_Inputs'!AB33/'Selected_Inputs'!K33,""),"")</x:f>
        <x:v>20.813001709266707</x:v>
      </x:c>
      <x:c r="L33" s="22" t="str">
        <x:f>IF(COUNT('Selected_Inputs'!AD33,'Selected_Inputs'!K33)=2,IF('Selected_Inputs'!K33&gt;0,100*'Selected_Inputs'!AD33/'Selected_Inputs'!K33,""),"")</x:f>
      </x:c>
      <x:c r="M33" s="22" t="str">
        <x:f>IF(COUNT('Selected_Inputs'!AE33,'Selected_Inputs'!AD33)=2,IF('Selected_Inputs'!AD33&gt;0,100*'Selected_Inputs'!AE33/'Selected_Inputs'!AD33,""),"")</x:f>
      </x:c>
      <x:c r="N33" s="22" t="n">
        <x:f>IF(COUNT('Selected_Inputs'!E33,'Selected_Inputs'!F33)=2,IF('Selected_Inputs'!F33&gt;0,100*'Selected_Inputs'!E33/'Selected_Inputs'!F33,""),"")</x:f>
        <x:v>0.8419224808059803</x:v>
      </x:c>
      <x:c r="O33" s="22" t="n">
        <x:f>IF(COUNT('Selected_Inputs'!G33,'Selected_Inputs'!F33)=2,IF('Selected_Inputs'!F33&gt;0,100*'Selected_Inputs'!G33/'Selected_Inputs'!F33,""),"")</x:f>
        <x:v>76.09454042598776</x:v>
      </x:c>
      <x:c r="P33" s="22" t="n">
        <x:f>IF(COUNT('Selected_Inputs'!F33)=1,IF('Selected_Inputs'!F33&gt;0,LN('Selected_Inputs'!F33),""),"")</x:f>
        <x:v>14.104382672035554</x:v>
      </x:c>
      <x:c r="Q33" s="22" t="n">
        <x:f>IF(COUNT('Selected_Inputs'!F33,'Selected_Inputs'!G33,'Selected_Inputs'!H33)=3,'Selected_Inputs'!F33-'Selected_Inputs'!G33-'Selected_Inputs'!H33,"")</x:f>
        <x:v>0</x:v>
      </x:c>
      <x:c r="R33" s="22" t="n">
        <x:f>IF(COUNT('Selected_Inputs'!K33,'Selected_Inputs'!L33,'Selected_Inputs'!M33)=3,'Selected_Inputs'!K33-'Selected_Inputs'!L33-'Selected_Inputs'!M33,"")</x:f>
        <x:v>0</x:v>
      </x:c>
      <x:c r="S33" s="22" t="str">
        <x:f>IF(AND('Selected_Inputs'!X33=1,COUNT('Selected_Inputs'!W33)=1),'Selected_Inputs'!W33,"")</x:f>
      </x:c>
      <x:c r="T33" s="22" t="n">
        <x:f>IF(COUNT('Selected_Inputs'!T33,'Selected_Inputs'!V33)=2,'Selected_Inputs'!T33-'Selected_Inputs'!V33,"")</x:f>
        <x:v>2.8000000000000007</x:v>
      </x:c>
      <x:c r="U33" s="20" t="str">
        <x:f>'Selected_Inputs'!AK33</x:f>
        <x:v>2018 report: restated 2017 main statements</x:v>
      </x:c>
    </x:row>
    <x:row r="34" ht="28" customHeight="1">
      <x:c r="A34" s="18" t="str">
        <x:f>'Selected_Inputs'!A34</x:f>
        <x:v>Union</x:v>
      </x:c>
      <x:c r="B34" s="24" t="n">
        <x:f>'Selected_Inputs'!B34</x:f>
        <x:v>2018</x:v>
      </x:c>
      <x:c r="C34" s="22" t="n">
        <x:f>IF(COUNT('Selected_Inputs'!F34,'Selected_Inputs'!J34)=2,IF(AND('Selected_Inputs'!F34&gt;0,'Selected_Inputs'!J34&gt;0),('Selected_Inputs'!F34+'Selected_Inputs'!J34)/2,""),"")</x:f>
        <x:v>1329609</x:v>
      </x:c>
      <x:c r="D34" s="22" t="n">
        <x:f>IF(COUNT('Selected_Inputs'!E34,C34)=2,IF(C34&gt;0,100*'Selected_Inputs'!E34/C34,""),"")</x:f>
        <x:v>1.3867234653195037</x:v>
      </x:c>
      <x:c r="E34" s="22" t="n">
        <x:f>IF(COUNT('Selected_Inputs'!H34,'Selected_Inputs'!F34)=2,IF('Selected_Inputs'!F34&gt;0,100*'Selected_Inputs'!H34/'Selected_Inputs'!F34,""),"")</x:f>
        <x:v>15.108921941226175</x:v>
      </x:c>
      <x:c r="F34" s="22" t="n">
        <x:f>IF(COUNT('Selected_Inputs'!I34,C34)=2,IF(C34&gt;0,100*'Selected_Inputs'!I34/C34,""),"")</x:f>
        <x:v>2.8124057523678014</x:v>
      </x:c>
      <x:c r="G34" s="22" t="n">
        <x:f>IF(COUNT('Selected_Inputs'!L34,'Selected_Inputs'!K34)=2,IF('Selected_Inputs'!K34&gt;0,100*'Selected_Inputs'!L34/'Selected_Inputs'!K34,""),"")</x:f>
        <x:v>9.581618771599253</x:v>
      </x:c>
      <x:c r="H34" s="22" t="n">
        <x:f>IF(COUNT('Selected_Inputs'!R34,'Selected_Inputs'!S34)=2,IF('Selected_Inputs'!S34&gt;0,100*'Selected_Inputs'!R34/'Selected_Inputs'!S34,""),"")</x:f>
        <x:v>11.463980098206495</x:v>
      </x:c>
      <x:c r="I34" s="22" t="n">
        <x:f>IF(COUNT('Selected_Inputs'!N34,C34)=2,IF(C34&gt;0,100*'Selected_Inputs'!N34/C34,""),"")</x:f>
        <x:v>-0.26436343315967326</x:v>
      </x:c>
      <x:c r="J34" s="22" t="n">
        <x:f>IF(COUNT('Selected_Inputs'!L34,'Selected_Inputs'!AB34)=2,IF('Selected_Inputs'!AB34&gt;0,100*'Selected_Inputs'!L34/'Selected_Inputs'!AB34,""),"")</x:f>
        <x:v>117.82782626766418</x:v>
      </x:c>
      <x:c r="K34" s="22" t="n">
        <x:f>IF(COUNT('Selected_Inputs'!AB34,'Selected_Inputs'!K34)=2,IF('Selected_Inputs'!K34&gt;0,100*'Selected_Inputs'!AB34/'Selected_Inputs'!K34,""),"")</x:f>
        <x:v>8.131881131230513</x:v>
      </x:c>
      <x:c r="L34" s="22" t="n">
        <x:f>IF(COUNT('Selected_Inputs'!AD34,'Selected_Inputs'!K34)=2,IF('Selected_Inputs'!K34&gt;0,100*'Selected_Inputs'!AD34/'Selected_Inputs'!K34,""),"")</x:f>
        <x:v>26.051762161065998</x:v>
      </x:c>
      <x:c r="M34" s="22" t="n">
        <x:f>IF(COUNT('Selected_Inputs'!AE34,'Selected_Inputs'!AD34)=2,IF('Selected_Inputs'!AD34&gt;0,100*'Selected_Inputs'!AE34/'Selected_Inputs'!AD34,""),"")</x:f>
        <x:v>24.446192267773743</x:v>
      </x:c>
      <x:c r="N34" s="22" t="n">
        <x:f>IF(COUNT('Selected_Inputs'!E34,'Selected_Inputs'!F34)=2,IF('Selected_Inputs'!F34&gt;0,100*'Selected_Inputs'!E34/'Selected_Inputs'!F34,""),"")</x:f>
        <x:v>1.3922858694084483</x:v>
      </x:c>
      <x:c r="O34" s="22" t="n">
        <x:f>IF(COUNT('Selected_Inputs'!G34,'Selected_Inputs'!F34)=2,IF('Selected_Inputs'!F34&gt;0,100*'Selected_Inputs'!G34/'Selected_Inputs'!F34,""),"")</x:f>
        <x:v>84.89107805877383</x:v>
      </x:c>
      <x:c r="P34" s="22" t="n">
        <x:f>IF(COUNT('Selected_Inputs'!F34)=1,IF('Selected_Inputs'!F34&gt;0,LN('Selected_Inputs'!F34),""),"")</x:f>
        <x:v>14.09639231056476</x:v>
      </x:c>
      <x:c r="Q34" s="22" t="n">
        <x:f>IF(COUNT('Selected_Inputs'!F34,'Selected_Inputs'!G34,'Selected_Inputs'!H34)=3,'Selected_Inputs'!F34-'Selected_Inputs'!G34-'Selected_Inputs'!H34,"")</x:f>
        <x:v>0</x:v>
      </x:c>
      <x:c r="R34" s="22" t="n">
        <x:f>IF(COUNT('Selected_Inputs'!K34,'Selected_Inputs'!L34,'Selected_Inputs'!M34)=3,'Selected_Inputs'!K34-'Selected_Inputs'!L34-'Selected_Inputs'!M34,"")</x:f>
        <x:v>0</x:v>
      </x:c>
      <x:c r="S34" s="22" t="str">
        <x:f>IF(AND('Selected_Inputs'!X34=1,COUNT('Selected_Inputs'!W34)=1),'Selected_Inputs'!W34,"")</x:f>
      </x:c>
      <x:c r="T34" s="22" t="n">
        <x:f>IF(COUNT('Selected_Inputs'!T34,'Selected_Inputs'!V34)=2,'Selected_Inputs'!T34-'Selected_Inputs'!V34,"")</x:f>
        <x:v>-3.5</x:v>
      </x:c>
      <x:c r="U34" s="20" t="str">
        <x:f>'Selected_Inputs'!AK34</x:f>
        <x:v>Original 2018 presentation; loan reinstatement alternatives held separately</x:v>
      </x:c>
    </x:row>
    <x:row r="35" ht="28" customHeight="1">
      <x:c r="A35" s="18" t="str">
        <x:f>'Selected_Inputs'!A35</x:f>
        <x:v>Union</x:v>
      </x:c>
      <x:c r="B35" s="24" t="n">
        <x:f>'Selected_Inputs'!B35</x:f>
        <x:v>2019</x:v>
      </x:c>
      <x:c r="C35" s="22" t="n">
        <x:f>IF(COUNT('Selected_Inputs'!F35,'Selected_Inputs'!J35)=2,IF(AND('Selected_Inputs'!F35&gt;0,'Selected_Inputs'!J35&gt;0),('Selected_Inputs'!F35+'Selected_Inputs'!J35)/2,""),"")</x:f>
        <x:v>1518018</x:v>
      </x:c>
      <x:c r="D35" s="22" t="n">
        <x:f>IF(COUNT('Selected_Inputs'!E35,C35)=2,IF(C35&gt;0,100*'Selected_Inputs'!E35/C35,""),"")</x:f>
        <x:v>1.6057121852310052</x:v>
      </x:c>
      <x:c r="E35" s="22" t="n">
        <x:f>IF(COUNT('Selected_Inputs'!H35,'Selected_Inputs'!F35)=2,IF('Selected_Inputs'!F35&gt;0,100*'Selected_Inputs'!H35/'Selected_Inputs'!F35,""),"")</x:f>
        <x:v>13.506264681706732</x:v>
      </x:c>
      <x:c r="F35" s="22" t="n">
        <x:f>IF(COUNT('Selected_Inputs'!I35,C35)=2,IF(C35&gt;0,100*'Selected_Inputs'!I35/C35,""),"")</x:f>
        <x:v>13.657150310470627</x:v>
      </x:c>
      <x:c r="G35" s="22" t="n">
        <x:f>IF(COUNT('Selected_Inputs'!L35,'Selected_Inputs'!K35)=2,IF('Selected_Inputs'!K35&gt;0,100*'Selected_Inputs'!L35/'Selected_Inputs'!K35,""),"")</x:f>
        <x:v>7.50632456349593</x:v>
      </x:c>
      <x:c r="H35" s="22" t="n">
        <x:f>IF(COUNT('Selected_Inputs'!R35,'Selected_Inputs'!S35)=2,IF('Selected_Inputs'!S35&gt;0,100*'Selected_Inputs'!R35/'Selected_Inputs'!S35,""),"")</x:f>
        <x:v>15.906111031578853</x:v>
      </x:c>
      <x:c r="I35" s="22" t="n">
        <x:f>IF(COUNT('Selected_Inputs'!N35,C35)=2,IF(C35&gt;0,100*'Selected_Inputs'!N35/C35,""),"")</x:f>
        <x:v>-0.033201187337699556</x:v>
      </x:c>
      <x:c r="J35" s="22" t="n">
        <x:f>IF(COUNT('Selected_Inputs'!L35,'Selected_Inputs'!AB35)=2,IF('Selected_Inputs'!AB35&gt;0,100*'Selected_Inputs'!L35/'Selected_Inputs'!AB35,""),"")</x:f>
        <x:v>128.55293440736477</x:v>
      </x:c>
      <x:c r="K35" s="22" t="n">
        <x:f>IF(COUNT('Selected_Inputs'!AB35,'Selected_Inputs'!K35)=2,IF('Selected_Inputs'!K35&gt;0,100*'Selected_Inputs'!AB35/'Selected_Inputs'!K35,""),"")</x:f>
        <x:v>5.839092353745519</x:v>
      </x:c>
      <x:c r="L35" s="22" t="n">
        <x:f>IF(COUNT('Selected_Inputs'!AD35,'Selected_Inputs'!K35)=2,IF('Selected_Inputs'!K35&gt;0,100*'Selected_Inputs'!AD35/'Selected_Inputs'!K35,""),"")</x:f>
        <x:v>9.87219846194679</x:v>
      </x:c>
      <x:c r="M35" s="22" t="n">
        <x:f>IF(COUNT('Selected_Inputs'!AE35,'Selected_Inputs'!AD35)=2,IF('Selected_Inputs'!AD35&gt;0,100*'Selected_Inputs'!AE35/'Selected_Inputs'!AD35,""),"")</x:f>
        <x:v>27.562150113154896</x:v>
      </x:c>
      <x:c r="N35" s="22" t="n">
        <x:f>IF(COUNT('Selected_Inputs'!E35,'Selected_Inputs'!F35)=2,IF('Selected_Inputs'!F35&gt;0,100*'Selected_Inputs'!E35/'Selected_Inputs'!F35,""),"")</x:f>
        <x:v>1.4239904564889858</x:v>
      </x:c>
      <x:c r="O35" s="22" t="n">
        <x:f>IF(COUNT('Selected_Inputs'!G35,'Selected_Inputs'!F35)=2,IF('Selected_Inputs'!F35&gt;0,100*'Selected_Inputs'!G35/'Selected_Inputs'!F35,""),"")</x:f>
        <x:v>86.49373531829326</x:v>
      </x:c>
      <x:c r="P35" s="22" t="n">
        <x:f>IF(COUNT('Selected_Inputs'!F35)=1,IF('Selected_Inputs'!F35&gt;0,LN('Selected_Inputs'!F35),""),"")</x:f>
        <x:v>14.353020370790615</x:v>
      </x:c>
      <x:c r="Q35" s="22" t="n">
        <x:f>IF(COUNT('Selected_Inputs'!F35,'Selected_Inputs'!G35,'Selected_Inputs'!H35)=3,'Selected_Inputs'!F35-'Selected_Inputs'!G35-'Selected_Inputs'!H35,"")</x:f>
        <x:v>0</x:v>
      </x:c>
      <x:c r="R35" s="22" t="n">
        <x:f>IF(COUNT('Selected_Inputs'!K35,'Selected_Inputs'!L35,'Selected_Inputs'!M35)=3,'Selected_Inputs'!K35-'Selected_Inputs'!L35-'Selected_Inputs'!M35,"")</x:f>
        <x:v>0</x:v>
      </x:c>
      <x:c r="S35" s="22" t="str">
        <x:f>IF(AND('Selected_Inputs'!X35=1,COUNT('Selected_Inputs'!W35)=1),'Selected_Inputs'!W35,"")</x:f>
      </x:c>
      <x:c r="T35" s="22" t="n">
        <x:f>IF(COUNT('Selected_Inputs'!T35,'Selected_Inputs'!V35)=2,'Selected_Inputs'!T35-'Selected_Inputs'!V35,"")</x:f>
        <x:v>0.9100000000000001</x:v>
      </x:c>
      <x:c r="U35" s="20" t="str">
        <x:f>'Selected_Inputs'!AK35</x:f>
        <x:v>2020 audited-report comparative</x:v>
      </x:c>
    </x:row>
    <x:row r="36" ht="28" customHeight="1">
      <x:c r="A36" s="18" t="str">
        <x:f>'Selected_Inputs'!A36</x:f>
        <x:v>Union</x:v>
      </x:c>
      <x:c r="B36" s="24" t="n">
        <x:f>'Selected_Inputs'!B36</x:f>
        <x:v>2020</x:v>
      </x:c>
      <x:c r="C36" s="22" t="n">
        <x:f>IF(COUNT('Selected_Inputs'!F36,'Selected_Inputs'!J36)=2,IF(AND('Selected_Inputs'!F36&gt;0,'Selected_Inputs'!J36&gt;0),('Selected_Inputs'!F36+'Selected_Inputs'!J36)/2,""),"")</x:f>
        <x:v>1892748.5</x:v>
      </x:c>
      <x:c r="D36" s="22" t="n">
        <x:f>IF(COUNT('Selected_Inputs'!E36,C36)=2,IF(C36&gt;0,100*'Selected_Inputs'!E36/C36,""),"")</x:f>
        <x:v>1.3024973999451064</x:v>
      </x:c>
      <x:c r="E36" s="22" t="n">
        <x:f>IF(COUNT('Selected_Inputs'!H36,'Selected_Inputs'!F36)=2,IF('Selected_Inputs'!F36&gt;0,100*'Selected_Inputs'!H36/'Selected_Inputs'!F36,""),"")</x:f>
        <x:v>11.93586715518397</x:v>
      </x:c>
      <x:c r="F36" s="22" t="n">
        <x:f>IF(COUNT('Selected_Inputs'!I36,C36)=2,IF(C36&gt;0,100*'Selected_Inputs'!I36/C36,""),"")</x:f>
        <x:v>-1.8973466363861866</x:v>
      </x:c>
      <x:c r="G36" s="22" t="n">
        <x:f>IF(COUNT('Selected_Inputs'!L36,'Selected_Inputs'!K36)=2,IF('Selected_Inputs'!K36&gt;0,100*'Selected_Inputs'!L36/'Selected_Inputs'!K36,""),"")</x:f>
        <x:v>5.9601309602666985</x:v>
      </x:c>
      <x:c r="H36" s="22" t="n">
        <x:f>IF(COUNT('Selected_Inputs'!R36,'Selected_Inputs'!S36)=2,IF('Selected_Inputs'!S36&gt;0,100*'Selected_Inputs'!R36/'Selected_Inputs'!S36,""),"")</x:f>
        <x:v>15.759295550366414</x:v>
      </x:c>
      <x:c r="I36" s="22" t="n">
        <x:f>IF(COUNT('Selected_Inputs'!N36,C36)=2,IF(C36&gt;0,100*'Selected_Inputs'!N36/C36,""),"")</x:f>
        <x:v>-0.13520021281221462</x:v>
      </x:c>
      <x:c r="J36" s="22" t="str">
        <x:f>IF(COUNT('Selected_Inputs'!L36,'Selected_Inputs'!AB36)=2,IF('Selected_Inputs'!AB36&gt;0,100*'Selected_Inputs'!L36/'Selected_Inputs'!AB36,""),"")</x:f>
      </x:c>
      <x:c r="K36" s="22" t="str">
        <x:f>IF(COUNT('Selected_Inputs'!AB36,'Selected_Inputs'!K36)=2,IF('Selected_Inputs'!K36&gt;0,100*'Selected_Inputs'!AB36/'Selected_Inputs'!K36,""),"")</x:f>
      </x:c>
      <x:c r="L36" s="22" t="n">
        <x:f>IF(COUNT('Selected_Inputs'!AD36,'Selected_Inputs'!K36)=2,IF('Selected_Inputs'!K36&gt;0,100*'Selected_Inputs'!AD36/'Selected_Inputs'!K36,""),"")</x:f>
        <x:v>8.401519182529944</x:v>
      </x:c>
      <x:c r="M36" s="22" t="n">
        <x:f>IF(COUNT('Selected_Inputs'!AE36,'Selected_Inputs'!AD36)=2,IF('Selected_Inputs'!AD36&gt;0,100*'Selected_Inputs'!AE36/'Selected_Inputs'!AD36,""),"")</x:f>
        <x:v>36.45528717990145</x:v>
      </x:c>
      <x:c r="N36" s="22" t="n">
        <x:f>IF(COUNT('Selected_Inputs'!E36,'Selected_Inputs'!F36)=2,IF('Selected_Inputs'!F36&gt;0,100*'Selected_Inputs'!E36/'Selected_Inputs'!F36,""),"")</x:f>
        <x:v>1.1888079515546173</x:v>
      </x:c>
      <x:c r="O36" s="22" t="n">
        <x:f>IF(COUNT('Selected_Inputs'!G36,'Selected_Inputs'!F36)=2,IF('Selected_Inputs'!F36&gt;0,100*'Selected_Inputs'!G36/'Selected_Inputs'!F36,""),"")</x:f>
        <x:v>88.06413284481603</x:v>
      </x:c>
      <x:c r="P36" s="22" t="n">
        <x:f>IF(COUNT('Selected_Inputs'!F36)=1,IF('Selected_Inputs'!F36&gt;0,LN('Selected_Inputs'!F36),""),"")</x:f>
        <x:v>14.54487297822498</x:v>
      </x:c>
      <x:c r="Q36" s="22" t="n">
        <x:f>IF(COUNT('Selected_Inputs'!F36,'Selected_Inputs'!G36,'Selected_Inputs'!H36)=3,'Selected_Inputs'!F36-'Selected_Inputs'!G36-'Selected_Inputs'!H36,"")</x:f>
        <x:v>0</x:v>
      </x:c>
      <x:c r="R36" s="22" t="n">
        <x:f>IF(COUNT('Selected_Inputs'!K36,'Selected_Inputs'!L36,'Selected_Inputs'!M36)=3,'Selected_Inputs'!K36-'Selected_Inputs'!L36-'Selected_Inputs'!M36,"")</x:f>
        <x:v>0</x:v>
      </x:c>
      <x:c r="S36" s="22" t="str">
        <x:f>IF(AND('Selected_Inputs'!X36=1,COUNT('Selected_Inputs'!W36)=1),'Selected_Inputs'!W36,"")</x:f>
      </x:c>
      <x:c r="T36" s="22" t="n">
        <x:f>IF(COUNT('Selected_Inputs'!T36,'Selected_Inputs'!V36)=2,'Selected_Inputs'!T36-'Selected_Inputs'!V36,"")</x:f>
        <x:v>0.7599999999999998</x:v>
      </x:c>
      <x:c r="U36" s="20" t="str">
        <x:f>'Selected_Inputs'!AK36</x:f>
        <x:v>2020 audited-report current-year</x:v>
      </x:c>
    </x:row>
    <x:row r="37" ht="28" customHeight="1">
      <x:c r="A37" s="18" t="str">
        <x:f>'Selected_Inputs'!A37</x:f>
        <x:v>Union</x:v>
      </x:c>
      <x:c r="B37" s="24" t="n">
        <x:f>'Selected_Inputs'!B37</x:f>
        <x:v>2021</x:v>
      </x:c>
      <x:c r="C37" s="22" t="n">
        <x:f>IF(COUNT('Selected_Inputs'!F37,'Selected_Inputs'!J37)=2,IF(AND('Selected_Inputs'!F37&gt;0,'Selected_Inputs'!J37&gt;0),('Selected_Inputs'!F37+'Selected_Inputs'!J37)/2,""),"")</x:f>
        <x:v>2320599.5</x:v>
      </x:c>
      <x:c r="D37" s="22" t="n">
        <x:f>IF(COUNT('Selected_Inputs'!E37,C37)=2,IF(C37&gt;0,100*'Selected_Inputs'!E37/C37,""),"")</x:f>
        <x:v>0.8265105633264163</x:v>
      </x:c>
      <x:c r="E37" s="22" t="n">
        <x:f>IF(COUNT('Selected_Inputs'!H37,'Selected_Inputs'!F37)=2,IF('Selected_Inputs'!F37&gt;0,100*'Selected_Inputs'!H37/'Selected_Inputs'!F37,""),"")</x:f>
        <x:v>9.795239695868377</x:v>
      </x:c>
      <x:c r="F37" s="22" t="n">
        <x:f>IF(COUNT('Selected_Inputs'!I37,C37)=2,IF(C37&gt;0,100*'Selected_Inputs'!I37/C37,""),"")</x:f>
        <x:v>10.865295799641428</x:v>
      </x:c>
      <x:c r="G37" s="22" t="n">
        <x:f>IF(COUNT('Selected_Inputs'!L37,'Selected_Inputs'!K37)=2,IF('Selected_Inputs'!K37&gt;0,100*'Selected_Inputs'!L37/'Selected_Inputs'!K37,""),"")</x:f>
        <x:v>3.3662326800177063</x:v>
      </x:c>
      <x:c r="H37" s="22" t="n">
        <x:f>IF(COUNT('Selected_Inputs'!R37,'Selected_Inputs'!S37)=2,IF('Selected_Inputs'!S37&gt;0,100*'Selected_Inputs'!R37/'Selected_Inputs'!S37,""),"")</x:f>
        <x:v>14.608640293595847</x:v>
      </x:c>
      <x:c r="I37" s="22" t="n">
        <x:f>IF(COUNT('Selected_Inputs'!N37,C37)=2,IF(C37&gt;0,100*'Selected_Inputs'!N37/C37,""),"")</x:f>
        <x:v>0.012324401517797448</x:v>
      </x:c>
      <x:c r="J37" s="22" t="n">
        <x:f>IF(COUNT('Selected_Inputs'!L37,'Selected_Inputs'!AB37)=2,IF('Selected_Inputs'!AB37&gt;0,100*'Selected_Inputs'!L37/'Selected_Inputs'!AB37,""),"")</x:f>
        <x:v>78.28763579927573</x:v>
      </x:c>
      <x:c r="K37" s="22" t="n">
        <x:f>IF(COUNT('Selected_Inputs'!AB37,'Selected_Inputs'!K37)=2,IF('Selected_Inputs'!K37&gt;0,100*'Selected_Inputs'!AB37/'Selected_Inputs'!K37,""),"")</x:f>
        <x:v>4.2998267167608715</x:v>
      </x:c>
      <x:c r="L37" s="22" t="n">
        <x:f>IF(COUNT('Selected_Inputs'!AD37,'Selected_Inputs'!K37)=2,IF('Selected_Inputs'!K37&gt;0,100*'Selected_Inputs'!AD37/'Selected_Inputs'!K37,""),"")</x:f>
        <x:v>6.902856837792207</x:v>
      </x:c>
      <x:c r="M37" s="22" t="n">
        <x:f>IF(COUNT('Selected_Inputs'!AE37,'Selected_Inputs'!AD37)=2,IF('Selected_Inputs'!AD37&gt;0,100*'Selected_Inputs'!AE37/'Selected_Inputs'!AD37,""),"")</x:f>
        <x:v>21.38759989688064</x:v>
      </x:c>
      <x:c r="N37" s="22" t="n">
        <x:f>IF(COUNT('Selected_Inputs'!E37,'Selected_Inputs'!F37)=2,IF('Selected_Inputs'!F37&gt;0,100*'Selected_Inputs'!E37/'Selected_Inputs'!F37,""),"")</x:f>
        <x:v>0.747047351818406</x:v>
      </x:c>
      <x:c r="O37" s="22" t="n">
        <x:f>IF(COUNT('Selected_Inputs'!G37,'Selected_Inputs'!F37)=2,IF('Selected_Inputs'!F37&gt;0,100*'Selected_Inputs'!G37/'Selected_Inputs'!F37,""),"")</x:f>
        <x:v>90.20476030413163</x:v>
      </x:c>
      <x:c r="P37" s="22" t="n">
        <x:f>IF(COUNT('Selected_Inputs'!F37)=1,IF('Selected_Inputs'!F37&gt;0,LN('Selected_Inputs'!F37),""),"")</x:f>
        <x:v>14.758420240968723</x:v>
      </x:c>
      <x:c r="Q37" s="22" t="n">
        <x:f>IF(COUNT('Selected_Inputs'!F37,'Selected_Inputs'!G37,'Selected_Inputs'!H37)=3,'Selected_Inputs'!F37-'Selected_Inputs'!G37-'Selected_Inputs'!H37,"")</x:f>
        <x:v>0</x:v>
      </x:c>
      <x:c r="R37" s="22" t="n">
        <x:f>IF(COUNT('Selected_Inputs'!K37,'Selected_Inputs'!L37,'Selected_Inputs'!M37)=3,'Selected_Inputs'!K37-'Selected_Inputs'!L37-'Selected_Inputs'!M37,"")</x:f>
        <x:v>0</x:v>
      </x:c>
      <x:c r="S37" s="22" t="str">
        <x:f>IF(AND('Selected_Inputs'!X37=1,COUNT('Selected_Inputs'!W37)=1),'Selected_Inputs'!W37,"")</x:f>
      </x:c>
      <x:c r="T37" s="22" t="str">
        <x:f>IF(COUNT('Selected_Inputs'!T37,'Selected_Inputs'!V37)=2,'Selected_Inputs'!T37-'Selected_Inputs'!V37,"")</x:f>
      </x:c>
      <x:c r="U37" s="20" t="str">
        <x:f>'Selected_Inputs'!AK37</x:f>
        <x:v>2022 audited-report comparative</x:v>
      </x:c>
    </x:row>
    <x:row r="38" ht="28" customHeight="1">
      <x:c r="A38" s="18" t="str">
        <x:f>'Selected_Inputs'!A38</x:f>
        <x:v>Union</x:v>
      </x:c>
      <x:c r="B38" s="24" t="n">
        <x:f>'Selected_Inputs'!B38</x:f>
        <x:v>2022</x:v>
      </x:c>
      <x:c r="C38" s="22" t="n">
        <x:f>IF(COUNT('Selected_Inputs'!F38,'Selected_Inputs'!J38)=2,IF(AND('Selected_Inputs'!F38&gt;0,'Selected_Inputs'!J38&gt;0),('Selected_Inputs'!F38+'Selected_Inputs'!J38)/2,""),"")</x:f>
        <x:v>2680557.5</x:v>
      </x:c>
      <x:c r="D38" s="22" t="n">
        <x:f>IF(COUNT('Selected_Inputs'!E38,C38)=2,IF(C38&gt;0,100*'Selected_Inputs'!E38/C38,""),"")</x:f>
        <x:v>1.0822002512537037</x:v>
      </x:c>
      <x:c r="E38" s="22" t="n">
        <x:f>IF(COUNT('Selected_Inputs'!H38,'Selected_Inputs'!F38)=2,IF('Selected_Inputs'!F38&gt;0,100*'Selected_Inputs'!H38/'Selected_Inputs'!F38,""),"")</x:f>
        <x:v>10.375226314881408</x:v>
      </x:c>
      <x:c r="F38" s="22" t="n">
        <x:f>IF(COUNT('Selected_Inputs'!I38,C38)=2,IF(C38&gt;0,100*'Selected_Inputs'!I38/C38,""),"")</x:f>
        <x:v>2.99478746492101</x:v>
      </x:c>
      <x:c r="G38" s="22" t="n">
        <x:f>IF(COUNT('Selected_Inputs'!L38,'Selected_Inputs'!K38)=2,IF('Selected_Inputs'!K38&gt;0,100*'Selected_Inputs'!L38/'Selected_Inputs'!K38,""),"")</x:f>
        <x:v>3.1986116536767297</x:v>
      </x:c>
      <x:c r="H38" s="22" t="n">
        <x:f>IF(COUNT('Selected_Inputs'!R38,'Selected_Inputs'!S38)=2,IF('Selected_Inputs'!S38&gt;0,100*'Selected_Inputs'!R38/'Selected_Inputs'!S38,""),"")</x:f>
        <x:v>14.419290120623131</x:v>
      </x:c>
      <x:c r="I38" s="22" t="n">
        <x:f>IF(COUNT('Selected_Inputs'!N38,C38)=2,IF(C38&gt;0,100*'Selected_Inputs'!N38/C38,""),"")</x:f>
        <x:v>0.16694288408288202</x:v>
      </x:c>
      <x:c r="J38" s="22" t="n">
        <x:f>IF(COUNT('Selected_Inputs'!L38,'Selected_Inputs'!AB38)=2,IF('Selected_Inputs'!AB38&gt;0,100*'Selected_Inputs'!L38/'Selected_Inputs'!AB38,""),"")</x:f>
        <x:v>79.48902572251465</x:v>
      </x:c>
      <x:c r="K38" s="22" t="n">
        <x:f>IF(COUNT('Selected_Inputs'!AB38,'Selected_Inputs'!K38)=2,IF('Selected_Inputs'!K38&gt;0,100*'Selected_Inputs'!AB38/'Selected_Inputs'!K38,""),"")</x:f>
        <x:v>4.0239663583783845</x:v>
      </x:c>
      <x:c r="L38" s="22" t="n">
        <x:f>IF(COUNT('Selected_Inputs'!AD38,'Selected_Inputs'!K38)=2,IF('Selected_Inputs'!K38&gt;0,100*'Selected_Inputs'!AD38/'Selected_Inputs'!K38,""),"")</x:f>
        <x:v>7.400317513285503</x:v>
      </x:c>
      <x:c r="M38" s="22" t="str">
        <x:f>IF(COUNT('Selected_Inputs'!AE38,'Selected_Inputs'!AD38)=2,IF('Selected_Inputs'!AD38&gt;0,100*'Selected_Inputs'!AE38/'Selected_Inputs'!AD38,""),"")</x:f>
      </x:c>
      <x:c r="N38" s="22" t="n">
        <x:f>IF(COUNT('Selected_Inputs'!E38,'Selected_Inputs'!F38)=2,IF('Selected_Inputs'!F38&gt;0,100*'Selected_Inputs'!E38/'Selected_Inputs'!F38,""),"")</x:f>
        <x:v>1.0383817152609789</x:v>
      </x:c>
      <x:c r="O38" s="22" t="n">
        <x:f>IF(COUNT('Selected_Inputs'!G38,'Selected_Inputs'!F38)=2,IF('Selected_Inputs'!F38&gt;0,100*'Selected_Inputs'!G38/'Selected_Inputs'!F38,""),"")</x:f>
        <x:v>89.6247736851186</x:v>
      </x:c>
      <x:c r="P38" s="22" t="n">
        <x:f>IF(COUNT('Selected_Inputs'!F38)=1,IF('Selected_Inputs'!F38&gt;0,LN('Selected_Inputs'!F38),""),"")</x:f>
        <x:v>14.842868133394573</x:v>
      </x:c>
      <x:c r="Q38" s="22" t="n">
        <x:f>IF(COUNT('Selected_Inputs'!F38,'Selected_Inputs'!G38,'Selected_Inputs'!H38)=3,'Selected_Inputs'!F38-'Selected_Inputs'!G38-'Selected_Inputs'!H38,"")</x:f>
        <x:v>0</x:v>
      </x:c>
      <x:c r="R38" s="22" t="n">
        <x:f>IF(COUNT('Selected_Inputs'!K38,'Selected_Inputs'!L38,'Selected_Inputs'!M38)=3,'Selected_Inputs'!K38-'Selected_Inputs'!L38-'Selected_Inputs'!M38,"")</x:f>
        <x:v>0</x:v>
      </x:c>
      <x:c r="S38" s="22" t="str">
        <x:f>IF(AND('Selected_Inputs'!X38=1,COUNT('Selected_Inputs'!W38)=1),'Selected_Inputs'!W38,"")</x:f>
      </x:c>
      <x:c r="T38" s="22" t="n">
        <x:f>IF(COUNT('Selected_Inputs'!T38,'Selected_Inputs'!V38)=2,'Selected_Inputs'!T38-'Selected_Inputs'!V38,"")</x:f>
        <x:v>4.42</x:v>
      </x:c>
      <x:c r="U38" s="20" t="str">
        <x:f>'Selected_Inputs'!AK38</x:f>
        <x:v>2022 audited-report current-year</x:v>
      </x:c>
    </x:row>
    <x:row r="39" ht="28" customHeight="1">
      <x:c r="A39" s="18" t="str">
        <x:f>'Selected_Inputs'!A39</x:f>
        <x:v>Unity</x:v>
      </x:c>
      <x:c r="B39" s="24" t="n">
        <x:f>'Selected_Inputs'!B39</x:f>
        <x:v>2018</x:v>
      </x:c>
      <x:c r="C39" s="22" t="str">
        <x:f>IF(COUNT('Selected_Inputs'!F39,'Selected_Inputs'!J39)=2,IF(AND('Selected_Inputs'!F39&gt;0,'Selected_Inputs'!J39&gt;0),('Selected_Inputs'!F39+'Selected_Inputs'!J39)/2,""),"")</x:f>
      </x:c>
      <x:c r="D39" s="22" t="str">
        <x:f>IF(COUNT('Selected_Inputs'!E39,C39)=2,IF(C39&gt;0,100*'Selected_Inputs'!E39/C39,""),"")</x:f>
      </x:c>
      <x:c r="E39" s="22" t="n">
        <x:f>IF(COUNT('Selected_Inputs'!H39,'Selected_Inputs'!F39)=2,IF('Selected_Inputs'!F39&gt;0,100*'Selected_Inputs'!H39/'Selected_Inputs'!F39,""),"")</x:f>
        <x:v>-134.90204908622732</x:v>
      </x:c>
      <x:c r="F39" s="22" t="str">
        <x:f>IF(COUNT('Selected_Inputs'!I39,C39)=2,IF(C39&gt;0,100*'Selected_Inputs'!I39/C39,""),"")</x:f>
      </x:c>
      <x:c r="G39" s="22" t="n">
        <x:f>IF(COUNT('Selected_Inputs'!L39,'Selected_Inputs'!K39)=2,IF('Selected_Inputs'!K39&gt;0,100*'Selected_Inputs'!L39/'Selected_Inputs'!K39,""),"")</x:f>
        <x:v>1.659629381544044</x:v>
      </x:c>
      <x:c r="H39" s="22" t="str">
        <x:f>IF(COUNT('Selected_Inputs'!R39,'Selected_Inputs'!S39)=2,IF('Selected_Inputs'!S39&gt;0,100*'Selected_Inputs'!R39/'Selected_Inputs'!S39,""),"")</x:f>
      </x:c>
      <x:c r="I39" s="22" t="str">
        <x:f>IF(COUNT('Selected_Inputs'!N39,C39)=2,IF(C39&gt;0,100*'Selected_Inputs'!N39/C39,""),"")</x:f>
      </x:c>
      <x:c r="J39" s="22" t="str">
        <x:f>IF(COUNT('Selected_Inputs'!L39,'Selected_Inputs'!AB39)=2,IF('Selected_Inputs'!AB39&gt;0,100*'Selected_Inputs'!L39/'Selected_Inputs'!AB39,""),"")</x:f>
      </x:c>
      <x:c r="K39" s="22" t="str">
        <x:f>IF(COUNT('Selected_Inputs'!AB39,'Selected_Inputs'!K39)=2,IF('Selected_Inputs'!K39&gt;0,100*'Selected_Inputs'!AB39/'Selected_Inputs'!K39,""),"")</x:f>
      </x:c>
      <x:c r="L39" s="22" t="str">
        <x:f>IF(COUNT('Selected_Inputs'!AD39,'Selected_Inputs'!K39)=2,IF('Selected_Inputs'!K39&gt;0,100*'Selected_Inputs'!AD39/'Selected_Inputs'!K39,""),"")</x:f>
      </x:c>
      <x:c r="M39" s="22" t="str">
        <x:f>IF(COUNT('Selected_Inputs'!AE39,'Selected_Inputs'!AD39)=2,IF('Selected_Inputs'!AD39&gt;0,100*'Selected_Inputs'!AE39/'Selected_Inputs'!AD39,""),"")</x:f>
      </x:c>
      <x:c r="N39" s="22" t="n">
        <x:f>IF(COUNT('Selected_Inputs'!E39,'Selected_Inputs'!F39)=2,IF('Selected_Inputs'!F39&gt;0,100*'Selected_Inputs'!E39/'Selected_Inputs'!F39,""),"")</x:f>
        <x:v>-3.6505167453293037</x:v>
      </x:c>
      <x:c r="O39" s="22" t="n">
        <x:f>IF(COUNT('Selected_Inputs'!G39,'Selected_Inputs'!F39)=2,IF('Selected_Inputs'!F39&gt;0,100*'Selected_Inputs'!G39/'Selected_Inputs'!F39,""),"")</x:f>
        <x:v>234.90204908622732</x:v>
      </x:c>
      <x:c r="P39" s="22" t="n">
        <x:f>IF(COUNT('Selected_Inputs'!F39)=1,IF('Selected_Inputs'!F39&gt;0,LN('Selected_Inputs'!F39),""),"")</x:f>
        <x:v>12.258669085204954</x:v>
      </x:c>
      <x:c r="Q39" s="22" t="n">
        <x:f>IF(COUNT('Selected_Inputs'!F39,'Selected_Inputs'!G39,'Selected_Inputs'!H39)=3,'Selected_Inputs'!F39-'Selected_Inputs'!G39-'Selected_Inputs'!H39,"")</x:f>
        <x:v>0</x:v>
      </x:c>
      <x:c r="R39" s="22" t="str">
        <x:f>IF(COUNT('Selected_Inputs'!K39,'Selected_Inputs'!L39,'Selected_Inputs'!M39)=3,'Selected_Inputs'!K39-'Selected_Inputs'!L39-'Selected_Inputs'!M39,"")</x:f>
      </x:c>
      <x:c r="S39" s="22" t="str">
        <x:f>IF(AND('Selected_Inputs'!X39=1,COUNT('Selected_Inputs'!W39)=1),'Selected_Inputs'!W39,"")</x:f>
      </x:c>
      <x:c r="T39" s="22" t="n">
        <x:f>IF(COUNT('Selected_Inputs'!T39,'Selected_Inputs'!V39)=2,'Selected_Inputs'!T39-'Selected_Inputs'!V39,"")</x:f>
        <x:v>-224.8</x:v>
      </x:c>
      <x:c r="U39" s="20" t="str">
        <x:f>'Selected_Inputs'!AK39</x:f>
        <x:v>Prior source-selection policy retained; original evidence preserved in accompanying pack.</x:v>
      </x:c>
    </x:row>
    <x:row r="40" ht="28" customHeight="1">
      <x:c r="A40" s="18" t="str">
        <x:f>'Selected_Inputs'!A40</x:f>
        <x:v>Unity</x:v>
      </x:c>
      <x:c r="B40" s="24" t="n">
        <x:f>'Selected_Inputs'!B40</x:f>
        <x:v>2019</x:v>
      </x:c>
      <x:c r="C40" s="22" t="n">
        <x:f>IF(COUNT('Selected_Inputs'!F40,'Selected_Inputs'!J40)=2,IF(AND('Selected_Inputs'!F40&gt;0,'Selected_Inputs'!J40&gt;0),('Selected_Inputs'!F40+'Selected_Inputs'!J40)/2,""),"")</x:f>
        <x:v>251926.45549999998</x:v>
      </x:c>
      <x:c r="D40" s="22" t="n">
        <x:f>IF(COUNT('Selected_Inputs'!E40,C40)=2,IF(C40&gt;0,100*'Selected_Inputs'!E40/C40,""),"")</x:f>
        <x:v>1.3429272417163824</x:v>
      </x:c>
      <x:c r="E40" s="22" t="n">
        <x:f>IF(COUNT('Selected_Inputs'!H40,'Selected_Inputs'!F40)=2,IF('Selected_Inputs'!F40&gt;0,100*'Selected_Inputs'!H40/'Selected_Inputs'!F40,""),"")</x:f>
        <x:v>-95.15574757755506</x:v>
      </x:c>
      <x:c r="F40" s="22" t="n">
        <x:f>IF(COUNT('Selected_Inputs'!I40,C40)=2,IF(C40&gt;0,100*'Selected_Inputs'!I40/C40,""),"")</x:f>
        <x:v>-15.650465101709019</x:v>
      </x:c>
      <x:c r="G40" s="22" t="n">
        <x:f>IF(COUNT('Selected_Inputs'!L40,'Selected_Inputs'!K40)=2,IF('Selected_Inputs'!K40&gt;0,100*'Selected_Inputs'!L40/'Selected_Inputs'!K40,""),"")</x:f>
        <x:v>2.7088062044892185</x:v>
      </x:c>
      <x:c r="H40" s="22" t="str">
        <x:f>IF(COUNT('Selected_Inputs'!R40,'Selected_Inputs'!S40)=2,IF('Selected_Inputs'!S40&gt;0,100*'Selected_Inputs'!R40/'Selected_Inputs'!S40,""),"")</x:f>
      </x:c>
      <x:c r="I40" s="22" t="n">
        <x:f>IF(COUNT('Selected_Inputs'!N40,C40)=2,IF(C40&gt;0,100*'Selected_Inputs'!N40/C40,""),"")</x:f>
        <x:v>0.7628905015892624</x:v>
      </x:c>
      <x:c r="J40" s="22" t="str">
        <x:f>IF(COUNT('Selected_Inputs'!L40,'Selected_Inputs'!AB40)=2,IF('Selected_Inputs'!AB40&gt;0,100*'Selected_Inputs'!L40/'Selected_Inputs'!AB40,""),"")</x:f>
      </x:c>
      <x:c r="K40" s="22" t="str">
        <x:f>IF(COUNT('Selected_Inputs'!AB40,'Selected_Inputs'!K40)=2,IF('Selected_Inputs'!K40&gt;0,100*'Selected_Inputs'!AB40/'Selected_Inputs'!K40,""),"")</x:f>
      </x:c>
      <x:c r="L40" s="22" t="str">
        <x:f>IF(COUNT('Selected_Inputs'!AD40,'Selected_Inputs'!K40)=2,IF('Selected_Inputs'!K40&gt;0,100*'Selected_Inputs'!AD40/'Selected_Inputs'!K40,""),"")</x:f>
      </x:c>
      <x:c r="M40" s="22" t="str">
        <x:f>IF(COUNT('Selected_Inputs'!AE40,'Selected_Inputs'!AD40)=2,IF('Selected_Inputs'!AD40&gt;0,100*'Selected_Inputs'!AE40/'Selected_Inputs'!AD40,""),"")</x:f>
      </x:c>
      <x:c r="N40" s="22" t="n">
        <x:f>IF(COUNT('Selected_Inputs'!E40,'Selected_Inputs'!F40)=2,IF('Selected_Inputs'!F40&gt;0,100*'Selected_Inputs'!E40/'Selected_Inputs'!F40,""),"")</x:f>
        <x:v>1.1544668495260926</x:v>
      </x:c>
      <x:c r="O40" s="22" t="n">
        <x:f>IF(COUNT('Selected_Inputs'!G40,'Selected_Inputs'!F40)=2,IF('Selected_Inputs'!F40&gt;0,100*'Selected_Inputs'!G40/'Selected_Inputs'!F40,""),"")</x:f>
        <x:v>195.15574757755505</x:v>
      </x:c>
      <x:c r="P40" s="22" t="n">
        <x:f>IF(COUNT('Selected_Inputs'!F40)=1,IF('Selected_Inputs'!F40&gt;0,LN('Selected_Inputs'!F40),""),"")</x:f>
        <x:v>12.588105585520644</x:v>
      </x:c>
      <x:c r="Q40" s="22" t="n">
        <x:f>IF(COUNT('Selected_Inputs'!F40,'Selected_Inputs'!G40,'Selected_Inputs'!H40)=3,'Selected_Inputs'!F40-'Selected_Inputs'!G40-'Selected_Inputs'!H40,"")</x:f>
        <x:v>0</x:v>
      </x:c>
      <x:c r="R40" s="22" t="str">
        <x:f>IF(COUNT('Selected_Inputs'!K40,'Selected_Inputs'!L40,'Selected_Inputs'!M40)=3,'Selected_Inputs'!K40-'Selected_Inputs'!L40-'Selected_Inputs'!M40,"")</x:f>
      </x:c>
      <x:c r="S40" s="22" t="str">
        <x:f>IF(AND('Selected_Inputs'!X40=1,COUNT('Selected_Inputs'!W40)=1),'Selected_Inputs'!W40,"")</x:f>
      </x:c>
      <x:c r="T40" s="22" t="n">
        <x:f>IF(COUNT('Selected_Inputs'!T40,'Selected_Inputs'!V40)=2,'Selected_Inputs'!T40-'Selected_Inputs'!V40,"")</x:f>
        <x:v>-211.59</x:v>
      </x:c>
      <x:c r="U40" s="20" t="str">
        <x:f>'Selected_Inputs'!AK40</x:f>
        <x:v>Prior source-selection policy retained; original evidence preserved in accompanying pack.</x:v>
      </x:c>
    </x:row>
    <x:row r="41" ht="28" customHeight="1">
      <x:c r="A41" s="18" t="str">
        <x:f>'Selected_Inputs'!A41</x:f>
        <x:v>Wema</x:v>
      </x:c>
      <x:c r="B41" s="24" t="n">
        <x:f>'Selected_Inputs'!B41</x:f>
        <x:v>2014</x:v>
      </x:c>
      <x:c r="C41" s="22" t="str">
        <x:f>IF(COUNT('Selected_Inputs'!F41,'Selected_Inputs'!J41)=2,IF(AND('Selected_Inputs'!F41&gt;0,'Selected_Inputs'!J41&gt;0),('Selected_Inputs'!F41+'Selected_Inputs'!J41)/2,""),"")</x:f>
      </x:c>
      <x:c r="D41" s="22" t="str">
        <x:f>IF(COUNT('Selected_Inputs'!E41,C41)=2,IF(C41&gt;0,100*'Selected_Inputs'!E41/C41,""),"")</x:f>
      </x:c>
      <x:c r="E41" s="22" t="n">
        <x:f>IF(COUNT('Selected_Inputs'!H41,'Selected_Inputs'!F41)=2,IF('Selected_Inputs'!F41&gt;0,100*'Selected_Inputs'!H41/'Selected_Inputs'!F41,""),"")</x:f>
        <x:v>11.44092024412483</x:v>
      </x:c>
      <x:c r="F41" s="22" t="str">
        <x:f>IF(COUNT('Selected_Inputs'!I41,C41)=2,IF(C41&gt;0,100*'Selected_Inputs'!I41/C41,""),"")</x:f>
      </x:c>
      <x:c r="G41" s="22" t="n">
        <x:f>IF(COUNT('Selected_Inputs'!L41,'Selected_Inputs'!K41)=2,IF('Selected_Inputs'!K41&gt;0,100*'Selected_Inputs'!L41/'Selected_Inputs'!K41,""),"")</x:f>
        <x:v>1.9686954696869696</x:v>
      </x:c>
      <x:c r="H41" s="22" t="str">
        <x:f>IF(COUNT('Selected_Inputs'!R41,'Selected_Inputs'!S41)=2,IF('Selected_Inputs'!S41&gt;0,100*'Selected_Inputs'!R41/'Selected_Inputs'!S41,""),"")</x:f>
      </x:c>
      <x:c r="I41" s="22" t="str">
        <x:f>IF(COUNT('Selected_Inputs'!N41,C41)=2,IF(C41&gt;0,100*'Selected_Inputs'!N41/C41,""),"")</x:f>
      </x:c>
      <x:c r="J41" s="22" t="str">
        <x:f>IF(COUNT('Selected_Inputs'!L41,'Selected_Inputs'!AB41)=2,IF('Selected_Inputs'!AB41&gt;0,100*'Selected_Inputs'!L41/'Selected_Inputs'!AB41,""),"")</x:f>
      </x:c>
      <x:c r="K41" s="22" t="str">
        <x:f>IF(COUNT('Selected_Inputs'!AB41,'Selected_Inputs'!K41)=2,IF('Selected_Inputs'!K41&gt;0,100*'Selected_Inputs'!AB41/'Selected_Inputs'!K41,""),"")</x:f>
      </x:c>
      <x:c r="L41" s="22" t="str">
        <x:f>IF(COUNT('Selected_Inputs'!AD41,'Selected_Inputs'!K41)=2,IF('Selected_Inputs'!K41&gt;0,100*'Selected_Inputs'!AD41/'Selected_Inputs'!K41,""),"")</x:f>
      </x:c>
      <x:c r="M41" s="22" t="str">
        <x:f>IF(COUNT('Selected_Inputs'!AE41,'Selected_Inputs'!AD41)=2,IF('Selected_Inputs'!AD41&gt;0,100*'Selected_Inputs'!AE41/'Selected_Inputs'!AD41,""),"")</x:f>
      </x:c>
      <x:c r="N41" s="22" t="n">
        <x:f>IF(COUNT('Selected_Inputs'!E41,'Selected_Inputs'!F41)=2,IF('Selected_Inputs'!F41&gt;0,100*'Selected_Inputs'!E41/'Selected_Inputs'!F41,""),"")</x:f>
        <x:v>0.6201460325762566</x:v>
      </x:c>
      <x:c r="O41" s="22" t="n">
        <x:f>IF(COUNT('Selected_Inputs'!G41,'Selected_Inputs'!F41)=2,IF('Selected_Inputs'!F41&gt;0,100*'Selected_Inputs'!G41/'Selected_Inputs'!F41,""),"")</x:f>
        <x:v>88.55907975587516</x:v>
      </x:c>
      <x:c r="P41" s="22" t="n">
        <x:f>IF(COUNT('Selected_Inputs'!F41)=1,IF('Selected_Inputs'!F41&gt;0,LN('Selected_Inputs'!F41),""),"")</x:f>
        <x:v>12.854646826170335</x:v>
      </x:c>
      <x:c r="Q41" s="22" t="n">
        <x:f>IF(COUNT('Selected_Inputs'!F41,'Selected_Inputs'!G41,'Selected_Inputs'!H41)=3,'Selected_Inputs'!F41-'Selected_Inputs'!G41-'Selected_Inputs'!H41,"")</x:f>
        <x:v>-2.1827872842550278e-11</x:v>
      </x:c>
      <x:c r="R41" s="22" t="str">
        <x:f>IF(COUNT('Selected_Inputs'!K41,'Selected_Inputs'!L41,'Selected_Inputs'!M41)=3,'Selected_Inputs'!K41-'Selected_Inputs'!L41-'Selected_Inputs'!M41,"")</x:f>
      </x:c>
      <x:c r="S41" s="22" t="str">
        <x:f>IF(AND('Selected_Inputs'!X41=1,COUNT('Selected_Inputs'!W41)=1),'Selected_Inputs'!W41,"")</x:f>
      </x:c>
      <x:c r="T41" s="22" t="str">
        <x:f>IF(COUNT('Selected_Inputs'!T41,'Selected_Inputs'!V41)=2,'Selected_Inputs'!T41-'Selected_Inputs'!V41,"")</x:f>
      </x:c>
      <x:c r="U41" s="20" t="str">
        <x:f>'Selected_Inputs'!AK41</x:f>
        <x:v>Prior source-selection policy retained; original evidence preserved in accompanying pack.</x:v>
      </x:c>
    </x:row>
    <x:row r="42" ht="28" customHeight="1">
      <x:c r="A42" s="18" t="str">
        <x:f>'Selected_Inputs'!A42</x:f>
        <x:v>Wema</x:v>
      </x:c>
      <x:c r="B42" s="24" t="n">
        <x:f>'Selected_Inputs'!B42</x:f>
        <x:v>2015</x:v>
      </x:c>
      <x:c r="C42" s="22" t="n">
        <x:f>IF(COUNT('Selected_Inputs'!F42,'Selected_Inputs'!J42)=2,IF(AND('Selected_Inputs'!F42&gt;0,'Selected_Inputs'!J42&gt;0),('Selected_Inputs'!F42+'Selected_Inputs'!J42)/2,""),"")</x:f>
        <x:v>389652.81299999997</x:v>
      </x:c>
      <x:c r="D42" s="22" t="n">
        <x:f>IF(COUNT('Selected_Inputs'!E42,C42)=2,IF(C42&gt;0,100*'Selected_Inputs'!E42/C42,""),"")</x:f>
        <x:v>0.5833924263238927</x:v>
      </x:c>
      <x:c r="E42" s="22" t="n">
        <x:f>IF(COUNT('Selected_Inputs'!H42,'Selected_Inputs'!F42)=2,IF('Selected_Inputs'!F42&gt;0,100*'Selected_Inputs'!H42/'Selected_Inputs'!F42,""),"")</x:f>
        <x:v>11.610557348926111</x:v>
      </x:c>
      <x:c r="F42" s="22" t="n">
        <x:f>IF(COUNT('Selected_Inputs'!I42,C42)=2,IF(C42&gt;0,100*'Selected_Inputs'!I42/C42,""),"")</x:f>
        <x:v>3.7664999482500847</x:v>
      </x:c>
      <x:c r="G42" s="22" t="n">
        <x:f>IF(COUNT('Selected_Inputs'!L42,'Selected_Inputs'!K42)=2,IF('Selected_Inputs'!K42&gt;0,100*'Selected_Inputs'!L42/'Selected_Inputs'!K42,""),"")</x:f>
        <x:v>1.2904447894922089</x:v>
      </x:c>
      <x:c r="H42" s="22" t="str">
        <x:f>IF(COUNT('Selected_Inputs'!R42,'Selected_Inputs'!S42)=2,IF('Selected_Inputs'!S42&gt;0,100*'Selected_Inputs'!R42/'Selected_Inputs'!S42,""),"")</x:f>
      </x:c>
      <x:c r="I42" s="22" t="n">
        <x:f>IF(COUNT('Selected_Inputs'!N42,C42)=2,IF(C42&gt;0,100*'Selected_Inputs'!N42/C42,""),"")</x:f>
        <x:v>-0.01992543038563923</x:v>
      </x:c>
      <x:c r="J42" s="22" t="str">
        <x:f>IF(COUNT('Selected_Inputs'!L42,'Selected_Inputs'!AB42)=2,IF('Selected_Inputs'!AB42&gt;0,100*'Selected_Inputs'!L42/'Selected_Inputs'!AB42,""),"")</x:f>
      </x:c>
      <x:c r="K42" s="22" t="str">
        <x:f>IF(COUNT('Selected_Inputs'!AB42,'Selected_Inputs'!K42)=2,IF('Selected_Inputs'!K42&gt;0,100*'Selected_Inputs'!AB42/'Selected_Inputs'!K42,""),"")</x:f>
      </x:c>
      <x:c r="L42" s="22" t="str">
        <x:f>IF(COUNT('Selected_Inputs'!AD42,'Selected_Inputs'!K42)=2,IF('Selected_Inputs'!K42&gt;0,100*'Selected_Inputs'!AD42/'Selected_Inputs'!K42,""),"")</x:f>
      </x:c>
      <x:c r="M42" s="22" t="str">
        <x:f>IF(COUNT('Selected_Inputs'!AE42,'Selected_Inputs'!AD42)=2,IF('Selected_Inputs'!AD42&gt;0,100*'Selected_Inputs'!AE42/'Selected_Inputs'!AD42,""),"")</x:f>
      </x:c>
      <x:c r="N42" s="22" t="n">
        <x:f>IF(COUNT('Selected_Inputs'!E42,'Selected_Inputs'!F42)=2,IF('Selected_Inputs'!F42&gt;0,100*'Selected_Inputs'!E42/'Selected_Inputs'!F42,""),"")</x:f>
        <x:v>0.572966177320382</x:v>
      </x:c>
      <x:c r="O42" s="22" t="n">
        <x:f>IF(COUNT('Selected_Inputs'!G42,'Selected_Inputs'!F42)=2,IF('Selected_Inputs'!F42&gt;0,100*'Selected_Inputs'!G42/'Selected_Inputs'!F42,""),"")</x:f>
        <x:v>88.3894426510739</x:v>
      </x:c>
      <x:c r="P42" s="22" t="n">
        <x:f>IF(COUNT('Selected_Inputs'!F42)=1,IF('Selected_Inputs'!F42&gt;0,LN('Selected_Inputs'!F42),""),"")</x:f>
        <x:v>12.891044786324795</x:v>
      </x:c>
      <x:c r="Q42" s="22" t="n">
        <x:f>IF(COUNT('Selected_Inputs'!F42,'Selected_Inputs'!G42,'Selected_Inputs'!H42)=3,'Selected_Inputs'!F42-'Selected_Inputs'!G42-'Selected_Inputs'!H42,"")</x:f>
        <x:v>-1.4551915228366852e-11</x:v>
      </x:c>
      <x:c r="R42" s="22" t="str">
        <x:f>IF(COUNT('Selected_Inputs'!K42,'Selected_Inputs'!L42,'Selected_Inputs'!M42)=3,'Selected_Inputs'!K42-'Selected_Inputs'!L42-'Selected_Inputs'!M42,"")</x:f>
      </x:c>
      <x:c r="S42" s="22" t="str">
        <x:f>IF(AND('Selected_Inputs'!X42=1,COUNT('Selected_Inputs'!W42)=1),'Selected_Inputs'!W42,"")</x:f>
      </x:c>
      <x:c r="T42" s="22" t="str">
        <x:f>IF(COUNT('Selected_Inputs'!T42,'Selected_Inputs'!V42)=2,'Selected_Inputs'!T42-'Selected_Inputs'!V42,"")</x:f>
      </x:c>
      <x:c r="U42" s="20" t="str">
        <x:f>'Selected_Inputs'!AK42</x:f>
        <x:v>Prior source-selection policy retained; original evidence preserved in accompanying pack.</x:v>
      </x:c>
    </x:row>
    <x:row r="43" ht="28" customHeight="1">
      <x:c r="A43" s="18" t="str">
        <x:f>'Selected_Inputs'!A43</x:f>
        <x:v>Wema</x:v>
      </x:c>
      <x:c r="B43" s="24" t="n">
        <x:f>'Selected_Inputs'!B43</x:f>
        <x:v>2016</x:v>
      </x:c>
      <x:c r="C43" s="22" t="n">
        <x:f>IF(COUNT('Selected_Inputs'!F43,'Selected_Inputs'!J43)=2,IF(AND('Selected_Inputs'!F43&gt;0,'Selected_Inputs'!J43&gt;0),('Selected_Inputs'!F43+'Selected_Inputs'!J43)/2,""),"")</x:f>
        <x:v>408982.17500000005</x:v>
      </x:c>
      <x:c r="D43" s="22" t="n">
        <x:f>IF(COUNT('Selected_Inputs'!E43,C43)=2,IF(C43&gt;0,100*'Selected_Inputs'!E43/C43,""),"")</x:f>
        <x:v>0.6337195502469025</x:v>
      </x:c>
      <x:c r="E43" s="22" t="n">
        <x:f>IF(COUNT('Selected_Inputs'!H43,'Selected_Inputs'!F43)=2,IF('Selected_Inputs'!F43&gt;0,100*'Selected_Inputs'!H43/'Selected_Inputs'!F43,""),"")</x:f>
        <x:v>11.514608686352501</x:v>
      </x:c>
      <x:c r="F43" s="22" t="n">
        <x:f>IF(COUNT('Selected_Inputs'!I43,C43)=2,IF(C43&gt;0,100*'Selected_Inputs'!I43/C43,""),"")</x:f>
        <x:v>3.885848325785836</x:v>
      </x:c>
      <x:c r="G43" s="22" t="str">
        <x:f>IF(COUNT('Selected_Inputs'!L43,'Selected_Inputs'!K43)=2,IF('Selected_Inputs'!K43&gt;0,100*'Selected_Inputs'!L43/'Selected_Inputs'!K43,""),"")</x:f>
      </x:c>
      <x:c r="H43" s="22" t="str">
        <x:f>IF(COUNT('Selected_Inputs'!R43,'Selected_Inputs'!S43)=2,IF('Selected_Inputs'!S43&gt;0,100*'Selected_Inputs'!R43/'Selected_Inputs'!S43,""),"")</x:f>
      </x:c>
      <x:c r="I43" s="22" t="n">
        <x:f>IF(COUNT('Selected_Inputs'!N43,C43)=2,IF(C43&gt;0,100*'Selected_Inputs'!N43/C43,""),"")</x:f>
        <x:v>0.10083593496464728</x:v>
      </x:c>
      <x:c r="J43" s="22" t="str">
        <x:f>IF(COUNT('Selected_Inputs'!L43,'Selected_Inputs'!AB43)=2,IF('Selected_Inputs'!AB43&gt;0,100*'Selected_Inputs'!L43/'Selected_Inputs'!AB43,""),"")</x:f>
      </x:c>
      <x:c r="K43" s="22" t="str">
        <x:f>IF(COUNT('Selected_Inputs'!AB43,'Selected_Inputs'!K43)=2,IF('Selected_Inputs'!K43&gt;0,100*'Selected_Inputs'!AB43/'Selected_Inputs'!K43,""),"")</x:f>
      </x:c>
      <x:c r="L43" s="22" t="str">
        <x:f>IF(COUNT('Selected_Inputs'!AD43,'Selected_Inputs'!K43)=2,IF('Selected_Inputs'!K43&gt;0,100*'Selected_Inputs'!AD43/'Selected_Inputs'!K43,""),"")</x:f>
      </x:c>
      <x:c r="M43" s="22" t="str">
        <x:f>IF(COUNT('Selected_Inputs'!AE43,'Selected_Inputs'!AD43)=2,IF('Selected_Inputs'!AD43&gt;0,100*'Selected_Inputs'!AE43/'Selected_Inputs'!AD43,""),"")</x:f>
      </x:c>
      <x:c r="N43" s="22" t="n">
        <x:f>IF(COUNT('Selected_Inputs'!E43,'Selected_Inputs'!F43)=2,IF('Selected_Inputs'!F43&gt;0,100*'Selected_Inputs'!E43/'Selected_Inputs'!F43,""),"")</x:f>
        <x:v>0.6153064017439054</x:v>
      </x:c>
      <x:c r="O43" s="22" t="n">
        <x:f>IF(COUNT('Selected_Inputs'!G43,'Selected_Inputs'!F43)=2,IF('Selected_Inputs'!F43&gt;0,100*'Selected_Inputs'!G43/'Selected_Inputs'!F43,""),"")</x:f>
        <x:v>88.4853913136475</x:v>
      </x:c>
      <x:c r="P43" s="22" t="n">
        <x:f>IF(COUNT('Selected_Inputs'!F43)=1,IF('Selected_Inputs'!F43&gt;0,LN('Selected_Inputs'!F43),""),"")</x:f>
        <x:v>12.95091300101479</x:v>
      </x:c>
      <x:c r="Q43" s="22" t="n">
        <x:f>IF(COUNT('Selected_Inputs'!F43,'Selected_Inputs'!G43,'Selected_Inputs'!H43)=3,'Selected_Inputs'!F43-'Selected_Inputs'!G43-'Selected_Inputs'!H43,"")</x:f>
        <x:v>2.9103830456733704e-11</x:v>
      </x:c>
      <x:c r="R43" s="22" t="str">
        <x:f>IF(COUNT('Selected_Inputs'!K43,'Selected_Inputs'!L43,'Selected_Inputs'!M43)=3,'Selected_Inputs'!K43-'Selected_Inputs'!L43-'Selected_Inputs'!M43,"")</x:f>
      </x:c>
      <x:c r="S43" s="22" t="str">
        <x:f>IF(AND('Selected_Inputs'!X43=1,COUNT('Selected_Inputs'!W43)=1),'Selected_Inputs'!W43,"")</x:f>
      </x:c>
      <x:c r="T43" s="22" t="str">
        <x:f>IF(COUNT('Selected_Inputs'!T43,'Selected_Inputs'!V43)=2,'Selected_Inputs'!T43-'Selected_Inputs'!V43,"")</x:f>
      </x:c>
      <x:c r="U43" s="20" t="str">
        <x:f>'Selected_Inputs'!AK43</x:f>
        <x:v>Prior source-selection policy retained; original evidence preserved in accompanying pack.</x:v>
      </x:c>
    </x:row>
    <x:row r="44" ht="28" customHeight="1">
      <x:c r="A44" s="18" t="str">
        <x:f>'Selected_Inputs'!A44</x:f>
        <x:v>Wema</x:v>
      </x:c>
      <x:c r="B44" s="24" t="n">
        <x:f>'Selected_Inputs'!B44</x:f>
        <x:v>2017</x:v>
      </x:c>
      <x:c r="C44" s="22" t="n">
        <x:f>IF(COUNT('Selected_Inputs'!F44,'Selected_Inputs'!J44)=2,IF(AND('Selected_Inputs'!F44&gt;0,'Selected_Inputs'!J44&gt;0),('Selected_Inputs'!F44+'Selected_Inputs'!J44)/2,""),"")</x:f>
        <x:v>403000.4225</x:v>
      </x:c>
      <x:c r="D44" s="22" t="n">
        <x:f>IF(COUNT('Selected_Inputs'!E44,C44)=2,IF(C44&gt;0,100*'Selected_Inputs'!E44/C44,""),"")</x:f>
        <x:v>0.5710063492551302</x:v>
      </x:c>
      <x:c r="E44" s="22" t="n">
        <x:f>IF(COUNT('Selected_Inputs'!H44,'Selected_Inputs'!F44)=2,IF('Selected_Inputs'!F44&gt;0,100*'Selected_Inputs'!H44/'Selected_Inputs'!F44,""),"")</x:f>
        <x:v>12.914435434942481</x:v>
      </x:c>
      <x:c r="F44" s="22" t="n">
        <x:f>IF(COUNT('Selected_Inputs'!I44,C44)=2,IF(C44&gt;0,100*'Selected_Inputs'!I44/C44,""),"")</x:f>
        <x:v>-6.439438410266183</x:v>
      </x:c>
      <x:c r="G44" s="22" t="n">
        <x:f>IF(COUNT('Selected_Inputs'!L44,'Selected_Inputs'!K44)=2,IF('Selected_Inputs'!K44&gt;0,100*'Selected_Inputs'!L44/'Selected_Inputs'!K44,""),"")</x:f>
        <x:v>1.924789801393683</x:v>
      </x:c>
      <x:c r="H44" s="22" t="str">
        <x:f>IF(COUNT('Selected_Inputs'!R44,'Selected_Inputs'!S44)=2,IF('Selected_Inputs'!S44&gt;0,100*'Selected_Inputs'!R44/'Selected_Inputs'!S44,""),"")</x:f>
      </x:c>
      <x:c r="I44" s="22" t="n">
        <x:f>IF(COUNT('Selected_Inputs'!N44,C44)=2,IF(C44&gt;0,100*'Selected_Inputs'!N44/C44,""),"")</x:f>
        <x:v>0.5408922369057814</x:v>
      </x:c>
      <x:c r="J44" s="22" t="str">
        <x:f>IF(COUNT('Selected_Inputs'!L44,'Selected_Inputs'!AB44)=2,IF('Selected_Inputs'!AB44&gt;0,100*'Selected_Inputs'!L44/'Selected_Inputs'!AB44,""),"")</x:f>
      </x:c>
      <x:c r="K44" s="22" t="str">
        <x:f>IF(COUNT('Selected_Inputs'!AB44,'Selected_Inputs'!K44)=2,IF('Selected_Inputs'!K44&gt;0,100*'Selected_Inputs'!AB44/'Selected_Inputs'!K44,""),"")</x:f>
      </x:c>
      <x:c r="L44" s="22" t="str">
        <x:f>IF(COUNT('Selected_Inputs'!AD44,'Selected_Inputs'!K44)=2,IF('Selected_Inputs'!K44&gt;0,100*'Selected_Inputs'!AD44/'Selected_Inputs'!K44,""),"")</x:f>
      </x:c>
      <x:c r="M44" s="22" t="str">
        <x:f>IF(COUNT('Selected_Inputs'!AE44,'Selected_Inputs'!AD44)=2,IF('Selected_Inputs'!AD44&gt;0,100*'Selected_Inputs'!AE44/'Selected_Inputs'!AD44,""),"")</x:f>
      </x:c>
      <x:c r="N44" s="22" t="n">
        <x:f>IF(COUNT('Selected_Inputs'!E44,'Selected_Inputs'!F44)=2,IF('Selected_Inputs'!F44&gt;0,100*'Selected_Inputs'!E44/'Selected_Inputs'!F44,""),"")</x:f>
        <x:v>0.598045413552352</x:v>
      </x:c>
      <x:c r="O44" s="22" t="n">
        <x:f>IF(COUNT('Selected_Inputs'!G44,'Selected_Inputs'!F44)=2,IF('Selected_Inputs'!F44&gt;0,100*'Selected_Inputs'!G44/'Selected_Inputs'!F44,""),"")</x:f>
        <x:v>87.08556456505751</x:v>
      </x:c>
      <x:c r="P44" s="22" t="n">
        <x:f>IF(COUNT('Selected_Inputs'!F44)=1,IF('Selected_Inputs'!F44&gt;0,LN('Selected_Inputs'!F44),""),"")</x:f>
        <x:v>12.860426524983295</x:v>
      </x:c>
      <x:c r="Q44" s="22" t="n">
        <x:f>IF(COUNT('Selected_Inputs'!F44,'Selected_Inputs'!G44,'Selected_Inputs'!H44)=3,'Selected_Inputs'!F44-'Selected_Inputs'!G44-'Selected_Inputs'!H44,"")</x:f>
        <x:v>1.4551915228366852e-11</x:v>
      </x:c>
      <x:c r="R44" s="22" t="str">
        <x:f>IF(COUNT('Selected_Inputs'!K44,'Selected_Inputs'!L44,'Selected_Inputs'!M44)=3,'Selected_Inputs'!K44-'Selected_Inputs'!L44-'Selected_Inputs'!M44,"")</x:f>
      </x:c>
      <x:c r="S44" s="22" t="n">
        <x:f>IF(AND('Selected_Inputs'!X44=1,COUNT('Selected_Inputs'!W44)=1),'Selected_Inputs'!W44,"")</x:f>
        <x:v>26.25</x:v>
      </x:c>
      <x:c r="T44" s="22" t="str">
        <x:f>IF(COUNT('Selected_Inputs'!T44,'Selected_Inputs'!V44)=2,'Selected_Inputs'!T44-'Selected_Inputs'!V44,"")</x:f>
      </x:c>
      <x:c r="U44" s="20" t="str">
        <x:f>'Selected_Inputs'!AK44</x:f>
        <x:v>Prior source-selection policy retained; original evidence preserved in accompanying pack.</x:v>
      </x:c>
    </x:row>
    <x:row r="45" ht="28" customHeight="1">
      <x:c r="A45" s="18" t="str">
        <x:f>'Selected_Inputs'!A45</x:f>
        <x:v>Wema</x:v>
      </x:c>
      <x:c r="B45" s="24" t="n">
        <x:f>'Selected_Inputs'!B45</x:f>
        <x:v>2018</x:v>
      </x:c>
      <x:c r="C45" s="22" t="n">
        <x:f>IF(COUNT('Selected_Inputs'!F45,'Selected_Inputs'!J45)=2,IF(AND('Selected_Inputs'!F45&gt;0,'Selected_Inputs'!J45&gt;0),('Selected_Inputs'!F45+'Selected_Inputs'!J45)/2,""),"")</x:f>
        <x:v>431347.7755</x:v>
      </x:c>
      <x:c r="D45" s="22" t="n">
        <x:f>IF(COUNT('Selected_Inputs'!E45,C45)=2,IF(C45&gt;0,100*'Selected_Inputs'!E45/C45,""),"")</x:f>
        <x:v>0.7787820387171558</x:v>
      </x:c>
      <x:c r="E45" s="22" t="n">
        <x:f>IF(COUNT('Selected_Inputs'!H45,'Selected_Inputs'!F45)=2,IF('Selected_Inputs'!F45&gt;0,100*'Selected_Inputs'!H45/'Selected_Inputs'!F45,""),"")</x:f>
        <x:v>10.671102564351187</x:v>
      </x:c>
      <x:c r="F45" s="22" t="n">
        <x:f>IF(COUNT('Selected_Inputs'!I45,C45)=2,IF(C45&gt;0,100*'Selected_Inputs'!I45/C45,""),"")</x:f>
        <x:v>11.43142141925802</x:v>
      </x:c>
      <x:c r="G45" s="22" t="n">
        <x:f>IF(COUNT('Selected_Inputs'!L45,'Selected_Inputs'!K45)=2,IF('Selected_Inputs'!K45&gt;0,100*'Selected_Inputs'!L45/'Selected_Inputs'!K45,""),"")</x:f>
        <x:v>3.591244092813833</x:v>
      </x:c>
      <x:c r="H45" s="22" t="str">
        <x:f>IF(COUNT('Selected_Inputs'!R45,'Selected_Inputs'!S45)=2,IF('Selected_Inputs'!S45&gt;0,100*'Selected_Inputs'!R45/'Selected_Inputs'!S45,""),"")</x:f>
      </x:c>
      <x:c r="I45" s="22" t="n">
        <x:f>IF(COUNT('Selected_Inputs'!N45,C45)=2,IF(C45&gt;0,100*'Selected_Inputs'!N45/C45,""),"")</x:f>
        <x:v>0.8138530437373265</x:v>
      </x:c>
      <x:c r="J45" s="22" t="str">
        <x:f>IF(COUNT('Selected_Inputs'!L45,'Selected_Inputs'!AB45)=2,IF('Selected_Inputs'!AB45&gt;0,100*'Selected_Inputs'!L45/'Selected_Inputs'!AB45,""),"")</x:f>
      </x:c>
      <x:c r="K45" s="22" t="str">
        <x:f>IF(COUNT('Selected_Inputs'!AB45,'Selected_Inputs'!K45)=2,IF('Selected_Inputs'!K45&gt;0,100*'Selected_Inputs'!AB45/'Selected_Inputs'!K45,""),"")</x:f>
      </x:c>
      <x:c r="L45" s="22" t="str">
        <x:f>IF(COUNT('Selected_Inputs'!AD45,'Selected_Inputs'!K45)=2,IF('Selected_Inputs'!K45&gt;0,100*'Selected_Inputs'!AD45/'Selected_Inputs'!K45,""),"")</x:f>
      </x:c>
      <x:c r="M45" s="22" t="str">
        <x:f>IF(COUNT('Selected_Inputs'!AE45,'Selected_Inputs'!AD45)=2,IF('Selected_Inputs'!AD45&gt;0,100*'Selected_Inputs'!AE45/'Selected_Inputs'!AD45,""),"")</x:f>
      </x:c>
      <x:c r="N45" s="22" t="n">
        <x:f>IF(COUNT('Selected_Inputs'!E45,'Selected_Inputs'!F45)=2,IF('Selected_Inputs'!F45&gt;0,100*'Selected_Inputs'!E45/'Selected_Inputs'!F45,""),"")</x:f>
        <x:v>0.7028977505411403</x:v>
      </x:c>
      <x:c r="O45" s="22" t="n">
        <x:f>IF(COUNT('Selected_Inputs'!G45,'Selected_Inputs'!F45)=2,IF('Selected_Inputs'!F45&gt;0,100*'Selected_Inputs'!G45/'Selected_Inputs'!F45,""),"")</x:f>
        <x:v>89.32889743564881</x:v>
      </x:c>
      <x:c r="P45" s="22" t="n">
        <x:f>IF(COUNT('Selected_Inputs'!F45)=1,IF('Selected_Inputs'!F45&gt;0,LN('Selected_Inputs'!F45),""),"")</x:f>
        <x:v>13.077189723969337</x:v>
      </x:c>
      <x:c r="Q45" s="22" t="n">
        <x:f>IF(COUNT('Selected_Inputs'!F45,'Selected_Inputs'!G45,'Selected_Inputs'!H45)=3,'Selected_Inputs'!F45-'Selected_Inputs'!G45-'Selected_Inputs'!H45,"")</x:f>
        <x:v>1.4551915228366852e-11</x:v>
      </x:c>
      <x:c r="R45" s="22" t="str">
        <x:f>IF(COUNT('Selected_Inputs'!K45,'Selected_Inputs'!L45,'Selected_Inputs'!M45)=3,'Selected_Inputs'!K45-'Selected_Inputs'!L45-'Selected_Inputs'!M45,"")</x:f>
      </x:c>
      <x:c r="S45" s="22" t="n">
        <x:f>IF(AND('Selected_Inputs'!X45=1,COUNT('Selected_Inputs'!W45)=1),'Selected_Inputs'!W45,"")</x:f>
        <x:v>34.64</x:v>
      </x:c>
      <x:c r="T45" s="22" t="str">
        <x:f>IF(COUNT('Selected_Inputs'!T45,'Selected_Inputs'!V45)=2,'Selected_Inputs'!T45-'Selected_Inputs'!V45,"")</x:f>
      </x:c>
      <x:c r="U45" s="20" t="str">
        <x:f>'Selected_Inputs'!AK45</x:f>
        <x:v>Prior source-selection policy retained; original evidence preserved in accompanying pack.</x:v>
      </x:c>
    </x:row>
    <x:row r="46" ht="28" customHeight="1">
      <x:c r="A46" s="18" t="str">
        <x:f>'Selected_Inputs'!A46</x:f>
        <x:v>Wema</x:v>
      </x:c>
      <x:c r="B46" s="24" t="n">
        <x:f>'Selected_Inputs'!B46</x:f>
        <x:v>2019</x:v>
      </x:c>
      <x:c r="C46" s="22" t="n">
        <x:f>IF(COUNT('Selected_Inputs'!F46,'Selected_Inputs'!J46)=2,IF(AND('Selected_Inputs'!F46&gt;0,'Selected_Inputs'!J46&gt;0),('Selected_Inputs'!F46+'Selected_Inputs'!J46)/2,""),"")</x:f>
        <x:v>591435.6730000001</x:v>
      </x:c>
      <x:c r="D46" s="22" t="n">
        <x:f>IF(COUNT('Selected_Inputs'!E46,C46)=2,IF(C46&gt;0,100*'Selected_Inputs'!E46/C46,""),"")</x:f>
        <x:v>0.8810337688237481</x:v>
      </x:c>
      <x:c r="E46" s="22" t="n">
        <x:f>IF(COUNT('Selected_Inputs'!H46,'Selected_Inputs'!F46)=2,IF('Selected_Inputs'!F46&gt;0,100*'Selected_Inputs'!H46/'Selected_Inputs'!F46,""),"")</x:f>
        <x:v>7.8525301006047465</x:v>
      </x:c>
      <x:c r="F46" s="22" t="n">
        <x:f>IF(COUNT('Selected_Inputs'!I46,C46)=2,IF(C46&gt;0,100*'Selected_Inputs'!I46/C46,""),"")</x:f>
        <x:v>18.155959625384313</x:v>
      </x:c>
      <x:c r="G46" s="22" t="n">
        <x:f>IF(COUNT('Selected_Inputs'!L46,'Selected_Inputs'!K46)=2,IF('Selected_Inputs'!K46&gt;0,100*'Selected_Inputs'!L46/'Selected_Inputs'!K46,""),"")</x:f>
        <x:v>4.024455100125294</x:v>
      </x:c>
      <x:c r="H46" s="22" t="n">
        <x:f>IF(COUNT('Selected_Inputs'!R46,'Selected_Inputs'!S46)=2,IF('Selected_Inputs'!S46&gt;0,100*'Selected_Inputs'!R46/'Selected_Inputs'!S46,""),"")</x:f>
        <x:v>13.598370350245643</x:v>
      </x:c>
      <x:c r="I46" s="22" t="n">
        <x:f>IF(COUNT('Selected_Inputs'!N46,C46)=2,IF(C46&gt;0,100*'Selected_Inputs'!N46/C46,""),"")</x:f>
        <x:v>1.036562432716161</x:v>
      </x:c>
      <x:c r="J46" s="22" t="str">
        <x:f>IF(COUNT('Selected_Inputs'!L46,'Selected_Inputs'!AB46)=2,IF('Selected_Inputs'!AB46&gt;0,100*'Selected_Inputs'!L46/'Selected_Inputs'!AB46,""),"")</x:f>
      </x:c>
      <x:c r="K46" s="22" t="str">
        <x:f>IF(COUNT('Selected_Inputs'!AB46,'Selected_Inputs'!K46)=2,IF('Selected_Inputs'!K46&gt;0,100*'Selected_Inputs'!AB46/'Selected_Inputs'!K46,""),"")</x:f>
      </x:c>
      <x:c r="L46" s="22" t="str">
        <x:f>IF(COUNT('Selected_Inputs'!AD46,'Selected_Inputs'!K46)=2,IF('Selected_Inputs'!K46&gt;0,100*'Selected_Inputs'!AD46/'Selected_Inputs'!K46,""),"")</x:f>
      </x:c>
      <x:c r="M46" s="22" t="str">
        <x:f>IF(COUNT('Selected_Inputs'!AE46,'Selected_Inputs'!AD46)=2,IF('Selected_Inputs'!AD46&gt;0,100*'Selected_Inputs'!AE46/'Selected_Inputs'!AD46,""),"")</x:f>
      </x:c>
      <x:c r="N46" s="22" t="n">
        <x:f>IF(COUNT('Selected_Inputs'!E46,'Selected_Inputs'!F46)=2,IF('Selected_Inputs'!F46&gt;0,100*'Selected_Inputs'!E46/'Selected_Inputs'!F46,""),"")</x:f>
        <x:v>0.7391597386322784</x:v>
      </x:c>
      <x:c r="O46" s="22" t="n">
        <x:f>IF(COUNT('Selected_Inputs'!G46,'Selected_Inputs'!F46)=2,IF('Selected_Inputs'!F46&gt;0,100*'Selected_Inputs'!G46/'Selected_Inputs'!F46,""),"")</x:f>
        <x:v>92.14746989939525</x:v>
      </x:c>
      <x:c r="P46" s="22" t="n">
        <x:f>IF(COUNT('Selected_Inputs'!F46)=1,IF('Selected_Inputs'!F46&gt;0,LN('Selected_Inputs'!F46),""),"")</x:f>
        <x:v>13.465890106761874</x:v>
      </x:c>
      <x:c r="Q46" s="22" t="n">
        <x:f>IF(COUNT('Selected_Inputs'!F46,'Selected_Inputs'!G46,'Selected_Inputs'!H46)=3,'Selected_Inputs'!F46-'Selected_Inputs'!G46-'Selected_Inputs'!H46,"")</x:f>
        <x:v>2.1827872842550278e-11</x:v>
      </x:c>
      <x:c r="R46" s="22" t="n">
        <x:f>IF(COUNT('Selected_Inputs'!K46,'Selected_Inputs'!L46,'Selected_Inputs'!M46)=3,'Selected_Inputs'!K46-'Selected_Inputs'!L46-'Selected_Inputs'!M46,"")</x:f>
        <x:v>0</x:v>
      </x:c>
      <x:c r="S46" s="22" t="str">
        <x:f>IF(AND('Selected_Inputs'!X46=1,COUNT('Selected_Inputs'!W46)=1),'Selected_Inputs'!W46,"")</x:f>
      </x:c>
      <x:c r="T46" s="22" t="str">
        <x:f>IF(COUNT('Selected_Inputs'!T46,'Selected_Inputs'!V46)=2,'Selected_Inputs'!T46-'Selected_Inputs'!V46,"")</x:f>
      </x:c>
      <x:c r="U46" s="20" t="str">
        <x:f>'Selected_Inputs'!AK46</x:f>
        <x:v>Prior source-selection policy retained; original evidence preserved in accompanying pack.</x:v>
      </x:c>
    </x:row>
    <x:row r="47" ht="28" customHeight="1">
      <x:c r="A47" s="18" t="str">
        <x:f>'Selected_Inputs'!A47</x:f>
        <x:v>Wema</x:v>
      </x:c>
      <x:c r="B47" s="24" t="n">
        <x:f>'Selected_Inputs'!B47</x:f>
        <x:v>2020</x:v>
      </x:c>
      <x:c r="C47" s="22" t="n">
        <x:f>IF(COUNT('Selected_Inputs'!F47,'Selected_Inputs'!J47)=2,IF(AND('Selected_Inputs'!F47&gt;0,'Selected_Inputs'!J47&gt;0),('Selected_Inputs'!F47+'Selected_Inputs'!J47)/2,""),"")</x:f>
        <x:v>836768.844</x:v>
      </x:c>
      <x:c r="D47" s="22" t="n">
        <x:f>IF(COUNT('Selected_Inputs'!E47,C47)=2,IF(C47&gt;0,100*'Selected_Inputs'!E47/C47,""),"")</x:f>
        <x:v>0.5488035355197808</x:v>
      </x:c>
      <x:c r="E47" s="22" t="n">
        <x:f>IF(COUNT('Selected_Inputs'!H47,'Selected_Inputs'!F47)=2,IF('Selected_Inputs'!F47&gt;0,100*'Selected_Inputs'!H47/'Selected_Inputs'!F47,""),"")</x:f>
        <x:v>6.127806200470666</x:v>
      </x:c>
      <x:c r="F47" s="22" t="n">
        <x:f>IF(COUNT('Selected_Inputs'!I47,C47)=2,IF(C47&gt;0,100*'Selected_Inputs'!I47/C47,""),"")</x:f>
        <x:v>5.593462081625973</x:v>
      </x:c>
      <x:c r="G47" s="22" t="n">
        <x:f>IF(COUNT('Selected_Inputs'!L47,'Selected_Inputs'!K47)=2,IF('Selected_Inputs'!K47&gt;0,100*'Selected_Inputs'!L47/'Selected_Inputs'!K47,""),"")</x:f>
        <x:v>3.989865519768579</x:v>
      </x:c>
      <x:c r="H47" s="22" t="n">
        <x:f>IF(COUNT('Selected_Inputs'!R47,'Selected_Inputs'!S47)=2,IF('Selected_Inputs'!S47&gt;0,100*'Selected_Inputs'!R47/'Selected_Inputs'!S47,""),"")</x:f>
        <x:v>15.014676230780095</x:v>
      </x:c>
      <x:c r="I47" s="22" t="n">
        <x:f>IF(COUNT('Selected_Inputs'!N47,C47)=2,IF(C47&gt;0,100*'Selected_Inputs'!N47/C47,""),"")</x:f>
        <x:v>0.6734434533989413</x:v>
      </x:c>
      <x:c r="J47" s="22" t="str">
        <x:f>IF(COUNT('Selected_Inputs'!L47,'Selected_Inputs'!AB47)=2,IF('Selected_Inputs'!AB47&gt;0,100*'Selected_Inputs'!L47/'Selected_Inputs'!AB47,""),"")</x:f>
      </x:c>
      <x:c r="K47" s="22" t="str">
        <x:f>IF(COUNT('Selected_Inputs'!AB47,'Selected_Inputs'!K47)=2,IF('Selected_Inputs'!K47&gt;0,100*'Selected_Inputs'!AB47/'Selected_Inputs'!K47,""),"")</x:f>
      </x:c>
      <x:c r="L47" s="22" t="str">
        <x:f>IF(COUNT('Selected_Inputs'!AD47,'Selected_Inputs'!K47)=2,IF('Selected_Inputs'!K47&gt;0,100*'Selected_Inputs'!AD47/'Selected_Inputs'!K47,""),"")</x:f>
      </x:c>
      <x:c r="M47" s="22" t="str">
        <x:f>IF(COUNT('Selected_Inputs'!AE47,'Selected_Inputs'!AD47)=2,IF('Selected_Inputs'!AD47&gt;0,100*'Selected_Inputs'!AE47/'Selected_Inputs'!AD47,""),"")</x:f>
      </x:c>
      <x:c r="N47" s="22" t="n">
        <x:f>IF(COUNT('Selected_Inputs'!E47,'Selected_Inputs'!F47)=2,IF('Selected_Inputs'!F47&gt;0,100*'Selected_Inputs'!E47/'Selected_Inputs'!F47,""),"")</x:f>
        <x:v>0.4741174832632976</x:v>
      </x:c>
      <x:c r="O47" s="22" t="n">
        <x:f>IF(COUNT('Selected_Inputs'!G47,'Selected_Inputs'!F47)=2,IF('Selected_Inputs'!F47&gt;0,100*'Selected_Inputs'!G47/'Selected_Inputs'!F47,""),"")</x:f>
        <x:v>93.87219379952934</x:v>
      </x:c>
      <x:c r="P47" s="22" t="n">
        <x:f>IF(COUNT('Selected_Inputs'!F47)=1,IF('Selected_Inputs'!F47&gt;0,LN('Selected_Inputs'!F47),""),"")</x:f>
        <x:v>13.783588511980694</x:v>
      </x:c>
      <x:c r="Q47" s="22" t="n">
        <x:f>IF(COUNT('Selected_Inputs'!F47,'Selected_Inputs'!G47,'Selected_Inputs'!H47)=3,'Selected_Inputs'!F47-'Selected_Inputs'!G47-'Selected_Inputs'!H47,"")</x:f>
        <x:v>-1.4551915228366852e-11</x:v>
      </x:c>
      <x:c r="R47" s="22" t="n">
        <x:f>IF(COUNT('Selected_Inputs'!K47,'Selected_Inputs'!L47,'Selected_Inputs'!M47)=3,'Selected_Inputs'!K47-'Selected_Inputs'!L47-'Selected_Inputs'!M47,"")</x:f>
        <x:v>0.0009999999892897904</x:v>
      </x:c>
      <x:c r="S47" s="22" t="str">
        <x:f>IF(AND('Selected_Inputs'!X47=1,COUNT('Selected_Inputs'!W47)=1),'Selected_Inputs'!W47,"")</x:f>
      </x:c>
      <x:c r="T47" s="22" t="str">
        <x:f>IF(COUNT('Selected_Inputs'!T47,'Selected_Inputs'!V47)=2,'Selected_Inputs'!T47-'Selected_Inputs'!V47,"")</x:f>
      </x:c>
      <x:c r="U47" s="20" t="str">
        <x:f>'Selected_Inputs'!AK47</x:f>
        <x:v>Prior source-selection policy retained; original evidence preserved in accompanying pack.</x:v>
      </x:c>
    </x:row>
    <x:row r="48" ht="28" customHeight="1">
      <x:c r="A48" s="18" t="str">
        <x:f>'Selected_Inputs'!A48</x:f>
        <x:v>Wema</x:v>
      </x:c>
      <x:c r="B48" s="24" t="n">
        <x:f>'Selected_Inputs'!B48</x:f>
        <x:v>2022</x:v>
      </x:c>
      <x:c r="C48" s="22" t="str">
        <x:f>IF(COUNT('Selected_Inputs'!F48,'Selected_Inputs'!J48)=2,IF(AND('Selected_Inputs'!F48&gt;0,'Selected_Inputs'!J48&gt;0),('Selected_Inputs'!F48+'Selected_Inputs'!J48)/2,""),"")</x:f>
      </x:c>
      <x:c r="D48" s="22" t="str">
        <x:f>IF(COUNT('Selected_Inputs'!E48,C48)=2,IF(C48&gt;0,100*'Selected_Inputs'!E48/C48,""),"")</x:f>
      </x:c>
      <x:c r="E48" s="22" t="n">
        <x:f>IF(COUNT('Selected_Inputs'!H48,'Selected_Inputs'!F48)=2,IF('Selected_Inputs'!F48&gt;0,100*'Selected_Inputs'!H48/'Selected_Inputs'!F48,""),"")</x:f>
        <x:v>5.7628838187185325</x:v>
      </x:c>
      <x:c r="F48" s="22" t="str">
        <x:f>IF(COUNT('Selected_Inputs'!I48,C48)=2,IF(C48&gt;0,100*'Selected_Inputs'!I48/C48,""),"")</x:f>
      </x:c>
      <x:c r="G48" s="22" t="n">
        <x:f>IF(COUNT('Selected_Inputs'!L48,'Selected_Inputs'!K48)=2,IF('Selected_Inputs'!K48&gt;0,100*'Selected_Inputs'!L48/'Selected_Inputs'!K48,""),"")</x:f>
        <x:v>3.32633443478277</x:v>
      </x:c>
      <x:c r="H48" s="22" t="n">
        <x:f>IF(COUNT('Selected_Inputs'!R48,'Selected_Inputs'!S48)=2,IF('Selected_Inputs'!S48&gt;0,100*'Selected_Inputs'!R48/'Selected_Inputs'!S48,""),"")</x:f>
        <x:v>12.737408205179296</x:v>
      </x:c>
      <x:c r="I48" s="22" t="str">
        <x:f>IF(COUNT('Selected_Inputs'!N48,C48)=2,IF(C48&gt;0,100*'Selected_Inputs'!N48/C48,""),"")</x:f>
      </x:c>
      <x:c r="J48" s="22" t="str">
        <x:f>IF(COUNT('Selected_Inputs'!L48,'Selected_Inputs'!AB48)=2,IF('Selected_Inputs'!AB48&gt;0,100*'Selected_Inputs'!L48/'Selected_Inputs'!AB48,""),"")</x:f>
      </x:c>
      <x:c r="K48" s="22" t="str">
        <x:f>IF(COUNT('Selected_Inputs'!AB48,'Selected_Inputs'!K48)=2,IF('Selected_Inputs'!K48&gt;0,100*'Selected_Inputs'!AB48/'Selected_Inputs'!K48,""),"")</x:f>
      </x:c>
      <x:c r="L48" s="22" t="str">
        <x:f>IF(COUNT('Selected_Inputs'!AD48,'Selected_Inputs'!K48)=2,IF('Selected_Inputs'!K48&gt;0,100*'Selected_Inputs'!AD48/'Selected_Inputs'!K48,""),"")</x:f>
      </x:c>
      <x:c r="M48" s="22" t="str">
        <x:f>IF(COUNT('Selected_Inputs'!AE48,'Selected_Inputs'!AD48)=2,IF('Selected_Inputs'!AD48&gt;0,100*'Selected_Inputs'!AE48/'Selected_Inputs'!AD48,""),"")</x:f>
      </x:c>
      <x:c r="N48" s="22" t="n">
        <x:f>IF(COUNT('Selected_Inputs'!E48,'Selected_Inputs'!F48)=2,IF('Selected_Inputs'!F48&gt;0,100*'Selected_Inputs'!E48/'Selected_Inputs'!F48,""),"")</x:f>
        <x:v>0.7821718911763729</x:v>
      </x:c>
      <x:c r="O48" s="22" t="n">
        <x:f>IF(COUNT('Selected_Inputs'!G48,'Selected_Inputs'!F48)=2,IF('Selected_Inputs'!F48&gt;0,100*'Selected_Inputs'!G48/'Selected_Inputs'!F48,""),"")</x:f>
        <x:v>94.23711618128146</x:v>
      </x:c>
      <x:c r="P48" s="22" t="n">
        <x:f>IF(COUNT('Selected_Inputs'!F48)=1,IF('Selected_Inputs'!F48&gt;0,LN('Selected_Inputs'!F48),""),"")</x:f>
        <x:v>14.175771623276445</x:v>
      </x:c>
      <x:c r="Q48" s="22" t="n">
        <x:f>IF(COUNT('Selected_Inputs'!F48,'Selected_Inputs'!G48,'Selected_Inputs'!H48)=3,'Selected_Inputs'!F48-'Selected_Inputs'!G48-'Selected_Inputs'!H48,"")</x:f>
        <x:v>-2.9103830456733704e-11</x:v>
      </x:c>
      <x:c r="R48" s="22" t="n">
        <x:f>IF(COUNT('Selected_Inputs'!K48,'Selected_Inputs'!L48,'Selected_Inputs'!M48)=3,'Selected_Inputs'!K48-'Selected_Inputs'!L48-'Selected_Inputs'!M48,"")</x:f>
        <x:v>5.820766091346741e-11</x:v>
      </x:c>
      <x:c r="S48" s="22" t="str">
        <x:f>IF(AND('Selected_Inputs'!X48=1,COUNT('Selected_Inputs'!W48)=1),'Selected_Inputs'!W48,"")</x:f>
      </x:c>
      <x:c r="T48" s="22" t="str">
        <x:f>IF(COUNT('Selected_Inputs'!T48,'Selected_Inputs'!V48)=2,'Selected_Inputs'!T48-'Selected_Inputs'!V48,"")</x:f>
      </x:c>
      <x:c r="U48" s="20" t="str">
        <x:f>'Selected_Inputs'!AK48</x:f>
        <x:v>Prior source-selection policy retained; original evidence preserved in accompanying pack.</x:v>
      </x:c>
    </x:row>
    <x:row r="49" ht="28" customHeight="1">
      <x:c r="A49" s="18" t="str">
        <x:f>'Selected_Inputs'!A49</x:f>
        <x:v>Zenith</x:v>
      </x:c>
      <x:c r="B49" s="24" t="n">
        <x:f>'Selected_Inputs'!B49</x:f>
        <x:v>2014</x:v>
      </x:c>
      <x:c r="C49" s="22" t="str">
        <x:f>IF(COUNT('Selected_Inputs'!F49,'Selected_Inputs'!J49)=2,IF(AND('Selected_Inputs'!F49&gt;0,'Selected_Inputs'!J49&gt;0),('Selected_Inputs'!F49+'Selected_Inputs'!J49)/2,""),"")</x:f>
      </x:c>
      <x:c r="D49" s="22" t="str">
        <x:f>IF(COUNT('Selected_Inputs'!E49,C49)=2,IF(C49&gt;0,100*'Selected_Inputs'!E49/C49,""),"")</x:f>
      </x:c>
      <x:c r="E49" s="22" t="n">
        <x:f>IF(COUNT('Selected_Inputs'!H49,'Selected_Inputs'!F49)=2,IF('Selected_Inputs'!F49&gt;0,100*'Selected_Inputs'!H49/'Selected_Inputs'!F49,""),"")</x:f>
        <x:v>14.974710987934818</x:v>
      </x:c>
      <x:c r="F49" s="22" t="str">
        <x:f>IF(COUNT('Selected_Inputs'!I49,C49)=2,IF(C49&gt;0,100*'Selected_Inputs'!I49/C49,""),"")</x:f>
      </x:c>
      <x:c r="G49" s="22" t="n">
        <x:f>IF(COUNT('Selected_Inputs'!L49,'Selected_Inputs'!K49)=2,IF('Selected_Inputs'!K49&gt;0,100*'Selected_Inputs'!L49/'Selected_Inputs'!K49,""),"")</x:f>
        <x:v>1.5776843398121927</x:v>
      </x:c>
      <x:c r="H49" s="22" t="str">
        <x:f>IF(COUNT('Selected_Inputs'!R49,'Selected_Inputs'!S49)=2,IF('Selected_Inputs'!S49&gt;0,100*'Selected_Inputs'!R49/'Selected_Inputs'!S49,""),"")</x:f>
      </x:c>
      <x:c r="I49" s="22" t="str">
        <x:f>IF(COUNT('Selected_Inputs'!N49,C49)=2,IF(C49&gt;0,100*'Selected_Inputs'!N49/C49,""),"")</x:f>
      </x:c>
      <x:c r="J49" s="22" t="n">
        <x:f>IF(COUNT('Selected_Inputs'!L49,'Selected_Inputs'!AB49)=2,IF('Selected_Inputs'!AB49&gt;0,100*'Selected_Inputs'!L49/'Selected_Inputs'!AB49,""),"")</x:f>
        <x:v>95.92532283106752</x:v>
      </x:c>
      <x:c r="K49" s="22" t="n">
        <x:f>IF(COUNT('Selected_Inputs'!AB49,'Selected_Inputs'!K49)=2,IF('Selected_Inputs'!K49&gt;0,100*'Selected_Inputs'!AB49/'Selected_Inputs'!K49,""),"")</x:f>
        <x:v>1.6447005787935955</x:v>
      </x:c>
      <x:c r="L49" s="22" t="str">
        <x:f>IF(COUNT('Selected_Inputs'!AD49,'Selected_Inputs'!K49)=2,IF('Selected_Inputs'!K49&gt;0,100*'Selected_Inputs'!AD49/'Selected_Inputs'!K49,""),"")</x:f>
      </x:c>
      <x:c r="M49" s="22" t="str">
        <x:f>IF(COUNT('Selected_Inputs'!AE49,'Selected_Inputs'!AD49)=2,IF('Selected_Inputs'!AD49&gt;0,100*'Selected_Inputs'!AE49/'Selected_Inputs'!AD49,""),"")</x:f>
      </x:c>
      <x:c r="N49" s="22" t="n">
        <x:f>IF(COUNT('Selected_Inputs'!E49,'Selected_Inputs'!F49)=2,IF('Selected_Inputs'!F49&gt;0,100*'Selected_Inputs'!E49/'Selected_Inputs'!F49,""),"")</x:f>
        <x:v>2.701048157043348</x:v>
      </x:c>
      <x:c r="O49" s="22" t="n">
        <x:f>IF(COUNT('Selected_Inputs'!G49,'Selected_Inputs'!F49)=2,IF('Selected_Inputs'!F49&gt;0,100*'Selected_Inputs'!G49/'Selected_Inputs'!F49,""),"")</x:f>
        <x:v>85.02528901206519</x:v>
      </x:c>
      <x:c r="P49" s="22" t="n">
        <x:f>IF(COUNT('Selected_Inputs'!F49)=1,IF('Selected_Inputs'!F49&gt;0,LN('Selected_Inputs'!F49),""),"")</x:f>
        <x:v>15.046267152696984</x:v>
      </x:c>
      <x:c r="Q49" s="22" t="n">
        <x:f>IF(COUNT('Selected_Inputs'!F49,'Selected_Inputs'!G49,'Selected_Inputs'!H49)=3,'Selected_Inputs'!F49-'Selected_Inputs'!G49-'Selected_Inputs'!H49,"")</x:f>
        <x:v>0</x:v>
      </x:c>
      <x:c r="R49" s="22" t="str">
        <x:f>IF(COUNT('Selected_Inputs'!K49,'Selected_Inputs'!L49,'Selected_Inputs'!M49)=3,'Selected_Inputs'!K49-'Selected_Inputs'!L49-'Selected_Inputs'!M49,"")</x:f>
      </x:c>
      <x:c r="S49" s="22" t="str">
        <x:f>IF(AND('Selected_Inputs'!X49=1,COUNT('Selected_Inputs'!W49)=1),'Selected_Inputs'!W49,"")</x:f>
      </x:c>
      <x:c r="T49" s="22" t="str">
        <x:f>IF(COUNT('Selected_Inputs'!T49,'Selected_Inputs'!V49)=2,'Selected_Inputs'!T49-'Selected_Inputs'!V49,"")</x:f>
      </x:c>
      <x:c r="U49" s="20" t="str">
        <x:f>'Selected_Inputs'!AK49</x:f>
        <x:v>Prior source-selection policy retained; original evidence preserved in accompanying pack.</x:v>
      </x:c>
    </x:row>
    <x:row r="50" ht="28" customHeight="1">
      <x:c r="A50" s="18" t="str">
        <x:f>'Selected_Inputs'!A50</x:f>
        <x:v>Zenith</x:v>
      </x:c>
      <x:c r="B50" s="24" t="n">
        <x:f>'Selected_Inputs'!B50</x:f>
        <x:v>2015</x:v>
      </x:c>
      <x:c r="C50" s="22" t="n">
        <x:f>IF(COUNT('Selected_Inputs'!F50,'Selected_Inputs'!J50)=2,IF(AND('Selected_Inputs'!F50&gt;0,'Selected_Inputs'!J50&gt;0),('Selected_Inputs'!F50+'Selected_Inputs'!J50)/2,""),"")</x:f>
        <x:v>3587073</x:v>
      </x:c>
      <x:c r="D50" s="22" t="n">
        <x:f>IF(COUNT('Selected_Inputs'!E50,C50)=2,IF(C50&gt;0,100*'Selected_Inputs'!E50/C50,""),"")</x:f>
        <x:v>2.7538887555396836</x:v>
      </x:c>
      <x:c r="E50" s="22" t="n">
        <x:f>IF(COUNT('Selected_Inputs'!H50,'Selected_Inputs'!F50)=2,IF('Selected_Inputs'!F50&gt;0,100*'Selected_Inputs'!H50/'Selected_Inputs'!F50,""),"")</x:f>
        <x:v>14.583954945795393</x:v>
      </x:c>
      <x:c r="F50" s="22" t="n">
        <x:f>IF(COUNT('Selected_Inputs'!I50,C50)=2,IF(C50&gt;0,100*'Selected_Inputs'!I50/C50,""),"")</x:f>
        <x:v>-11.580360923794972</x:v>
      </x:c>
      <x:c r="G50" s="22" t="n">
        <x:f>IF(COUNT('Selected_Inputs'!L50,'Selected_Inputs'!K50)=2,IF('Selected_Inputs'!K50&gt;0,100*'Selected_Inputs'!L50/'Selected_Inputs'!K50,""),"")</x:f>
        <x:v>1.8948073175765183</x:v>
      </x:c>
      <x:c r="H50" s="22" t="str">
        <x:f>IF(COUNT('Selected_Inputs'!R50,'Selected_Inputs'!S50)=2,IF('Selected_Inputs'!S50&gt;0,100*'Selected_Inputs'!R50/'Selected_Inputs'!S50,""),"")</x:f>
      </x:c>
      <x:c r="I50" s="22" t="n">
        <x:f>IF(COUNT('Selected_Inputs'!N50,C50)=2,IF(C50&gt;0,100*'Selected_Inputs'!N50/C50,""),"")</x:f>
        <x:v>0.30919359600431884</x:v>
      </x:c>
      <x:c r="J50" s="22" t="n">
        <x:f>IF(COUNT('Selected_Inputs'!L50,'Selected_Inputs'!AB50)=2,IF('Selected_Inputs'!AB50&gt;0,100*'Selected_Inputs'!L50/'Selected_Inputs'!AB50,""),"")</x:f>
        <x:v>115.69434096725082</x:v>
      </x:c>
      <x:c r="K50" s="22" t="n">
        <x:f>IF(COUNT('Selected_Inputs'!AB50,'Selected_Inputs'!K50)=2,IF('Selected_Inputs'!K50&gt;0,100*'Selected_Inputs'!AB50/'Selected_Inputs'!K50,""),"")</x:f>
        <x:v>1.6377700946607878</x:v>
      </x:c>
      <x:c r="L50" s="22" t="str">
        <x:f>IF(COUNT('Selected_Inputs'!AD50,'Selected_Inputs'!K50)=2,IF('Selected_Inputs'!K50&gt;0,100*'Selected_Inputs'!AD50/'Selected_Inputs'!K50,""),"")</x:f>
      </x:c>
      <x:c r="M50" s="22" t="str">
        <x:f>IF(COUNT('Selected_Inputs'!AE50,'Selected_Inputs'!AD50)=2,IF('Selected_Inputs'!AD50&gt;0,100*'Selected_Inputs'!AE50/'Selected_Inputs'!AD50,""),"")</x:f>
      </x:c>
      <x:c r="N50" s="22" t="n">
        <x:f>IF(COUNT('Selected_Inputs'!E50,'Selected_Inputs'!F50)=2,IF('Selected_Inputs'!F50&gt;0,100*'Selected_Inputs'!E50/'Selected_Inputs'!F50,""),"")</x:f>
        <x:v>2.634010314300593</x:v>
      </x:c>
      <x:c r="O50" s="22" t="n">
        <x:f>IF(COUNT('Selected_Inputs'!G50,'Selected_Inputs'!F50)=2,IF('Selected_Inputs'!F50&gt;0,100*'Selected_Inputs'!G50/'Selected_Inputs'!F50,""),"")</x:f>
        <x:v>85.4160450542046</x:v>
      </x:c>
      <x:c r="P50" s="22" t="n">
        <x:f>IF(COUNT('Selected_Inputs'!F50)=1,IF('Selected_Inputs'!F50&gt;0,LN('Selected_Inputs'!F50),""),"")</x:f>
        <x:v>15.137353594144894</x:v>
      </x:c>
      <x:c r="Q50" s="22" t="n">
        <x:f>IF(COUNT('Selected_Inputs'!F50,'Selected_Inputs'!G50,'Selected_Inputs'!H50)=3,'Selected_Inputs'!F50-'Selected_Inputs'!G50-'Selected_Inputs'!H50,"")</x:f>
        <x:v>0</x:v>
      </x:c>
      <x:c r="R50" s="22" t="str">
        <x:f>IF(COUNT('Selected_Inputs'!K50,'Selected_Inputs'!L50,'Selected_Inputs'!M50)=3,'Selected_Inputs'!K50-'Selected_Inputs'!L50-'Selected_Inputs'!M50,"")</x:f>
      </x:c>
      <x:c r="S50" s="22" t="str">
        <x:f>IF(AND('Selected_Inputs'!X50=1,COUNT('Selected_Inputs'!W50)=1),'Selected_Inputs'!W50,"")</x:f>
      </x:c>
      <x:c r="T50" s="22" t="str">
        <x:f>IF(COUNT('Selected_Inputs'!T50,'Selected_Inputs'!V50)=2,'Selected_Inputs'!T50-'Selected_Inputs'!V50,"")</x:f>
      </x:c>
      <x:c r="U50" s="20" t="str">
        <x:f>'Selected_Inputs'!AK50</x:f>
        <x:v>Prior source-selection policy retained; original evidence preserved in accompanying pack.</x:v>
      </x:c>
    </x:row>
    <x:row r="51" ht="28" customHeight="1">
      <x:c r="A51" s="18" t="str">
        <x:f>'Selected_Inputs'!A51</x:f>
        <x:v>Zenith</x:v>
      </x:c>
      <x:c r="B51" s="24" t="n">
        <x:f>'Selected_Inputs'!B51</x:f>
        <x:v>2021</x:v>
      </x:c>
      <x:c r="C51" s="22" t="str">
        <x:f>IF(COUNT('Selected_Inputs'!F51,'Selected_Inputs'!J51)=2,IF(AND('Selected_Inputs'!F51&gt;0,'Selected_Inputs'!J51&gt;0),('Selected_Inputs'!F51+'Selected_Inputs'!J51)/2,""),"")</x:f>
      </x:c>
      <x:c r="D51" s="22" t="str">
        <x:f>IF(COUNT('Selected_Inputs'!E51,C51)=2,IF(C51&gt;0,100*'Selected_Inputs'!E51/C51,""),"")</x:f>
      </x:c>
      <x:c r="E51" s="22" t="n">
        <x:f>IF(COUNT('Selected_Inputs'!H51,'Selected_Inputs'!F51)=2,IF('Selected_Inputs'!F51&gt;0,100*'Selected_Inputs'!H51/'Selected_Inputs'!F51,""),"")</x:f>
        <x:v>13.335061758379897</x:v>
      </x:c>
      <x:c r="F51" s="22" t="str">
        <x:f>IF(COUNT('Selected_Inputs'!I51,C51)=2,IF(C51&gt;0,100*'Selected_Inputs'!I51/C51,""),"")</x:f>
      </x:c>
      <x:c r="G51" s="22" t="n">
        <x:f>IF(COUNT('Selected_Inputs'!L51,'Selected_Inputs'!K51)=2,IF('Selected_Inputs'!K51&gt;0,100*'Selected_Inputs'!L51/'Selected_Inputs'!K51,""),"")</x:f>
        <x:v>4.27801590686519</x:v>
      </x:c>
      <x:c r="H51" s="22" t="n">
        <x:f>IF(COUNT('Selected_Inputs'!R51,'Selected_Inputs'!S51)=2,IF('Selected_Inputs'!S51&gt;0,100*'Selected_Inputs'!R51/'Selected_Inputs'!S51,""),"")</x:f>
        <x:v>19.59281185806144</x:v>
      </x:c>
      <x:c r="I51" s="22" t="str">
        <x:f>IF(COUNT('Selected_Inputs'!N51,C51)=2,IF(C51&gt;0,100*'Selected_Inputs'!N51/C51,""),"")</x:f>
      </x:c>
      <x:c r="J51" s="22" t="str">
        <x:f>IF(COUNT('Selected_Inputs'!L51,'Selected_Inputs'!AB51)=2,IF('Selected_Inputs'!AB51&gt;0,100*'Selected_Inputs'!L51/'Selected_Inputs'!AB51,""),"")</x:f>
      </x:c>
      <x:c r="K51" s="22" t="str">
        <x:f>IF(COUNT('Selected_Inputs'!AB51,'Selected_Inputs'!K51)=2,IF('Selected_Inputs'!K51&gt;0,100*'Selected_Inputs'!AB51/'Selected_Inputs'!K51,""),"")</x:f>
      </x:c>
      <x:c r="L51" s="22" t="str">
        <x:f>IF(COUNT('Selected_Inputs'!AD51,'Selected_Inputs'!K51)=2,IF('Selected_Inputs'!K51&gt;0,100*'Selected_Inputs'!AD51/'Selected_Inputs'!K51,""),"")</x:f>
      </x:c>
      <x:c r="M51" s="22" t="str">
        <x:f>IF(COUNT('Selected_Inputs'!AE51,'Selected_Inputs'!AD51)=2,IF('Selected_Inputs'!AD51&gt;0,100*'Selected_Inputs'!AE51/'Selected_Inputs'!AD51,""),"")</x:f>
      </x:c>
      <x:c r="N51" s="22" t="n">
        <x:f>IF(COUNT('Selected_Inputs'!E51,'Selected_Inputs'!F51)=2,IF('Selected_Inputs'!F51&gt;0,100*'Selected_Inputs'!E51/'Selected_Inputs'!F51,""),"")</x:f>
        <x:v>2.9614374060311786</x:v>
      </x:c>
      <x:c r="O51" s="22" t="n">
        <x:f>IF(COUNT('Selected_Inputs'!G51,'Selected_Inputs'!F51)=2,IF('Selected_Inputs'!F51&gt;0,100*'Selected_Inputs'!G51/'Selected_Inputs'!F51,""),"")</x:f>
        <x:v>86.6649382416201</x:v>
      </x:c>
      <x:c r="P51" s="22" t="n">
        <x:f>IF(COUNT('Selected_Inputs'!F51)=1,IF('Selected_Inputs'!F51&gt;0,LN('Selected_Inputs'!F51),""),"")</x:f>
        <x:v>15.878859810522215</x:v>
      </x:c>
      <x:c r="Q51" s="22" t="n">
        <x:f>IF(COUNT('Selected_Inputs'!F51,'Selected_Inputs'!G51,'Selected_Inputs'!H51)=3,'Selected_Inputs'!F51-'Selected_Inputs'!G51-'Selected_Inputs'!H51,"")</x:f>
        <x:v>0</x:v>
      </x:c>
      <x:c r="R51" s="22" t="n">
        <x:f>IF(COUNT('Selected_Inputs'!K51,'Selected_Inputs'!L51,'Selected_Inputs'!M51)=3,'Selected_Inputs'!K51-'Selected_Inputs'!L51-'Selected_Inputs'!M51,"")</x:f>
        <x:v>0</x:v>
      </x:c>
      <x:c r="S51" s="22" t="str">
        <x:f>IF(AND('Selected_Inputs'!X51=1,COUNT('Selected_Inputs'!W51)=1),'Selected_Inputs'!W51,"")</x:f>
      </x:c>
      <x:c r="T51" s="22" t="str">
        <x:f>IF(COUNT('Selected_Inputs'!T51,'Selected_Inputs'!V51)=2,'Selected_Inputs'!T51-'Selected_Inputs'!V51,"")</x:f>
      </x:c>
      <x:c r="U51" s="20" t="str">
        <x:f>'Selected_Inputs'!AK51</x:f>
        <x:v>Prior source-selection policy retained; original evidence preserved in accompanying pack.</x:v>
      </x:c>
    </x:row>
    <x:row r="52" ht="28" customHeight="1">
      <x:c r="A52" s="18" t="str">
        <x:f>'Selected_Inputs'!A52</x:f>
        <x:v>Zenith</x:v>
      </x:c>
      <x:c r="B52" s="24" t="n">
        <x:f>'Selected_Inputs'!B52</x:f>
        <x:v>2022</x:v>
      </x:c>
      <x:c r="C52" s="22" t="n">
        <x:f>IF(COUNT('Selected_Inputs'!F52,'Selected_Inputs'!J52)=2,IF(AND('Selected_Inputs'!F52&gt;0,'Selected_Inputs'!J52&gt;0),('Selected_Inputs'!F52+'Selected_Inputs'!J52)/2,""),"")</x:f>
        <x:v>9221485</x:v>
      </x:c>
      <x:c r="D52" s="22" t="n">
        <x:f>IF(COUNT('Selected_Inputs'!E52,C52)=2,IF(C52&gt;0,100*'Selected_Inputs'!E52/C52,""),"")</x:f>
        <x:v>2.543982883450984</x:v>
      </x:c>
      <x:c r="E52" s="22" t="n">
        <x:f>IF(COUNT('Selected_Inputs'!H52,'Selected_Inputs'!F52)=2,IF('Selected_Inputs'!F52&gt;0,100*'Selected_Inputs'!H52/'Selected_Inputs'!F52,""),"")</x:f>
        <x:v>11.306247338155604</x:v>
      </x:c>
      <x:c r="F52" s="22" t="n">
        <x:f>IF(COUNT('Selected_Inputs'!I52,C52)=2,IF(C52&gt;0,100*'Selected_Inputs'!I52/C52,""),"")</x:f>
        <x:v>13.878003380149726</x:v>
      </x:c>
      <x:c r="G52" s="22" t="n">
        <x:f>IF(COUNT('Selected_Inputs'!L52,'Selected_Inputs'!K52)=2,IF('Selected_Inputs'!K52&gt;0,100*'Selected_Inputs'!L52/'Selected_Inputs'!K52,""),"")</x:f>
        <x:v>2.686487070846266</x:v>
      </x:c>
      <x:c r="H52" s="22" t="n">
        <x:f>IF(COUNT('Selected_Inputs'!R52,'Selected_Inputs'!S52)=2,IF('Selected_Inputs'!S52&gt;0,100*'Selected_Inputs'!R52/'Selected_Inputs'!S52,""),"")</x:f>
        <x:v>18.99644522196547</x:v>
      </x:c>
      <x:c r="I52" s="22" t="n">
        <x:f>IF(COUNT('Selected_Inputs'!N52,C52)=2,IF(C52&gt;0,100*'Selected_Inputs'!N52/C52,""),"")</x:f>
        <x:v>0.6712151025566924</x:v>
      </x:c>
      <x:c r="J52" s="22" t="str">
        <x:f>IF(COUNT('Selected_Inputs'!L52,'Selected_Inputs'!AB52)=2,IF('Selected_Inputs'!AB52&gt;0,100*'Selected_Inputs'!L52/'Selected_Inputs'!AB52,""),"")</x:f>
      </x:c>
      <x:c r="K52" s="22" t="str">
        <x:f>IF(COUNT('Selected_Inputs'!AB52,'Selected_Inputs'!K52)=2,IF('Selected_Inputs'!K52&gt;0,100*'Selected_Inputs'!AB52/'Selected_Inputs'!K52,""),"")</x:f>
      </x:c>
      <x:c r="L52" s="22" t="str">
        <x:f>IF(COUNT('Selected_Inputs'!AD52,'Selected_Inputs'!K52)=2,IF('Selected_Inputs'!K52&gt;0,100*'Selected_Inputs'!AD52/'Selected_Inputs'!K52,""),"")</x:f>
      </x:c>
      <x:c r="M52" s="22" t="str">
        <x:f>IF(COUNT('Selected_Inputs'!AE52,'Selected_Inputs'!AD52)=2,IF('Selected_Inputs'!AD52&gt;0,100*'Selected_Inputs'!AE52/'Selected_Inputs'!AD52,""),"")</x:f>
      </x:c>
      <x:c r="N52" s="22" t="n">
        <x:f>IF(COUNT('Selected_Inputs'!E52,'Selected_Inputs'!F52)=2,IF('Selected_Inputs'!F52&gt;0,100*'Selected_Inputs'!E52/'Selected_Inputs'!F52,""),"")</x:f>
        <x:v>2.219280541891447</x:v>
      </x:c>
      <x:c r="O52" s="22" t="n">
        <x:f>IF(COUNT('Selected_Inputs'!G52,'Selected_Inputs'!F52)=2,IF('Selected_Inputs'!F52&gt;0,100*'Selected_Inputs'!G52/'Selected_Inputs'!F52,""),"")</x:f>
        <x:v>88.6937526618444</x:v>
      </x:c>
      <x:c r="P52" s="22" t="n">
        <x:f>IF(COUNT('Selected_Inputs'!F52)=1,IF('Selected_Inputs'!F52&gt;0,LN('Selected_Inputs'!F52),""),"")</x:f>
        <x:v>16.17359449959251</x:v>
      </x:c>
      <x:c r="Q52" s="22" t="n">
        <x:f>IF(COUNT('Selected_Inputs'!F52,'Selected_Inputs'!G52,'Selected_Inputs'!H52)=3,'Selected_Inputs'!F52-'Selected_Inputs'!G52-'Selected_Inputs'!H52,"")</x:f>
        <x:v>0</x:v>
      </x:c>
      <x:c r="R52" s="22" t="n">
        <x:f>IF(COUNT('Selected_Inputs'!K52,'Selected_Inputs'!L52,'Selected_Inputs'!M52)=3,'Selected_Inputs'!K52-'Selected_Inputs'!L52-'Selected_Inputs'!M52,"")</x:f>
        <x:v>0</x:v>
      </x:c>
      <x:c r="S52" s="22" t="str">
        <x:f>IF(AND('Selected_Inputs'!X52=1,COUNT('Selected_Inputs'!W52)=1),'Selected_Inputs'!W52,"")</x:f>
      </x:c>
      <x:c r="T52" s="22" t="str">
        <x:f>IF(COUNT('Selected_Inputs'!T52,'Selected_Inputs'!V52)=2,'Selected_Inputs'!T52-'Selected_Inputs'!V52,"")</x:f>
      </x:c>
      <x:c r="U52" s="20" t="str">
        <x:f>'Selected_Inputs'!AK52</x:f>
        <x:v>Prior source-selection policy retained; original evidence preserved in accompanying pack.</x:v>
      </x:c>
    </x:row>
  </x:sheetData>
  <x:mergeCells>
    <x:mergeCell ref="A1:U1"/>
    <x:mergeCell ref="A2:U3"/>
  </x:mergeCells>
  <x:conditionalFormatting sqref="Q6:R52">
    <x:cfRule type="expression" dxfId="0" priority="1">
      <x:formula>AND(ISNUMBER(Q6),ABS(Q6)&gt;1)</x:formula>
    </x:cfRule>
  </x:conditionalFormatting>
  <x:pageMargins left="0.7" right="0.7" top="0.75" bottom="0.75" header="0.3" footer="0.3"/>
  <x:tableParts count="1">
    <x:tablePart xmlns:r="http://schemas.openxmlformats.org/officeDocument/2006/relationships" r:id="R9ec7d9db298a4fab"/>
  </x:tableParts>
</x:worksheet>
</file>

<file path=xl/worksheets/sheet3.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1" hidden="0" customWidth="1"/>
    <x:col min="2" max="2" width="10" hidden="0" customWidth="1"/>
    <x:col min="3" max="3" width="14" hidden="0" customWidth="1"/>
    <x:col min="4" max="4" width="14" hidden="0" customWidth="1"/>
    <x:col min="5" max="5" width="30" hidden="0" customWidth="1"/>
    <x:col min="6" max="6" width="14" hidden="0" customWidth="1"/>
    <x:col min="7" max="7" width="14" hidden="0" customWidth="1"/>
    <x:col min="8" max="8" width="12" hidden="0" customWidth="1"/>
    <x:col min="9" max="9" width="20" hidden="0" customWidth="1"/>
    <x:col min="10" max="10" width="20" hidden="0" customWidth="1"/>
    <x:col min="11" max="11" width="20" hidden="0" customWidth="1"/>
    <x:col min="12" max="12" width="18" hidden="0" customWidth="1"/>
    <x:col min="13" max="13" width="20" hidden="0" customWidth="1"/>
    <x:col min="14" max="14" width="18" hidden="0" customWidth="1"/>
    <x:col min="15" max="15" width="28" hidden="0" customWidth="1"/>
    <x:col min="16" max="16" width="40" hidden="0" customWidth="1"/>
  </x:cols>
  <x:sheetData>
    <x:row r="1" ht="30" customHeight="1">
      <x:c r="A1" s="3" t="str">
        <x:v>2013–2022 MASTER COVERAGE REGISTER | 130 POSITIONS</x:v>
      </x:c>
      <x:c r="B1" s="3"/>
      <x:c r="C1" s="3"/>
      <x:c r="D1" s="3"/>
      <x:c r="E1" s="3"/>
      <x:c r="F1" s="3"/>
      <x:c r="G1" s="3"/>
      <x:c r="H1" s="3"/>
      <x:c r="I1" s="3"/>
      <x:c r="J1" s="3"/>
      <x:c r="K1" s="3"/>
      <x:c r="L1" s="3"/>
      <x:c r="M1" s="3"/>
      <x:c r="N1" s="3"/>
      <x:c r="O1" s="3"/>
      <x:c r="P1" s="3"/>
    </x:row>
    <x:row r="2" ht="25" customHeight="1">
      <x:c r="A2" s="8" t="str">
        <x:v>The 130-row frame is not 130 usable observations. Financial values below come only from Selected_Inputs. Candidate-only records remain in the two upload sheets; they do not overwrite selected sources.</x:v>
      </x:c>
      <x:c r="B2" s="8"/>
      <x:c r="C2" s="8"/>
      <x:c r="D2" s="8"/>
      <x:c r="E2" s="8"/>
      <x:c r="F2" s="8"/>
      <x:c r="G2" s="8"/>
      <x:c r="H2" s="8"/>
      <x:c r="I2" s="8"/>
      <x:c r="J2" s="8"/>
      <x:c r="K2" s="8"/>
      <x:c r="L2" s="8"/>
      <x:c r="M2" s="8"/>
      <x:c r="N2" s="8"/>
      <x:c r="O2" s="8"/>
      <x:c r="P2" s="8"/>
    </x:row>
    <x:row r="3" ht="20" customHeight="1">
      <x:c r="A3" s="8"/>
      <x:c r="B3" s="8"/>
      <x:c r="C3" s="8"/>
      <x:c r="D3" s="8"/>
      <x:c r="E3" s="8"/>
      <x:c r="F3" s="8"/>
      <x:c r="G3" s="8"/>
      <x:c r="H3" s="8"/>
      <x:c r="I3" s="8"/>
      <x:c r="J3" s="8"/>
      <x:c r="K3" s="8"/>
      <x:c r="L3" s="8"/>
      <x:c r="M3" s="8"/>
      <x:c r="N3" s="8"/>
      <x:c r="O3" s="8"/>
      <x:c r="P3" s="8"/>
    </x:row>
    <x:row r="5" ht="34" customHeight="1">
      <x:c r="A5" s="14" t="str">
        <x:v>Bank</x:v>
      </x:c>
      <x:c r="B5" s="14" t="str">
        <x:v>Year</x:v>
      </x:c>
      <x:c r="C5" s="14" t="str">
        <x:v>Analytical tier</x:v>
      </x:c>
      <x:c r="D5" s="14" t="str">
        <x:v>Regime</x:v>
      </x:c>
      <x:c r="E5" s="14" t="str">
        <x:v>Evidence status</x:v>
      </x:c>
      <x:c r="F5" s="14" t="str">
        <x:v>CSV row present</x:v>
      </x:c>
      <x:c r="G5" s="14" t="str">
        <x:v>Word row present</x:v>
      </x:c>
      <x:c r="H5" s="14" t="str">
        <x:v>Selected</x:v>
      </x:c>
      <x:c r="I5" s="14" t="str">
        <x:v>PAT (NGNm)</x:v>
      </x:c>
      <x:c r="J5" s="14" t="str">
        <x:v>Assets (NGNm)</x:v>
      </x:c>
      <x:c r="K5" s="14" t="str">
        <x:v>Equity (NGNm)</x:v>
      </x:c>
      <x:c r="L5" s="14" t="str">
        <x:v>ROA average (%)</x:v>
      </x:c>
      <x:c r="M5" s="14" t="str">
        <x:v>Loan allowance / loans (%)</x:v>
      </x:c>
      <x:c r="N5" s="14" t="str">
        <x:v>CAR reported (%)</x:v>
      </x:c>
      <x:c r="O5" s="14" t="str">
        <x:v>Selected source IDs</x:v>
      </x:c>
      <x:c r="P5" s="14" t="str">
        <x:v>Source / status note</x:v>
      </x:c>
    </x:row>
    <x:row r="6" ht="40" customHeight="1">
      <x:c r="A6" s="18" t="str">
        <x:v>Access</x:v>
      </x:c>
      <x:c r="B6" s="18" t="n">
        <x:v>2013</x:v>
      </x:c>
      <x:c r="C6" s="18" t="str">
        <x:v>Tier 1</x:v>
      </x:c>
      <x:c r="D6" s="18" t="str">
        <x:v>IAS 39</x:v>
      </x:c>
      <x:c r="E6" s="20" t="str">
        <x:v>Selected - inherited</x:v>
      </x:c>
      <x:c r="F6" s="18" t="n">
        <x:v>0</x:v>
      </x:c>
      <x:c r="G6" s="18" t="n">
        <x:v>0</x:v>
      </x:c>
      <x:c r="H6" s="18" t="n">
        <x:v>1</x:v>
      </x:c>
      <x:c r="I6" s="22" t="n">
        <x:f>'Selected_Inputs'!E6</x:f>
        <x:v>26211.844</x:v>
      </x:c>
      <x:c r="J6" s="22" t="n">
        <x:f>'Selected_Inputs'!F6</x:f>
        <x:v>1704094.012</x:v>
      </x:c>
      <x:c r="K6" s="22" t="n">
        <x:f>'Selected_Inputs'!H6</x:f>
        <x:v>245181.998</x:v>
      </x:c>
      <x:c r="L6" s="22" t="str">
        <x:f>IF(ISNUMBER('Calculated_Ratios'!D6),'Calculated_Ratios'!D6,"")</x:f>
      </x:c>
      <x:c r="M6" s="22" t="str">
        <x:f>IF(ISNUMBER('Calculated_Ratios'!G6),'Calculated_Ratios'!G6,"")</x:f>
      </x:c>
      <x:c r="N6" s="22" t="str">
        <x:f>IF(ISNUMBER('Selected_Inputs'!T6),'Selected_Inputs'!T6,"")</x:f>
      </x:c>
      <x:c r="O6" s="20" t="str">
        <x:f>'Selected_Inputs'!AI6</x:f>
        <x:v>ACCESS2014A</x:v>
      </x:c>
      <x:c r="P6" s="20" t="str">
        <x:f>'Selected_Inputs'!AK6</x:f>
        <x:v>Prior source-selection policy retained; original evidence preserved in accompanying pack.</x:v>
      </x:c>
    </x:row>
    <x:row r="7" ht="40" customHeight="1">
      <x:c r="A7" s="18" t="str">
        <x:v>Access</x:v>
      </x:c>
      <x:c r="B7" s="18" t="n">
        <x:v>2014</x:v>
      </x:c>
      <x:c r="C7" s="18" t="str">
        <x:v>Tier 1</x:v>
      </x:c>
      <x:c r="D7" s="18" t="str">
        <x:v>IAS 39</x:v>
      </x:c>
      <x:c r="E7" s="20" t="str">
        <x:v>Selected - inherited</x:v>
      </x:c>
      <x:c r="F7" s="18" t="n">
        <x:v>0</x:v>
      </x:c>
      <x:c r="G7" s="18" t="n">
        <x:v>0</x:v>
      </x:c>
      <x:c r="H7" s="18" t="n">
        <x:v>1</x:v>
      </x:c>
      <x:c r="I7" s="22" t="n">
        <x:f>'Selected_Inputs'!E7</x:f>
        <x:v>39941.126</x:v>
      </x:c>
      <x:c r="J7" s="22" t="n">
        <x:f>'Selected_Inputs'!F7</x:f>
        <x:v>1981955.73</x:v>
      </x:c>
      <x:c r="K7" s="22" t="n">
        <x:f>'Selected_Inputs'!H7</x:f>
        <x:v>274155.785</x:v>
      </x:c>
      <x:c r="L7" s="22" t="n">
        <x:f>IF(ISNUMBER('Calculated_Ratios'!D7),'Calculated_Ratios'!D7,"")</x:f>
        <x:v>2.1671506786736137</x:v>
      </x:c>
      <x:c r="M7" s="22" t="str">
        <x:f>IF(ISNUMBER('Calculated_Ratios'!G7),'Calculated_Ratios'!G7,"")</x:f>
      </x:c>
      <x:c r="N7" s="22" t="str">
        <x:f>IF(ISNUMBER('Selected_Inputs'!T7),'Selected_Inputs'!T7,"")</x:f>
      </x:c>
      <x:c r="O7" s="20" t="str">
        <x:f>'Selected_Inputs'!AI7</x:f>
        <x:v>ACCESS2014A</x:v>
      </x:c>
      <x:c r="P7" s="20" t="str">
        <x:f>'Selected_Inputs'!AK7</x:f>
        <x:v>Prior source-selection policy retained; original evidence preserved in accompanying pack.</x:v>
      </x:c>
    </x:row>
    <x:row r="8" ht="40" customHeight="1">
      <x:c r="A8" s="18" t="str">
        <x:v>Access</x:v>
      </x:c>
      <x:c r="B8" s="18" t="n">
        <x:v>2015</x:v>
      </x:c>
      <x:c r="C8" s="18" t="str">
        <x:v>Tier 1</x:v>
      </x:c>
      <x:c r="D8" s="18" t="str">
        <x:v>IAS 39</x:v>
      </x:c>
      <x:c r="E8" s="20" t="str">
        <x:v>Candidate only</x:v>
      </x:c>
      <x:c r="F8" s="18" t="n">
        <x:v>1</x:v>
      </x:c>
      <x:c r="G8" s="18" t="n">
        <x:v>1</x:v>
      </x:c>
      <x:c r="H8" s="18" t="n">
        <x:v>0</x:v>
      </x:c>
      <x:c r="I8" s="22"/>
      <x:c r="J8" s="22"/>
      <x:c r="K8" s="22"/>
      <x:c r="L8" s="22"/>
      <x:c r="M8" s="22"/>
      <x:c r="N8" s="22"/>
      <x:c r="O8" s="20"/>
      <x:c r="P8" s="20" t="str">
        <x:v>Available candidate amounts require audited-source checking.</x:v>
      </x:c>
    </x:row>
    <x:row r="9" ht="40" customHeight="1">
      <x:c r="A9" s="18" t="str">
        <x:v>Access</x:v>
      </x:c>
      <x:c r="B9" s="18" t="n">
        <x:v>2016</x:v>
      </x:c>
      <x:c r="C9" s="18" t="str">
        <x:v>Tier 1</x:v>
      </x:c>
      <x:c r="D9" s="18" t="str">
        <x:v>IAS 39</x:v>
      </x:c>
      <x:c r="E9" s="20" t="str">
        <x:v>Candidate only</x:v>
      </x:c>
      <x:c r="F9" s="18" t="n">
        <x:v>1</x:v>
      </x:c>
      <x:c r="G9" s="18" t="n">
        <x:v>1</x:v>
      </x:c>
      <x:c r="H9" s="18" t="n">
        <x:v>0</x:v>
      </x:c>
      <x:c r="I9" s="22"/>
      <x:c r="J9" s="22"/>
      <x:c r="K9" s="22"/>
      <x:c r="L9" s="22"/>
      <x:c r="M9" s="22"/>
      <x:c r="N9" s="22"/>
      <x:c r="O9" s="20"/>
      <x:c r="P9" s="20" t="str">
        <x:v>Available candidate amounts require audited-source checking.</x:v>
      </x:c>
    </x:row>
    <x:row r="10" ht="40" customHeight="1">
      <x:c r="A10" s="18" t="str">
        <x:v>Access</x:v>
      </x:c>
      <x:c r="B10" s="18" t="n">
        <x:v>2017</x:v>
      </x:c>
      <x:c r="C10" s="18" t="str">
        <x:v>Tier 1</x:v>
      </x:c>
      <x:c r="D10" s="18" t="str">
        <x:v>IAS 39</x:v>
      </x:c>
      <x:c r="E10" s="20" t="str">
        <x:v>Candidate only</x:v>
      </x:c>
      <x:c r="F10" s="18" t="n">
        <x:v>1</x:v>
      </x:c>
      <x:c r="G10" s="18" t="n">
        <x:v>1</x:v>
      </x:c>
      <x:c r="H10" s="18" t="n">
        <x:v>0</x:v>
      </x:c>
      <x:c r="I10" s="22"/>
      <x:c r="J10" s="22"/>
      <x:c r="K10" s="22"/>
      <x:c r="L10" s="22"/>
      <x:c r="M10" s="22"/>
      <x:c r="N10" s="22"/>
      <x:c r="O10" s="20"/>
      <x:c r="P10" s="20" t="str">
        <x:v>Available candidate amounts require audited-source checking.</x:v>
      </x:c>
    </x:row>
    <x:row r="11" ht="40" customHeight="1">
      <x:c r="A11" s="18" t="str">
        <x:v>Access</x:v>
      </x:c>
      <x:c r="B11" s="18" t="n">
        <x:v>2018</x:v>
      </x:c>
      <x:c r="C11" s="18" t="str">
        <x:v>Tier 1</x:v>
      </x:c>
      <x:c r="D11" s="18" t="str">
        <x:v>IFRS 9</x:v>
      </x:c>
      <x:c r="E11" s="20" t="str">
        <x:v>Candidate only</x:v>
      </x:c>
      <x:c r="F11" s="18" t="n">
        <x:v>1</x:v>
      </x:c>
      <x:c r="G11" s="18" t="n">
        <x:v>1</x:v>
      </x:c>
      <x:c r="H11" s="18" t="n">
        <x:v>0</x:v>
      </x:c>
      <x:c r="I11" s="22"/>
      <x:c r="J11" s="22"/>
      <x:c r="K11" s="22"/>
      <x:c r="L11" s="22"/>
      <x:c r="M11" s="22"/>
      <x:c r="N11" s="22"/>
      <x:c r="O11" s="20"/>
      <x:c r="P11" s="20" t="str">
        <x:v>Available candidate amounts require audited-source checking.</x:v>
      </x:c>
    </x:row>
    <x:row r="12" ht="40" customHeight="1">
      <x:c r="A12" s="18" t="str">
        <x:v>Access</x:v>
      </x:c>
      <x:c r="B12" s="18" t="n">
        <x:v>2019</x:v>
      </x:c>
      <x:c r="C12" s="18" t="str">
        <x:v>Tier 1</x:v>
      </x:c>
      <x:c r="D12" s="18" t="str">
        <x:v>IFRS 9</x:v>
      </x:c>
      <x:c r="E12" s="20" t="str">
        <x:v>Candidate only</x:v>
      </x:c>
      <x:c r="F12" s="18" t="n">
        <x:v>1</x:v>
      </x:c>
      <x:c r="G12" s="18" t="n">
        <x:v>1</x:v>
      </x:c>
      <x:c r="H12" s="18" t="n">
        <x:v>0</x:v>
      </x:c>
      <x:c r="I12" s="22"/>
      <x:c r="J12" s="22"/>
      <x:c r="K12" s="22"/>
      <x:c r="L12" s="22"/>
      <x:c r="M12" s="22"/>
      <x:c r="N12" s="22"/>
      <x:c r="O12" s="20"/>
      <x:c r="P12" s="20" t="str">
        <x:v>Available candidate amounts require audited-source checking.</x:v>
      </x:c>
    </x:row>
    <x:row r="13" ht="40" customHeight="1">
      <x:c r="A13" s="18" t="str">
        <x:v>Access</x:v>
      </x:c>
      <x:c r="B13" s="18" t="n">
        <x:v>2020</x:v>
      </x:c>
      <x:c r="C13" s="18" t="str">
        <x:v>Tier 1</x:v>
      </x:c>
      <x:c r="D13" s="18" t="str">
        <x:v>IFRS 9</x:v>
      </x:c>
      <x:c r="E13" s="20" t="str">
        <x:v>Candidate only</x:v>
      </x:c>
      <x:c r="F13" s="18" t="n">
        <x:v>1</x:v>
      </x:c>
      <x:c r="G13" s="18" t="n">
        <x:v>1</x:v>
      </x:c>
      <x:c r="H13" s="18" t="n">
        <x:v>0</x:v>
      </x:c>
      <x:c r="I13" s="22"/>
      <x:c r="J13" s="22"/>
      <x:c r="K13" s="22"/>
      <x:c r="L13" s="22"/>
      <x:c r="M13" s="22"/>
      <x:c r="N13" s="22"/>
      <x:c r="O13" s="20"/>
      <x:c r="P13" s="20" t="str">
        <x:v>Available candidate amounts require audited-source checking.</x:v>
      </x:c>
    </x:row>
    <x:row r="14" ht="40" customHeight="1">
      <x:c r="A14" s="18" t="str">
        <x:v>Access</x:v>
      </x:c>
      <x:c r="B14" s="18" t="n">
        <x:v>2021</x:v>
      </x:c>
      <x:c r="C14" s="18" t="str">
        <x:v>Tier 1</x:v>
      </x:c>
      <x:c r="D14" s="18" t="str">
        <x:v>IFRS 9</x:v>
      </x:c>
      <x:c r="E14" s="20" t="str">
        <x:v>Candidate only</x:v>
      </x:c>
      <x:c r="F14" s="18" t="n">
        <x:v>1</x:v>
      </x:c>
      <x:c r="G14" s="18" t="n">
        <x:v>1</x:v>
      </x:c>
      <x:c r="H14" s="18" t="n">
        <x:v>0</x:v>
      </x:c>
      <x:c r="I14" s="22"/>
      <x:c r="J14" s="22"/>
      <x:c r="K14" s="22"/>
      <x:c r="L14" s="22"/>
      <x:c r="M14" s="22"/>
      <x:c r="N14" s="22"/>
      <x:c r="O14" s="20"/>
      <x:c r="P14" s="20" t="str">
        <x:v>Available candidate amounts require audited-source checking.</x:v>
      </x:c>
    </x:row>
    <x:row r="15" ht="40" customHeight="1">
      <x:c r="A15" s="18" t="str">
        <x:v>Access</x:v>
      </x:c>
      <x:c r="B15" s="18" t="n">
        <x:v>2022</x:v>
      </x:c>
      <x:c r="C15" s="18" t="str">
        <x:v>Tier 1</x:v>
      </x:c>
      <x:c r="D15" s="18" t="str">
        <x:v>IFRS 9</x:v>
      </x:c>
      <x:c r="E15" s="20" t="str">
        <x:v>Candidate only</x:v>
      </x:c>
      <x:c r="F15" s="18" t="n">
        <x:v>1</x:v>
      </x:c>
      <x:c r="G15" s="18" t="n">
        <x:v>1</x:v>
      </x:c>
      <x:c r="H15" s="18" t="n">
        <x:v>0</x:v>
      </x:c>
      <x:c r="I15" s="22"/>
      <x:c r="J15" s="22"/>
      <x:c r="K15" s="22"/>
      <x:c r="L15" s="22"/>
      <x:c r="M15" s="22"/>
      <x:c r="N15" s="22"/>
      <x:c r="O15" s="20"/>
      <x:c r="P15" s="20" t="str">
        <x:v>Available candidate amounts require audited-source checking.</x:v>
      </x:c>
    </x:row>
    <x:row r="16" ht="40" customHeight="1">
      <x:c r="A16" s="18" t="str">
        <x:v>Zenith</x:v>
      </x:c>
      <x:c r="B16" s="18" t="n">
        <x:v>2013</x:v>
      </x:c>
      <x:c r="C16" s="18" t="str">
        <x:v>Tier 1</x:v>
      </x:c>
      <x:c r="D16" s="18" t="str">
        <x:v>IAS 39</x:v>
      </x:c>
      <x:c r="E16" s="20" t="str">
        <x:v>No core data</x:v>
      </x:c>
      <x:c r="F16" s="18" t="n">
        <x:v>0</x:v>
      </x:c>
      <x:c r="G16" s="18" t="n">
        <x:v>0</x:v>
      </x:c>
      <x:c r="H16" s="18" t="n">
        <x:v>0</x:v>
      </x:c>
      <x:c r="I16" s="22"/>
      <x:c r="J16" s="22"/>
      <x:c r="K16" s="22"/>
      <x:c r="L16" s="22"/>
      <x:c r="M16" s="22"/>
      <x:c r="N16" s="22"/>
      <x:c r="O16" s="20"/>
      <x:c r="P16" s="20" t="str">
        <x:v>No populated PAT/assets pair in the current uploads or selected layer.</x:v>
      </x:c>
    </x:row>
    <x:row r="17" ht="40" customHeight="1">
      <x:c r="A17" s="18" t="str">
        <x:v>Zenith</x:v>
      </x:c>
      <x:c r="B17" s="18" t="n">
        <x:v>2014</x:v>
      </x:c>
      <x:c r="C17" s="18" t="str">
        <x:v>Tier 1</x:v>
      </x:c>
      <x:c r="D17" s="18" t="str">
        <x:v>IAS 39</x:v>
      </x:c>
      <x:c r="E17" s="20" t="str">
        <x:v>Selected - inherited</x:v>
      </x:c>
      <x:c r="F17" s="18" t="n">
        <x:v>0</x:v>
      </x:c>
      <x:c r="G17" s="18" t="n">
        <x:v>0</x:v>
      </x:c>
      <x:c r="H17" s="18" t="n">
        <x:v>1</x:v>
      </x:c>
      <x:c r="I17" s="22" t="n">
        <x:f>'Selected_Inputs'!E49</x:f>
        <x:v>92479</x:v>
      </x:c>
      <x:c r="J17" s="22" t="n">
        <x:f>'Selected_Inputs'!F49</x:f>
        <x:v>3423819</x:v>
      </x:c>
      <x:c r="K17" s="22" t="n">
        <x:f>'Selected_Inputs'!H49</x:f>
        <x:v>512707</x:v>
      </x:c>
      <x:c r="L17" s="22" t="str">
        <x:f>IF(ISNUMBER('Calculated_Ratios'!D49),'Calculated_Ratios'!D49,"")</x:f>
      </x:c>
      <x:c r="M17" s="22" t="n">
        <x:f>IF(ISNUMBER('Calculated_Ratios'!G49),'Calculated_Ratios'!G49,"")</x:f>
        <x:v>1.5776843398121927</x:v>
      </x:c>
      <x:c r="N17" s="22" t="n">
        <x:f>IF(ISNUMBER('Selected_Inputs'!T49),'Selected_Inputs'!T49,"")</x:f>
        <x:v>19</x:v>
      </x:c>
      <x:c r="O17" s="20" t="str">
        <x:f>'Selected_Inputs'!AI49</x:f>
        <x:v>DS_ZEN15</x:v>
      </x:c>
      <x:c r="P17" s="20" t="str">
        <x:f>'Selected_Inputs'!AK49</x:f>
        <x:v>Prior source-selection policy retained; original evidence preserved in accompanying pack.</x:v>
      </x:c>
    </x:row>
    <x:row r="18" ht="40" customHeight="1">
      <x:c r="A18" s="18" t="str">
        <x:v>Zenith</x:v>
      </x:c>
      <x:c r="B18" s="18" t="n">
        <x:v>2015</x:v>
      </x:c>
      <x:c r="C18" s="18" t="str">
        <x:v>Tier 1</x:v>
      </x:c>
      <x:c r="D18" s="18" t="str">
        <x:v>IAS 39</x:v>
      </x:c>
      <x:c r="E18" s="20" t="str">
        <x:v>Selected - inherited</x:v>
      </x:c>
      <x:c r="F18" s="18" t="n">
        <x:v>1</x:v>
      </x:c>
      <x:c r="G18" s="18" t="n">
        <x:v>1</x:v>
      </x:c>
      <x:c r="H18" s="18" t="n">
        <x:v>1</x:v>
      </x:c>
      <x:c r="I18" s="22" t="n">
        <x:f>'Selected_Inputs'!E50</x:f>
        <x:v>98784</x:v>
      </x:c>
      <x:c r="J18" s="22" t="n">
        <x:f>'Selected_Inputs'!F50</x:f>
        <x:v>3750327</x:v>
      </x:c>
      <x:c r="K18" s="22" t="n">
        <x:f>'Selected_Inputs'!H50</x:f>
        <x:v>546946</x:v>
      </x:c>
      <x:c r="L18" s="22" t="n">
        <x:f>IF(ISNUMBER('Calculated_Ratios'!D50),'Calculated_Ratios'!D50,"")</x:f>
        <x:v>2.7538887555396836</x:v>
      </x:c>
      <x:c r="M18" s="22" t="n">
        <x:f>IF(ISNUMBER('Calculated_Ratios'!G50),'Calculated_Ratios'!G50,"")</x:f>
        <x:v>1.8948073175765183</x:v>
      </x:c>
      <x:c r="N18" s="22" t="n">
        <x:f>IF(ISNUMBER('Selected_Inputs'!T50),'Selected_Inputs'!T50,"")</x:f>
        <x:v>20</x:v>
      </x:c>
      <x:c r="O18" s="20" t="str">
        <x:f>'Selected_Inputs'!AI50</x:f>
        <x:v>DS_ZEN15</x:v>
      </x:c>
      <x:c r="P18" s="20" t="str">
        <x:f>'Selected_Inputs'!AK50</x:f>
        <x:v>Prior source-selection policy retained; original evidence preserved in accompanying pack.</x:v>
      </x:c>
    </x:row>
    <x:row r="19" ht="40" customHeight="1">
      <x:c r="A19" s="18" t="str">
        <x:v>Zenith</x:v>
      </x:c>
      <x:c r="B19" s="18" t="n">
        <x:v>2016</x:v>
      </x:c>
      <x:c r="C19" s="18" t="str">
        <x:v>Tier 1</x:v>
      </x:c>
      <x:c r="D19" s="18" t="str">
        <x:v>IAS 39</x:v>
      </x:c>
      <x:c r="E19" s="20" t="str">
        <x:v>Candidate only</x:v>
      </x:c>
      <x:c r="F19" s="18" t="n">
        <x:v>1</x:v>
      </x:c>
      <x:c r="G19" s="18" t="n">
        <x:v>1</x:v>
      </x:c>
      <x:c r="H19" s="18" t="n">
        <x:v>0</x:v>
      </x:c>
      <x:c r="I19" s="22"/>
      <x:c r="J19" s="22"/>
      <x:c r="K19" s="22"/>
      <x:c r="L19" s="22"/>
      <x:c r="M19" s="22"/>
      <x:c r="N19" s="22"/>
      <x:c r="O19" s="20"/>
      <x:c r="P19" s="20" t="str">
        <x:v>Available candidate amounts require audited-source checking.</x:v>
      </x:c>
    </x:row>
    <x:row r="20" ht="40" customHeight="1">
      <x:c r="A20" s="18" t="str">
        <x:v>Zenith</x:v>
      </x:c>
      <x:c r="B20" s="18" t="n">
        <x:v>2017</x:v>
      </x:c>
      <x:c r="C20" s="18" t="str">
        <x:v>Tier 1</x:v>
      </x:c>
      <x:c r="D20" s="18" t="str">
        <x:v>IAS 39</x:v>
      </x:c>
      <x:c r="E20" s="20" t="str">
        <x:v>Candidate only</x:v>
      </x:c>
      <x:c r="F20" s="18" t="n">
        <x:v>1</x:v>
      </x:c>
      <x:c r="G20" s="18" t="n">
        <x:v>1</x:v>
      </x:c>
      <x:c r="H20" s="18" t="n">
        <x:v>0</x:v>
      </x:c>
      <x:c r="I20" s="22"/>
      <x:c r="J20" s="22"/>
      <x:c r="K20" s="22"/>
      <x:c r="L20" s="22"/>
      <x:c r="M20" s="22"/>
      <x:c r="N20" s="22"/>
      <x:c r="O20" s="20"/>
      <x:c r="P20" s="20" t="str">
        <x:v>Available candidate amounts require audited-source checking.</x:v>
      </x:c>
    </x:row>
    <x:row r="21" ht="40" customHeight="1">
      <x:c r="A21" s="18" t="str">
        <x:v>Zenith</x:v>
      </x:c>
      <x:c r="B21" s="18" t="n">
        <x:v>2018</x:v>
      </x:c>
      <x:c r="C21" s="18" t="str">
        <x:v>Tier 1</x:v>
      </x:c>
      <x:c r="D21" s="18" t="str">
        <x:v>IFRS 9</x:v>
      </x:c>
      <x:c r="E21" s="20" t="str">
        <x:v>Candidate only</x:v>
      </x:c>
      <x:c r="F21" s="18" t="n">
        <x:v>1</x:v>
      </x:c>
      <x:c r="G21" s="18" t="n">
        <x:v>1</x:v>
      </x:c>
      <x:c r="H21" s="18" t="n">
        <x:v>0</x:v>
      </x:c>
      <x:c r="I21" s="22"/>
      <x:c r="J21" s="22"/>
      <x:c r="K21" s="22"/>
      <x:c r="L21" s="22"/>
      <x:c r="M21" s="22"/>
      <x:c r="N21" s="22"/>
      <x:c r="O21" s="20"/>
      <x:c r="P21" s="20" t="str">
        <x:v>Available candidate amounts require audited-source checking.</x:v>
      </x:c>
    </x:row>
    <x:row r="22" ht="40" customHeight="1">
      <x:c r="A22" s="18" t="str">
        <x:v>Zenith</x:v>
      </x:c>
      <x:c r="B22" s="18" t="n">
        <x:v>2019</x:v>
      </x:c>
      <x:c r="C22" s="18" t="str">
        <x:v>Tier 1</x:v>
      </x:c>
      <x:c r="D22" s="18" t="str">
        <x:v>IFRS 9</x:v>
      </x:c>
      <x:c r="E22" s="20" t="str">
        <x:v>Candidate only</x:v>
      </x:c>
      <x:c r="F22" s="18" t="n">
        <x:v>1</x:v>
      </x:c>
      <x:c r="G22" s="18" t="n">
        <x:v>1</x:v>
      </x:c>
      <x:c r="H22" s="18" t="n">
        <x:v>0</x:v>
      </x:c>
      <x:c r="I22" s="22"/>
      <x:c r="J22" s="22"/>
      <x:c r="K22" s="22"/>
      <x:c r="L22" s="22"/>
      <x:c r="M22" s="22"/>
      <x:c r="N22" s="22"/>
      <x:c r="O22" s="20"/>
      <x:c r="P22" s="20" t="str">
        <x:v>Available candidate amounts require audited-source checking.</x:v>
      </x:c>
    </x:row>
    <x:row r="23" ht="40" customHeight="1">
      <x:c r="A23" s="18" t="str">
        <x:v>Zenith</x:v>
      </x:c>
      <x:c r="B23" s="18" t="n">
        <x:v>2020</x:v>
      </x:c>
      <x:c r="C23" s="18" t="str">
        <x:v>Tier 1</x:v>
      </x:c>
      <x:c r="D23" s="18" t="str">
        <x:v>IFRS 9</x:v>
      </x:c>
      <x:c r="E23" s="20" t="str">
        <x:v>Candidate only</x:v>
      </x:c>
      <x:c r="F23" s="18" t="n">
        <x:v>1</x:v>
      </x:c>
      <x:c r="G23" s="18" t="n">
        <x:v>1</x:v>
      </x:c>
      <x:c r="H23" s="18" t="n">
        <x:v>0</x:v>
      </x:c>
      <x:c r="I23" s="22"/>
      <x:c r="J23" s="22"/>
      <x:c r="K23" s="22"/>
      <x:c r="L23" s="22"/>
      <x:c r="M23" s="22"/>
      <x:c r="N23" s="22"/>
      <x:c r="O23" s="20"/>
      <x:c r="P23" s="20" t="str">
        <x:v>Available candidate amounts require audited-source checking.</x:v>
      </x:c>
    </x:row>
    <x:row r="24" ht="40" customHeight="1">
      <x:c r="A24" s="18" t="str">
        <x:v>Zenith</x:v>
      </x:c>
      <x:c r="B24" s="18" t="n">
        <x:v>2021</x:v>
      </x:c>
      <x:c r="C24" s="18" t="str">
        <x:v>Tier 1</x:v>
      </x:c>
      <x:c r="D24" s="18" t="str">
        <x:v>IFRS 9</x:v>
      </x:c>
      <x:c r="E24" s="20" t="str">
        <x:v>Selected - inherited</x:v>
      </x:c>
      <x:c r="F24" s="18" t="n">
        <x:v>1</x:v>
      </x:c>
      <x:c r="G24" s="18" t="n">
        <x:v>1</x:v>
      </x:c>
      <x:c r="H24" s="18" t="n">
        <x:v>1</x:v>
      </x:c>
      <x:c r="I24" s="22" t="n">
        <x:f>'Selected_Inputs'!E51</x:f>
        <x:v>233133</x:v>
      </x:c>
      <x:c r="J24" s="22" t="n">
        <x:f>'Selected_Inputs'!F51</x:f>
        <x:v>7872292</x:v>
      </x:c>
      <x:c r="K24" s="22" t="n">
        <x:f>'Selected_Inputs'!H51</x:f>
        <x:v>1049775</x:v>
      </x:c>
      <x:c r="L24" s="22" t="str">
        <x:f>IF(ISNUMBER('Calculated_Ratios'!D51),'Calculated_Ratios'!D51,"")</x:f>
      </x:c>
      <x:c r="M24" s="22" t="n">
        <x:f>IF(ISNUMBER('Calculated_Ratios'!G51),'Calculated_Ratios'!G51,"")</x:f>
        <x:v>4.27801590686519</x:v>
      </x:c>
      <x:c r="N24" s="22" t="n">
        <x:f>IF(ISNUMBER('Selected_Inputs'!T51),'Selected_Inputs'!T51,"")</x:f>
        <x:v>20</x:v>
      </x:c>
      <x:c r="O24" s="20" t="str">
        <x:f>'Selected_Inputs'!AI51</x:f>
        <x:v>ZEN22</x:v>
      </x:c>
      <x:c r="P24" s="20" t="str">
        <x:f>'Selected_Inputs'!AK51</x:f>
        <x:v>Prior source-selection policy retained; original evidence preserved in accompanying pack.</x:v>
      </x:c>
    </x:row>
    <x:row r="25" ht="40" customHeight="1">
      <x:c r="A25" s="18" t="str">
        <x:v>Zenith</x:v>
      </x:c>
      <x:c r="B25" s="18" t="n">
        <x:v>2022</x:v>
      </x:c>
      <x:c r="C25" s="18" t="str">
        <x:v>Tier 1</x:v>
      </x:c>
      <x:c r="D25" s="18" t="str">
        <x:v>IFRS 9</x:v>
      </x:c>
      <x:c r="E25" s="20" t="str">
        <x:v>Selected - inherited</x:v>
      </x:c>
      <x:c r="F25" s="18" t="n">
        <x:v>1</x:v>
      </x:c>
      <x:c r="G25" s="18" t="n">
        <x:v>1</x:v>
      </x:c>
      <x:c r="H25" s="18" t="n">
        <x:v>1</x:v>
      </x:c>
      <x:c r="I25" s="22" t="n">
        <x:f>'Selected_Inputs'!E52</x:f>
        <x:v>234593</x:v>
      </x:c>
      <x:c r="J25" s="22" t="n">
        <x:f>'Selected_Inputs'!F52</x:f>
        <x:v>10570678</x:v>
      </x:c>
      <x:c r="K25" s="22" t="n">
        <x:f>'Selected_Inputs'!H52</x:f>
        <x:v>1195147</x:v>
      </x:c>
      <x:c r="L25" s="22" t="n">
        <x:f>IF(ISNUMBER('Calculated_Ratios'!D52),'Calculated_Ratios'!D52,"")</x:f>
        <x:v>2.543982883450984</x:v>
      </x:c>
      <x:c r="M25" s="22" t="n">
        <x:f>IF(ISNUMBER('Calculated_Ratios'!G52),'Calculated_Ratios'!G52,"")</x:f>
        <x:v>2.686487070846266</x:v>
      </x:c>
      <x:c r="N25" s="22" t="n">
        <x:f>IF(ISNUMBER('Selected_Inputs'!T52),'Selected_Inputs'!T52,"")</x:f>
        <x:v>19</x:v>
      </x:c>
      <x:c r="O25" s="20" t="str">
        <x:f>'Selected_Inputs'!AI52</x:f>
        <x:v>ZEN22</x:v>
      </x:c>
      <x:c r="P25" s="20" t="str">
        <x:f>'Selected_Inputs'!AK52</x:f>
        <x:v>Prior source-selection policy retained; original evidence preserved in accompanying pack.</x:v>
      </x:c>
    </x:row>
    <x:row r="26" ht="40" customHeight="1">
      <x:c r="A26" s="18" t="str">
        <x:v>First Bank</x:v>
      </x:c>
      <x:c r="B26" s="18" t="n">
        <x:v>2013</x:v>
      </x:c>
      <x:c r="C26" s="18" t="str">
        <x:v>Tier 1</x:v>
      </x:c>
      <x:c r="D26" s="18" t="str">
        <x:v>IAS 39</x:v>
      </x:c>
      <x:c r="E26" s="20" t="str">
        <x:v>Selected - inherited</x:v>
      </x:c>
      <x:c r="F26" s="18" t="n">
        <x:v>0</x:v>
      </x:c>
      <x:c r="G26" s="18" t="n">
        <x:v>0</x:v>
      </x:c>
      <x:c r="H26" s="18" t="n">
        <x:v>1</x:v>
      </x:c>
      <x:c r="I26" s="22" t="n">
        <x:f>'Selected_Inputs'!E13</x:f>
        <x:v>59365</x:v>
      </x:c>
      <x:c r="J26" s="22" t="n">
        <x:f>'Selected_Inputs'!F13</x:f>
        <x:v>3246579</x:v>
      </x:c>
      <x:c r="K26" s="22" t="n">
        <x:f>'Selected_Inputs'!H13</x:f>
        <x:v>350709</x:v>
      </x:c>
      <x:c r="L26" s="22" t="str">
        <x:f>IF(ISNUMBER('Calculated_Ratios'!D13),'Calculated_Ratios'!D13,"")</x:f>
      </x:c>
      <x:c r="M26" s="22" t="n">
        <x:f>IF(ISNUMBER('Calculated_Ratios'!G13),'Calculated_Ratios'!G13,"")</x:f>
        <x:v>2.7353875962853267</x:v>
      </x:c>
      <x:c r="N26" s="22" t="n">
        <x:f>IF(ISNUMBER('Selected_Inputs'!T13),'Selected_Inputs'!T13,"")</x:f>
        <x:v>13.54</x:v>
      </x:c>
      <x:c r="O26" s="20" t="str">
        <x:f>'Selected_Inputs'!AI13</x:f>
        <x:v>DS_FBN14</x:v>
      </x:c>
      <x:c r="P26" s="20" t="str">
        <x:f>'Selected_Inputs'!AK13</x:f>
        <x:v>Prior source-selection policy retained; original evidence preserved in accompanying pack.</x:v>
      </x:c>
    </x:row>
    <x:row r="27" ht="40" customHeight="1">
      <x:c r="A27" s="18" t="str">
        <x:v>First Bank</x:v>
      </x:c>
      <x:c r="B27" s="18" t="n">
        <x:v>2014</x:v>
      </x:c>
      <x:c r="C27" s="18" t="str">
        <x:v>Tier 1</x:v>
      </x:c>
      <x:c r="D27" s="18" t="str">
        <x:v>IAS 39</x:v>
      </x:c>
      <x:c r="E27" s="20" t="str">
        <x:v>Selected - inherited</x:v>
      </x:c>
      <x:c r="F27" s="18" t="n">
        <x:v>0</x:v>
      </x:c>
      <x:c r="G27" s="18" t="n">
        <x:v>0</x:v>
      </x:c>
      <x:c r="H27" s="18" t="n">
        <x:v>1</x:v>
      </x:c>
      <x:c r="I27" s="22" t="n">
        <x:f>'Selected_Inputs'!E14</x:f>
        <x:v>79351</x:v>
      </x:c>
      <x:c r="J27" s="22" t="n">
        <x:f>'Selected_Inputs'!F14</x:f>
        <x:v>3490871</x:v>
      </x:c>
      <x:c r="K27" s="22" t="n">
        <x:f>'Selected_Inputs'!H14</x:f>
        <x:v>423047</x:v>
      </x:c>
      <x:c r="L27" s="22" t="n">
        <x:f>IF(ISNUMBER('Calculated_Ratios'!D14),'Calculated_Ratios'!D14,"")</x:f>
        <x:v>2.355520263601214</x:v>
      </x:c>
      <x:c r="M27" s="22" t="n">
        <x:f>IF(ISNUMBER('Calculated_Ratios'!G14),'Calculated_Ratios'!G14,"")</x:f>
        <x:v>2.077935404427798</x:v>
      </x:c>
      <x:c r="N27" s="22" t="n">
        <x:f>IF(ISNUMBER('Selected_Inputs'!T14),'Selected_Inputs'!T14,"")</x:f>
        <x:v>15.78</x:v>
      </x:c>
      <x:c r="O27" s="20" t="str">
        <x:f>'Selected_Inputs'!AI14</x:f>
        <x:v>DS_FBN14</x:v>
      </x:c>
      <x:c r="P27" s="20" t="str">
        <x:f>'Selected_Inputs'!AK14</x:f>
        <x:v>Prior source-selection policy retained; original evidence preserved in accompanying pack.</x:v>
      </x:c>
    </x:row>
    <x:row r="28" ht="40" customHeight="1">
      <x:c r="A28" s="18" t="str">
        <x:v>First Bank</x:v>
      </x:c>
      <x:c r="B28" s="18" t="n">
        <x:v>2015</x:v>
      </x:c>
      <x:c r="C28" s="18" t="str">
        <x:v>Tier 1</x:v>
      </x:c>
      <x:c r="D28" s="18" t="str">
        <x:v>IAS 39</x:v>
      </x:c>
      <x:c r="E28" s="20" t="str">
        <x:v>Candidate only</x:v>
      </x:c>
      <x:c r="F28" s="18" t="n">
        <x:v>1</x:v>
      </x:c>
      <x:c r="G28" s="18" t="n">
        <x:v>1</x:v>
      </x:c>
      <x:c r="H28" s="18" t="n">
        <x:v>0</x:v>
      </x:c>
      <x:c r="I28" s="22"/>
      <x:c r="J28" s="22"/>
      <x:c r="K28" s="22"/>
      <x:c r="L28" s="22"/>
      <x:c r="M28" s="22"/>
      <x:c r="N28" s="22"/>
      <x:c r="O28" s="20"/>
      <x:c r="P28" s="20" t="str">
        <x:v>Available candidate amounts require audited-source checking.</x:v>
      </x:c>
    </x:row>
    <x:row r="29" ht="40" customHeight="1">
      <x:c r="A29" s="18" t="str">
        <x:v>First Bank</x:v>
      </x:c>
      <x:c r="B29" s="18" t="n">
        <x:v>2016</x:v>
      </x:c>
      <x:c r="C29" s="18" t="str">
        <x:v>Tier 1</x:v>
      </x:c>
      <x:c r="D29" s="18" t="str">
        <x:v>IAS 39</x:v>
      </x:c>
      <x:c r="E29" s="20" t="str">
        <x:v>Candidate only</x:v>
      </x:c>
      <x:c r="F29" s="18" t="n">
        <x:v>1</x:v>
      </x:c>
      <x:c r="G29" s="18" t="n">
        <x:v>1</x:v>
      </x:c>
      <x:c r="H29" s="18" t="n">
        <x:v>0</x:v>
      </x:c>
      <x:c r="I29" s="22"/>
      <x:c r="J29" s="22"/>
      <x:c r="K29" s="22"/>
      <x:c r="L29" s="22"/>
      <x:c r="M29" s="22"/>
      <x:c r="N29" s="22"/>
      <x:c r="O29" s="20"/>
      <x:c r="P29" s="20" t="str">
        <x:v>Available candidate amounts require audited-source checking.</x:v>
      </x:c>
    </x:row>
    <x:row r="30" ht="40" customHeight="1">
      <x:c r="A30" s="18" t="str">
        <x:v>First Bank</x:v>
      </x:c>
      <x:c r="B30" s="18" t="n">
        <x:v>2017</x:v>
      </x:c>
      <x:c r="C30" s="18" t="str">
        <x:v>Tier 1</x:v>
      </x:c>
      <x:c r="D30" s="18" t="str">
        <x:v>IAS 39</x:v>
      </x:c>
      <x:c r="E30" s="20" t="str">
        <x:v>Candidate only</x:v>
      </x:c>
      <x:c r="F30" s="18" t="n">
        <x:v>1</x:v>
      </x:c>
      <x:c r="G30" s="18" t="n">
        <x:v>1</x:v>
      </x:c>
      <x:c r="H30" s="18" t="n">
        <x:v>0</x:v>
      </x:c>
      <x:c r="I30" s="22"/>
      <x:c r="J30" s="22"/>
      <x:c r="K30" s="22"/>
      <x:c r="L30" s="22"/>
      <x:c r="M30" s="22"/>
      <x:c r="N30" s="22"/>
      <x:c r="O30" s="20"/>
      <x:c r="P30" s="20" t="str">
        <x:v>Available candidate amounts require audited-source checking.</x:v>
      </x:c>
    </x:row>
    <x:row r="31" ht="40" customHeight="1">
      <x:c r="A31" s="18" t="str">
        <x:v>First Bank</x:v>
      </x:c>
      <x:c r="B31" s="18" t="n">
        <x:v>2018</x:v>
      </x:c>
      <x:c r="C31" s="18" t="str">
        <x:v>Tier 1</x:v>
      </x:c>
      <x:c r="D31" s="18" t="str">
        <x:v>IFRS 9</x:v>
      </x:c>
      <x:c r="E31" s="20" t="str">
        <x:v>Candidate only</x:v>
      </x:c>
      <x:c r="F31" s="18" t="n">
        <x:v>1</x:v>
      </x:c>
      <x:c r="G31" s="18" t="n">
        <x:v>1</x:v>
      </x:c>
      <x:c r="H31" s="18" t="n">
        <x:v>0</x:v>
      </x:c>
      <x:c r="I31" s="22"/>
      <x:c r="J31" s="22"/>
      <x:c r="K31" s="22"/>
      <x:c r="L31" s="22"/>
      <x:c r="M31" s="22"/>
      <x:c r="N31" s="22"/>
      <x:c r="O31" s="20"/>
      <x:c r="P31" s="20" t="str">
        <x:v>Available candidate amounts require audited-source checking.</x:v>
      </x:c>
    </x:row>
    <x:row r="32" ht="40" customHeight="1">
      <x:c r="A32" s="18" t="str">
        <x:v>First Bank</x:v>
      </x:c>
      <x:c r="B32" s="18" t="n">
        <x:v>2019</x:v>
      </x:c>
      <x:c r="C32" s="18" t="str">
        <x:v>Tier 1</x:v>
      </x:c>
      <x:c r="D32" s="18" t="str">
        <x:v>IFRS 9</x:v>
      </x:c>
      <x:c r="E32" s="20" t="str">
        <x:v>Candidate only</x:v>
      </x:c>
      <x:c r="F32" s="18" t="n">
        <x:v>1</x:v>
      </x:c>
      <x:c r="G32" s="18" t="n">
        <x:v>1</x:v>
      </x:c>
      <x:c r="H32" s="18" t="n">
        <x:v>0</x:v>
      </x:c>
      <x:c r="I32" s="22"/>
      <x:c r="J32" s="22"/>
      <x:c r="K32" s="22"/>
      <x:c r="L32" s="22"/>
      <x:c r="M32" s="22"/>
      <x:c r="N32" s="22"/>
      <x:c r="O32" s="20"/>
      <x:c r="P32" s="20" t="str">
        <x:v>Available candidate amounts require audited-source checking.</x:v>
      </x:c>
    </x:row>
    <x:row r="33" ht="40" customHeight="1">
      <x:c r="A33" s="18" t="str">
        <x:v>First Bank</x:v>
      </x:c>
      <x:c r="B33" s="18" t="n">
        <x:v>2020</x:v>
      </x:c>
      <x:c r="C33" s="18" t="str">
        <x:v>Tier 1</x:v>
      </x:c>
      <x:c r="D33" s="18" t="str">
        <x:v>IFRS 9</x:v>
      </x:c>
      <x:c r="E33" s="20" t="str">
        <x:v>Candidate only</x:v>
      </x:c>
      <x:c r="F33" s="18" t="n">
        <x:v>1</x:v>
      </x:c>
      <x:c r="G33" s="18" t="n">
        <x:v>1</x:v>
      </x:c>
      <x:c r="H33" s="18" t="n">
        <x:v>0</x:v>
      </x:c>
      <x:c r="I33" s="22"/>
      <x:c r="J33" s="22"/>
      <x:c r="K33" s="22"/>
      <x:c r="L33" s="22"/>
      <x:c r="M33" s="22"/>
      <x:c r="N33" s="22"/>
      <x:c r="O33" s="20"/>
      <x:c r="P33" s="20" t="str">
        <x:v>Available candidate amounts require audited-source checking.</x:v>
      </x:c>
    </x:row>
    <x:row r="34" ht="40" customHeight="1">
      <x:c r="A34" s="18" t="str">
        <x:v>First Bank</x:v>
      </x:c>
      <x:c r="B34" s="18" t="n">
        <x:v>2021</x:v>
      </x:c>
      <x:c r="C34" s="18" t="str">
        <x:v>Tier 1</x:v>
      </x:c>
      <x:c r="D34" s="18" t="str">
        <x:v>IFRS 9</x:v>
      </x:c>
      <x:c r="E34" s="20" t="str">
        <x:v>Candidate only</x:v>
      </x:c>
      <x:c r="F34" s="18" t="n">
        <x:v>1</x:v>
      </x:c>
      <x:c r="G34" s="18" t="n">
        <x:v>1</x:v>
      </x:c>
      <x:c r="H34" s="18" t="n">
        <x:v>0</x:v>
      </x:c>
      <x:c r="I34" s="22"/>
      <x:c r="J34" s="22"/>
      <x:c r="K34" s="22"/>
      <x:c r="L34" s="22"/>
      <x:c r="M34" s="22"/>
      <x:c r="N34" s="22"/>
      <x:c r="O34" s="20"/>
      <x:c r="P34" s="20" t="str">
        <x:v>Available candidate amounts require audited-source checking.</x:v>
      </x:c>
    </x:row>
    <x:row r="35" ht="40" customHeight="1">
      <x:c r="A35" s="18" t="str">
        <x:v>First Bank</x:v>
      </x:c>
      <x:c r="B35" s="18" t="n">
        <x:v>2022</x:v>
      </x:c>
      <x:c r="C35" s="18" t="str">
        <x:v>Tier 1</x:v>
      </x:c>
      <x:c r="D35" s="18" t="str">
        <x:v>IFRS 9</x:v>
      </x:c>
      <x:c r="E35" s="20" t="str">
        <x:v>Candidate only</x:v>
      </x:c>
      <x:c r="F35" s="18" t="n">
        <x:v>1</x:v>
      </x:c>
      <x:c r="G35" s="18" t="n">
        <x:v>1</x:v>
      </x:c>
      <x:c r="H35" s="18" t="n">
        <x:v>0</x:v>
      </x:c>
      <x:c r="I35" s="22"/>
      <x:c r="J35" s="22"/>
      <x:c r="K35" s="22"/>
      <x:c r="L35" s="22"/>
      <x:c r="M35" s="22"/>
      <x:c r="N35" s="22"/>
      <x:c r="O35" s="20"/>
      <x:c r="P35" s="20" t="str">
        <x:v>Available candidate amounts require audited-source checking.</x:v>
      </x:c>
    </x:row>
    <x:row r="36" ht="40" customHeight="1">
      <x:c r="A36" s="18" t="str">
        <x:v>UBA</x:v>
      </x:c>
      <x:c r="B36" s="18" t="n">
        <x:v>2013</x:v>
      </x:c>
      <x:c r="C36" s="18" t="str">
        <x:v>Tier 1</x:v>
      </x:c>
      <x:c r="D36" s="18" t="str">
        <x:v>IAS 39</x:v>
      </x:c>
      <x:c r="E36" s="20" t="str">
        <x:v>Selected - inherited</x:v>
      </x:c>
      <x:c r="F36" s="18" t="n">
        <x:v>0</x:v>
      </x:c>
      <x:c r="G36" s="18" t="n">
        <x:v>0</x:v>
      </x:c>
      <x:c r="H36" s="18" t="n">
        <x:v>1</x:v>
      </x:c>
      <x:c r="I36" s="22" t="n">
        <x:f>'Selected_Inputs'!E21</x:f>
        <x:v>46483</x:v>
      </x:c>
      <x:c r="J36" s="22" t="n">
        <x:f>'Selected_Inputs'!F21</x:f>
        <x:v>2217417</x:v>
      </x:c>
      <x:c r="K36" s="22" t="n">
        <x:f>'Selected_Inputs'!H21</x:f>
        <x:v>259538</x:v>
      </x:c>
      <x:c r="L36" s="22" t="str">
        <x:f>IF(ISNUMBER('Calculated_Ratios'!D21),'Calculated_Ratios'!D21,"")</x:f>
      </x:c>
      <x:c r="M36" s="22" t="n">
        <x:f>IF(ISNUMBER('Calculated_Ratios'!G21),'Calculated_Ratios'!G21,"")</x:f>
        <x:v>1.0328353983004226</x:v>
      </x:c>
      <x:c r="N36" s="22" t="n">
        <x:f>IF(ISNUMBER('Selected_Inputs'!T21),'Selected_Inputs'!T21,"")</x:f>
        <x:v>20</x:v>
      </x:c>
      <x:c r="O36" s="20" t="str">
        <x:f>'Selected_Inputs'!AI21</x:f>
        <x:v>UBA2014</x:v>
      </x:c>
      <x:c r="P36" s="20" t="str">
        <x:f>'Selected_Inputs'!AK21</x:f>
        <x:v>Prior source-selection policy retained; original evidence preserved in accompanying pack.</x:v>
      </x:c>
    </x:row>
    <x:row r="37" ht="40" customHeight="1">
      <x:c r="A37" s="18" t="str">
        <x:v>UBA</x:v>
      </x:c>
      <x:c r="B37" s="18" t="n">
        <x:v>2014</x:v>
      </x:c>
      <x:c r="C37" s="18" t="str">
        <x:v>Tier 1</x:v>
      </x:c>
      <x:c r="D37" s="18" t="str">
        <x:v>IAS 39</x:v>
      </x:c>
      <x:c r="E37" s="20" t="str">
        <x:v>Selected - inherited</x:v>
      </x:c>
      <x:c r="F37" s="18" t="n">
        <x:v>0</x:v>
      </x:c>
      <x:c r="G37" s="18" t="n">
        <x:v>0</x:v>
      </x:c>
      <x:c r="H37" s="18" t="n">
        <x:v>1</x:v>
      </x:c>
      <x:c r="I37" s="22" t="n">
        <x:f>'Selected_Inputs'!E22</x:f>
        <x:v>40083</x:v>
      </x:c>
      <x:c r="J37" s="22" t="n">
        <x:f>'Selected_Inputs'!F22</x:f>
        <x:v>2338858</x:v>
      </x:c>
      <x:c r="K37" s="22" t="n">
        <x:f>'Selected_Inputs'!H22</x:f>
        <x:v>281933</x:v>
      </x:c>
      <x:c r="L37" s="22" t="n">
        <x:f>IF(ISNUMBER('Calculated_Ratios'!D22),'Calculated_Ratios'!D22,"")</x:f>
        <x:v>1.7594635969075616</x:v>
      </x:c>
      <x:c r="M37" s="22" t="n">
        <x:f>IF(ISNUMBER('Calculated_Ratios'!G22),'Calculated_Ratios'!G22,"")</x:f>
        <x:v>1.175499296733694</x:v>
      </x:c>
      <x:c r="N37" s="22" t="n">
        <x:f>IF(ISNUMBER('Selected_Inputs'!T22),'Selected_Inputs'!T22,"")</x:f>
        <x:v>17</x:v>
      </x:c>
      <x:c r="O37" s="20" t="str">
        <x:f>'Selected_Inputs'!AI22</x:f>
        <x:v>UBA2014</x:v>
      </x:c>
      <x:c r="P37" s="20" t="str">
        <x:f>'Selected_Inputs'!AK22</x:f>
        <x:v>Prior source-selection policy retained; original evidence preserved in accompanying pack.</x:v>
      </x:c>
    </x:row>
    <x:row r="38" ht="40" customHeight="1">
      <x:c r="A38" s="18" t="str">
        <x:v>UBA</x:v>
      </x:c>
      <x:c r="B38" s="18" t="n">
        <x:v>2015</x:v>
      </x:c>
      <x:c r="C38" s="18" t="str">
        <x:v>Tier 1</x:v>
      </x:c>
      <x:c r="D38" s="18" t="str">
        <x:v>IAS 39</x:v>
      </x:c>
      <x:c r="E38" s="20" t="str">
        <x:v>Selected - newly checked</x:v>
      </x:c>
      <x:c r="F38" s="18" t="n">
        <x:v>1</x:v>
      </x:c>
      <x:c r="G38" s="18" t="n">
        <x:v>1</x:v>
      </x:c>
      <x:c r="H38" s="18" t="n">
        <x:v>1</x:v>
      </x:c>
      <x:c r="I38" s="22" t="n">
        <x:f>'Selected_Inputs'!E23</x:f>
        <x:v>47642</x:v>
      </x:c>
      <x:c r="J38" s="22" t="n">
        <x:f>'Selected_Inputs'!F23</x:f>
        <x:v>2216337</x:v>
      </x:c>
      <x:c r="K38" s="22" t="n">
        <x:f>'Selected_Inputs'!H23</x:f>
        <x:v>338231</x:v>
      </x:c>
      <x:c r="L38" s="22" t="n">
        <x:f>IF(ISNUMBER('Calculated_Ratios'!D23),'Calculated_Ratios'!D23,"")</x:f>
        <x:v>2.091765555590924</x:v>
      </x:c>
      <x:c r="M38" s="22" t="n">
        <x:f>IF(ISNUMBER('Calculated_Ratios'!G23),'Calculated_Ratios'!G23,"")</x:f>
        <x:v>1.56065843680488</x:v>
      </x:c>
      <x:c r="N38" s="22" t="n">
        <x:f>IF(ISNUMBER('Selected_Inputs'!T23),'Selected_Inputs'!T23,"")</x:f>
        <x:v>20</x:v>
      </x:c>
      <x:c r="O38" s="20" t="str">
        <x:f>'Selected_Inputs'!AI23</x:f>
        <x:v>UBA16_UPDATE; UBA2014</x:v>
      </x:c>
      <x:c r="P38" s="20" t="str">
        <x:f>'Selected_Inputs'!AK23</x:f>
        <x:v>2016 report 2015 comparative Bank columns; opening assets retained from the prior selected 2014 statement.</x:v>
      </x:c>
    </x:row>
    <x:row r="39" ht="40" customHeight="1">
      <x:c r="A39" s="18" t="str">
        <x:v>UBA</x:v>
      </x:c>
      <x:c r="B39" s="18" t="n">
        <x:v>2016</x:v>
      </x:c>
      <x:c r="C39" s="18" t="str">
        <x:v>Tier 1</x:v>
      </x:c>
      <x:c r="D39" s="18" t="str">
        <x:v>IAS 39</x:v>
      </x:c>
      <x:c r="E39" s="20" t="str">
        <x:v>Selected - newly checked</x:v>
      </x:c>
      <x:c r="F39" s="18" t="n">
        <x:v>1</x:v>
      </x:c>
      <x:c r="G39" s="18" t="n">
        <x:v>1</x:v>
      </x:c>
      <x:c r="H39" s="18" t="n">
        <x:v>1</x:v>
      </x:c>
      <x:c r="I39" s="22" t="n">
        <x:f>'Selected_Inputs'!E24</x:f>
        <x:v>47541</x:v>
      </x:c>
      <x:c r="J39" s="22" t="n">
        <x:f>'Selected_Inputs'!F24</x:f>
        <x:v>2539585</x:v>
      </x:c>
      <x:c r="K39" s="22" t="n">
        <x:f>'Selected_Inputs'!H24</x:f>
        <x:v>390900</x:v>
      </x:c>
      <x:c r="L39" s="22" t="n">
        <x:f>IF(ISNUMBER('Calculated_Ratios'!D24),'Calculated_Ratios'!D24,"")</x:f>
        <x:v>1.999233797358325</x:v>
      </x:c>
      <x:c r="M39" s="22" t="n">
        <x:f>IF(ISNUMBER('Calculated_Ratios'!G24),'Calculated_Ratios'!G24,"")</x:f>
        <x:v>2.6552188383852813</x:v>
      </x:c>
      <x:c r="N39" s="22" t="n">
        <x:f>IF(ISNUMBER('Selected_Inputs'!T24),'Selected_Inputs'!T24,"")</x:f>
        <x:v>20</x:v>
      </x:c>
      <x:c r="O39" s="20" t="str">
        <x:f>'Selected_Inputs'!AI24</x:f>
        <x:v>UBA16_UPDATE</x:v>
      </x:c>
      <x:c r="P39" s="20" t="str">
        <x:f>'Selected_Inputs'!AK24</x:f>
        <x:v>2016 report current-year Bank columns.</x:v>
      </x:c>
    </x:row>
    <x:row r="40" ht="40" customHeight="1">
      <x:c r="A40" s="18" t="str">
        <x:v>UBA</x:v>
      </x:c>
      <x:c r="B40" s="18" t="n">
        <x:v>2017</x:v>
      </x:c>
      <x:c r="C40" s="18" t="str">
        <x:v>Tier 1</x:v>
      </x:c>
      <x:c r="D40" s="18" t="str">
        <x:v>IAS 39</x:v>
      </x:c>
      <x:c r="E40" s="20" t="str">
        <x:v>Selected - inherited</x:v>
      </x:c>
      <x:c r="F40" s="18" t="n">
        <x:v>1</x:v>
      </x:c>
      <x:c r="G40" s="18" t="n">
        <x:v>1</x:v>
      </x:c>
      <x:c r="H40" s="18" t="n">
        <x:v>1</x:v>
      </x:c>
      <x:c r="I40" s="22" t="n">
        <x:f>'Selected_Inputs'!E25</x:f>
        <x:v>41396</x:v>
      </x:c>
      <x:c r="J40" s="22" t="n">
        <x:f>'Selected_Inputs'!F25</x:f>
        <x:v>2931826</x:v>
      </x:c>
      <x:c r="K40" s="22" t="n">
        <x:f>'Selected_Inputs'!H25</x:f>
        <x:v>400860</x:v>
      </x:c>
      <x:c r="L40" s="22" t="n">
        <x:f>IF(ISNUMBER('Calculated_Ratios'!D25),'Calculated_Ratios'!D25,"")</x:f>
        <x:v>1.5131745723360939</x:v>
      </x:c>
      <x:c r="M40" s="22" t="n">
        <x:f>IF(ISNUMBER('Calculated_Ratios'!G25),'Calculated_Ratios'!G25,"")</x:f>
        <x:v>2.5914418984644967</x:v>
      </x:c>
      <x:c r="N40" s="22" t="n">
        <x:f>IF(ISNUMBER('Selected_Inputs'!T25),'Selected_Inputs'!T25,"")</x:f>
        <x:v>20</x:v>
      </x:c>
      <x:c r="O40" s="20" t="str">
        <x:f>'Selected_Inputs'!AI25</x:f>
        <x:v>UBA18</x:v>
      </x:c>
      <x:c r="P40" s="20" t="str">
        <x:f>'Selected_Inputs'!AK25</x:f>
        <x:v>Prior source-selection policy retained; original evidence preserved in accompanying pack.</x:v>
      </x:c>
    </x:row>
    <x:row r="41" ht="40" customHeight="1">
      <x:c r="A41" s="18" t="str">
        <x:v>UBA</x:v>
      </x:c>
      <x:c r="B41" s="18" t="n">
        <x:v>2018</x:v>
      </x:c>
      <x:c r="C41" s="18" t="str">
        <x:v>Tier 1</x:v>
      </x:c>
      <x:c r="D41" s="18" t="str">
        <x:v>IFRS 9</x:v>
      </x:c>
      <x:c r="E41" s="20" t="str">
        <x:v>Selected - inherited</x:v>
      </x:c>
      <x:c r="F41" s="18" t="n">
        <x:v>1</x:v>
      </x:c>
      <x:c r="G41" s="18" t="n">
        <x:v>1</x:v>
      </x:c>
      <x:c r="H41" s="18" t="n">
        <x:v>1</x:v>
      </x:c>
      <x:c r="I41" s="22" t="n">
        <x:f>'Selected_Inputs'!E26</x:f>
        <x:v>41047</x:v>
      </x:c>
      <x:c r="J41" s="22" t="n">
        <x:f>'Selected_Inputs'!F26</x:f>
        <x:v>3591305</x:v>
      </x:c>
      <x:c r="K41" s="22" t="n">
        <x:f>'Selected_Inputs'!H26</x:f>
        <x:v>364598</x:v>
      </x:c>
      <x:c r="L41" s="22" t="n">
        <x:f>IF(ISNUMBER('Calculated_Ratios'!D26),'Calculated_Ratios'!D26,"")</x:f>
        <x:v>1.2585060762998628</x:v>
      </x:c>
      <x:c r="M41" s="22" t="n">
        <x:f>IF(ISNUMBER('Calculated_Ratios'!G26),'Calculated_Ratios'!G26,"")</x:f>
        <x:v>4.733571302993771</x:v>
      </x:c>
      <x:c r="N41" s="22" t="n">
        <x:f>IF(ISNUMBER('Selected_Inputs'!T26),'Selected_Inputs'!T26,"")</x:f>
        <x:v>20</x:v>
      </x:c>
      <x:c r="O41" s="20" t="str">
        <x:f>'Selected_Inputs'!AI26</x:f>
        <x:v>UBA18</x:v>
      </x:c>
      <x:c r="P41" s="20" t="str">
        <x:f>'Selected_Inputs'!AK26</x:f>
        <x:v>Prior source-selection policy retained; original evidence preserved in accompanying pack.</x:v>
      </x:c>
    </x:row>
    <x:row r="42" ht="40" customHeight="1">
      <x:c r="A42" s="18" t="str">
        <x:v>UBA</x:v>
      </x:c>
      <x:c r="B42" s="18" t="n">
        <x:v>2019</x:v>
      </x:c>
      <x:c r="C42" s="18" t="str">
        <x:v>Tier 1</x:v>
      </x:c>
      <x:c r="D42" s="18" t="str">
        <x:v>IFRS 9</x:v>
      </x:c>
      <x:c r="E42" s="20" t="str">
        <x:v>Selected - inherited</x:v>
      </x:c>
      <x:c r="F42" s="18" t="n">
        <x:v>1</x:v>
      </x:c>
      <x:c r="G42" s="18" t="n">
        <x:v>1</x:v>
      </x:c>
      <x:c r="H42" s="18" t="n">
        <x:v>1</x:v>
      </x:c>
      <x:c r="I42" s="22" t="n">
        <x:f>'Selected_Inputs'!E27</x:f>
        <x:v>62750</x:v>
      </x:c>
      <x:c r="J42" s="22" t="n">
        <x:f>'Selected_Inputs'!F27</x:f>
        <x:v>4136493</x:v>
      </x:c>
      <x:c r="K42" s="22" t="n">
        <x:f>'Selected_Inputs'!H27</x:f>
        <x:v>446522</x:v>
      </x:c>
      <x:c r="L42" s="22" t="n">
        <x:f>IF(ISNUMBER('Calculated_Ratios'!D27),'Calculated_Ratios'!D27,"")</x:f>
        <x:v>1.62400725277757</x:v>
      </x:c>
      <x:c r="M42" s="22" t="n">
        <x:f>IF(ISNUMBER('Calculated_Ratios'!G27),'Calculated_Ratios'!G27,"")</x:f>
        <x:v>3.4659981841041043</x:v>
      </x:c>
      <x:c r="N42" s="22" t="n">
        <x:f>IF(ISNUMBER('Selected_Inputs'!T27),'Selected_Inputs'!T27,"")</x:f>
        <x:v>22</x:v>
      </x:c>
      <x:c r="O42" s="20" t="str">
        <x:f>'Selected_Inputs'!AI27</x:f>
        <x:v>UBA20</x:v>
      </x:c>
      <x:c r="P42" s="20" t="str">
        <x:f>'Selected_Inputs'!AK27</x:f>
        <x:v>Prior source-selection policy retained; original evidence preserved in accompanying pack.</x:v>
      </x:c>
    </x:row>
    <x:row r="43" ht="40" customHeight="1">
      <x:c r="A43" s="18" t="str">
        <x:v>UBA</x:v>
      </x:c>
      <x:c r="B43" s="18" t="n">
        <x:v>2020</x:v>
      </x:c>
      <x:c r="C43" s="18" t="str">
        <x:v>Tier 1</x:v>
      </x:c>
      <x:c r="D43" s="18" t="str">
        <x:v>IFRS 9</x:v>
      </x:c>
      <x:c r="E43" s="20" t="str">
        <x:v>Selected - inherited</x:v>
      </x:c>
      <x:c r="F43" s="18" t="n">
        <x:v>1</x:v>
      </x:c>
      <x:c r="G43" s="18" t="n">
        <x:v>1</x:v>
      </x:c>
      <x:c r="H43" s="18" t="n">
        <x:v>1</x:v>
      </x:c>
      <x:c r="I43" s="22" t="n">
        <x:f>'Selected_Inputs'!E28</x:f>
        <x:v>56911</x:v>
      </x:c>
      <x:c r="J43" s="22" t="n">
        <x:f>'Selected_Inputs'!F28</x:f>
        <x:v>5207833</x:v>
      </x:c>
      <x:c r="K43" s="22" t="n">
        <x:f>'Selected_Inputs'!H28</x:f>
        <x:v>477940</x:v>
      </x:c>
      <x:c r="L43" s="22" t="n">
        <x:f>IF(ISNUMBER('Calculated_Ratios'!D28),'Calculated_Ratios'!D28,"")</x:f>
        <x:v>1.218086783359228</x:v>
      </x:c>
      <x:c r="M43" s="22" t="n">
        <x:f>IF(ISNUMBER('Calculated_Ratios'!G28),'Calculated_Ratios'!G28,"")</x:f>
        <x:v>3.3240917445481206</x:v>
      </x:c>
      <x:c r="N43" s="22" t="n">
        <x:f>IF(ISNUMBER('Selected_Inputs'!T28),'Selected_Inputs'!T28,"")</x:f>
        <x:v>20</x:v>
      </x:c>
      <x:c r="O43" s="20" t="str">
        <x:f>'Selected_Inputs'!AI28</x:f>
        <x:v>UBA20</x:v>
      </x:c>
      <x:c r="P43" s="20" t="str">
        <x:f>'Selected_Inputs'!AK28</x:f>
        <x:v>Prior source-selection policy retained; original evidence preserved in accompanying pack.</x:v>
      </x:c>
    </x:row>
    <x:row r="44" ht="40" customHeight="1">
      <x:c r="A44" s="18" t="str">
        <x:v>UBA</x:v>
      </x:c>
      <x:c r="B44" s="18" t="n">
        <x:v>2021</x:v>
      </x:c>
      <x:c r="C44" s="18" t="str">
        <x:v>Tier 1</x:v>
      </x:c>
      <x:c r="D44" s="18" t="str">
        <x:v>IFRS 9</x:v>
      </x:c>
      <x:c r="E44" s="20" t="str">
        <x:v>Selected - inherited</x:v>
      </x:c>
      <x:c r="F44" s="18" t="n">
        <x:v>1</x:v>
      </x:c>
      <x:c r="G44" s="18" t="n">
        <x:v>1</x:v>
      </x:c>
      <x:c r="H44" s="18" t="n">
        <x:v>1</x:v>
      </x:c>
      <x:c r="I44" s="22" t="n">
        <x:f>'Selected_Inputs'!E29</x:f>
        <x:v>58669</x:v>
      </x:c>
      <x:c r="J44" s="22" t="n">
        <x:f>'Selected_Inputs'!F29</x:f>
        <x:v>5574976</x:v>
      </x:c>
      <x:c r="K44" s="22" t="n">
        <x:f>'Selected_Inputs'!H29</x:f>
        <x:v>501601</x:v>
      </x:c>
      <x:c r="L44" s="22" t="n">
        <x:f>IF(ISNUMBER('Calculated_Ratios'!D29),'Calculated_Ratios'!D29,"")</x:f>
        <x:v>1.088195107601368</x:v>
      </x:c>
      <x:c r="M44" s="22" t="n">
        <x:f>IF(ISNUMBER('Calculated_Ratios'!G29),'Calculated_Ratios'!G29,"")</x:f>
        <x:v>3.412819986171235</x:v>
      </x:c>
      <x:c r="N44" s="22" t="n">
        <x:f>IF(ISNUMBER('Selected_Inputs'!T29),'Selected_Inputs'!T29,"")</x:f>
        <x:v>21.8</x:v>
      </x:c>
      <x:c r="O44" s="20" t="str">
        <x:f>'Selected_Inputs'!AI29</x:f>
        <x:v>UBA22</x:v>
      </x:c>
      <x:c r="P44" s="20" t="str">
        <x:f>'Selected_Inputs'!AK29</x:f>
        <x:v>Prior source-selection policy retained; original evidence preserved in accompanying pack.</x:v>
      </x:c>
    </x:row>
    <x:row r="45" ht="40" customHeight="1">
      <x:c r="A45" s="18" t="str">
        <x:v>UBA</x:v>
      </x:c>
      <x:c r="B45" s="18" t="n">
        <x:v>2022</x:v>
      </x:c>
      <x:c r="C45" s="18" t="str">
        <x:v>Tier 1</x:v>
      </x:c>
      <x:c r="D45" s="18" t="str">
        <x:v>IFRS 9</x:v>
      </x:c>
      <x:c r="E45" s="20" t="str">
        <x:v>Selected - inherited</x:v>
      </x:c>
      <x:c r="F45" s="18" t="n">
        <x:v>1</x:v>
      </x:c>
      <x:c r="G45" s="18" t="n">
        <x:v>1</x:v>
      </x:c>
      <x:c r="H45" s="18" t="n">
        <x:v>1</x:v>
      </x:c>
      <x:c r="I45" s="22" t="n">
        <x:f>'Selected_Inputs'!E30</x:f>
        <x:v>133696</x:v>
      </x:c>
      <x:c r="J45" s="22" t="n">
        <x:f>'Selected_Inputs'!F30</x:f>
        <x:v>7361044</x:v>
      </x:c>
      <x:c r="K45" s="22" t="n">
        <x:f>'Selected_Inputs'!H30</x:f>
        <x:v>585193</x:v>
      </x:c>
      <x:c r="L45" s="22" t="n">
        <x:f>IF(ISNUMBER('Calculated_Ratios'!D30),'Calculated_Ratios'!D30,"")</x:f>
        <x:v>2.0670345283943594</x:v>
      </x:c>
      <x:c r="M45" s="22" t="n">
        <x:f>IF(ISNUMBER('Calculated_Ratios'!G30),'Calculated_Ratios'!G30,"")</x:f>
        <x:v>2.3764253747162356</x:v>
      </x:c>
      <x:c r="N45" s="22" t="n">
        <x:f>IF(ISNUMBER('Selected_Inputs'!T30),'Selected_Inputs'!T30,"")</x:f>
        <x:v>21.9</x:v>
      </x:c>
      <x:c r="O45" s="20" t="str">
        <x:f>'Selected_Inputs'!AI30</x:f>
        <x:v>UBA22</x:v>
      </x:c>
      <x:c r="P45" s="20" t="str">
        <x:f>'Selected_Inputs'!AK30</x:f>
        <x:v>Prior source-selection policy retained; original evidence preserved in accompanying pack.</x:v>
      </x:c>
    </x:row>
    <x:row r="46" ht="40" customHeight="1">
      <x:c r="A46" s="18" t="str">
        <x:v>GTBank</x:v>
      </x:c>
      <x:c r="B46" s="18" t="n">
        <x:v>2013</x:v>
      </x:c>
      <x:c r="C46" s="18" t="str">
        <x:v>Tier 1</x:v>
      </x:c>
      <x:c r="D46" s="18" t="str">
        <x:v>IAS 39</x:v>
      </x:c>
      <x:c r="E46" s="20" t="str">
        <x:v>Selected - inherited</x:v>
      </x:c>
      <x:c r="F46" s="18" t="n">
        <x:v>0</x:v>
      </x:c>
      <x:c r="G46" s="18" t="n">
        <x:v>0</x:v>
      </x:c>
      <x:c r="H46" s="18" t="n">
        <x:v>1</x:v>
      </x:c>
      <x:c r="I46" s="22" t="n">
        <x:f>'Selected_Inputs'!E15</x:f>
        <x:v>85546</x:v>
      </x:c>
      <x:c r="J46" s="22" t="n">
        <x:f>'Selected_Inputs'!F15</x:f>
        <x:v>1904366</x:v>
      </x:c>
      <x:c r="K46" s="22" t="n">
        <x:f>'Selected_Inputs'!H15</x:f>
        <x:v>329647</x:v>
      </x:c>
      <x:c r="L46" s="22" t="str">
        <x:f>IF(ISNUMBER('Calculated_Ratios'!D15),'Calculated_Ratios'!D15,"")</x:f>
      </x:c>
      <x:c r="M46" s="22" t="str">
        <x:f>IF(ISNUMBER('Calculated_Ratios'!G15),'Calculated_Ratios'!G15,"")</x:f>
      </x:c>
      <x:c r="N46" s="22" t="str">
        <x:f>IF(ISNUMBER('Selected_Inputs'!T15),'Selected_Inputs'!T15,"")</x:f>
      </x:c>
      <x:c r="O46" s="20" t="str">
        <x:f>'Selected_Inputs'!AI15</x:f>
        <x:v>GT2014A</x:v>
      </x:c>
      <x:c r="P46" s="20" t="str">
        <x:f>'Selected_Inputs'!AK15</x:f>
        <x:v>Prior source-selection policy retained; original evidence preserved in accompanying pack.</x:v>
      </x:c>
    </x:row>
    <x:row r="47" ht="40" customHeight="1">
      <x:c r="A47" s="18" t="str">
        <x:v>GTBank</x:v>
      </x:c>
      <x:c r="B47" s="18" t="n">
        <x:v>2014</x:v>
      </x:c>
      <x:c r="C47" s="18" t="str">
        <x:v>Tier 1</x:v>
      </x:c>
      <x:c r="D47" s="18" t="str">
        <x:v>IAS 39</x:v>
      </x:c>
      <x:c r="E47" s="20" t="str">
        <x:v>Selected - inherited</x:v>
      </x:c>
      <x:c r="F47" s="18" t="n">
        <x:v>0</x:v>
      </x:c>
      <x:c r="G47" s="18" t="n">
        <x:v>0</x:v>
      </x:c>
      <x:c r="H47" s="18" t="n">
        <x:v>1</x:v>
      </x:c>
      <x:c r="I47" s="22" t="n">
        <x:f>'Selected_Inputs'!E16</x:f>
        <x:v>93432</x:v>
      </x:c>
      <x:c r="J47" s="22" t="n">
        <x:f>'Selected_Inputs'!F16</x:f>
        <x:v>2126608</x:v>
      </x:c>
      <x:c r="K47" s="22" t="n">
        <x:f>'Selected_Inputs'!H16</x:f>
        <x:v>369530</x:v>
      </x:c>
      <x:c r="L47" s="22" t="n">
        <x:f>IF(ISNUMBER('Calculated_Ratios'!D16),'Calculated_Ratios'!D16,"")</x:f>
        <x:v>4.635703430486031</x:v>
      </x:c>
      <x:c r="M47" s="22" t="str">
        <x:f>IF(ISNUMBER('Calculated_Ratios'!G16),'Calculated_Ratios'!G16,"")</x:f>
      </x:c>
      <x:c r="N47" s="22" t="str">
        <x:f>IF(ISNUMBER('Selected_Inputs'!T16),'Selected_Inputs'!T16,"")</x:f>
      </x:c>
      <x:c r="O47" s="20" t="str">
        <x:f>'Selected_Inputs'!AI16</x:f>
        <x:v>GT2014A</x:v>
      </x:c>
      <x:c r="P47" s="20" t="str">
        <x:f>'Selected_Inputs'!AK16</x:f>
        <x:v>Prior source-selection policy retained; original evidence preserved in accompanying pack.</x:v>
      </x:c>
    </x:row>
    <x:row r="48" ht="40" customHeight="1">
      <x:c r="A48" s="18" t="str">
        <x:v>GTBank</x:v>
      </x:c>
      <x:c r="B48" s="18" t="n">
        <x:v>2015</x:v>
      </x:c>
      <x:c r="C48" s="18" t="str">
        <x:v>Tier 1</x:v>
      </x:c>
      <x:c r="D48" s="18" t="str">
        <x:v>IAS 39</x:v>
      </x:c>
      <x:c r="E48" s="20" t="str">
        <x:v>Candidate only</x:v>
      </x:c>
      <x:c r="F48" s="18" t="n">
        <x:v>1</x:v>
      </x:c>
      <x:c r="G48" s="18" t="n">
        <x:v>1</x:v>
      </x:c>
      <x:c r="H48" s="18" t="n">
        <x:v>0</x:v>
      </x:c>
      <x:c r="I48" s="22"/>
      <x:c r="J48" s="22"/>
      <x:c r="K48" s="22"/>
      <x:c r="L48" s="22"/>
      <x:c r="M48" s="22"/>
      <x:c r="N48" s="22"/>
      <x:c r="O48" s="20"/>
      <x:c r="P48" s="20" t="str">
        <x:v>Available candidate amounts require audited-source checking.</x:v>
      </x:c>
    </x:row>
    <x:row r="49" ht="40" customHeight="1">
      <x:c r="A49" s="18" t="str">
        <x:v>GTBank</x:v>
      </x:c>
      <x:c r="B49" s="18" t="n">
        <x:v>2016</x:v>
      </x:c>
      <x:c r="C49" s="18" t="str">
        <x:v>Tier 1</x:v>
      </x:c>
      <x:c r="D49" s="18" t="str">
        <x:v>IAS 39</x:v>
      </x:c>
      <x:c r="E49" s="20" t="str">
        <x:v>Candidate only</x:v>
      </x:c>
      <x:c r="F49" s="18" t="n">
        <x:v>1</x:v>
      </x:c>
      <x:c r="G49" s="18" t="n">
        <x:v>1</x:v>
      </x:c>
      <x:c r="H49" s="18" t="n">
        <x:v>0</x:v>
      </x:c>
      <x:c r="I49" s="22"/>
      <x:c r="J49" s="22"/>
      <x:c r="K49" s="22"/>
      <x:c r="L49" s="22"/>
      <x:c r="M49" s="22"/>
      <x:c r="N49" s="22"/>
      <x:c r="O49" s="20"/>
      <x:c r="P49" s="20" t="str">
        <x:v>Available candidate amounts require audited-source checking.</x:v>
      </x:c>
    </x:row>
    <x:row r="50" ht="40" customHeight="1">
      <x:c r="A50" s="18" t="str">
        <x:v>GTBank</x:v>
      </x:c>
      <x:c r="B50" s="18" t="n">
        <x:v>2017</x:v>
      </x:c>
      <x:c r="C50" s="18" t="str">
        <x:v>Tier 1</x:v>
      </x:c>
      <x:c r="D50" s="18" t="str">
        <x:v>IAS 39</x:v>
      </x:c>
      <x:c r="E50" s="20" t="str">
        <x:v>Candidate only</x:v>
      </x:c>
      <x:c r="F50" s="18" t="n">
        <x:v>1</x:v>
      </x:c>
      <x:c r="G50" s="18" t="n">
        <x:v>1</x:v>
      </x:c>
      <x:c r="H50" s="18" t="n">
        <x:v>0</x:v>
      </x:c>
      <x:c r="I50" s="22"/>
      <x:c r="J50" s="22"/>
      <x:c r="K50" s="22"/>
      <x:c r="L50" s="22"/>
      <x:c r="M50" s="22"/>
      <x:c r="N50" s="22"/>
      <x:c r="O50" s="20"/>
      <x:c r="P50" s="20" t="str">
        <x:v>Available candidate amounts require audited-source checking.</x:v>
      </x:c>
    </x:row>
    <x:row r="51" ht="40" customHeight="1">
      <x:c r="A51" s="18" t="str">
        <x:v>GTBank</x:v>
      </x:c>
      <x:c r="B51" s="18" t="n">
        <x:v>2018</x:v>
      </x:c>
      <x:c r="C51" s="18" t="str">
        <x:v>Tier 1</x:v>
      </x:c>
      <x:c r="D51" s="18" t="str">
        <x:v>IFRS 9</x:v>
      </x:c>
      <x:c r="E51" s="20" t="str">
        <x:v>Candidate only</x:v>
      </x:c>
      <x:c r="F51" s="18" t="n">
        <x:v>1</x:v>
      </x:c>
      <x:c r="G51" s="18" t="n">
        <x:v>1</x:v>
      </x:c>
      <x:c r="H51" s="18" t="n">
        <x:v>0</x:v>
      </x:c>
      <x:c r="I51" s="22"/>
      <x:c r="J51" s="22"/>
      <x:c r="K51" s="22"/>
      <x:c r="L51" s="22"/>
      <x:c r="M51" s="22"/>
      <x:c r="N51" s="22"/>
      <x:c r="O51" s="20"/>
      <x:c r="P51" s="20" t="str">
        <x:v>Available candidate amounts require audited-source checking.</x:v>
      </x:c>
    </x:row>
    <x:row r="52" ht="40" customHeight="1">
      <x:c r="A52" s="18" t="str">
        <x:v>GTBank</x:v>
      </x:c>
      <x:c r="B52" s="18" t="n">
        <x:v>2019</x:v>
      </x:c>
      <x:c r="C52" s="18" t="str">
        <x:v>Tier 1</x:v>
      </x:c>
      <x:c r="D52" s="18" t="str">
        <x:v>IFRS 9</x:v>
      </x:c>
      <x:c r="E52" s="20" t="str">
        <x:v>Candidate only</x:v>
      </x:c>
      <x:c r="F52" s="18" t="n">
        <x:v>1</x:v>
      </x:c>
      <x:c r="G52" s="18" t="n">
        <x:v>1</x:v>
      </x:c>
      <x:c r="H52" s="18" t="n">
        <x:v>0</x:v>
      </x:c>
      <x:c r="I52" s="22"/>
      <x:c r="J52" s="22"/>
      <x:c r="K52" s="22"/>
      <x:c r="L52" s="22"/>
      <x:c r="M52" s="22"/>
      <x:c r="N52" s="22"/>
      <x:c r="O52" s="20"/>
      <x:c r="P52" s="20" t="str">
        <x:v>Available candidate amounts require audited-source checking.</x:v>
      </x:c>
    </x:row>
    <x:row r="53" ht="40" customHeight="1">
      <x:c r="A53" s="18" t="str">
        <x:v>GTBank</x:v>
      </x:c>
      <x:c r="B53" s="18" t="n">
        <x:v>2020</x:v>
      </x:c>
      <x:c r="C53" s="18" t="str">
        <x:v>Tier 1</x:v>
      </x:c>
      <x:c r="D53" s="18" t="str">
        <x:v>IFRS 9</x:v>
      </x:c>
      <x:c r="E53" s="20" t="str">
        <x:v>Candidate only</x:v>
      </x:c>
      <x:c r="F53" s="18" t="n">
        <x:v>1</x:v>
      </x:c>
      <x:c r="G53" s="18" t="n">
        <x:v>1</x:v>
      </x:c>
      <x:c r="H53" s="18" t="n">
        <x:v>0</x:v>
      </x:c>
      <x:c r="I53" s="22"/>
      <x:c r="J53" s="22"/>
      <x:c r="K53" s="22"/>
      <x:c r="L53" s="22"/>
      <x:c r="M53" s="22"/>
      <x:c r="N53" s="22"/>
      <x:c r="O53" s="20"/>
      <x:c r="P53" s="20" t="str">
        <x:v>Available candidate amounts require audited-source checking.</x:v>
      </x:c>
    </x:row>
    <x:row r="54" ht="40" customHeight="1">
      <x:c r="A54" s="18" t="str">
        <x:v>GTBank</x:v>
      </x:c>
      <x:c r="B54" s="18" t="n">
        <x:v>2021</x:v>
      </x:c>
      <x:c r="C54" s="18" t="str">
        <x:v>Tier 1</x:v>
      </x:c>
      <x:c r="D54" s="18" t="str">
        <x:v>IFRS 9</x:v>
      </x:c>
      <x:c r="E54" s="20" t="str">
        <x:v>Candidate only</x:v>
      </x:c>
      <x:c r="F54" s="18" t="n">
        <x:v>1</x:v>
      </x:c>
      <x:c r="G54" s="18" t="n">
        <x:v>1</x:v>
      </x:c>
      <x:c r="H54" s="18" t="n">
        <x:v>0</x:v>
      </x:c>
      <x:c r="I54" s="22"/>
      <x:c r="J54" s="22"/>
      <x:c r="K54" s="22"/>
      <x:c r="L54" s="22"/>
      <x:c r="M54" s="22"/>
      <x:c r="N54" s="22"/>
      <x:c r="O54" s="20"/>
      <x:c r="P54" s="20" t="str">
        <x:v>Available candidate amounts require audited-source checking.</x:v>
      </x:c>
    </x:row>
    <x:row r="55" ht="40" customHeight="1">
      <x:c r="A55" s="18" t="str">
        <x:v>GTBank</x:v>
      </x:c>
      <x:c r="B55" s="18" t="n">
        <x:v>2022</x:v>
      </x:c>
      <x:c r="C55" s="18" t="str">
        <x:v>Tier 1</x:v>
      </x:c>
      <x:c r="D55" s="18" t="str">
        <x:v>IFRS 9</x:v>
      </x:c>
      <x:c r="E55" s="20" t="str">
        <x:v>Candidate only</x:v>
      </x:c>
      <x:c r="F55" s="18" t="n">
        <x:v>1</x:v>
      </x:c>
      <x:c r="G55" s="18" t="n">
        <x:v>1</x:v>
      </x:c>
      <x:c r="H55" s="18" t="n">
        <x:v>0</x:v>
      </x:c>
      <x:c r="I55" s="22"/>
      <x:c r="J55" s="22"/>
      <x:c r="K55" s="22"/>
      <x:c r="L55" s="22"/>
      <x:c r="M55" s="22"/>
      <x:c r="N55" s="22"/>
      <x:c r="O55" s="20"/>
      <x:c r="P55" s="20" t="str">
        <x:v>Available candidate amounts require audited-source checking.</x:v>
      </x:c>
    </x:row>
    <x:row r="56" ht="40" customHeight="1">
      <x:c r="A56" s="18" t="str">
        <x:v>Fidelity</x:v>
      </x:c>
      <x:c r="B56" s="18" t="n">
        <x:v>2013</x:v>
      </x:c>
      <x:c r="C56" s="18" t="str">
        <x:v>Tier 2</x:v>
      </x:c>
      <x:c r="D56" s="18" t="str">
        <x:v>IAS 39</x:v>
      </x:c>
      <x:c r="E56" s="20" t="str">
        <x:v>Selected - inherited</x:v>
      </x:c>
      <x:c r="F56" s="18" t="n">
        <x:v>0</x:v>
      </x:c>
      <x:c r="G56" s="18" t="n">
        <x:v>0</x:v>
      </x:c>
      <x:c r="H56" s="18" t="n">
        <x:v>1</x:v>
      </x:c>
      <x:c r="I56" s="22" t="n">
        <x:f>'Selected_Inputs'!E10</x:f>
        <x:v>7721</x:v>
      </x:c>
      <x:c r="J56" s="22" t="n">
        <x:f>'Selected_Inputs'!F10</x:f>
        <x:v>1081217</x:v>
      </x:c>
      <x:c r="K56" s="22" t="n">
        <x:f>'Selected_Inputs'!H10</x:f>
        <x:v>163455</x:v>
      </x:c>
      <x:c r="L56" s="22" t="n">
        <x:f>IF(ISNUMBER('Calculated_Ratios'!D10),'Calculated_Ratios'!D10,"")</x:f>
        <x:v>0.7738112836538004</x:v>
      </x:c>
      <x:c r="M56" s="22" t="n">
        <x:f>IF(ISNUMBER('Calculated_Ratios'!G10),'Calculated_Ratios'!G10,"")</x:f>
        <x:v>3.744050026092909</x:v>
      </x:c>
      <x:c r="N56" s="22" t="n">
        <x:f>IF(ISNUMBER('Selected_Inputs'!T10),'Selected_Inputs'!T10,"")</x:f>
        <x:v>26</x:v>
      </x:c>
      <x:c r="O56" s="20" t="str">
        <x:f>'Selected_Inputs'!AI10</x:f>
        <x:v>FID2013</x:v>
      </x:c>
      <x:c r="P56" s="20" t="str">
        <x:f>'Selected_Inputs'!AK10</x:f>
        <x:v>Prior source-selection policy retained; original evidence preserved in accompanying pack.</x:v>
      </x:c>
    </x:row>
    <x:row r="57" ht="40" customHeight="1">
      <x:c r="A57" s="18" t="str">
        <x:v>Fidelity</x:v>
      </x:c>
      <x:c r="B57" s="18" t="n">
        <x:v>2014</x:v>
      </x:c>
      <x:c r="C57" s="18" t="str">
        <x:v>Tier 2</x:v>
      </x:c>
      <x:c r="D57" s="18" t="str">
        <x:v>IAS 39</x:v>
      </x:c>
      <x:c r="E57" s="20" t="str">
        <x:v>No core data</x:v>
      </x:c>
      <x:c r="F57" s="18" t="n">
        <x:v>0</x:v>
      </x:c>
      <x:c r="G57" s="18" t="n">
        <x:v>0</x:v>
      </x:c>
      <x:c r="H57" s="18" t="n">
        <x:v>0</x:v>
      </x:c>
      <x:c r="I57" s="22"/>
      <x:c r="J57" s="22"/>
      <x:c r="K57" s="22"/>
      <x:c r="L57" s="22"/>
      <x:c r="M57" s="22"/>
      <x:c r="N57" s="22"/>
      <x:c r="O57" s="20"/>
      <x:c r="P57" s="20" t="str">
        <x:v>No populated PAT/assets pair in the current uploads or selected layer.</x:v>
      </x:c>
    </x:row>
    <x:row r="58" ht="40" customHeight="1">
      <x:c r="A58" s="18" t="str">
        <x:v>Fidelity</x:v>
      </x:c>
      <x:c r="B58" s="18" t="n">
        <x:v>2015</x:v>
      </x:c>
      <x:c r="C58" s="18" t="str">
        <x:v>Tier 2</x:v>
      </x:c>
      <x:c r="D58" s="18" t="str">
        <x:v>IAS 39</x:v>
      </x:c>
      <x:c r="E58" s="20" t="str">
        <x:v>Candidate only</x:v>
      </x:c>
      <x:c r="F58" s="18" t="n">
        <x:v>1</x:v>
      </x:c>
      <x:c r="G58" s="18" t="n">
        <x:v>1</x:v>
      </x:c>
      <x:c r="H58" s="18" t="n">
        <x:v>0</x:v>
      </x:c>
      <x:c r="I58" s="22"/>
      <x:c r="J58" s="22"/>
      <x:c r="K58" s="22"/>
      <x:c r="L58" s="22"/>
      <x:c r="M58" s="22"/>
      <x:c r="N58" s="22"/>
      <x:c r="O58" s="20"/>
      <x:c r="P58" s="20" t="str">
        <x:v>Available candidate amounts require audited-source checking.</x:v>
      </x:c>
    </x:row>
    <x:row r="59" ht="40" customHeight="1">
      <x:c r="A59" s="18" t="str">
        <x:v>Fidelity</x:v>
      </x:c>
      <x:c r="B59" s="18" t="n">
        <x:v>2016</x:v>
      </x:c>
      <x:c r="C59" s="18" t="str">
        <x:v>Tier 2</x:v>
      </x:c>
      <x:c r="D59" s="18" t="str">
        <x:v>IAS 39</x:v>
      </x:c>
      <x:c r="E59" s="20" t="str">
        <x:v>Candidate only</x:v>
      </x:c>
      <x:c r="F59" s="18" t="n">
        <x:v>1</x:v>
      </x:c>
      <x:c r="G59" s="18" t="n">
        <x:v>1</x:v>
      </x:c>
      <x:c r="H59" s="18" t="n">
        <x:v>0</x:v>
      </x:c>
      <x:c r="I59" s="22"/>
      <x:c r="J59" s="22"/>
      <x:c r="K59" s="22"/>
      <x:c r="L59" s="22"/>
      <x:c r="M59" s="22"/>
      <x:c r="N59" s="22"/>
      <x:c r="O59" s="20"/>
      <x:c r="P59" s="20" t="str">
        <x:v>Available candidate amounts require audited-source checking.</x:v>
      </x:c>
    </x:row>
    <x:row r="60" ht="40" customHeight="1">
      <x:c r="A60" s="18" t="str">
        <x:v>Fidelity</x:v>
      </x:c>
      <x:c r="B60" s="18" t="n">
        <x:v>2017</x:v>
      </x:c>
      <x:c r="C60" s="18" t="str">
        <x:v>Tier 2</x:v>
      </x:c>
      <x:c r="D60" s="18" t="str">
        <x:v>IAS 39</x:v>
      </x:c>
      <x:c r="E60" s="20" t="str">
        <x:v>Candidate only</x:v>
      </x:c>
      <x:c r="F60" s="18" t="n">
        <x:v>1</x:v>
      </x:c>
      <x:c r="G60" s="18" t="n">
        <x:v>1</x:v>
      </x:c>
      <x:c r="H60" s="18" t="n">
        <x:v>0</x:v>
      </x:c>
      <x:c r="I60" s="22"/>
      <x:c r="J60" s="22"/>
      <x:c r="K60" s="22"/>
      <x:c r="L60" s="22"/>
      <x:c r="M60" s="22"/>
      <x:c r="N60" s="22"/>
      <x:c r="O60" s="20"/>
      <x:c r="P60" s="20" t="str">
        <x:v>Available candidate amounts require audited-source checking.</x:v>
      </x:c>
    </x:row>
    <x:row r="61" ht="40" customHeight="1">
      <x:c r="A61" s="18" t="str">
        <x:v>Fidelity</x:v>
      </x:c>
      <x:c r="B61" s="18" t="n">
        <x:v>2018</x:v>
      </x:c>
      <x:c r="C61" s="18" t="str">
        <x:v>Tier 2</x:v>
      </x:c>
      <x:c r="D61" s="18" t="str">
        <x:v>IFRS 9</x:v>
      </x:c>
      <x:c r="E61" s="20" t="str">
        <x:v>Selected - inherited</x:v>
      </x:c>
      <x:c r="F61" s="18" t="n">
        <x:v>1</x:v>
      </x:c>
      <x:c r="G61" s="18" t="n">
        <x:v>1</x:v>
      </x:c>
      <x:c r="H61" s="18" t="n">
        <x:v>1</x:v>
      </x:c>
      <x:c r="I61" s="22" t="n">
        <x:f>'Selected_Inputs'!E11</x:f>
        <x:v>22926</x:v>
      </x:c>
      <x:c r="J61" s="22" t="n">
        <x:f>'Selected_Inputs'!F11</x:f>
        <x:v>1719883</x:v>
      </x:c>
      <x:c r="K61" s="22" t="n">
        <x:f>'Selected_Inputs'!H11</x:f>
        <x:v>194416</x:v>
      </x:c>
      <x:c r="L61" s="22" t="str">
        <x:f>IF(ISNUMBER('Calculated_Ratios'!D11),'Calculated_Ratios'!D11,"")</x:f>
      </x:c>
      <x:c r="M61" s="22" t="str">
        <x:f>IF(ISNUMBER('Calculated_Ratios'!G11),'Calculated_Ratios'!G11,"")</x:f>
      </x:c>
      <x:c r="N61" s="22" t="str">
        <x:f>IF(ISNUMBER('Selected_Inputs'!T11),'Selected_Inputs'!T11,"")</x:f>
      </x:c>
      <x:c r="O61" s="20" t="str">
        <x:f>'Selected_Inputs'!AI11</x:f>
        <x:v>FID2019</x:v>
      </x:c>
      <x:c r="P61" s="20" t="str">
        <x:f>'Selected_Inputs'!AK11</x:f>
        <x:v>Prior source-selection policy retained; original evidence preserved in accompanying pack.</x:v>
      </x:c>
    </x:row>
    <x:row r="62" ht="40" customHeight="1">
      <x:c r="A62" s="18" t="str">
        <x:v>Fidelity</x:v>
      </x:c>
      <x:c r="B62" s="18" t="n">
        <x:v>2019</x:v>
      </x:c>
      <x:c r="C62" s="18" t="str">
        <x:v>Tier 2</x:v>
      </x:c>
      <x:c r="D62" s="18" t="str">
        <x:v>IFRS 9</x:v>
      </x:c>
      <x:c r="E62" s="20" t="str">
        <x:v>Selected - inherited</x:v>
      </x:c>
      <x:c r="F62" s="18" t="n">
        <x:v>1</x:v>
      </x:c>
      <x:c r="G62" s="18" t="n">
        <x:v>1</x:v>
      </x:c>
      <x:c r="H62" s="18" t="n">
        <x:v>1</x:v>
      </x:c>
      <x:c r="I62" s="22" t="n">
        <x:f>'Selected_Inputs'!E12</x:f>
        <x:v>28425</x:v>
      </x:c>
      <x:c r="J62" s="22" t="n">
        <x:f>'Selected_Inputs'!F12</x:f>
        <x:v>2114037</x:v>
      </x:c>
      <x:c r="K62" s="22" t="n">
        <x:f>'Selected_Inputs'!H12</x:f>
        <x:v>234030</x:v>
      </x:c>
      <x:c r="L62" s="22" t="n">
        <x:f>IF(ISNUMBER('Calculated_Ratios'!D12),'Calculated_Ratios'!D12,"")</x:f>
        <x:v>1.4828165428595277</x:v>
      </x:c>
      <x:c r="M62" s="22" t="str">
        <x:f>IF(ISNUMBER('Calculated_Ratios'!G12),'Calculated_Ratios'!G12,"")</x:f>
      </x:c>
      <x:c r="N62" s="22" t="str">
        <x:f>IF(ISNUMBER('Selected_Inputs'!T12),'Selected_Inputs'!T12,"")</x:f>
      </x:c>
      <x:c r="O62" s="20" t="str">
        <x:f>'Selected_Inputs'!AI12</x:f>
        <x:v>FID2019</x:v>
      </x:c>
      <x:c r="P62" s="20" t="str">
        <x:f>'Selected_Inputs'!AK12</x:f>
        <x:v>Prior source-selection policy retained; original evidence preserved in accompanying pack.</x:v>
      </x:c>
    </x:row>
    <x:row r="63" ht="40" customHeight="1">
      <x:c r="A63" s="18" t="str">
        <x:v>Fidelity</x:v>
      </x:c>
      <x:c r="B63" s="18" t="n">
        <x:v>2020</x:v>
      </x:c>
      <x:c r="C63" s="18" t="str">
        <x:v>Tier 2</x:v>
      </x:c>
      <x:c r="D63" s="18" t="str">
        <x:v>IFRS 9</x:v>
      </x:c>
      <x:c r="E63" s="20" t="str">
        <x:v>Candidate only</x:v>
      </x:c>
      <x:c r="F63" s="18" t="n">
        <x:v>1</x:v>
      </x:c>
      <x:c r="G63" s="18" t="n">
        <x:v>1</x:v>
      </x:c>
      <x:c r="H63" s="18" t="n">
        <x:v>0</x:v>
      </x:c>
      <x:c r="I63" s="22"/>
      <x:c r="J63" s="22"/>
      <x:c r="K63" s="22"/>
      <x:c r="L63" s="22"/>
      <x:c r="M63" s="22"/>
      <x:c r="N63" s="22"/>
      <x:c r="O63" s="20"/>
      <x:c r="P63" s="20" t="str">
        <x:v>Available candidate amounts require audited-source checking.</x:v>
      </x:c>
    </x:row>
    <x:row r="64" ht="40" customHeight="1">
      <x:c r="A64" s="18" t="str">
        <x:v>Fidelity</x:v>
      </x:c>
      <x:c r="B64" s="18" t="n">
        <x:v>2021</x:v>
      </x:c>
      <x:c r="C64" s="18" t="str">
        <x:v>Tier 2</x:v>
      </x:c>
      <x:c r="D64" s="18" t="str">
        <x:v>IFRS 9</x:v>
      </x:c>
      <x:c r="E64" s="20" t="str">
        <x:v>Candidate only</x:v>
      </x:c>
      <x:c r="F64" s="18" t="n">
        <x:v>1</x:v>
      </x:c>
      <x:c r="G64" s="18" t="n">
        <x:v>1</x:v>
      </x:c>
      <x:c r="H64" s="18" t="n">
        <x:v>0</x:v>
      </x:c>
      <x:c r="I64" s="22"/>
      <x:c r="J64" s="22"/>
      <x:c r="K64" s="22"/>
      <x:c r="L64" s="22"/>
      <x:c r="M64" s="22"/>
      <x:c r="N64" s="22"/>
      <x:c r="O64" s="20"/>
      <x:c r="P64" s="20" t="str">
        <x:v>Available candidate amounts require audited-source checking.</x:v>
      </x:c>
    </x:row>
    <x:row r="65" ht="40" customHeight="1">
      <x:c r="A65" s="18" t="str">
        <x:v>Fidelity</x:v>
      </x:c>
      <x:c r="B65" s="18" t="n">
        <x:v>2022</x:v>
      </x:c>
      <x:c r="C65" s="18" t="str">
        <x:v>Tier 2</x:v>
      </x:c>
      <x:c r="D65" s="18" t="str">
        <x:v>IFRS 9</x:v>
      </x:c>
      <x:c r="E65" s="20" t="str">
        <x:v>Candidate only</x:v>
      </x:c>
      <x:c r="F65" s="18" t="n">
        <x:v>1</x:v>
      </x:c>
      <x:c r="G65" s="18" t="n">
        <x:v>1</x:v>
      </x:c>
      <x:c r="H65" s="18" t="n">
        <x:v>0</x:v>
      </x:c>
      <x:c r="I65" s="22"/>
      <x:c r="J65" s="22"/>
      <x:c r="K65" s="22"/>
      <x:c r="L65" s="22"/>
      <x:c r="M65" s="22"/>
      <x:c r="N65" s="22"/>
      <x:c r="O65" s="20"/>
      <x:c r="P65" s="20" t="str">
        <x:v>Available candidate amounts require audited-source checking.</x:v>
      </x:c>
    </x:row>
    <x:row r="66" ht="40" customHeight="1">
      <x:c r="A66" s="18" t="str">
        <x:v>Stanbic</x:v>
      </x:c>
      <x:c r="B66" s="18" t="n">
        <x:v>2013</x:v>
      </x:c>
      <x:c r="C66" s="18" t="str">
        <x:v>Tier 2</x:v>
      </x:c>
      <x:c r="D66" s="18" t="str">
        <x:v>IAS 39</x:v>
      </x:c>
      <x:c r="E66" s="20" t="str">
        <x:v>No core data</x:v>
      </x:c>
      <x:c r="F66" s="18" t="n">
        <x:v>0</x:v>
      </x:c>
      <x:c r="G66" s="18" t="n">
        <x:v>0</x:v>
      </x:c>
      <x:c r="H66" s="18" t="n">
        <x:v>0</x:v>
      </x:c>
      <x:c r="I66" s="22"/>
      <x:c r="J66" s="22"/>
      <x:c r="K66" s="22"/>
      <x:c r="L66" s="22"/>
      <x:c r="M66" s="22"/>
      <x:c r="N66" s="22"/>
      <x:c r="O66" s="20"/>
      <x:c r="P66" s="20" t="str">
        <x:v>No populated PAT/assets pair in the current uploads or selected layer.</x:v>
      </x:c>
    </x:row>
    <x:row r="67" ht="40" customHeight="1">
      <x:c r="A67" s="18" t="str">
        <x:v>Stanbic</x:v>
      </x:c>
      <x:c r="B67" s="18" t="n">
        <x:v>2014</x:v>
      </x:c>
      <x:c r="C67" s="18" t="str">
        <x:v>Tier 2</x:v>
      </x:c>
      <x:c r="D67" s="18" t="str">
        <x:v>IAS 39</x:v>
      </x:c>
      <x:c r="E67" s="20" t="str">
        <x:v>No core data</x:v>
      </x:c>
      <x:c r="F67" s="18" t="n">
        <x:v>0</x:v>
      </x:c>
      <x:c r="G67" s="18" t="n">
        <x:v>0</x:v>
      </x:c>
      <x:c r="H67" s="18" t="n">
        <x:v>0</x:v>
      </x:c>
      <x:c r="I67" s="22"/>
      <x:c r="J67" s="22"/>
      <x:c r="K67" s="22"/>
      <x:c r="L67" s="22"/>
      <x:c r="M67" s="22"/>
      <x:c r="N67" s="22"/>
      <x:c r="O67" s="20"/>
      <x:c r="P67" s="20" t="str">
        <x:v>No populated PAT/assets pair in the current uploads or selected layer.</x:v>
      </x:c>
    </x:row>
    <x:row r="68" ht="40" customHeight="1">
      <x:c r="A68" s="18" t="str">
        <x:v>Stanbic</x:v>
      </x:c>
      <x:c r="B68" s="18" t="n">
        <x:v>2015</x:v>
      </x:c>
      <x:c r="C68" s="18" t="str">
        <x:v>Tier 2</x:v>
      </x:c>
      <x:c r="D68" s="18" t="str">
        <x:v>IAS 39</x:v>
      </x:c>
      <x:c r="E68" s="20" t="str">
        <x:v>Candidate only</x:v>
      </x:c>
      <x:c r="F68" s="18" t="n">
        <x:v>1</x:v>
      </x:c>
      <x:c r="G68" s="18" t="n">
        <x:v>1</x:v>
      </x:c>
      <x:c r="H68" s="18" t="n">
        <x:v>0</x:v>
      </x:c>
      <x:c r="I68" s="22"/>
      <x:c r="J68" s="22"/>
      <x:c r="K68" s="22"/>
      <x:c r="L68" s="22"/>
      <x:c r="M68" s="22"/>
      <x:c r="N68" s="22"/>
      <x:c r="O68" s="20"/>
      <x:c r="P68" s="20" t="str">
        <x:v>Available candidate amounts require audited-source checking.</x:v>
      </x:c>
    </x:row>
    <x:row r="69" ht="40" customHeight="1">
      <x:c r="A69" s="18" t="str">
        <x:v>Stanbic</x:v>
      </x:c>
      <x:c r="B69" s="18" t="n">
        <x:v>2016</x:v>
      </x:c>
      <x:c r="C69" s="18" t="str">
        <x:v>Tier 2</x:v>
      </x:c>
      <x:c r="D69" s="18" t="str">
        <x:v>IAS 39</x:v>
      </x:c>
      <x:c r="E69" s="20" t="str">
        <x:v>Candidate only</x:v>
      </x:c>
      <x:c r="F69" s="18" t="n">
        <x:v>1</x:v>
      </x:c>
      <x:c r="G69" s="18" t="n">
        <x:v>1</x:v>
      </x:c>
      <x:c r="H69" s="18" t="n">
        <x:v>0</x:v>
      </x:c>
      <x:c r="I69" s="22"/>
      <x:c r="J69" s="22"/>
      <x:c r="K69" s="22"/>
      <x:c r="L69" s="22"/>
      <x:c r="M69" s="22"/>
      <x:c r="N69" s="22"/>
      <x:c r="O69" s="20"/>
      <x:c r="P69" s="20" t="str">
        <x:v>Available candidate amounts require audited-source checking.</x:v>
      </x:c>
    </x:row>
    <x:row r="70" ht="40" customHeight="1">
      <x:c r="A70" s="18" t="str">
        <x:v>Stanbic</x:v>
      </x:c>
      <x:c r="B70" s="18" t="n">
        <x:v>2017</x:v>
      </x:c>
      <x:c r="C70" s="18" t="str">
        <x:v>Tier 2</x:v>
      </x:c>
      <x:c r="D70" s="18" t="str">
        <x:v>IAS 39</x:v>
      </x:c>
      <x:c r="E70" s="20" t="str">
        <x:v>Candidate only</x:v>
      </x:c>
      <x:c r="F70" s="18" t="n">
        <x:v>1</x:v>
      </x:c>
      <x:c r="G70" s="18" t="n">
        <x:v>1</x:v>
      </x:c>
      <x:c r="H70" s="18" t="n">
        <x:v>0</x:v>
      </x:c>
      <x:c r="I70" s="22"/>
      <x:c r="J70" s="22"/>
      <x:c r="K70" s="22"/>
      <x:c r="L70" s="22"/>
      <x:c r="M70" s="22"/>
      <x:c r="N70" s="22"/>
      <x:c r="O70" s="20"/>
      <x:c r="P70" s="20" t="str">
        <x:v>Available candidate amounts require audited-source checking.</x:v>
      </x:c>
    </x:row>
    <x:row r="71" ht="40" customHeight="1">
      <x:c r="A71" s="18" t="str">
        <x:v>Stanbic</x:v>
      </x:c>
      <x:c r="B71" s="18" t="n">
        <x:v>2018</x:v>
      </x:c>
      <x:c r="C71" s="18" t="str">
        <x:v>Tier 2</x:v>
      </x:c>
      <x:c r="D71" s="18" t="str">
        <x:v>IFRS 9</x:v>
      </x:c>
      <x:c r="E71" s="20" t="str">
        <x:v>Candidate only</x:v>
      </x:c>
      <x:c r="F71" s="18" t="n">
        <x:v>1</x:v>
      </x:c>
      <x:c r="G71" s="18" t="n">
        <x:v>1</x:v>
      </x:c>
      <x:c r="H71" s="18" t="n">
        <x:v>0</x:v>
      </x:c>
      <x:c r="I71" s="22"/>
      <x:c r="J71" s="22"/>
      <x:c r="K71" s="22"/>
      <x:c r="L71" s="22"/>
      <x:c r="M71" s="22"/>
      <x:c r="N71" s="22"/>
      <x:c r="O71" s="20"/>
      <x:c r="P71" s="20" t="str">
        <x:v>Available candidate amounts require audited-source checking.</x:v>
      </x:c>
    </x:row>
    <x:row r="72" ht="40" customHeight="1">
      <x:c r="A72" s="18" t="str">
        <x:v>Stanbic</x:v>
      </x:c>
      <x:c r="B72" s="18" t="n">
        <x:v>2019</x:v>
      </x:c>
      <x:c r="C72" s="18" t="str">
        <x:v>Tier 2</x:v>
      </x:c>
      <x:c r="D72" s="18" t="str">
        <x:v>IFRS 9</x:v>
      </x:c>
      <x:c r="E72" s="20" t="str">
        <x:v>Candidate only</x:v>
      </x:c>
      <x:c r="F72" s="18" t="n">
        <x:v>1</x:v>
      </x:c>
      <x:c r="G72" s="18" t="n">
        <x:v>1</x:v>
      </x:c>
      <x:c r="H72" s="18" t="n">
        <x:v>0</x:v>
      </x:c>
      <x:c r="I72" s="22"/>
      <x:c r="J72" s="22"/>
      <x:c r="K72" s="22"/>
      <x:c r="L72" s="22"/>
      <x:c r="M72" s="22"/>
      <x:c r="N72" s="22"/>
      <x:c r="O72" s="20"/>
      <x:c r="P72" s="20" t="str">
        <x:v>Available candidate amounts require audited-source checking.</x:v>
      </x:c>
    </x:row>
    <x:row r="73" ht="40" customHeight="1">
      <x:c r="A73" s="18" t="str">
        <x:v>Stanbic</x:v>
      </x:c>
      <x:c r="B73" s="18" t="n">
        <x:v>2020</x:v>
      </x:c>
      <x:c r="C73" s="18" t="str">
        <x:v>Tier 2</x:v>
      </x:c>
      <x:c r="D73" s="18" t="str">
        <x:v>IFRS 9</x:v>
      </x:c>
      <x:c r="E73" s="20" t="str">
        <x:v>Candidate only</x:v>
      </x:c>
      <x:c r="F73" s="18" t="n">
        <x:v>1</x:v>
      </x:c>
      <x:c r="G73" s="18" t="n">
        <x:v>1</x:v>
      </x:c>
      <x:c r="H73" s="18" t="n">
        <x:v>0</x:v>
      </x:c>
      <x:c r="I73" s="22"/>
      <x:c r="J73" s="22"/>
      <x:c r="K73" s="22"/>
      <x:c r="L73" s="22"/>
      <x:c r="M73" s="22"/>
      <x:c r="N73" s="22"/>
      <x:c r="O73" s="20"/>
      <x:c r="P73" s="20" t="str">
        <x:v>Available candidate amounts require audited-source checking.</x:v>
      </x:c>
    </x:row>
    <x:row r="74" ht="40" customHeight="1">
      <x:c r="A74" s="18" t="str">
        <x:v>Stanbic</x:v>
      </x:c>
      <x:c r="B74" s="18" t="n">
        <x:v>2021</x:v>
      </x:c>
      <x:c r="C74" s="18" t="str">
        <x:v>Tier 2</x:v>
      </x:c>
      <x:c r="D74" s="18" t="str">
        <x:v>IFRS 9</x:v>
      </x:c>
      <x:c r="E74" s="20" t="str">
        <x:v>Candidate only</x:v>
      </x:c>
      <x:c r="F74" s="18" t="n">
        <x:v>1</x:v>
      </x:c>
      <x:c r="G74" s="18" t="n">
        <x:v>1</x:v>
      </x:c>
      <x:c r="H74" s="18" t="n">
        <x:v>0</x:v>
      </x:c>
      <x:c r="I74" s="22"/>
      <x:c r="J74" s="22"/>
      <x:c r="K74" s="22"/>
      <x:c r="L74" s="22"/>
      <x:c r="M74" s="22"/>
      <x:c r="N74" s="22"/>
      <x:c r="O74" s="20"/>
      <x:c r="P74" s="20" t="str">
        <x:v>Available candidate amounts require audited-source checking.</x:v>
      </x:c>
    </x:row>
    <x:row r="75" ht="40" customHeight="1">
      <x:c r="A75" s="18" t="str">
        <x:v>Stanbic</x:v>
      </x:c>
      <x:c r="B75" s="18" t="n">
        <x:v>2022</x:v>
      </x:c>
      <x:c r="C75" s="18" t="str">
        <x:v>Tier 2</x:v>
      </x:c>
      <x:c r="D75" s="18" t="str">
        <x:v>IFRS 9</x:v>
      </x:c>
      <x:c r="E75" s="20" t="str">
        <x:v>Candidate only</x:v>
      </x:c>
      <x:c r="F75" s="18" t="n">
        <x:v>1</x:v>
      </x:c>
      <x:c r="G75" s="18" t="n">
        <x:v>1</x:v>
      </x:c>
      <x:c r="H75" s="18" t="n">
        <x:v>0</x:v>
      </x:c>
      <x:c r="I75" s="22"/>
      <x:c r="J75" s="22"/>
      <x:c r="K75" s="22"/>
      <x:c r="L75" s="22"/>
      <x:c r="M75" s="22"/>
      <x:c r="N75" s="22"/>
      <x:c r="O75" s="20"/>
      <x:c r="P75" s="20" t="str">
        <x:v>Available candidate amounts require audited-source checking.</x:v>
      </x:c>
    </x:row>
    <x:row r="76" ht="40" customHeight="1">
      <x:c r="A76" s="18" t="str">
        <x:v>Sterling</x:v>
      </x:c>
      <x:c r="B76" s="18" t="n">
        <x:v>2013</x:v>
      </x:c>
      <x:c r="C76" s="18" t="str">
        <x:v>Tier 2</x:v>
      </x:c>
      <x:c r="D76" s="18" t="str">
        <x:v>IAS 39</x:v>
      </x:c>
      <x:c r="E76" s="20" t="str">
        <x:v>Selected - inherited</x:v>
      </x:c>
      <x:c r="F76" s="18" t="n">
        <x:v>0</x:v>
      </x:c>
      <x:c r="G76" s="18" t="n">
        <x:v>0</x:v>
      </x:c>
      <x:c r="H76" s="18" t="n">
        <x:v>1</x:v>
      </x:c>
      <x:c r="I76" s="22" t="n">
        <x:f>'Selected_Inputs'!E17</x:f>
        <x:v>8274.864</x:v>
      </x:c>
      <x:c r="J76" s="22" t="n">
        <x:f>'Selected_Inputs'!F17</x:f>
        <x:v>707797.181</x:v>
      </x:c>
      <x:c r="K76" s="22" t="n">
        <x:f>'Selected_Inputs'!H17</x:f>
        <x:v>63457.896</x:v>
      </x:c>
      <x:c r="L76" s="22" t="str">
        <x:f>IF(ISNUMBER('Calculated_Ratios'!D17),'Calculated_Ratios'!D17,"")</x:f>
      </x:c>
      <x:c r="M76" s="22" t="n">
        <x:f>IF(ISNUMBER('Calculated_Ratios'!G17),'Calculated_Ratios'!G17,"")</x:f>
        <x:v>2.1058396913593183</x:v>
      </x:c>
      <x:c r="N76" s="22" t="n">
        <x:f>IF(ISNUMBER('Selected_Inputs'!T17),'Selected_Inputs'!T17,"")</x:f>
        <x:v>14</x:v>
      </x:c>
      <x:c r="O76" s="20" t="str">
        <x:f>'Selected_Inputs'!AI17</x:f>
        <x:v>STER2014</x:v>
      </x:c>
      <x:c r="P76" s="20" t="str">
        <x:f>'Selected_Inputs'!AK17</x:f>
        <x:v>Prior source-selection policy retained; original evidence preserved in accompanying pack.</x:v>
      </x:c>
    </x:row>
    <x:row r="77" ht="40" customHeight="1">
      <x:c r="A77" s="18" t="str">
        <x:v>Sterling</x:v>
      </x:c>
      <x:c r="B77" s="18" t="n">
        <x:v>2014</x:v>
      </x:c>
      <x:c r="C77" s="18" t="str">
        <x:v>Tier 2</x:v>
      </x:c>
      <x:c r="D77" s="18" t="str">
        <x:v>IAS 39</x:v>
      </x:c>
      <x:c r="E77" s="20" t="str">
        <x:v>Selected - inherited</x:v>
      </x:c>
      <x:c r="F77" s="18" t="n">
        <x:v>0</x:v>
      </x:c>
      <x:c r="G77" s="18" t="n">
        <x:v>0</x:v>
      </x:c>
      <x:c r="H77" s="18" t="n">
        <x:v>1</x:v>
      </x:c>
      <x:c r="I77" s="22" t="n">
        <x:f>'Selected_Inputs'!E18</x:f>
        <x:v>9004.973</x:v>
      </x:c>
      <x:c r="J77" s="22" t="n">
        <x:f>'Selected_Inputs'!F18</x:f>
        <x:v>824539.426</x:v>
      </x:c>
      <x:c r="K77" s="22" t="n">
        <x:f>'Selected_Inputs'!H18</x:f>
        <x:v>84715.285</x:v>
      </x:c>
      <x:c r="L77" s="22" t="n">
        <x:f>IF(ISNUMBER('Calculated_Ratios'!D18),'Calculated_Ratios'!D18,"")</x:f>
        <x:v>1.1753257030946858</x:v>
      </x:c>
      <x:c r="M77" s="22" t="n">
        <x:f>IF(ISNUMBER('Calculated_Ratios'!G18),'Calculated_Ratios'!G18,"")</x:f>
        <x:v>2.540694951544191</x:v>
      </x:c>
      <x:c r="N77" s="22" t="n">
        <x:f>IF(ISNUMBER('Selected_Inputs'!T18),'Selected_Inputs'!T18,"")</x:f>
        <x:v>14</x:v>
      </x:c>
      <x:c r="O77" s="20" t="str">
        <x:f>'Selected_Inputs'!AI18</x:f>
        <x:v>STER2014</x:v>
      </x:c>
      <x:c r="P77" s="20" t="str">
        <x:f>'Selected_Inputs'!AK18</x:f>
        <x:v>Prior source-selection policy retained; original evidence preserved in accompanying pack.</x:v>
      </x:c>
    </x:row>
    <x:row r="78" ht="40" customHeight="1">
      <x:c r="A78" s="18" t="str">
        <x:v>Sterling</x:v>
      </x:c>
      <x:c r="B78" s="18" t="n">
        <x:v>2015</x:v>
      </x:c>
      <x:c r="C78" s="18" t="str">
        <x:v>Tier 2</x:v>
      </x:c>
      <x:c r="D78" s="18" t="str">
        <x:v>IAS 39</x:v>
      </x:c>
      <x:c r="E78" s="20" t="str">
        <x:v>Candidate only</x:v>
      </x:c>
      <x:c r="F78" s="18" t="n">
        <x:v>1</x:v>
      </x:c>
      <x:c r="G78" s="18" t="n">
        <x:v>1</x:v>
      </x:c>
      <x:c r="H78" s="18" t="n">
        <x:v>0</x:v>
      </x:c>
      <x:c r="I78" s="22"/>
      <x:c r="J78" s="22"/>
      <x:c r="K78" s="22"/>
      <x:c r="L78" s="22"/>
      <x:c r="M78" s="22"/>
      <x:c r="N78" s="22"/>
      <x:c r="O78" s="20"/>
      <x:c r="P78" s="20" t="str">
        <x:v>Available candidate amounts require audited-source checking.</x:v>
      </x:c>
    </x:row>
    <x:row r="79" ht="40" customHeight="1">
      <x:c r="A79" s="18" t="str">
        <x:v>Sterling</x:v>
      </x:c>
      <x:c r="B79" s="18" t="n">
        <x:v>2016</x:v>
      </x:c>
      <x:c r="C79" s="18" t="str">
        <x:v>Tier 2</x:v>
      </x:c>
      <x:c r="D79" s="18" t="str">
        <x:v>IAS 39</x:v>
      </x:c>
      <x:c r="E79" s="20" t="str">
        <x:v>Candidate only</x:v>
      </x:c>
      <x:c r="F79" s="18" t="n">
        <x:v>1</x:v>
      </x:c>
      <x:c r="G79" s="18" t="n">
        <x:v>1</x:v>
      </x:c>
      <x:c r="H79" s="18" t="n">
        <x:v>0</x:v>
      </x:c>
      <x:c r="I79" s="22"/>
      <x:c r="J79" s="22"/>
      <x:c r="K79" s="22"/>
      <x:c r="L79" s="22"/>
      <x:c r="M79" s="22"/>
      <x:c r="N79" s="22"/>
      <x:c r="O79" s="20"/>
      <x:c r="P79" s="20" t="str">
        <x:v>Available candidate amounts require audited-source checking.</x:v>
      </x:c>
    </x:row>
    <x:row r="80" ht="40" customHeight="1">
      <x:c r="A80" s="18" t="str">
        <x:v>Sterling</x:v>
      </x:c>
      <x:c r="B80" s="18" t="n">
        <x:v>2017</x:v>
      </x:c>
      <x:c r="C80" s="18" t="str">
        <x:v>Tier 2</x:v>
      </x:c>
      <x:c r="D80" s="18" t="str">
        <x:v>IAS 39</x:v>
      </x:c>
      <x:c r="E80" s="20" t="str">
        <x:v>Candidate only</x:v>
      </x:c>
      <x:c r="F80" s="18" t="n">
        <x:v>1</x:v>
      </x:c>
      <x:c r="G80" s="18" t="n">
        <x:v>1</x:v>
      </x:c>
      <x:c r="H80" s="18" t="n">
        <x:v>0</x:v>
      </x:c>
      <x:c r="I80" s="22"/>
      <x:c r="J80" s="22"/>
      <x:c r="K80" s="22"/>
      <x:c r="L80" s="22"/>
      <x:c r="M80" s="22"/>
      <x:c r="N80" s="22"/>
      <x:c r="O80" s="20"/>
      <x:c r="P80" s="20" t="str">
        <x:v>Available candidate amounts require audited-source checking.</x:v>
      </x:c>
    </x:row>
    <x:row r="81" ht="40" customHeight="1">
      <x:c r="A81" s="18" t="str">
        <x:v>Sterling</x:v>
      </x:c>
      <x:c r="B81" s="18" t="n">
        <x:v>2018</x:v>
      </x:c>
      <x:c r="C81" s="18" t="str">
        <x:v>Tier 2</x:v>
      </x:c>
      <x:c r="D81" s="18" t="str">
        <x:v>IFRS 9</x:v>
      </x:c>
      <x:c r="E81" s="20" t="str">
        <x:v>Selected - inherited</x:v>
      </x:c>
      <x:c r="F81" s="18" t="n">
        <x:v>1</x:v>
      </x:c>
      <x:c r="G81" s="18" t="n">
        <x:v>1</x:v>
      </x:c>
      <x:c r="H81" s="18" t="n">
        <x:v>1</x:v>
      </x:c>
      <x:c r="I81" s="22" t="n">
        <x:f>'Selected_Inputs'!E19</x:f>
        <x:v>9468</x:v>
      </x:c>
      <x:c r="J81" s="22" t="n">
        <x:f>'Selected_Inputs'!F19</x:f>
        <x:v>1085876</x:v>
      </x:c>
      <x:c r="K81" s="22" t="n">
        <x:f>'Selected_Inputs'!H19</x:f>
        <x:v>98009</x:v>
      </x:c>
      <x:c r="L81" s="22" t="str">
        <x:f>IF(ISNUMBER('Calculated_Ratios'!D19),'Calculated_Ratios'!D19,"")</x:f>
      </x:c>
      <x:c r="M81" s="22" t="n">
        <x:f>IF(ISNUMBER('Calculated_Ratios'!G19),'Calculated_Ratios'!G19,"")</x:f>
        <x:v>3.0687802609110975</x:v>
      </x:c>
      <x:c r="N81" s="22" t="n">
        <x:f>IF(ISNUMBER('Selected_Inputs'!T19),'Selected_Inputs'!T19,"")</x:f>
        <x:v>12.86</x:v>
      </x:c>
      <x:c r="O81" s="20" t="str">
        <x:f>'Selected_Inputs'!AI19</x:f>
        <x:v>STER2019</x:v>
      </x:c>
      <x:c r="P81" s="20" t="str">
        <x:f>'Selected_Inputs'!AK19</x:f>
        <x:v>Prior source-selection policy retained; original evidence preserved in accompanying pack.</x:v>
      </x:c>
    </x:row>
    <x:row r="82" ht="40" customHeight="1">
      <x:c r="A82" s="18" t="str">
        <x:v>Sterling</x:v>
      </x:c>
      <x:c r="B82" s="18" t="n">
        <x:v>2019</x:v>
      </x:c>
      <x:c r="C82" s="18" t="str">
        <x:v>Tier 2</x:v>
      </x:c>
      <x:c r="D82" s="18" t="str">
        <x:v>IFRS 9</x:v>
      </x:c>
      <x:c r="E82" s="20" t="str">
        <x:v>Selected - inherited</x:v>
      </x:c>
      <x:c r="F82" s="18" t="n">
        <x:v>1</x:v>
      </x:c>
      <x:c r="G82" s="18" t="n">
        <x:v>1</x:v>
      </x:c>
      <x:c r="H82" s="18" t="n">
        <x:v>1</x:v>
      </x:c>
      <x:c r="I82" s="22" t="n">
        <x:f>'Selected_Inputs'!E20</x:f>
        <x:v>10163</x:v>
      </x:c>
      <x:c r="J82" s="22" t="n">
        <x:f>'Selected_Inputs'!F20</x:f>
        <x:v>1165509</x:v>
      </x:c>
      <x:c r="K82" s="22" t="n">
        <x:f>'Selected_Inputs'!H20</x:f>
        <x:v>119328</x:v>
      </x:c>
      <x:c r="L82" s="22" t="n">
        <x:f>IF(ISNUMBER('Calculated_Ratios'!D20),'Calculated_Ratios'!D20,"")</x:f>
        <x:v>0.9028220406549746</x:v>
      </x:c>
      <x:c r="M82" s="22" t="n">
        <x:f>IF(ISNUMBER('Calculated_Ratios'!G20),'Calculated_Ratios'!G20,"")</x:f>
        <x:v>2.052563091857185</x:v>
      </x:c>
      <x:c r="N82" s="22" t="n">
        <x:f>IF(ISNUMBER('Selected_Inputs'!T20),'Selected_Inputs'!T20,"")</x:f>
        <x:v>14.7</x:v>
      </x:c>
      <x:c r="O82" s="20" t="str">
        <x:f>'Selected_Inputs'!AI20</x:f>
        <x:v>STER2019</x:v>
      </x:c>
      <x:c r="P82" s="20" t="str">
        <x:f>'Selected_Inputs'!AK20</x:f>
        <x:v>Prior source-selection policy retained; original evidence preserved in accompanying pack.</x:v>
      </x:c>
    </x:row>
    <x:row r="83" ht="40" customHeight="1">
      <x:c r="A83" s="18" t="str">
        <x:v>Sterling</x:v>
      </x:c>
      <x:c r="B83" s="18" t="n">
        <x:v>2020</x:v>
      </x:c>
      <x:c r="C83" s="18" t="str">
        <x:v>Tier 2</x:v>
      </x:c>
      <x:c r="D83" s="18" t="str">
        <x:v>IFRS 9</x:v>
      </x:c>
      <x:c r="E83" s="20" t="str">
        <x:v>Candidate only</x:v>
      </x:c>
      <x:c r="F83" s="18" t="n">
        <x:v>1</x:v>
      </x:c>
      <x:c r="G83" s="18" t="n">
        <x:v>1</x:v>
      </x:c>
      <x:c r="H83" s="18" t="n">
        <x:v>0</x:v>
      </x:c>
      <x:c r="I83" s="22"/>
      <x:c r="J83" s="22"/>
      <x:c r="K83" s="22"/>
      <x:c r="L83" s="22"/>
      <x:c r="M83" s="22"/>
      <x:c r="N83" s="22"/>
      <x:c r="O83" s="20"/>
      <x:c r="P83" s="20" t="str">
        <x:v>Available candidate amounts require audited-source checking.</x:v>
      </x:c>
    </x:row>
    <x:row r="84" ht="40" customHeight="1">
      <x:c r="A84" s="18" t="str">
        <x:v>Sterling</x:v>
      </x:c>
      <x:c r="B84" s="18" t="n">
        <x:v>2021</x:v>
      </x:c>
      <x:c r="C84" s="18" t="str">
        <x:v>Tier 2</x:v>
      </x:c>
      <x:c r="D84" s="18" t="str">
        <x:v>IFRS 9</x:v>
      </x:c>
      <x:c r="E84" s="20" t="str">
        <x:v>Candidate only</x:v>
      </x:c>
      <x:c r="F84" s="18" t="n">
        <x:v>1</x:v>
      </x:c>
      <x:c r="G84" s="18" t="n">
        <x:v>1</x:v>
      </x:c>
      <x:c r="H84" s="18" t="n">
        <x:v>0</x:v>
      </x:c>
      <x:c r="I84" s="22"/>
      <x:c r="J84" s="22"/>
      <x:c r="K84" s="22"/>
      <x:c r="L84" s="22"/>
      <x:c r="M84" s="22"/>
      <x:c r="N84" s="22"/>
      <x:c r="O84" s="20"/>
      <x:c r="P84" s="20" t="str">
        <x:v>Available candidate amounts require audited-source checking.</x:v>
      </x:c>
    </x:row>
    <x:row r="85" ht="40" customHeight="1">
      <x:c r="A85" s="18" t="str">
        <x:v>Sterling</x:v>
      </x:c>
      <x:c r="B85" s="18" t="n">
        <x:v>2022</x:v>
      </x:c>
      <x:c r="C85" s="18" t="str">
        <x:v>Tier 2</x:v>
      </x:c>
      <x:c r="D85" s="18" t="str">
        <x:v>IFRS 9</x:v>
      </x:c>
      <x:c r="E85" s="20" t="str">
        <x:v>Candidate only</x:v>
      </x:c>
      <x:c r="F85" s="18" t="n">
        <x:v>1</x:v>
      </x:c>
      <x:c r="G85" s="18" t="n">
        <x:v>1</x:v>
      </x:c>
      <x:c r="H85" s="18" t="n">
        <x:v>0</x:v>
      </x:c>
      <x:c r="I85" s="22"/>
      <x:c r="J85" s="22"/>
      <x:c r="K85" s="22"/>
      <x:c r="L85" s="22"/>
      <x:c r="M85" s="22"/>
      <x:c r="N85" s="22"/>
      <x:c r="O85" s="20"/>
      <x:c r="P85" s="20" t="str">
        <x:v>Available candidate amounts require audited-source checking.</x:v>
      </x:c>
    </x:row>
    <x:row r="86" ht="40" customHeight="1">
      <x:c r="A86" s="18" t="str">
        <x:v>Wema</x:v>
      </x:c>
      <x:c r="B86" s="18" t="n">
        <x:v>2013</x:v>
      </x:c>
      <x:c r="C86" s="18" t="str">
        <x:v>Tier 2</x:v>
      </x:c>
      <x:c r="D86" s="18" t="str">
        <x:v>IAS 39</x:v>
      </x:c>
      <x:c r="E86" s="20" t="str">
        <x:v>No core data</x:v>
      </x:c>
      <x:c r="F86" s="18" t="n">
        <x:v>0</x:v>
      </x:c>
      <x:c r="G86" s="18" t="n">
        <x:v>0</x:v>
      </x:c>
      <x:c r="H86" s="18" t="n">
        <x:v>0</x:v>
      </x:c>
      <x:c r="I86" s="22"/>
      <x:c r="J86" s="22"/>
      <x:c r="K86" s="22"/>
      <x:c r="L86" s="22"/>
      <x:c r="M86" s="22"/>
      <x:c r="N86" s="22"/>
      <x:c r="O86" s="20"/>
      <x:c r="P86" s="20" t="str">
        <x:v>No populated PAT/assets pair in the current uploads or selected layer.</x:v>
      </x:c>
    </x:row>
    <x:row r="87" ht="40" customHeight="1">
      <x:c r="A87" s="18" t="str">
        <x:v>Wema</x:v>
      </x:c>
      <x:c r="B87" s="18" t="n">
        <x:v>2014</x:v>
      </x:c>
      <x:c r="C87" s="18" t="str">
        <x:v>Tier 2</x:v>
      </x:c>
      <x:c r="D87" s="18" t="str">
        <x:v>IAS 39</x:v>
      </x:c>
      <x:c r="E87" s="20" t="str">
        <x:v>Selected - inherited</x:v>
      </x:c>
      <x:c r="F87" s="18" t="n">
        <x:v>0</x:v>
      </x:c>
      <x:c r="G87" s="18" t="n">
        <x:v>0</x:v>
      </x:c>
      <x:c r="H87" s="18" t="n">
        <x:v>1</x:v>
      </x:c>
      <x:c r="I87" s="22" t="n">
        <x:f>'Selected_Inputs'!E41</x:f>
        <x:v>2372.445</x:v>
      </x:c>
      <x:c r="J87" s="22" t="n">
        <x:f>'Selected_Inputs'!F41</x:f>
        <x:v>382562.312</x:v>
      </x:c>
      <x:c r="K87" s="22" t="n">
        <x:f>'Selected_Inputs'!H41</x:f>
        <x:v>43768.649</x:v>
      </x:c>
      <x:c r="L87" s="22" t="str">
        <x:f>IF(ISNUMBER('Calculated_Ratios'!D41),'Calculated_Ratios'!D41,"")</x:f>
      </x:c>
      <x:c r="M87" s="22" t="n">
        <x:f>IF(ISNUMBER('Calculated_Ratios'!G41),'Calculated_Ratios'!G41,"")</x:f>
        <x:v>1.9686954696869696</x:v>
      </x:c>
      <x:c r="N87" s="22" t="n">
        <x:f>IF(ISNUMBER('Selected_Inputs'!T41),'Selected_Inputs'!T41,"")</x:f>
        <x:v>18.22</x:v>
      </x:c>
      <x:c r="O87" s="20" t="str">
        <x:f>'Selected_Inputs'!AI41</x:f>
        <x:v>DS_WEMA15</x:v>
      </x:c>
      <x:c r="P87" s="20" t="str">
        <x:f>'Selected_Inputs'!AK41</x:f>
        <x:v>Prior source-selection policy retained; original evidence preserved in accompanying pack.</x:v>
      </x:c>
    </x:row>
    <x:row r="88" ht="40" customHeight="1">
      <x:c r="A88" s="18" t="str">
        <x:v>Wema</x:v>
      </x:c>
      <x:c r="B88" s="18" t="n">
        <x:v>2015</x:v>
      </x:c>
      <x:c r="C88" s="18" t="str">
        <x:v>Tier 2</x:v>
      </x:c>
      <x:c r="D88" s="18" t="str">
        <x:v>IAS 39</x:v>
      </x:c>
      <x:c r="E88" s="20" t="str">
        <x:v>Selected - inherited</x:v>
      </x:c>
      <x:c r="F88" s="18" t="n">
        <x:v>1</x:v>
      </x:c>
      <x:c r="G88" s="18" t="n">
        <x:v>1</x:v>
      </x:c>
      <x:c r="H88" s="18" t="n">
        <x:v>1</x:v>
      </x:c>
      <x:c r="I88" s="22" t="n">
        <x:f>'Selected_Inputs'!E42</x:f>
        <x:v>2273.205</x:v>
      </x:c>
      <x:c r="J88" s="22" t="n">
        <x:f>'Selected_Inputs'!F42</x:f>
        <x:v>396743.314</x:v>
      </x:c>
      <x:c r="K88" s="22" t="n">
        <x:f>'Selected_Inputs'!H42</x:f>
        <x:v>46064.11</x:v>
      </x:c>
      <x:c r="L88" s="22" t="n">
        <x:f>IF(ISNUMBER('Calculated_Ratios'!D42),'Calculated_Ratios'!D42,"")</x:f>
        <x:v>0.5833924263238927</x:v>
      </x:c>
      <x:c r="M88" s="22" t="n">
        <x:f>IF(ISNUMBER('Calculated_Ratios'!G42),'Calculated_Ratios'!G42,"")</x:f>
        <x:v>1.2904447894922089</x:v>
      </x:c>
      <x:c r="N88" s="22" t="n">
        <x:f>IF(ISNUMBER('Selected_Inputs'!T42),'Selected_Inputs'!T42,"")</x:f>
        <x:v>15.09</x:v>
      </x:c>
      <x:c r="O88" s="20" t="str">
        <x:f>'Selected_Inputs'!AI42</x:f>
        <x:v>DS_WEMA15; WEMA2016</x:v>
      </x:c>
      <x:c r="P88" s="20" t="str">
        <x:f>'Selected_Inputs'!AK42</x:f>
        <x:v>Prior source-selection policy retained; original evidence preserved in accompanying pack.</x:v>
      </x:c>
    </x:row>
    <x:row r="89" ht="40" customHeight="1">
      <x:c r="A89" s="18" t="str">
        <x:v>Wema</x:v>
      </x:c>
      <x:c r="B89" s="18" t="n">
        <x:v>2016</x:v>
      </x:c>
      <x:c r="C89" s="18" t="str">
        <x:v>Tier 2</x:v>
      </x:c>
      <x:c r="D89" s="18" t="str">
        <x:v>IAS 39</x:v>
      </x:c>
      <x:c r="E89" s="20" t="str">
        <x:v>Selected - inherited</x:v>
      </x:c>
      <x:c r="F89" s="18" t="n">
        <x:v>1</x:v>
      </x:c>
      <x:c r="G89" s="18" t="n">
        <x:v>1</x:v>
      </x:c>
      <x:c r="H89" s="18" t="n">
        <x:v>1</x:v>
      </x:c>
      <x:c r="I89" s="22" t="n">
        <x:f>'Selected_Inputs'!E43</x:f>
        <x:v>2591.8</x:v>
      </x:c>
      <x:c r="J89" s="22" t="n">
        <x:f>'Selected_Inputs'!F43</x:f>
        <x:v>421221.036</x:v>
      </x:c>
      <x:c r="K89" s="22" t="n">
        <x:f>'Selected_Inputs'!H43</x:f>
        <x:v>48501.954</x:v>
      </x:c>
      <x:c r="L89" s="22" t="n">
        <x:f>IF(ISNUMBER('Calculated_Ratios'!D43),'Calculated_Ratios'!D43,"")</x:f>
        <x:v>0.6337195502469025</x:v>
      </x:c>
      <x:c r="M89" s="22" t="str">
        <x:f>IF(ISNUMBER('Calculated_Ratios'!G43),'Calculated_Ratios'!G43,"")</x:f>
      </x:c>
      <x:c r="N89" s="22" t="str">
        <x:f>IF(ISNUMBER('Selected_Inputs'!T43),'Selected_Inputs'!T43,"")</x:f>
      </x:c>
      <x:c r="O89" s="20" t="str">
        <x:f>'Selected_Inputs'!AI43</x:f>
        <x:v>WEMA2016</x:v>
      </x:c>
      <x:c r="P89" s="20" t="str">
        <x:f>'Selected_Inputs'!AK43</x:f>
        <x:v>Prior source-selection policy retained; original evidence preserved in accompanying pack.</x:v>
      </x:c>
    </x:row>
    <x:row r="90" ht="40" customHeight="1">
      <x:c r="A90" s="18" t="str">
        <x:v>Wema</x:v>
      </x:c>
      <x:c r="B90" s="18" t="n">
        <x:v>2017</x:v>
      </x:c>
      <x:c r="C90" s="18" t="str">
        <x:v>Tier 2</x:v>
      </x:c>
      <x:c r="D90" s="18" t="str">
        <x:v>IAS 39</x:v>
      </x:c>
      <x:c r="E90" s="20" t="str">
        <x:v>Selected - inherited</x:v>
      </x:c>
      <x:c r="F90" s="18" t="n">
        <x:v>1</x:v>
      </x:c>
      <x:c r="G90" s="18" t="n">
        <x:v>1</x:v>
      </x:c>
      <x:c r="H90" s="18" t="n">
        <x:v>1</x:v>
      </x:c>
      <x:c r="I90" s="22" t="n">
        <x:f>'Selected_Inputs'!E44</x:f>
        <x:v>2301.158</x:v>
      </x:c>
      <x:c r="J90" s="22" t="n">
        <x:f>'Selected_Inputs'!F44</x:f>
        <x:v>384779.809</x:v>
      </x:c>
      <x:c r="K90" s="22" t="n">
        <x:f>'Selected_Inputs'!H44</x:f>
        <x:v>49692.14</x:v>
      </x:c>
      <x:c r="L90" s="22" t="n">
        <x:f>IF(ISNUMBER('Calculated_Ratios'!D44),'Calculated_Ratios'!D44,"")</x:f>
        <x:v>0.5710063492551302</x:v>
      </x:c>
      <x:c r="M90" s="22" t="n">
        <x:f>IF(ISNUMBER('Calculated_Ratios'!G44),'Calculated_Ratios'!G44,"")</x:f>
        <x:v>1.924789801393683</x:v>
      </x:c>
      <x:c r="N90" s="22" t="n">
        <x:f>IF(ISNUMBER('Selected_Inputs'!T44),'Selected_Inputs'!T44,"")</x:f>
        <x:v>14.32</x:v>
      </x:c>
      <x:c r="O90" s="20" t="str">
        <x:f>'Selected_Inputs'!AI44</x:f>
        <x:v>WEMA2018</x:v>
      </x:c>
      <x:c r="P90" s="20" t="str">
        <x:f>'Selected_Inputs'!AK44</x:f>
        <x:v>Prior source-selection policy retained; original evidence preserved in accompanying pack.</x:v>
      </x:c>
    </x:row>
    <x:row r="91" ht="40" customHeight="1">
      <x:c r="A91" s="18" t="str">
        <x:v>Wema</x:v>
      </x:c>
      <x:c r="B91" s="18" t="n">
        <x:v>2018</x:v>
      </x:c>
      <x:c r="C91" s="18" t="str">
        <x:v>Tier 2</x:v>
      </x:c>
      <x:c r="D91" s="18" t="str">
        <x:v>IFRS 9</x:v>
      </x:c>
      <x:c r="E91" s="20" t="str">
        <x:v>Selected - inherited</x:v>
      </x:c>
      <x:c r="F91" s="18" t="n">
        <x:v>1</x:v>
      </x:c>
      <x:c r="G91" s="18" t="n">
        <x:v>1</x:v>
      </x:c>
      <x:c r="H91" s="18" t="n">
        <x:v>1</x:v>
      </x:c>
      <x:c r="I91" s="22" t="n">
        <x:f>'Selected_Inputs'!E45</x:f>
        <x:v>3359.259</x:v>
      </x:c>
      <x:c r="J91" s="22" t="n">
        <x:f>'Selected_Inputs'!F45</x:f>
        <x:v>477915.742</x:v>
      </x:c>
      <x:c r="K91" s="22" t="n">
        <x:f>'Selected_Inputs'!H45</x:f>
        <x:v>50998.879</x:v>
      </x:c>
      <x:c r="L91" s="22" t="n">
        <x:f>IF(ISNUMBER('Calculated_Ratios'!D45),'Calculated_Ratios'!D45,"")</x:f>
        <x:v>0.7787820387171558</x:v>
      </x:c>
      <x:c r="M91" s="22" t="n">
        <x:f>IF(ISNUMBER('Calculated_Ratios'!G45),'Calculated_Ratios'!G45,"")</x:f>
        <x:v>3.591244092813833</x:v>
      </x:c>
      <x:c r="N91" s="22" t="n">
        <x:f>IF(ISNUMBER('Selected_Inputs'!T45),'Selected_Inputs'!T45,"")</x:f>
        <x:v>18.01</x:v>
      </x:c>
      <x:c r="O91" s="20" t="str">
        <x:f>'Selected_Inputs'!AI45</x:f>
        <x:v>WEMA2018</x:v>
      </x:c>
      <x:c r="P91" s="20" t="str">
        <x:f>'Selected_Inputs'!AK45</x:f>
        <x:v>Prior source-selection policy retained; original evidence preserved in accompanying pack.</x:v>
      </x:c>
    </x:row>
    <x:row r="92" ht="40" customHeight="1">
      <x:c r="A92" s="18" t="str">
        <x:v>Wema</x:v>
      </x:c>
      <x:c r="B92" s="18" t="n">
        <x:v>2019</x:v>
      </x:c>
      <x:c r="C92" s="18" t="str">
        <x:v>Tier 2</x:v>
      </x:c>
      <x:c r="D92" s="18" t="str">
        <x:v>IFRS 9</x:v>
      </x:c>
      <x:c r="E92" s="20" t="str">
        <x:v>Selected - inherited</x:v>
      </x:c>
      <x:c r="F92" s="18" t="n">
        <x:v>1</x:v>
      </x:c>
      <x:c r="G92" s="18" t="n">
        <x:v>1</x:v>
      </x:c>
      <x:c r="H92" s="18" t="n">
        <x:v>1</x:v>
      </x:c>
      <x:c r="I92" s="22" t="n">
        <x:f>'Selected_Inputs'!E46</x:f>
        <x:v>5210.748</x:v>
      </x:c>
      <x:c r="J92" s="22" t="n">
        <x:f>'Selected_Inputs'!F46</x:f>
        <x:v>704955.604</x:v>
      </x:c>
      <x:c r="K92" s="22" t="n">
        <x:f>'Selected_Inputs'!H46</x:f>
        <x:v>55356.851</x:v>
      </x:c>
      <x:c r="L92" s="22" t="n">
        <x:f>IF(ISNUMBER('Calculated_Ratios'!D46),'Calculated_Ratios'!D46,"")</x:f>
        <x:v>0.8810337688237481</x:v>
      </x:c>
      <x:c r="M92" s="22" t="n">
        <x:f>IF(ISNUMBER('Calculated_Ratios'!G46),'Calculated_Ratios'!G46,"")</x:f>
        <x:v>4.024455100125294</x:v>
      </x:c>
      <x:c r="N92" s="22" t="n">
        <x:f>IF(ISNUMBER('Selected_Inputs'!T46),'Selected_Inputs'!T46,"")</x:f>
        <x:v>13.6</x:v>
      </x:c>
      <x:c r="O92" s="20" t="str">
        <x:f>'Selected_Inputs'!AI46</x:f>
        <x:v>WEMA20</x:v>
      </x:c>
      <x:c r="P92" s="20" t="str">
        <x:f>'Selected_Inputs'!AK46</x:f>
        <x:v>Prior source-selection policy retained; original evidence preserved in accompanying pack.</x:v>
      </x:c>
    </x:row>
    <x:row r="93" ht="40" customHeight="1">
      <x:c r="A93" s="18" t="str">
        <x:v>Wema</x:v>
      </x:c>
      <x:c r="B93" s="18" t="n">
        <x:v>2020</x:v>
      </x:c>
      <x:c r="C93" s="18" t="str">
        <x:v>Tier 2</x:v>
      </x:c>
      <x:c r="D93" s="18" t="str">
        <x:v>IFRS 9</x:v>
      </x:c>
      <x:c r="E93" s="20" t="str">
        <x:v>Selected - inherited</x:v>
      </x:c>
      <x:c r="F93" s="18" t="n">
        <x:v>1</x:v>
      </x:c>
      <x:c r="G93" s="18" t="n">
        <x:v>1</x:v>
      </x:c>
      <x:c r="H93" s="18" t="n">
        <x:v>1</x:v>
      </x:c>
      <x:c r="I93" s="22" t="n">
        <x:f>'Selected_Inputs'!E47</x:f>
        <x:v>4592.217</x:v>
      </x:c>
      <x:c r="J93" s="22" t="n">
        <x:f>'Selected_Inputs'!F47</x:f>
        <x:v>968582.084</x:v>
      </x:c>
      <x:c r="K93" s="22" t="n">
        <x:f>'Selected_Inputs'!H47</x:f>
        <x:v>59352.833</x:v>
      </x:c>
      <x:c r="L93" s="22" t="n">
        <x:f>IF(ISNUMBER('Calculated_Ratios'!D47),'Calculated_Ratios'!D47,"")</x:f>
        <x:v>0.5488035355197808</x:v>
      </x:c>
      <x:c r="M93" s="22" t="n">
        <x:f>IF(ISNUMBER('Calculated_Ratios'!G47),'Calculated_Ratios'!G47,"")</x:f>
        <x:v>3.989865519768579</x:v>
      </x:c>
      <x:c r="N93" s="22" t="n">
        <x:f>IF(ISNUMBER('Selected_Inputs'!T47),'Selected_Inputs'!T47,"")</x:f>
        <x:v>15.01</x:v>
      </x:c>
      <x:c r="O93" s="20" t="str">
        <x:f>'Selected_Inputs'!AI47</x:f>
        <x:v>WEMA20</x:v>
      </x:c>
      <x:c r="P93" s="20" t="str">
        <x:f>'Selected_Inputs'!AK47</x:f>
        <x:v>Prior source-selection policy retained; original evidence preserved in accompanying pack.</x:v>
      </x:c>
    </x:row>
    <x:row r="94" ht="40" customHeight="1">
      <x:c r="A94" s="18" t="str">
        <x:v>Wema</x:v>
      </x:c>
      <x:c r="B94" s="18" t="n">
        <x:v>2021</x:v>
      </x:c>
      <x:c r="C94" s="18" t="str">
        <x:v>Tier 2</x:v>
      </x:c>
      <x:c r="D94" s="18" t="str">
        <x:v>IFRS 9</x:v>
      </x:c>
      <x:c r="E94" s="20" t="str">
        <x:v>Candidate only</x:v>
      </x:c>
      <x:c r="F94" s="18" t="n">
        <x:v>1</x:v>
      </x:c>
      <x:c r="G94" s="18" t="n">
        <x:v>1</x:v>
      </x:c>
      <x:c r="H94" s="18" t="n">
        <x:v>0</x:v>
      </x:c>
      <x:c r="I94" s="22"/>
      <x:c r="J94" s="22"/>
      <x:c r="K94" s="22"/>
      <x:c r="L94" s="22"/>
      <x:c r="M94" s="22"/>
      <x:c r="N94" s="22"/>
      <x:c r="O94" s="20"/>
      <x:c r="P94" s="20" t="str">
        <x:v>Available candidate amounts require audited-source checking.</x:v>
      </x:c>
    </x:row>
    <x:row r="95" ht="40" customHeight="1">
      <x:c r="A95" s="18" t="str">
        <x:v>Wema</x:v>
      </x:c>
      <x:c r="B95" s="18" t="n">
        <x:v>2022</x:v>
      </x:c>
      <x:c r="C95" s="18" t="str">
        <x:v>Tier 2</x:v>
      </x:c>
      <x:c r="D95" s="18" t="str">
        <x:v>IFRS 9</x:v>
      </x:c>
      <x:c r="E95" s="20" t="str">
        <x:v>Selected - inherited</x:v>
      </x:c>
      <x:c r="F95" s="18" t="n">
        <x:v>1</x:v>
      </x:c>
      <x:c r="G95" s="18" t="n">
        <x:v>1</x:v>
      </x:c>
      <x:c r="H95" s="18" t="n">
        <x:v>1</x:v>
      </x:c>
      <x:c r="I95" s="22" t="n">
        <x:f>'Selected_Inputs'!E48</x:f>
        <x:v>11214.027</x:v>
      </x:c>
      <x:c r="J95" s="22" t="n">
        <x:f>'Selected_Inputs'!F48</x:f>
        <x:v>1433703.656</x:v>
      </x:c>
      <x:c r="K95" s="22" t="n">
        <x:f>'Selected_Inputs'!H48</x:f>
        <x:v>82622.676</x:v>
      </x:c>
      <x:c r="L95" s="22" t="str">
        <x:f>IF(ISNUMBER('Calculated_Ratios'!D48),'Calculated_Ratios'!D48,"")</x:f>
      </x:c>
      <x:c r="M95" s="22" t="n">
        <x:f>IF(ISNUMBER('Calculated_Ratios'!G48),'Calculated_Ratios'!G48,"")</x:f>
        <x:v>3.32633443478277</x:v>
      </x:c>
      <x:c r="N95" s="22" t="n">
        <x:f>IF(ISNUMBER('Selected_Inputs'!T48),'Selected_Inputs'!T48,"")</x:f>
        <x:v>12.74</x:v>
      </x:c>
      <x:c r="O95" s="20" t="str">
        <x:f>'Selected_Inputs'!AI48</x:f>
        <x:v>WEMA23</x:v>
      </x:c>
      <x:c r="P95" s="20" t="str">
        <x:f>'Selected_Inputs'!AK48</x:f>
        <x:v>Prior source-selection policy retained; original evidence preserved in accompanying pack.</x:v>
      </x:c>
    </x:row>
    <x:row r="96" ht="40" customHeight="1">
      <x:c r="A96" s="18" t="str">
        <x:v>FCMB</x:v>
      </x:c>
      <x:c r="B96" s="18" t="n">
        <x:v>2013</x:v>
      </x:c>
      <x:c r="C96" s="18" t="str">
        <x:v>Tier 2</x:v>
      </x:c>
      <x:c r="D96" s="18" t="str">
        <x:v>IAS 39</x:v>
      </x:c>
      <x:c r="E96" s="20" t="str">
        <x:v>No core data</x:v>
      </x:c>
      <x:c r="F96" s="18" t="n">
        <x:v>0</x:v>
      </x:c>
      <x:c r="G96" s="18" t="n">
        <x:v>0</x:v>
      </x:c>
      <x:c r="H96" s="18" t="n">
        <x:v>0</x:v>
      </x:c>
      <x:c r="I96" s="22"/>
      <x:c r="J96" s="22"/>
      <x:c r="K96" s="22"/>
      <x:c r="L96" s="22"/>
      <x:c r="M96" s="22"/>
      <x:c r="N96" s="22"/>
      <x:c r="O96" s="20"/>
      <x:c r="P96" s="20" t="str">
        <x:v>No populated PAT/assets pair in the current uploads or selected layer.</x:v>
      </x:c>
    </x:row>
    <x:row r="97" ht="40" customHeight="1">
      <x:c r="A97" s="18" t="str">
        <x:v>FCMB</x:v>
      </x:c>
      <x:c r="B97" s="18" t="n">
        <x:v>2014</x:v>
      </x:c>
      <x:c r="C97" s="18" t="str">
        <x:v>Tier 2</x:v>
      </x:c>
      <x:c r="D97" s="18" t="str">
        <x:v>IAS 39</x:v>
      </x:c>
      <x:c r="E97" s="20" t="str">
        <x:v>No core data</x:v>
      </x:c>
      <x:c r="F97" s="18" t="n">
        <x:v>0</x:v>
      </x:c>
      <x:c r="G97" s="18" t="n">
        <x:v>0</x:v>
      </x:c>
      <x:c r="H97" s="18" t="n">
        <x:v>0</x:v>
      </x:c>
      <x:c r="I97" s="22"/>
      <x:c r="J97" s="22"/>
      <x:c r="K97" s="22"/>
      <x:c r="L97" s="22"/>
      <x:c r="M97" s="22"/>
      <x:c r="N97" s="22"/>
      <x:c r="O97" s="20"/>
      <x:c r="P97" s="20" t="str">
        <x:v>No populated PAT/assets pair in the current uploads or selected layer.</x:v>
      </x:c>
    </x:row>
    <x:row r="98" ht="40" customHeight="1">
      <x:c r="A98" s="18" t="str">
        <x:v>FCMB</x:v>
      </x:c>
      <x:c r="B98" s="18" t="n">
        <x:v>2015</x:v>
      </x:c>
      <x:c r="C98" s="18" t="str">
        <x:v>Tier 2</x:v>
      </x:c>
      <x:c r="D98" s="18" t="str">
        <x:v>IAS 39</x:v>
      </x:c>
      <x:c r="E98" s="20" t="str">
        <x:v>Candidate only</x:v>
      </x:c>
      <x:c r="F98" s="18" t="n">
        <x:v>1</x:v>
      </x:c>
      <x:c r="G98" s="18" t="n">
        <x:v>1</x:v>
      </x:c>
      <x:c r="H98" s="18" t="n">
        <x:v>0</x:v>
      </x:c>
      <x:c r="I98" s="22"/>
      <x:c r="J98" s="22"/>
      <x:c r="K98" s="22"/>
      <x:c r="L98" s="22"/>
      <x:c r="M98" s="22"/>
      <x:c r="N98" s="22"/>
      <x:c r="O98" s="20"/>
      <x:c r="P98" s="20" t="str">
        <x:v>Available candidate amounts require audited-source checking.</x:v>
      </x:c>
    </x:row>
    <x:row r="99" ht="40" customHeight="1">
      <x:c r="A99" s="18" t="str">
        <x:v>FCMB</x:v>
      </x:c>
      <x:c r="B99" s="18" t="n">
        <x:v>2016</x:v>
      </x:c>
      <x:c r="C99" s="18" t="str">
        <x:v>Tier 2</x:v>
      </x:c>
      <x:c r="D99" s="18" t="str">
        <x:v>IAS 39</x:v>
      </x:c>
      <x:c r="E99" s="20" t="str">
        <x:v>Candidate only</x:v>
      </x:c>
      <x:c r="F99" s="18" t="n">
        <x:v>1</x:v>
      </x:c>
      <x:c r="G99" s="18" t="n">
        <x:v>1</x:v>
      </x:c>
      <x:c r="H99" s="18" t="n">
        <x:v>0</x:v>
      </x:c>
      <x:c r="I99" s="22"/>
      <x:c r="J99" s="22"/>
      <x:c r="K99" s="22"/>
      <x:c r="L99" s="22"/>
      <x:c r="M99" s="22"/>
      <x:c r="N99" s="22"/>
      <x:c r="O99" s="20"/>
      <x:c r="P99" s="20" t="str">
        <x:v>Available candidate amounts require audited-source checking.</x:v>
      </x:c>
    </x:row>
    <x:row r="100" ht="40" customHeight="1">
      <x:c r="A100" s="18" t="str">
        <x:v>FCMB</x:v>
      </x:c>
      <x:c r="B100" s="18" t="n">
        <x:v>2017</x:v>
      </x:c>
      <x:c r="C100" s="18" t="str">
        <x:v>Tier 2</x:v>
      </x:c>
      <x:c r="D100" s="18" t="str">
        <x:v>IAS 39</x:v>
      </x:c>
      <x:c r="E100" s="20" t="str">
        <x:v>Candidate only</x:v>
      </x:c>
      <x:c r="F100" s="18" t="n">
        <x:v>1</x:v>
      </x:c>
      <x:c r="G100" s="18" t="n">
        <x:v>1</x:v>
      </x:c>
      <x:c r="H100" s="18" t="n">
        <x:v>0</x:v>
      </x:c>
      <x:c r="I100" s="22"/>
      <x:c r="J100" s="22"/>
      <x:c r="K100" s="22"/>
      <x:c r="L100" s="22"/>
      <x:c r="M100" s="22"/>
      <x:c r="N100" s="22"/>
      <x:c r="O100" s="20"/>
      <x:c r="P100" s="20" t="str">
        <x:v>Available candidate amounts require audited-source checking.</x:v>
      </x:c>
    </x:row>
    <x:row r="101" ht="40" customHeight="1">
      <x:c r="A101" s="18" t="str">
        <x:v>FCMB</x:v>
      </x:c>
      <x:c r="B101" s="18" t="n">
        <x:v>2018</x:v>
      </x:c>
      <x:c r="C101" s="18" t="str">
        <x:v>Tier 2</x:v>
      </x:c>
      <x:c r="D101" s="18" t="str">
        <x:v>IFRS 9</x:v>
      </x:c>
      <x:c r="E101" s="20" t="str">
        <x:v>Candidate only</x:v>
      </x:c>
      <x:c r="F101" s="18" t="n">
        <x:v>1</x:v>
      </x:c>
      <x:c r="G101" s="18" t="n">
        <x:v>1</x:v>
      </x:c>
      <x:c r="H101" s="18" t="n">
        <x:v>0</x:v>
      </x:c>
      <x:c r="I101" s="22"/>
      <x:c r="J101" s="22"/>
      <x:c r="K101" s="22"/>
      <x:c r="L101" s="22"/>
      <x:c r="M101" s="22"/>
      <x:c r="N101" s="22"/>
      <x:c r="O101" s="20"/>
      <x:c r="P101" s="20" t="str">
        <x:v>Available candidate amounts require audited-source checking.</x:v>
      </x:c>
    </x:row>
    <x:row r="102" ht="40" customHeight="1">
      <x:c r="A102" s="18" t="str">
        <x:v>FCMB</x:v>
      </x:c>
      <x:c r="B102" s="18" t="n">
        <x:v>2019</x:v>
      </x:c>
      <x:c r="C102" s="18" t="str">
        <x:v>Tier 2</x:v>
      </x:c>
      <x:c r="D102" s="18" t="str">
        <x:v>IFRS 9</x:v>
      </x:c>
      <x:c r="E102" s="20" t="str">
        <x:v>Candidate only</x:v>
      </x:c>
      <x:c r="F102" s="18" t="n">
        <x:v>1</x:v>
      </x:c>
      <x:c r="G102" s="18" t="n">
        <x:v>1</x:v>
      </x:c>
      <x:c r="H102" s="18" t="n">
        <x:v>0</x:v>
      </x:c>
      <x:c r="I102" s="22"/>
      <x:c r="J102" s="22"/>
      <x:c r="K102" s="22"/>
      <x:c r="L102" s="22"/>
      <x:c r="M102" s="22"/>
      <x:c r="N102" s="22"/>
      <x:c r="O102" s="20"/>
      <x:c r="P102" s="20" t="str">
        <x:v>Available candidate amounts require audited-source checking.</x:v>
      </x:c>
    </x:row>
    <x:row r="103" ht="40" customHeight="1">
      <x:c r="A103" s="18" t="str">
        <x:v>FCMB</x:v>
      </x:c>
      <x:c r="B103" s="18" t="n">
        <x:v>2020</x:v>
      </x:c>
      <x:c r="C103" s="18" t="str">
        <x:v>Tier 2</x:v>
      </x:c>
      <x:c r="D103" s="18" t="str">
        <x:v>IFRS 9</x:v>
      </x:c>
      <x:c r="E103" s="20" t="str">
        <x:v>Candidate only</x:v>
      </x:c>
      <x:c r="F103" s="18" t="n">
        <x:v>1</x:v>
      </x:c>
      <x:c r="G103" s="18" t="n">
        <x:v>1</x:v>
      </x:c>
      <x:c r="H103" s="18" t="n">
        <x:v>0</x:v>
      </x:c>
      <x:c r="I103" s="22"/>
      <x:c r="J103" s="22"/>
      <x:c r="K103" s="22"/>
      <x:c r="L103" s="22"/>
      <x:c r="M103" s="22"/>
      <x:c r="N103" s="22"/>
      <x:c r="O103" s="20"/>
      <x:c r="P103" s="20" t="str">
        <x:v>Available candidate amounts require audited-source checking.</x:v>
      </x:c>
    </x:row>
    <x:row r="104" ht="40" customHeight="1">
      <x:c r="A104" s="18" t="str">
        <x:v>FCMB</x:v>
      </x:c>
      <x:c r="B104" s="18" t="n">
        <x:v>2021</x:v>
      </x:c>
      <x:c r="C104" s="18" t="str">
        <x:v>Tier 2</x:v>
      </x:c>
      <x:c r="D104" s="18" t="str">
        <x:v>IFRS 9</x:v>
      </x:c>
      <x:c r="E104" s="20" t="str">
        <x:v>Candidate only</x:v>
      </x:c>
      <x:c r="F104" s="18" t="n">
        <x:v>1</x:v>
      </x:c>
      <x:c r="G104" s="18" t="n">
        <x:v>1</x:v>
      </x:c>
      <x:c r="H104" s="18" t="n">
        <x:v>0</x:v>
      </x:c>
      <x:c r="I104" s="22"/>
      <x:c r="J104" s="22"/>
      <x:c r="K104" s="22"/>
      <x:c r="L104" s="22"/>
      <x:c r="M104" s="22"/>
      <x:c r="N104" s="22"/>
      <x:c r="O104" s="20"/>
      <x:c r="P104" s="20" t="str">
        <x:v>Available candidate amounts require audited-source checking.</x:v>
      </x:c>
    </x:row>
    <x:row r="105" ht="40" customHeight="1">
      <x:c r="A105" s="18" t="str">
        <x:v>FCMB</x:v>
      </x:c>
      <x:c r="B105" s="18" t="n">
        <x:v>2022</x:v>
      </x:c>
      <x:c r="C105" s="18" t="str">
        <x:v>Tier 2</x:v>
      </x:c>
      <x:c r="D105" s="18" t="str">
        <x:v>IFRS 9</x:v>
      </x:c>
      <x:c r="E105" s="20" t="str">
        <x:v>Candidate only</x:v>
      </x:c>
      <x:c r="F105" s="18" t="n">
        <x:v>1</x:v>
      </x:c>
      <x:c r="G105" s="18" t="n">
        <x:v>1</x:v>
      </x:c>
      <x:c r="H105" s="18" t="n">
        <x:v>0</x:v>
      </x:c>
      <x:c r="I105" s="22"/>
      <x:c r="J105" s="22"/>
      <x:c r="K105" s="22"/>
      <x:c r="L105" s="22"/>
      <x:c r="M105" s="22"/>
      <x:c r="N105" s="22"/>
      <x:c r="O105" s="20"/>
      <x:c r="P105" s="20" t="str">
        <x:v>Available candidate amounts require audited-source checking.</x:v>
      </x:c>
    </x:row>
    <x:row r="106" ht="40" customHeight="1">
      <x:c r="A106" s="18" t="str">
        <x:v>Ecobank Nigeria</x:v>
      </x:c>
      <x:c r="B106" s="18" t="n">
        <x:v>2013</x:v>
      </x:c>
      <x:c r="C106" s="18" t="str">
        <x:v>Tier 2</x:v>
      </x:c>
      <x:c r="D106" s="18" t="str">
        <x:v>IAS 39</x:v>
      </x:c>
      <x:c r="E106" s="20" t="str">
        <x:v>No core data</x:v>
      </x:c>
      <x:c r="F106" s="18" t="n">
        <x:v>0</x:v>
      </x:c>
      <x:c r="G106" s="18" t="n">
        <x:v>0</x:v>
      </x:c>
      <x:c r="H106" s="18" t="n">
        <x:v>0</x:v>
      </x:c>
      <x:c r="I106" s="22"/>
      <x:c r="J106" s="22"/>
      <x:c r="K106" s="22"/>
      <x:c r="L106" s="22"/>
      <x:c r="M106" s="22"/>
      <x:c r="N106" s="22"/>
      <x:c r="O106" s="20"/>
      <x:c r="P106" s="20" t="str">
        <x:v>No populated PAT/assets pair in the current uploads or selected layer.</x:v>
      </x:c>
    </x:row>
    <x:row r="107" ht="40" customHeight="1">
      <x:c r="A107" s="18" t="str">
        <x:v>Ecobank Nigeria</x:v>
      </x:c>
      <x:c r="B107" s="18" t="n">
        <x:v>2014</x:v>
      </x:c>
      <x:c r="C107" s="18" t="str">
        <x:v>Tier 2</x:v>
      </x:c>
      <x:c r="D107" s="18" t="str">
        <x:v>IAS 39</x:v>
      </x:c>
      <x:c r="E107" s="20" t="str">
        <x:v>No core data</x:v>
      </x:c>
      <x:c r="F107" s="18" t="n">
        <x:v>0</x:v>
      </x:c>
      <x:c r="G107" s="18" t="n">
        <x:v>0</x:v>
      </x:c>
      <x:c r="H107" s="18" t="n">
        <x:v>0</x:v>
      </x:c>
      <x:c r="I107" s="22"/>
      <x:c r="J107" s="22"/>
      <x:c r="K107" s="22"/>
      <x:c r="L107" s="22"/>
      <x:c r="M107" s="22"/>
      <x:c r="N107" s="22"/>
      <x:c r="O107" s="20"/>
      <x:c r="P107" s="20" t="str">
        <x:v>No populated PAT/assets pair in the current uploads or selected layer.</x:v>
      </x:c>
    </x:row>
    <x:row r="108" ht="40" customHeight="1">
      <x:c r="A108" s="18" t="str">
        <x:v>Ecobank Nigeria</x:v>
      </x:c>
      <x:c r="B108" s="18" t="n">
        <x:v>2015</x:v>
      </x:c>
      <x:c r="C108" s="18" t="str">
        <x:v>Tier 2</x:v>
      </x:c>
      <x:c r="D108" s="18" t="str">
        <x:v>IAS 39</x:v>
      </x:c>
      <x:c r="E108" s="20" t="str">
        <x:v>Candidate only</x:v>
      </x:c>
      <x:c r="F108" s="18" t="n">
        <x:v>1</x:v>
      </x:c>
      <x:c r="G108" s="18" t="n">
        <x:v>1</x:v>
      </x:c>
      <x:c r="H108" s="18" t="n">
        <x:v>0</x:v>
      </x:c>
      <x:c r="I108" s="22"/>
      <x:c r="J108" s="22"/>
      <x:c r="K108" s="22"/>
      <x:c r="L108" s="22"/>
      <x:c r="M108" s="22"/>
      <x:c r="N108" s="22"/>
      <x:c r="O108" s="20"/>
      <x:c r="P108" s="20" t="str">
        <x:v>Available candidate amounts require audited-source checking.</x:v>
      </x:c>
    </x:row>
    <x:row r="109" ht="40" customHeight="1">
      <x:c r="A109" s="18" t="str">
        <x:v>Ecobank Nigeria</x:v>
      </x:c>
      <x:c r="B109" s="18" t="n">
        <x:v>2016</x:v>
      </x:c>
      <x:c r="C109" s="18" t="str">
        <x:v>Tier 2</x:v>
      </x:c>
      <x:c r="D109" s="18" t="str">
        <x:v>IAS 39</x:v>
      </x:c>
      <x:c r="E109" s="20" t="str">
        <x:v>Selected - inherited</x:v>
      </x:c>
      <x:c r="F109" s="18" t="n">
        <x:v>1</x:v>
      </x:c>
      <x:c r="G109" s="18" t="n">
        <x:v>1</x:v>
      </x:c>
      <x:c r="H109" s="18" t="n">
        <x:v>1</x:v>
      </x:c>
      <x:c r="I109" s="22" t="n">
        <x:f>'Selected_Inputs'!E8</x:f>
        <x:v>5780</x:v>
      </x:c>
      <x:c r="J109" s="22" t="n">
        <x:f>'Selected_Inputs'!F8</x:f>
        <x:v>1808503</x:v>
      </x:c>
      <x:c r="K109" s="22" t="n">
        <x:f>'Selected_Inputs'!H8</x:f>
        <x:v>220775</x:v>
      </x:c>
      <x:c r="L109" s="22" t="str">
        <x:f>IF(ISNUMBER('Calculated_Ratios'!D8),'Calculated_Ratios'!D8,"")</x:f>
      </x:c>
      <x:c r="M109" s="22" t="str">
        <x:f>IF(ISNUMBER('Calculated_Ratios'!G8),'Calculated_Ratios'!G8,"")</x:f>
      </x:c>
      <x:c r="N109" s="22" t="str">
        <x:f>IF(ISNUMBER('Selected_Inputs'!T8),'Selected_Inputs'!T8,"")</x:f>
      </x:c>
      <x:c r="O109" s="20" t="str">
        <x:f>'Selected_Inputs'!AI8</x:f>
        <x:v>DS_ECO17</x:v>
      </x:c>
      <x:c r="P109" s="20" t="str">
        <x:f>'Selected_Inputs'!AK8</x:f>
        <x:v>Prior source-selection policy retained; original evidence preserved in accompanying pack.</x:v>
      </x:c>
    </x:row>
    <x:row r="110" ht="40" customHeight="1">
      <x:c r="A110" s="18" t="str">
        <x:v>Ecobank Nigeria</x:v>
      </x:c>
      <x:c r="B110" s="18" t="n">
        <x:v>2017</x:v>
      </x:c>
      <x:c r="C110" s="18" t="str">
        <x:v>Tier 2</x:v>
      </x:c>
      <x:c r="D110" s="18" t="str">
        <x:v>IAS 39</x:v>
      </x:c>
      <x:c r="E110" s="20" t="str">
        <x:v>Selected - inherited</x:v>
      </x:c>
      <x:c r="F110" s="18" t="n">
        <x:v>1</x:v>
      </x:c>
      <x:c r="G110" s="18" t="n">
        <x:v>1</x:v>
      </x:c>
      <x:c r="H110" s="18" t="n">
        <x:v>1</x:v>
      </x:c>
      <x:c r="I110" s="22" t="n">
        <x:f>'Selected_Inputs'!E9</x:f>
        <x:v>20204</x:v>
      </x:c>
      <x:c r="J110" s="22" t="n">
        <x:f>'Selected_Inputs'!F9</x:f>
        <x:v>1829761</x:v>
      </x:c>
      <x:c r="K110" s="22" t="n">
        <x:f>'Selected_Inputs'!H9</x:f>
        <x:v>267329</x:v>
      </x:c>
      <x:c r="L110" s="22" t="n">
        <x:f>IF(ISNUMBER('Calculated_Ratios'!D9),'Calculated_Ratios'!D9,"")</x:f>
        <x:v>1.1106395797556197</x:v>
      </x:c>
      <x:c r="M110" s="22" t="str">
        <x:f>IF(ISNUMBER('Calculated_Ratios'!G9),'Calculated_Ratios'!G9,"")</x:f>
      </x:c>
      <x:c r="N110" s="22" t="str">
        <x:f>IF(ISNUMBER('Selected_Inputs'!T9),'Selected_Inputs'!T9,"")</x:f>
      </x:c>
      <x:c r="O110" s="20" t="str">
        <x:f>'Selected_Inputs'!AI9</x:f>
        <x:v>DS_ECO17</x:v>
      </x:c>
      <x:c r="P110" s="20" t="str">
        <x:f>'Selected_Inputs'!AK9</x:f>
        <x:v>Prior source-selection policy retained; original evidence preserved in accompanying pack.</x:v>
      </x:c>
    </x:row>
    <x:row r="111" ht="40" customHeight="1">
      <x:c r="A111" s="18" t="str">
        <x:v>Ecobank Nigeria</x:v>
      </x:c>
      <x:c r="B111" s="18" t="n">
        <x:v>2018</x:v>
      </x:c>
      <x:c r="C111" s="18" t="str">
        <x:v>Tier 2</x:v>
      </x:c>
      <x:c r="D111" s="18" t="str">
        <x:v>IFRS 9</x:v>
      </x:c>
      <x:c r="E111" s="20" t="str">
        <x:v>Candidate only</x:v>
      </x:c>
      <x:c r="F111" s="18" t="n">
        <x:v>1</x:v>
      </x:c>
      <x:c r="G111" s="18" t="n">
        <x:v>1</x:v>
      </x:c>
      <x:c r="H111" s="18" t="n">
        <x:v>0</x:v>
      </x:c>
      <x:c r="I111" s="22"/>
      <x:c r="J111" s="22"/>
      <x:c r="K111" s="22"/>
      <x:c r="L111" s="22"/>
      <x:c r="M111" s="22"/>
      <x:c r="N111" s="22"/>
      <x:c r="O111" s="20"/>
      <x:c r="P111" s="20" t="str">
        <x:v>Available candidate amounts require audited-source checking.</x:v>
      </x:c>
    </x:row>
    <x:row r="112" ht="40" customHeight="1">
      <x:c r="A112" s="18" t="str">
        <x:v>Ecobank Nigeria</x:v>
      </x:c>
      <x:c r="B112" s="18" t="n">
        <x:v>2019</x:v>
      </x:c>
      <x:c r="C112" s="18" t="str">
        <x:v>Tier 2</x:v>
      </x:c>
      <x:c r="D112" s="18" t="str">
        <x:v>IFRS 9</x:v>
      </x:c>
      <x:c r="E112" s="20" t="str">
        <x:v>Candidate only</x:v>
      </x:c>
      <x:c r="F112" s="18" t="n">
        <x:v>1</x:v>
      </x:c>
      <x:c r="G112" s="18" t="n">
        <x:v>1</x:v>
      </x:c>
      <x:c r="H112" s="18" t="n">
        <x:v>0</x:v>
      </x:c>
      <x:c r="I112" s="22"/>
      <x:c r="J112" s="22"/>
      <x:c r="K112" s="22"/>
      <x:c r="L112" s="22"/>
      <x:c r="M112" s="22"/>
      <x:c r="N112" s="22"/>
      <x:c r="O112" s="20"/>
      <x:c r="P112" s="20" t="str">
        <x:v>Available candidate amounts require audited-source checking.</x:v>
      </x:c>
    </x:row>
    <x:row r="113" ht="40" customHeight="1">
      <x:c r="A113" s="18" t="str">
        <x:v>Ecobank Nigeria</x:v>
      </x:c>
      <x:c r="B113" s="18" t="n">
        <x:v>2020</x:v>
      </x:c>
      <x:c r="C113" s="18" t="str">
        <x:v>Tier 2</x:v>
      </x:c>
      <x:c r="D113" s="18" t="str">
        <x:v>IFRS 9</x:v>
      </x:c>
      <x:c r="E113" s="20" t="str">
        <x:v>Candidate only</x:v>
      </x:c>
      <x:c r="F113" s="18" t="n">
        <x:v>1</x:v>
      </x:c>
      <x:c r="G113" s="18" t="n">
        <x:v>1</x:v>
      </x:c>
      <x:c r="H113" s="18" t="n">
        <x:v>0</x:v>
      </x:c>
      <x:c r="I113" s="22"/>
      <x:c r="J113" s="22"/>
      <x:c r="K113" s="22"/>
      <x:c r="L113" s="22"/>
      <x:c r="M113" s="22"/>
      <x:c r="N113" s="22"/>
      <x:c r="O113" s="20"/>
      <x:c r="P113" s="20" t="str">
        <x:v>Available candidate amounts require audited-source checking.</x:v>
      </x:c>
    </x:row>
    <x:row r="114" ht="40" customHeight="1">
      <x:c r="A114" s="18" t="str">
        <x:v>Ecobank Nigeria</x:v>
      </x:c>
      <x:c r="B114" s="18" t="n">
        <x:v>2021</x:v>
      </x:c>
      <x:c r="C114" s="18" t="str">
        <x:v>Tier 2</x:v>
      </x:c>
      <x:c r="D114" s="18" t="str">
        <x:v>IFRS 9</x:v>
      </x:c>
      <x:c r="E114" s="20" t="str">
        <x:v>Candidate only</x:v>
      </x:c>
      <x:c r="F114" s="18" t="n">
        <x:v>1</x:v>
      </x:c>
      <x:c r="G114" s="18" t="n">
        <x:v>1</x:v>
      </x:c>
      <x:c r="H114" s="18" t="n">
        <x:v>0</x:v>
      </x:c>
      <x:c r="I114" s="22"/>
      <x:c r="J114" s="22"/>
      <x:c r="K114" s="22"/>
      <x:c r="L114" s="22"/>
      <x:c r="M114" s="22"/>
      <x:c r="N114" s="22"/>
      <x:c r="O114" s="20"/>
      <x:c r="P114" s="20" t="str">
        <x:v>Available candidate amounts require audited-source checking.</x:v>
      </x:c>
    </x:row>
    <x:row r="115" ht="40" customHeight="1">
      <x:c r="A115" s="18" t="str">
        <x:v>Ecobank Nigeria</x:v>
      </x:c>
      <x:c r="B115" s="18" t="n">
        <x:v>2022</x:v>
      </x:c>
      <x:c r="C115" s="18" t="str">
        <x:v>Tier 2</x:v>
      </x:c>
      <x:c r="D115" s="18" t="str">
        <x:v>IFRS 9</x:v>
      </x:c>
      <x:c r="E115" s="20" t="str">
        <x:v>Candidate only</x:v>
      </x:c>
      <x:c r="F115" s="18" t="n">
        <x:v>1</x:v>
      </x:c>
      <x:c r="G115" s="18" t="n">
        <x:v>1</x:v>
      </x:c>
      <x:c r="H115" s="18" t="n">
        <x:v>0</x:v>
      </x:c>
      <x:c r="I115" s="22"/>
      <x:c r="J115" s="22"/>
      <x:c r="K115" s="22"/>
      <x:c r="L115" s="22"/>
      <x:c r="M115" s="22"/>
      <x:c r="N115" s="22"/>
      <x:c r="O115" s="20"/>
      <x:c r="P115" s="20" t="str">
        <x:v>Available candidate amounts require audited-source checking.</x:v>
      </x:c>
    </x:row>
    <x:row r="116" ht="40" customHeight="1">
      <x:c r="A116" s="18" t="str">
        <x:v>Unity</x:v>
      </x:c>
      <x:c r="B116" s="18" t="n">
        <x:v>2013</x:v>
      </x:c>
      <x:c r="C116" s="18" t="str">
        <x:v>Tier 2</x:v>
      </x:c>
      <x:c r="D116" s="18" t="str">
        <x:v>IAS 39</x:v>
      </x:c>
      <x:c r="E116" s="20" t="str">
        <x:v>No core data</x:v>
      </x:c>
      <x:c r="F116" s="18" t="n">
        <x:v>0</x:v>
      </x:c>
      <x:c r="G116" s="18" t="n">
        <x:v>0</x:v>
      </x:c>
      <x:c r="H116" s="18" t="n">
        <x:v>0</x:v>
      </x:c>
      <x:c r="I116" s="22"/>
      <x:c r="J116" s="22"/>
      <x:c r="K116" s="22"/>
      <x:c r="L116" s="22"/>
      <x:c r="M116" s="22"/>
      <x:c r="N116" s="22"/>
      <x:c r="O116" s="20"/>
      <x:c r="P116" s="20" t="str">
        <x:v>No populated PAT/assets pair in the current uploads or selected layer.</x:v>
      </x:c>
    </x:row>
    <x:row r="117" ht="40" customHeight="1">
      <x:c r="A117" s="18" t="str">
        <x:v>Unity</x:v>
      </x:c>
      <x:c r="B117" s="18" t="n">
        <x:v>2014</x:v>
      </x:c>
      <x:c r="C117" s="18" t="str">
        <x:v>Tier 2</x:v>
      </x:c>
      <x:c r="D117" s="18" t="str">
        <x:v>IAS 39</x:v>
      </x:c>
      <x:c r="E117" s="20" t="str">
        <x:v>No core data</x:v>
      </x:c>
      <x:c r="F117" s="18" t="n">
        <x:v>0</x:v>
      </x:c>
      <x:c r="G117" s="18" t="n">
        <x:v>0</x:v>
      </x:c>
      <x:c r="H117" s="18" t="n">
        <x:v>0</x:v>
      </x:c>
      <x:c r="I117" s="22"/>
      <x:c r="J117" s="22"/>
      <x:c r="K117" s="22"/>
      <x:c r="L117" s="22"/>
      <x:c r="M117" s="22"/>
      <x:c r="N117" s="22"/>
      <x:c r="O117" s="20"/>
      <x:c r="P117" s="20" t="str">
        <x:v>No populated PAT/assets pair in the current uploads or selected layer.</x:v>
      </x:c>
    </x:row>
    <x:row r="118" ht="40" customHeight="1">
      <x:c r="A118" s="18" t="str">
        <x:v>Unity</x:v>
      </x:c>
      <x:c r="B118" s="18" t="n">
        <x:v>2015</x:v>
      </x:c>
      <x:c r="C118" s="18" t="str">
        <x:v>Tier 2</x:v>
      </x:c>
      <x:c r="D118" s="18" t="str">
        <x:v>IAS 39</x:v>
      </x:c>
      <x:c r="E118" s="20" t="str">
        <x:v>Candidate only</x:v>
      </x:c>
      <x:c r="F118" s="18" t="n">
        <x:v>1</x:v>
      </x:c>
      <x:c r="G118" s="18" t="n">
        <x:v>1</x:v>
      </x:c>
      <x:c r="H118" s="18" t="n">
        <x:v>0</x:v>
      </x:c>
      <x:c r="I118" s="22"/>
      <x:c r="J118" s="22"/>
      <x:c r="K118" s="22"/>
      <x:c r="L118" s="22"/>
      <x:c r="M118" s="22"/>
      <x:c r="N118" s="22"/>
      <x:c r="O118" s="20"/>
      <x:c r="P118" s="20" t="str">
        <x:v>Available candidate amounts require audited-source checking.</x:v>
      </x:c>
    </x:row>
    <x:row r="119" ht="40" customHeight="1">
      <x:c r="A119" s="18" t="str">
        <x:v>Unity</x:v>
      </x:c>
      <x:c r="B119" s="18" t="n">
        <x:v>2016</x:v>
      </x:c>
      <x:c r="C119" s="18" t="str">
        <x:v>Tier 2</x:v>
      </x:c>
      <x:c r="D119" s="18" t="str">
        <x:v>IAS 39</x:v>
      </x:c>
      <x:c r="E119" s="20" t="str">
        <x:v>Candidate only</x:v>
      </x:c>
      <x:c r="F119" s="18" t="n">
        <x:v>1</x:v>
      </x:c>
      <x:c r="G119" s="18" t="n">
        <x:v>1</x:v>
      </x:c>
      <x:c r="H119" s="18" t="n">
        <x:v>0</x:v>
      </x:c>
      <x:c r="I119" s="22"/>
      <x:c r="J119" s="22"/>
      <x:c r="K119" s="22"/>
      <x:c r="L119" s="22"/>
      <x:c r="M119" s="22"/>
      <x:c r="N119" s="22"/>
      <x:c r="O119" s="20"/>
      <x:c r="P119" s="20" t="str">
        <x:v>Available candidate amounts require audited-source checking.</x:v>
      </x:c>
    </x:row>
    <x:row r="120" ht="40" customHeight="1">
      <x:c r="A120" s="18" t="str">
        <x:v>Unity</x:v>
      </x:c>
      <x:c r="B120" s="18" t="n">
        <x:v>2017</x:v>
      </x:c>
      <x:c r="C120" s="18" t="str">
        <x:v>Tier 2</x:v>
      </x:c>
      <x:c r="D120" s="18" t="str">
        <x:v>IAS 39</x:v>
      </x:c>
      <x:c r="E120" s="20" t="str">
        <x:v>Candidate only</x:v>
      </x:c>
      <x:c r="F120" s="18" t="n">
        <x:v>1</x:v>
      </x:c>
      <x:c r="G120" s="18" t="n">
        <x:v>1</x:v>
      </x:c>
      <x:c r="H120" s="18" t="n">
        <x:v>0</x:v>
      </x:c>
      <x:c r="I120" s="22"/>
      <x:c r="J120" s="22"/>
      <x:c r="K120" s="22"/>
      <x:c r="L120" s="22"/>
      <x:c r="M120" s="22"/>
      <x:c r="N120" s="22"/>
      <x:c r="O120" s="20"/>
      <x:c r="P120" s="20" t="str">
        <x:v>Available candidate amounts require audited-source checking.</x:v>
      </x:c>
    </x:row>
    <x:row r="121" ht="40" customHeight="1">
      <x:c r="A121" s="18" t="str">
        <x:v>Unity</x:v>
      </x:c>
      <x:c r="B121" s="18" t="n">
        <x:v>2018</x:v>
      </x:c>
      <x:c r="C121" s="18" t="str">
        <x:v>Tier 2</x:v>
      </x:c>
      <x:c r="D121" s="18" t="str">
        <x:v>IFRS 9</x:v>
      </x:c>
      <x:c r="E121" s="20" t="str">
        <x:v>Selected - inherited</x:v>
      </x:c>
      <x:c r="F121" s="18" t="n">
        <x:v>1</x:v>
      </x:c>
      <x:c r="G121" s="18" t="n">
        <x:v>1</x:v>
      </x:c>
      <x:c r="H121" s="18" t="n">
        <x:v>1</x:v>
      </x:c>
      <x:c r="I121" s="22" t="n">
        <x:f>'Selected_Inputs'!E39</x:f>
        <x:v>-7695.32</x:v>
      </x:c>
      <x:c r="J121" s="22" t="n">
        <x:f>'Selected_Inputs'!F39</x:f>
        <x:v>210800.841</x:v>
      </x:c>
      <x:c r="K121" s="22" t="n">
        <x:f>'Selected_Inputs'!H39</x:f>
        <x:v>-284374.654</x:v>
      </x:c>
      <x:c r="L121" s="22" t="str">
        <x:f>IF(ISNUMBER('Calculated_Ratios'!D39),'Calculated_Ratios'!D39,"")</x:f>
      </x:c>
      <x:c r="M121" s="22" t="n">
        <x:f>IF(ISNUMBER('Calculated_Ratios'!G39),'Calculated_Ratios'!G39,"")</x:f>
        <x:v>1.659629381544044</x:v>
      </x:c>
      <x:c r="N121" s="22" t="n">
        <x:f>IF(ISNUMBER('Selected_Inputs'!T39),'Selected_Inputs'!T39,"")</x:f>
        <x:v>-214.8</x:v>
      </x:c>
      <x:c r="O121" s="20" t="str">
        <x:f>'Selected_Inputs'!AI39</x:f>
        <x:v>UNITY2019</x:v>
      </x:c>
      <x:c r="P121" s="20" t="str">
        <x:f>'Selected_Inputs'!AK39</x:f>
        <x:v>Prior source-selection policy retained; original evidence preserved in accompanying pack.</x:v>
      </x:c>
    </x:row>
    <x:row r="122" ht="40" customHeight="1">
      <x:c r="A122" s="18" t="str">
        <x:v>Unity</x:v>
      </x:c>
      <x:c r="B122" s="18" t="n">
        <x:v>2019</x:v>
      </x:c>
      <x:c r="C122" s="18" t="str">
        <x:v>Tier 2</x:v>
      </x:c>
      <x:c r="D122" s="18" t="str">
        <x:v>IFRS 9</x:v>
      </x:c>
      <x:c r="E122" s="20" t="str">
        <x:v>Selected - inherited</x:v>
      </x:c>
      <x:c r="F122" s="18" t="n">
        <x:v>1</x:v>
      </x:c>
      <x:c r="G122" s="18" t="n">
        <x:v>1</x:v>
      </x:c>
      <x:c r="H122" s="18" t="n">
        <x:v>1</x:v>
      </x:c>
      <x:c r="I122" s="22" t="n">
        <x:f>'Selected_Inputs'!E40</x:f>
        <x:v>3383.189</x:v>
      </x:c>
      <x:c r="J122" s="22" t="n">
        <x:f>'Selected_Inputs'!F40</x:f>
        <x:v>293052.07</x:v>
      </x:c>
      <x:c r="K122" s="22" t="n">
        <x:f>'Selected_Inputs'!H40</x:f>
        <x:v>-278855.888</x:v>
      </x:c>
      <x:c r="L122" s="22" t="n">
        <x:f>IF(ISNUMBER('Calculated_Ratios'!D40),'Calculated_Ratios'!D40,"")</x:f>
        <x:v>1.3429272417163824</x:v>
      </x:c>
      <x:c r="M122" s="22" t="n">
        <x:f>IF(ISNUMBER('Calculated_Ratios'!G40),'Calculated_Ratios'!G40,"")</x:f>
        <x:v>2.7088062044892185</x:v>
      </x:c>
      <x:c r="N122" s="22" t="n">
        <x:f>IF(ISNUMBER('Selected_Inputs'!T40),'Selected_Inputs'!T40,"")</x:f>
        <x:v>-201.59</x:v>
      </x:c>
      <x:c r="O122" s="20" t="str">
        <x:f>'Selected_Inputs'!AI40</x:f>
        <x:v>UNITY2019</x:v>
      </x:c>
      <x:c r="P122" s="20" t="str">
        <x:f>'Selected_Inputs'!AK40</x:f>
        <x:v>Prior source-selection policy retained; original evidence preserved in accompanying pack.</x:v>
      </x:c>
    </x:row>
    <x:row r="123" ht="40" customHeight="1">
      <x:c r="A123" s="18" t="str">
        <x:v>Unity</x:v>
      </x:c>
      <x:c r="B123" s="18" t="n">
        <x:v>2020</x:v>
      </x:c>
      <x:c r="C123" s="18" t="str">
        <x:v>Tier 2</x:v>
      </x:c>
      <x:c r="D123" s="18" t="str">
        <x:v>IFRS 9</x:v>
      </x:c>
      <x:c r="E123" s="20" t="str">
        <x:v>Candidate only</x:v>
      </x:c>
      <x:c r="F123" s="18" t="n">
        <x:v>1</x:v>
      </x:c>
      <x:c r="G123" s="18" t="n">
        <x:v>1</x:v>
      </x:c>
      <x:c r="H123" s="18" t="n">
        <x:v>0</x:v>
      </x:c>
      <x:c r="I123" s="22"/>
      <x:c r="J123" s="22"/>
      <x:c r="K123" s="22"/>
      <x:c r="L123" s="22"/>
      <x:c r="M123" s="22"/>
      <x:c r="N123" s="22"/>
      <x:c r="O123" s="20"/>
      <x:c r="P123" s="20" t="str">
        <x:v>Available candidate amounts require audited-source checking.</x:v>
      </x:c>
    </x:row>
    <x:row r="124" ht="40" customHeight="1">
      <x:c r="A124" s="18" t="str">
        <x:v>Unity</x:v>
      </x:c>
      <x:c r="B124" s="18" t="n">
        <x:v>2021</x:v>
      </x:c>
      <x:c r="C124" s="18" t="str">
        <x:v>Tier 2</x:v>
      </x:c>
      <x:c r="D124" s="18" t="str">
        <x:v>IFRS 9</x:v>
      </x:c>
      <x:c r="E124" s="20" t="str">
        <x:v>Candidate only</x:v>
      </x:c>
      <x:c r="F124" s="18" t="n">
        <x:v>1</x:v>
      </x:c>
      <x:c r="G124" s="18" t="n">
        <x:v>1</x:v>
      </x:c>
      <x:c r="H124" s="18" t="n">
        <x:v>0</x:v>
      </x:c>
      <x:c r="I124" s="22"/>
      <x:c r="J124" s="22"/>
      <x:c r="K124" s="22"/>
      <x:c r="L124" s="22"/>
      <x:c r="M124" s="22"/>
      <x:c r="N124" s="22"/>
      <x:c r="O124" s="20"/>
      <x:c r="P124" s="20" t="str">
        <x:v>Available candidate amounts require audited-source checking.</x:v>
      </x:c>
    </x:row>
    <x:row r="125" ht="40" customHeight="1">
      <x:c r="A125" s="18" t="str">
        <x:v>Unity</x:v>
      </x:c>
      <x:c r="B125" s="18" t="n">
        <x:v>2022</x:v>
      </x:c>
      <x:c r="C125" s="18" t="str">
        <x:v>Tier 2</x:v>
      </x:c>
      <x:c r="D125" s="18" t="str">
        <x:v>IFRS 9</x:v>
      </x:c>
      <x:c r="E125" s="20" t="str">
        <x:v>Candidate only</x:v>
      </x:c>
      <x:c r="F125" s="18" t="n">
        <x:v>1</x:v>
      </x:c>
      <x:c r="G125" s="18" t="n">
        <x:v>1</x:v>
      </x:c>
      <x:c r="H125" s="18" t="n">
        <x:v>0</x:v>
      </x:c>
      <x:c r="I125" s="22"/>
      <x:c r="J125" s="22"/>
      <x:c r="K125" s="22"/>
      <x:c r="L125" s="22"/>
      <x:c r="M125" s="22"/>
      <x:c r="N125" s="22"/>
      <x:c r="O125" s="20"/>
      <x:c r="P125" s="20" t="str">
        <x:v>Available candidate amounts require audited-source checking.</x:v>
      </x:c>
    </x:row>
    <x:row r="126" ht="40" customHeight="1">
      <x:c r="A126" s="18" t="str">
        <x:v>Union</x:v>
      </x:c>
      <x:c r="B126" s="18" t="n">
        <x:v>2013</x:v>
      </x:c>
      <x:c r="C126" s="18" t="str">
        <x:v>Tier 2</x:v>
      </x:c>
      <x:c r="D126" s="18" t="str">
        <x:v>IAS 39</x:v>
      </x:c>
      <x:c r="E126" s="20" t="str">
        <x:v>Selected - inherited</x:v>
      </x:c>
      <x:c r="F126" s="18" t="n">
        <x:v>0</x:v>
      </x:c>
      <x:c r="G126" s="18" t="n">
        <x:v>0</x:v>
      </x:c>
      <x:c r="H126" s="18" t="n">
        <x:v>1</x:v>
      </x:c>
      <x:c r="I126" s="22" t="n">
        <x:f>'Selected_Inputs'!E31</x:f>
        <x:v>5121</x:v>
      </x:c>
      <x:c r="J126" s="22" t="n">
        <x:f>'Selected_Inputs'!F31</x:f>
        <x:v>882097</x:v>
      </x:c>
      <x:c r="K126" s="22" t="n">
        <x:f>'Selected_Inputs'!H31</x:f>
        <x:v>187784</x:v>
      </x:c>
      <x:c r="L126" s="22" t="str">
        <x:f>IF(ISNUMBER('Calculated_Ratios'!D31),'Calculated_Ratios'!D31,"")</x:f>
      </x:c>
      <x:c r="M126" s="22" t="n">
        <x:f>IF(ISNUMBER('Calculated_Ratios'!G31),'Calculated_Ratios'!G31,"")</x:f>
        <x:v>8.929438280166435</x:v>
      </x:c>
      <x:c r="N126" s="22" t="n">
        <x:f>IF(ISNUMBER('Selected_Inputs'!T31),'Selected_Inputs'!T31,"")</x:f>
        <x:v>24.8</x:v>
      </x:c>
      <x:c r="O126" s="20" t="str">
        <x:f>'Selected_Inputs'!AI31</x:f>
        <x:v>DS_UNION14</x:v>
      </x:c>
      <x:c r="P126" s="20" t="str">
        <x:f>'Selected_Inputs'!AK31</x:f>
        <x:v>Prior source-selection policy retained; original evidence preserved in accompanying pack.</x:v>
      </x:c>
    </x:row>
    <x:row r="127" ht="40" customHeight="1">
      <x:c r="A127" s="18" t="str">
        <x:v>Union</x:v>
      </x:c>
      <x:c r="B127" s="18" t="n">
        <x:v>2014</x:v>
      </x:c>
      <x:c r="C127" s="18" t="str">
        <x:v>Tier 2</x:v>
      </x:c>
      <x:c r="D127" s="18" t="str">
        <x:v>IAS 39</x:v>
      </x:c>
      <x:c r="E127" s="20" t="str">
        <x:v>Selected - inherited</x:v>
      </x:c>
      <x:c r="F127" s="18" t="n">
        <x:v>0</x:v>
      </x:c>
      <x:c r="G127" s="18" t="n">
        <x:v>0</x:v>
      </x:c>
      <x:c r="H127" s="18" t="n">
        <x:v>1</x:v>
      </x:c>
      <x:c r="I127" s="22" t="n">
        <x:f>'Selected_Inputs'!E32</x:f>
        <x:v>20486</x:v>
      </x:c>
      <x:c r="J127" s="22" t="n">
        <x:f>'Selected_Inputs'!F32</x:f>
        <x:v>920936</x:v>
      </x:c>
      <x:c r="K127" s="22" t="n">
        <x:f>'Selected_Inputs'!H32</x:f>
        <x:v>205974</x:v>
      </x:c>
      <x:c r="L127" s="22" t="n">
        <x:f>IF(ISNUMBER('Calculated_Ratios'!D32),'Calculated_Ratios'!D32,"")</x:f>
        <x:v>2.2723932396134736</x:v>
      </x:c>
      <x:c r="M127" s="22" t="n">
        <x:f>IF(ISNUMBER('Calculated_Ratios'!G32),'Calculated_Ratios'!G32,"")</x:f>
        <x:v>7.1760993160357085</x:v>
      </x:c>
      <x:c r="N127" s="22" t="n">
        <x:f>IF(ISNUMBER('Selected_Inputs'!T32),'Selected_Inputs'!T32,"")</x:f>
        <x:v>16.39</x:v>
      </x:c>
      <x:c r="O127" s="20" t="str">
        <x:f>'Selected_Inputs'!AI32</x:f>
        <x:v>DS_UNION14</x:v>
      </x:c>
      <x:c r="P127" s="20" t="str">
        <x:f>'Selected_Inputs'!AK32</x:f>
        <x:v>Prior source-selection policy retained; original evidence preserved in accompanying pack.</x:v>
      </x:c>
    </x:row>
    <x:row r="128" ht="40" customHeight="1">
      <x:c r="A128" s="18" t="str">
        <x:v>Union</x:v>
      </x:c>
      <x:c r="B128" s="18" t="n">
        <x:v>2015</x:v>
      </x:c>
      <x:c r="C128" s="18" t="str">
        <x:v>Tier 2</x:v>
      </x:c>
      <x:c r="D128" s="18" t="str">
        <x:v>IAS 39</x:v>
      </x:c>
      <x:c r="E128" s="20" t="str">
        <x:v>Candidate only</x:v>
      </x:c>
      <x:c r="F128" s="18" t="n">
        <x:v>0</x:v>
      </x:c>
      <x:c r="G128" s="18" t="n">
        <x:v>1</x:v>
      </x:c>
      <x:c r="H128" s="18" t="n">
        <x:v>0</x:v>
      </x:c>
      <x:c r="I128" s="22"/>
      <x:c r="J128" s="22"/>
      <x:c r="K128" s="22"/>
      <x:c r="L128" s="22"/>
      <x:c r="M128" s="22"/>
      <x:c r="N128" s="22"/>
      <x:c r="O128" s="20"/>
      <x:c r="P128" s="20" t="str">
        <x:v>Available candidate amounts require audited-source checking.</x:v>
      </x:c>
    </x:row>
    <x:row r="129" ht="40" customHeight="1">
      <x:c r="A129" s="18" t="str">
        <x:v>Union</x:v>
      </x:c>
      <x:c r="B129" s="18" t="n">
        <x:v>2016</x:v>
      </x:c>
      <x:c r="C129" s="18" t="str">
        <x:v>Tier 2</x:v>
      </x:c>
      <x:c r="D129" s="18" t="str">
        <x:v>IAS 39</x:v>
      </x:c>
      <x:c r="E129" s="20" t="str">
        <x:v>Candidate only</x:v>
      </x:c>
      <x:c r="F129" s="18" t="n">
        <x:v>0</x:v>
      </x:c>
      <x:c r="G129" s="18" t="n">
        <x:v>1</x:v>
      </x:c>
      <x:c r="H129" s="18" t="n">
        <x:v>0</x:v>
      </x:c>
      <x:c r="I129" s="22"/>
      <x:c r="J129" s="22"/>
      <x:c r="K129" s="22"/>
      <x:c r="L129" s="22"/>
      <x:c r="M129" s="22"/>
      <x:c r="N129" s="22"/>
      <x:c r="O129" s="20"/>
      <x:c r="P129" s="20" t="str">
        <x:v>Available candidate amounts require audited-source checking.</x:v>
      </x:c>
    </x:row>
    <x:row r="130" ht="40" customHeight="1">
      <x:c r="A130" s="18" t="str">
        <x:v>Union</x:v>
      </x:c>
      <x:c r="B130" s="18" t="n">
        <x:v>2017</x:v>
      </x:c>
      <x:c r="C130" s="18" t="str">
        <x:v>Tier 2</x:v>
      </x:c>
      <x:c r="D130" s="18" t="str">
        <x:v>IAS 39</x:v>
      </x:c>
      <x:c r="E130" s="20" t="str">
        <x:v>Selected - inherited</x:v>
      </x:c>
      <x:c r="F130" s="18" t="n">
        <x:v>0</x:v>
      </x:c>
      <x:c r="G130" s="18" t="n">
        <x:v>1</x:v>
      </x:c>
      <x:c r="H130" s="18" t="n">
        <x:v>1</x:v>
      </x:c>
      <x:c r="I130" s="22" t="n">
        <x:f>'Selected_Inputs'!E33</x:f>
        <x:v>11239</x:v>
      </x:c>
      <x:c r="J130" s="22" t="n">
        <x:f>'Selected_Inputs'!F33</x:f>
        <x:v>1334921</x:v>
      </x:c>
      <x:c r="K130" s="22" t="n">
        <x:f>'Selected_Inputs'!H33</x:f>
        <x:v>319119</x:v>
      </x:c>
      <x:c r="L130" s="22" t="n">
        <x:f>IF(ISNUMBER('Calculated_Ratios'!D33),'Calculated_Ratios'!D33,"")</x:f>
        <x:v>0.9143330388333244</x:v>
      </x:c>
      <x:c r="M130" s="22" t="n">
        <x:f>IF(ISNUMBER('Calculated_Ratios'!G33),'Calculated_Ratios'!G33,"")</x:f>
        <x:v>8.133025702933583</x:v>
      </x:c>
      <x:c r="N130" s="22" t="n">
        <x:f>IF(ISNUMBER('Selected_Inputs'!T33),'Selected_Inputs'!T33,"")</x:f>
        <x:v>17.8</x:v>
      </x:c>
      <x:c r="O130" s="20" t="str">
        <x:f>'Selected_Inputs'!AI33</x:f>
        <x:v>UNION18</x:v>
      </x:c>
      <x:c r="P130" s="20" t="str">
        <x:f>'Selected_Inputs'!AK33</x:f>
        <x:v>2018 report: restated 2017 main statements</x:v>
      </x:c>
    </x:row>
    <x:row r="131" ht="40" customHeight="1">
      <x:c r="A131" s="18" t="str">
        <x:v>Union</x:v>
      </x:c>
      <x:c r="B131" s="18" t="n">
        <x:v>2018</x:v>
      </x:c>
      <x:c r="C131" s="18" t="str">
        <x:v>Tier 2</x:v>
      </x:c>
      <x:c r="D131" s="18" t="str">
        <x:v>IFRS 9</x:v>
      </x:c>
      <x:c r="E131" s="20" t="str">
        <x:v>Selected - inherited</x:v>
      </x:c>
      <x:c r="F131" s="18" t="n">
        <x:v>0</x:v>
      </x:c>
      <x:c r="G131" s="18" t="n">
        <x:v>1</x:v>
      </x:c>
      <x:c r="H131" s="18" t="n">
        <x:v>1</x:v>
      </x:c>
      <x:c r="I131" s="22" t="n">
        <x:f>'Selected_Inputs'!E34</x:f>
        <x:v>18438</x:v>
      </x:c>
      <x:c r="J131" s="22" t="n">
        <x:f>'Selected_Inputs'!F34</x:f>
        <x:v>1324297</x:v>
      </x:c>
      <x:c r="K131" s="22" t="n">
        <x:f>'Selected_Inputs'!H34</x:f>
        <x:v>200087</x:v>
      </x:c>
      <x:c r="L131" s="22" t="n">
        <x:f>IF(ISNUMBER('Calculated_Ratios'!D34),'Calculated_Ratios'!D34,"")</x:f>
        <x:v>1.3867234653195037</x:v>
      </x:c>
      <x:c r="M131" s="22" t="n">
        <x:f>IF(ISNUMBER('Calculated_Ratios'!G34),'Calculated_Ratios'!G34,"")</x:f>
        <x:v>9.581618771599253</x:v>
      </x:c>
      <x:c r="N131" s="22" t="n">
        <x:f>IF(ISNUMBER('Selected_Inputs'!T34),'Selected_Inputs'!T34,"")</x:f>
        <x:v>11.5</x:v>
      </x:c>
      <x:c r="O131" s="20" t="str">
        <x:f>'Selected_Inputs'!AI34</x:f>
        <x:v>UNION18</x:v>
      </x:c>
      <x:c r="P131" s="20" t="str">
        <x:f>'Selected_Inputs'!AK34</x:f>
        <x:v>Original 2018 presentation; loan reinstatement alternatives held separately</x:v>
      </x:c>
    </x:row>
    <x:row r="132" ht="40" customHeight="1">
      <x:c r="A132" s="18" t="str">
        <x:v>Union</x:v>
      </x:c>
      <x:c r="B132" s="18" t="n">
        <x:v>2019</x:v>
      </x:c>
      <x:c r="C132" s="18" t="str">
        <x:v>Tier 2</x:v>
      </x:c>
      <x:c r="D132" s="18" t="str">
        <x:v>IFRS 9</x:v>
      </x:c>
      <x:c r="E132" s="20" t="str">
        <x:v>Selected - inherited</x:v>
      </x:c>
      <x:c r="F132" s="18" t="n">
        <x:v>0</x:v>
      </x:c>
      <x:c r="G132" s="18" t="n">
        <x:v>1</x:v>
      </x:c>
      <x:c r="H132" s="18" t="n">
        <x:v>1</x:v>
      </x:c>
      <x:c r="I132" s="22" t="n">
        <x:f>'Selected_Inputs'!E35</x:f>
        <x:v>24375</x:v>
      </x:c>
      <x:c r="J132" s="22" t="n">
        <x:f>'Selected_Inputs'!F35</x:f>
        <x:v>1711739</x:v>
      </x:c>
      <x:c r="K132" s="22" t="n">
        <x:f>'Selected_Inputs'!H35</x:f>
        <x:v>231192</x:v>
      </x:c>
      <x:c r="L132" s="22" t="n">
        <x:f>IF(ISNUMBER('Calculated_Ratios'!D35),'Calculated_Ratios'!D35,"")</x:f>
        <x:v>1.6057121852310052</x:v>
      </x:c>
      <x:c r="M132" s="22" t="n">
        <x:f>IF(ISNUMBER('Calculated_Ratios'!G35),'Calculated_Ratios'!G35,"")</x:f>
        <x:v>7.50632456349593</x:v>
      </x:c>
      <x:c r="N132" s="22" t="n">
        <x:f>IF(ISNUMBER('Selected_Inputs'!T35),'Selected_Inputs'!T35,"")</x:f>
        <x:v>15.91</x:v>
      </x:c>
      <x:c r="O132" s="20" t="str">
        <x:f>'Selected_Inputs'!AI35</x:f>
        <x:v>UNION18; UNION19; UNION20</x:v>
      </x:c>
      <x:c r="P132" s="20" t="str">
        <x:f>'Selected_Inputs'!AK35</x:f>
        <x:v>2020 audited-report comparative</x:v>
      </x:c>
    </x:row>
    <x:row r="133" ht="40" customHeight="1">
      <x:c r="A133" s="18" t="str">
        <x:v>Union</x:v>
      </x:c>
      <x:c r="B133" s="18" t="n">
        <x:v>2020</x:v>
      </x:c>
      <x:c r="C133" s="18" t="str">
        <x:v>Tier 2</x:v>
      </x:c>
      <x:c r="D133" s="18" t="str">
        <x:v>IFRS 9</x:v>
      </x:c>
      <x:c r="E133" s="20" t="str">
        <x:v>Selected - inherited</x:v>
      </x:c>
      <x:c r="F133" s="18" t="n">
        <x:v>0</x:v>
      </x:c>
      <x:c r="G133" s="18" t="n">
        <x:v>1</x:v>
      </x:c>
      <x:c r="H133" s="18" t="n">
        <x:v>1</x:v>
      </x:c>
      <x:c r="I133" s="22" t="n">
        <x:f>'Selected_Inputs'!E36</x:f>
        <x:v>24653</x:v>
      </x:c>
      <x:c r="J133" s="22" t="n">
        <x:f>'Selected_Inputs'!F36</x:f>
        <x:v>2073758</x:v>
      </x:c>
      <x:c r="K133" s="22" t="n">
        <x:f>'Selected_Inputs'!H36</x:f>
        <x:v>247521</x:v>
      </x:c>
      <x:c r="L133" s="22" t="n">
        <x:f>IF(ISNUMBER('Calculated_Ratios'!D36),'Calculated_Ratios'!D36,"")</x:f>
        <x:v>1.3024973999451064</x:v>
      </x:c>
      <x:c r="M133" s="22" t="n">
        <x:f>IF(ISNUMBER('Calculated_Ratios'!G36),'Calculated_Ratios'!G36,"")</x:f>
        <x:v>5.9601309602666985</x:v>
      </x:c>
      <x:c r="N133" s="22" t="n">
        <x:f>IF(ISNUMBER('Selected_Inputs'!T36),'Selected_Inputs'!T36,"")</x:f>
        <x:v>15.76</x:v>
      </x:c>
      <x:c r="O133" s="20" t="str">
        <x:f>'Selected_Inputs'!AI36</x:f>
        <x:v>UNION20</x:v>
      </x:c>
      <x:c r="P133" s="20" t="str">
        <x:f>'Selected_Inputs'!AK36</x:f>
        <x:v>2020 audited-report current-year</x:v>
      </x:c>
    </x:row>
    <x:row r="134" ht="40" customHeight="1">
      <x:c r="A134" s="18" t="str">
        <x:v>Union</x:v>
      </x:c>
      <x:c r="B134" s="18" t="n">
        <x:v>2021</x:v>
      </x:c>
      <x:c r="C134" s="18" t="str">
        <x:v>Tier 2</x:v>
      </x:c>
      <x:c r="D134" s="18" t="str">
        <x:v>IFRS 9</x:v>
      </x:c>
      <x:c r="E134" s="20" t="str">
        <x:v>Selected - inherited</x:v>
      </x:c>
      <x:c r="F134" s="18" t="n">
        <x:v>0</x:v>
      </x:c>
      <x:c r="G134" s="18" t="n">
        <x:v>1</x:v>
      </x:c>
      <x:c r="H134" s="18" t="n">
        <x:v>1</x:v>
      </x:c>
      <x:c r="I134" s="22" t="n">
        <x:f>'Selected_Inputs'!E37</x:f>
        <x:v>19180</x:v>
      </x:c>
      <x:c r="J134" s="22" t="n">
        <x:f>'Selected_Inputs'!F37</x:f>
        <x:v>2567441</x:v>
      </x:c>
      <x:c r="K134" s="22" t="n">
        <x:f>'Selected_Inputs'!H37</x:f>
        <x:v>251487</x:v>
      </x:c>
      <x:c r="L134" s="22" t="n">
        <x:f>IF(ISNUMBER('Calculated_Ratios'!D37),'Calculated_Ratios'!D37,"")</x:f>
        <x:v>0.8265105633264163</x:v>
      </x:c>
      <x:c r="M134" s="22" t="n">
        <x:f>IF(ISNUMBER('Calculated_Ratios'!G37),'Calculated_Ratios'!G37,"")</x:f>
        <x:v>3.3662326800177063</x:v>
      </x:c>
      <x:c r="N134" s="22" t="n">
        <x:f>IF(ISNUMBER('Selected_Inputs'!T37),'Selected_Inputs'!T37,"")</x:f>
        <x:v>14.61</x:v>
      </x:c>
      <x:c r="O134" s="20" t="str">
        <x:f>'Selected_Inputs'!AI37</x:f>
        <x:v>UNION20; UNION22</x:v>
      </x:c>
      <x:c r="P134" s="20" t="str">
        <x:f>'Selected_Inputs'!AK37</x:f>
        <x:v>2022 audited-report comparative</x:v>
      </x:c>
    </x:row>
    <x:row r="135" ht="40" customHeight="1">
      <x:c r="A135" s="18" t="str">
        <x:v>Union</x:v>
      </x:c>
      <x:c r="B135" s="18" t="n">
        <x:v>2022</x:v>
      </x:c>
      <x:c r="C135" s="18" t="str">
        <x:v>Tier 2</x:v>
      </x:c>
      <x:c r="D135" s="18" t="str">
        <x:v>IFRS 9</x:v>
      </x:c>
      <x:c r="E135" s="20" t="str">
        <x:v>Selected - inherited</x:v>
      </x:c>
      <x:c r="F135" s="18" t="n">
        <x:v>0</x:v>
      </x:c>
      <x:c r="G135" s="18" t="n">
        <x:v>1</x:v>
      </x:c>
      <x:c r="H135" s="18" t="n">
        <x:v>1</x:v>
      </x:c>
      <x:c r="I135" s="22" t="n">
        <x:f>'Selected_Inputs'!E38</x:f>
        <x:v>29009</x:v>
      </x:c>
      <x:c r="J135" s="22" t="n">
        <x:f>'Selected_Inputs'!F38</x:f>
        <x:v>2793674</x:v>
      </x:c>
      <x:c r="K135" s="22" t="n">
        <x:f>'Selected_Inputs'!H38</x:f>
        <x:v>289850</x:v>
      </x:c>
      <x:c r="L135" s="22" t="n">
        <x:f>IF(ISNUMBER('Calculated_Ratios'!D38),'Calculated_Ratios'!D38,"")</x:f>
        <x:v>1.0822002512537037</x:v>
      </x:c>
      <x:c r="M135" s="22" t="n">
        <x:f>IF(ISNUMBER('Calculated_Ratios'!G38),'Calculated_Ratios'!G38,"")</x:f>
        <x:v>3.1986116536767297</x:v>
      </x:c>
      <x:c r="N135" s="22" t="n">
        <x:f>IF(ISNUMBER('Selected_Inputs'!T38),'Selected_Inputs'!T38,"")</x:f>
        <x:v>14.42</x:v>
      </x:c>
      <x:c r="O135" s="20" t="str">
        <x:f>'Selected_Inputs'!AI38</x:f>
        <x:v>UNION22</x:v>
      </x:c>
      <x:c r="P135" s="20" t="str">
        <x:f>'Selected_Inputs'!AK38</x:f>
        <x:v>2022 audited-report current-year</x:v>
      </x:c>
    </x:row>
  </x:sheetData>
  <x:mergeCells>
    <x:mergeCell ref="A1:P1"/>
    <x:mergeCell ref="A2:P3"/>
  </x:mergeCells>
  <x:pageMargins left="0.7" right="0.7" top="0.75" bottom="0.75" header="0.3" footer="0.3"/>
  <x:tableParts count="1">
    <x:tablePart xmlns:r="http://schemas.openxmlformats.org/officeDocument/2006/relationships" r:id="R47892d363d544e7d"/>
  </x:tableParts>
</x:worksheet>
</file>

<file path=xl/worksheets/sheet4.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1" hidden="0" customWidth="1"/>
    <x:col min="2" max="2" width="10" hidden="0" customWidth="1"/>
    <x:col min="3" max="3" width="14"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30" hidden="0" customWidth="1"/>
    <x:col min="17" max="17" width="18" hidden="0" customWidth="1"/>
    <x:col min="18" max="18" width="16" hidden="0" customWidth="1"/>
  </x:cols>
  <x:sheetData>
    <x:row r="1" ht="30" customHeight="1">
      <x:c r="A1" s="3" t="str">
        <x:v>CURRENT CSV | RAW CANDIDATE DATA</x:v>
      </x:c>
      <x:c r="B1" s="3"/>
      <x:c r="C1" s="3"/>
      <x:c r="D1" s="3"/>
      <x:c r="E1" s="3"/>
      <x:c r="F1" s="3"/>
      <x:c r="G1" s="3"/>
      <x:c r="H1" s="3"/>
      <x:c r="I1" s="3"/>
      <x:c r="J1" s="3"/>
      <x:c r="K1" s="3"/>
      <x:c r="L1" s="3"/>
      <x:c r="M1" s="3"/>
      <x:c r="N1" s="3"/>
      <x:c r="O1" s="3"/>
      <x:c r="P1" s="3"/>
      <x:c r="Q1" s="3"/>
      <x:c r="R1" s="3"/>
    </x:row>
    <x:row r="2" ht="25" customHeight="1">
      <x:c r="A2" s="8" t="str">
        <x:v>Unchanged against the archived CSV: 1,440 financial and indicator fields compared, zero differences. Twelve banks; 96 positions; Wema 2018 missing. Source assertions and qualifications are preserved in Source_Notes.</x:v>
      </x:c>
      <x:c r="B2" s="8"/>
      <x:c r="C2" s="8"/>
      <x:c r="D2" s="8"/>
      <x:c r="E2" s="8"/>
      <x:c r="F2" s="8"/>
      <x:c r="G2" s="8"/>
      <x:c r="H2" s="8"/>
      <x:c r="I2" s="8"/>
      <x:c r="J2" s="8"/>
      <x:c r="K2" s="8"/>
      <x:c r="L2" s="8"/>
      <x:c r="M2" s="8"/>
      <x:c r="N2" s="8"/>
      <x:c r="O2" s="8"/>
      <x:c r="P2" s="8"/>
      <x:c r="Q2" s="8"/>
      <x:c r="R2" s="8"/>
    </x:row>
    <x:row r="3" ht="20" customHeight="1">
      <x:c r="A3" s="8"/>
      <x:c r="B3" s="8"/>
      <x:c r="C3" s="8"/>
      <x:c r="D3" s="8"/>
      <x:c r="E3" s="8"/>
      <x:c r="F3" s="8"/>
      <x:c r="G3" s="8"/>
      <x:c r="H3" s="8"/>
      <x:c r="I3" s="8"/>
      <x:c r="J3" s="8"/>
      <x:c r="K3" s="8"/>
      <x:c r="L3" s="8"/>
      <x:c r="M3" s="8"/>
      <x:c r="N3" s="8"/>
      <x:c r="O3" s="8"/>
      <x:c r="P3" s="8"/>
      <x:c r="Q3" s="8"/>
      <x:c r="R3" s="8"/>
    </x:row>
    <x:row r="5" ht="34" customHeight="1">
      <x:c r="A5" s="14" t="str">
        <x:v>Bank</x:v>
      </x:c>
      <x:c r="B5" s="14" t="str">
        <x:v>Year</x:v>
      </x:c>
      <x:c r="C5" s="14" t="str">
        <x:v>Tier as supplied</x:v>
      </x:c>
      <x:c r="D5" s="14" t="str">
        <x:v>PAT (NGNm)</x:v>
      </x:c>
      <x:c r="E5" s="14" t="str">
        <x:v>Gross earnings (NGNm)</x:v>
      </x:c>
      <x:c r="F5" s="14" t="str">
        <x:v>Total assets (NGNm)</x:v>
      </x:c>
      <x:c r="G5" s="14" t="str">
        <x:v>Gross loans as labelled (NGNm)</x:v>
      </x:c>
      <x:c r="H5" s="14" t="str">
        <x:v>Allowance as labelled (NGNm)</x:v>
      </x:c>
      <x:c r="I5" s="14" t="str">
        <x:v>Impairment as supplied (NGNm)</x:v>
      </x:c>
      <x:c r="J5" s="14" t="str">
        <x:v>NPL (%)</x:v>
      </x:c>
      <x:c r="K5" s="14" t="str">
        <x:v>CAR (%)</x:v>
      </x:c>
      <x:c r="L5" s="14" t="str">
        <x:v>ROA closing (%)</x:v>
      </x:c>
      <x:c r="M5" s="14" t="str">
        <x:v>Allowance / loans (%)</x:v>
      </x:c>
      <x:c r="N5" s="14" t="str">
        <x:v>Leverage (%)</x:v>
      </x:c>
      <x:c r="O5" s="14" t="str">
        <x:v>ln assets</x:v>
      </x:c>
      <x:c r="P5" s="14" t="str">
        <x:v>Auditor as supplied</x:v>
      </x:c>
      <x:c r="Q5" s="14" t="str">
        <x:v>GC code as supplied</x:v>
      </x:c>
      <x:c r="R5" s="14" t="str">
        <x:v>IFRS 9 dummy</x:v>
      </x:c>
    </x:row>
    <x:row r="6" ht="30" customHeight="1">
      <x:c r="A6" s="20" t="str">
        <x:v>Access</x:v>
      </x:c>
      <x:c r="B6" s="18" t="n">
        <x:v>2015</x:v>
      </x:c>
      <x:c r="C6" s="18" t="str">
        <x:v>Tier 1</x:v>
      </x:c>
      <x:c r="D6" s="22" t="n">
        <x:v>58925</x:v>
      </x:c>
      <x:c r="E6" s="22" t="n">
        <x:v>302062</x:v>
      </x:c>
      <x:c r="F6" s="22" t="n">
        <x:v>2411944</x:v>
      </x:c>
      <x:c r="G6" s="22" t="n">
        <x:v>1243215</x:v>
      </x:c>
      <x:c r="H6" s="22" t="n">
        <x:v>26906</x:v>
      </x:c>
      <x:c r="I6" s="22" t="n">
        <x:v>13288</x:v>
      </x:c>
      <x:c r="J6" s="22" t="n">
        <x:v>1.5</x:v>
      </x:c>
      <x:c r="K6" s="22" t="n">
        <x:v>18</x:v>
      </x:c>
      <x:c r="L6" s="22" t="n">
        <x:v>2.44</x:v>
      </x:c>
      <x:c r="M6" s="22" t="n">
        <x:v>2.16</x:v>
      </x:c>
      <x:c r="N6" s="22" t="n">
        <x:v>85.06</x:v>
      </x:c>
      <x:c r="O6" s="22" t="n">
        <x:v>14.7</x:v>
      </x:c>
      <x:c r="P6" s="20" t="str">
        <x:v>PwC</x:v>
      </x:c>
      <x:c r="Q6" s="18" t="n">
        <x:v>0</x:v>
      </x:c>
      <x:c r="R6" s="18" t="n">
        <x:v>0</x:v>
      </x:c>
    </x:row>
    <x:row r="7" ht="30" customHeight="1">
      <x:c r="A7" s="20" t="str">
        <x:v>Access</x:v>
      </x:c>
      <x:c r="B7" s="18" t="n">
        <x:v>2016</x:v>
      </x:c>
      <x:c r="C7" s="18" t="str">
        <x:v>Tier 1</x:v>
      </x:c>
      <x:c r="D7" s="22" t="n">
        <x:v>64026</x:v>
      </x:c>
      <x:c r="E7" s="22" t="n">
        <x:v>331001</x:v>
      </x:c>
      <x:c r="F7" s="22" t="n">
        <x:v>3094961</x:v>
      </x:c>
      <x:c r="G7" s="22" t="n">
        <x:v>1594562</x:v>
      </x:c>
      <x:c r="H7" s="22" t="n">
        <x:v>30276</x:v>
      </x:c>
      <x:c r="I7" s="22" t="n">
        <x:v>17641</x:v>
      </x:c>
      <x:c r="J7" s="22" t="n">
        <x:v>1.8</x:v>
      </x:c>
      <x:c r="K7" s="22" t="n">
        <x:v>19.55</x:v>
      </x:c>
      <x:c r="L7" s="22" t="n">
        <x:v>2.07</x:v>
      </x:c>
      <x:c r="M7" s="22" t="n">
        <x:v>1.9</x:v>
      </x:c>
      <x:c r="N7" s="22" t="n">
        <x:v>86.38</x:v>
      </x:c>
      <x:c r="O7" s="22" t="n">
        <x:v>14.95</x:v>
      </x:c>
      <x:c r="P7" s="20" t="str">
        <x:v>PwC</x:v>
      </x:c>
      <x:c r="Q7" s="18" t="n">
        <x:v>0</x:v>
      </x:c>
      <x:c r="R7" s="18" t="n">
        <x:v>0</x:v>
      </x:c>
    </x:row>
    <x:row r="8" ht="30" customHeight="1">
      <x:c r="A8" s="20" t="str">
        <x:v>Access</x:v>
      </x:c>
      <x:c r="B8" s="18" t="n">
        <x:v>2017</x:v>
      </x:c>
      <x:c r="C8" s="18" t="str">
        <x:v>Tier 1</x:v>
      </x:c>
      <x:c r="D8" s="22" t="n">
        <x:v>53239</x:v>
      </x:c>
      <x:c r="E8" s="22" t="n">
        <x:v>398162</x:v>
      </x:c>
      <x:c r="F8" s="22" t="n">
        <x:v>3499684</x:v>
      </x:c>
      <x:c r="G8" s="22" t="n">
        <x:v>1827389</x:v>
      </x:c>
      <x:c r="H8" s="22" t="n">
        <x:v>56331</x:v>
      </x:c>
      <x:c r="I8" s="22" t="n">
        <x:v>29150</x:v>
      </x:c>
      <x:c r="J8" s="22" t="n">
        <x:v>4.28</x:v>
      </x:c>
      <x:c r="K8" s="22" t="n">
        <x:v>18.18</x:v>
      </x:c>
      <x:c r="L8" s="22" t="n">
        <x:v>1.52</x:v>
      </x:c>
      <x:c r="M8" s="22" t="n">
        <x:v>3.08</x:v>
      </x:c>
      <x:c r="N8" s="22" t="n">
        <x:v>86.59</x:v>
      </x:c>
      <x:c r="O8" s="22" t="n">
        <x:v>15.07</x:v>
      </x:c>
      <x:c r="P8" s="20" t="str">
        <x:v>PwC</x:v>
      </x:c>
      <x:c r="Q8" s="18" t="n">
        <x:v>0</x:v>
      </x:c>
      <x:c r="R8" s="18" t="n">
        <x:v>0</x:v>
      </x:c>
    </x:row>
    <x:row r="9" ht="30" customHeight="1">
      <x:c r="A9" s="20" t="str">
        <x:v>Access</x:v>
      </x:c>
      <x:c r="B9" s="18" t="n">
        <x:v>2018</x:v>
      </x:c>
      <x:c r="C9" s="18" t="str">
        <x:v>Tier 1</x:v>
      </x:c>
      <x:c r="D9" s="22" t="n">
        <x:v>73596</x:v>
      </x:c>
      <x:c r="E9" s="22" t="n">
        <x:v>435743</x:v>
      </x:c>
      <x:c r="F9" s="22" t="n">
        <x:v>3968115</x:v>
      </x:c>
      <x:c r="G9" s="22" t="n">
        <x:v>1753772</x:v>
      </x:c>
      <x:c r="H9" s="22" t="n">
        <x:v>72010</x:v>
      </x:c>
      <x:c r="I9" s="22" t="n">
        <x:v>10702</x:v>
      </x:c>
      <x:c r="J9" s="22" t="n">
        <x:v>2.38</x:v>
      </x:c>
      <x:c r="K9" s="22" t="n">
        <x:v>16.34</x:v>
      </x:c>
      <x:c r="L9" s="22" t="n">
        <x:v>1.85</x:v>
      </x:c>
      <x:c r="M9" s="22" t="n">
        <x:v>4.11</x:v>
      </x:c>
      <x:c r="N9" s="22" t="n">
        <x:v>88.66</x:v>
      </x:c>
      <x:c r="O9" s="22" t="n">
        <x:v>15.19</x:v>
      </x:c>
      <x:c r="P9" s="20" t="str">
        <x:v>PwC</x:v>
      </x:c>
      <x:c r="Q9" s="18" t="n">
        <x:v>0</x:v>
      </x:c>
      <x:c r="R9" s="18" t="n">
        <x:v>1</x:v>
      </x:c>
    </x:row>
    <x:row r="10" ht="30" customHeight="1">
      <x:c r="A10" s="20" t="str">
        <x:v>Access</x:v>
      </x:c>
      <x:c r="B10" s="18" t="n">
        <x:v>2019</x:v>
      </x:c>
      <x:c r="C10" s="18" t="str">
        <x:v>Tier 1</x:v>
      </x:c>
      <x:c r="D10" s="22" t="n">
        <x:v>73569</x:v>
      </x:c>
      <x:c r="E10" s="22" t="n">
        <x:v>576348</x:v>
      </x:c>
      <x:c r="F10" s="22" t="n">
        <x:v>6311041</x:v>
      </x:c>
      <x:c r="G10" s="22" t="n">
        <x:v>2662623</x:v>
      </x:c>
      <x:c r="H10" s="22" t="n">
        <x:v>180999</x:v>
      </x:c>
      <x:c r="I10" s="22" t="n">
        <x:v>21055</x:v>
      </x:c>
      <x:c r="J10" s="22" t="n">
        <x:v>6.1</x:v>
      </x:c>
      <x:c r="K10" s="22" t="n">
        <x:v>17.65</x:v>
      </x:c>
      <x:c r="L10" s="22" t="n">
        <x:v>1.17</x:v>
      </x:c>
      <x:c r="M10" s="22" t="n">
        <x:v>6.8</x:v>
      </x:c>
      <x:c r="N10" s="22" t="n">
        <x:v>91.4</x:v>
      </x:c>
      <x:c r="O10" s="22" t="n">
        <x:v>15.66</x:v>
      </x:c>
      <x:c r="P10" s="20" t="str">
        <x:v>PwC</x:v>
      </x:c>
      <x:c r="Q10" s="18" t="n">
        <x:v>0</x:v>
      </x:c>
      <x:c r="R10" s="18" t="n">
        <x:v>1</x:v>
      </x:c>
    </x:row>
    <x:row r="11" ht="30" customHeight="1">
      <x:c r="A11" s="20" t="str">
        <x:v>Access</x:v>
      </x:c>
      <x:c r="B11" s="18" t="n">
        <x:v>2020</x:v>
      </x:c>
      <x:c r="C11" s="18" t="str">
        <x:v>Tier 1</x:v>
      </x:c>
      <x:c r="D11" s="22" t="n">
        <x:v>80039</x:v>
      </x:c>
      <x:c r="E11" s="22" t="n">
        <x:v>634864</x:v>
      </x:c>
      <x:c r="F11" s="22" t="n">
        <x:v>7624980</x:v>
      </x:c>
      <x:c r="G11" s="22" t="n">
        <x:v>2829171</x:v>
      </x:c>
      <x:c r="H11" s="22" t="n">
        <x:v>116211</x:v>
      </x:c>
      <x:c r="I11" s="22" t="n">
        <x:v>39651</x:v>
      </x:c>
      <x:c r="J11" s="22" t="n">
        <x:v>3.65</x:v>
      </x:c>
      <x:c r="K11" s="22" t="n">
        <x:v>16.83</x:v>
      </x:c>
      <x:c r="L11" s="22" t="n">
        <x:v>1.05</x:v>
      </x:c>
      <x:c r="M11" s="22" t="n">
        <x:v>4.11</x:v>
      </x:c>
      <x:c r="N11" s="22" t="n">
        <x:v>91.31</x:v>
      </x:c>
      <x:c r="O11" s="22" t="n">
        <x:v>15.85</x:v>
      </x:c>
      <x:c r="P11" s="20" t="str">
        <x:v>PwC</x:v>
      </x:c>
      <x:c r="Q11" s="18" t="n">
        <x:v>0</x:v>
      </x:c>
      <x:c r="R11" s="18" t="n">
        <x:v>1</x:v>
      </x:c>
    </x:row>
    <x:row r="12" ht="30" customHeight="1">
      <x:c r="A12" s="20" t="str">
        <x:v>Access</x:v>
      </x:c>
      <x:c r="B12" s="18" t="n">
        <x:v>2021</x:v>
      </x:c>
      <x:c r="C12" s="18" t="str">
        <x:v>Tier 1</x:v>
      </x:c>
      <x:c r="D12" s="22" t="n">
        <x:v>111326</x:v>
      </x:c>
      <x:c r="E12" s="22" t="n">
        <x:v>734283</x:v>
      </x:c>
      <x:c r="F12" s="22" t="n">
        <x:v>9660761</x:v>
      </x:c>
      <x:c r="G12" s="22" t="n">
        <x:v>3343722</x:v>
      </x:c>
      <x:c r="H12" s="22" t="n">
        <x:v>87650</x:v>
      </x:c>
      <x:c r="I12" s="22" t="n">
        <x:v>53801</x:v>
      </x:c>
      <x:c r="J12" s="22" t="n">
        <x:v>2.03</x:v>
      </x:c>
      <x:c r="K12" s="22" t="n">
        <x:v>20.93</x:v>
      </x:c>
      <x:c r="L12" s="22" t="n">
        <x:v>1.15</x:v>
      </x:c>
      <x:c r="M12" s="22" t="n">
        <x:v>2.62</x:v>
      </x:c>
      <x:c r="N12" s="22" t="n">
        <x:v>90.98</x:v>
      </x:c>
      <x:c r="O12" s="22" t="n">
        <x:v>16.08</x:v>
      </x:c>
      <x:c r="P12" s="20" t="str">
        <x:v>PwC</x:v>
      </x:c>
      <x:c r="Q12" s="18" t="n">
        <x:v>0</x:v>
      </x:c>
      <x:c r="R12" s="18" t="n">
        <x:v>1</x:v>
      </x:c>
    </x:row>
    <x:row r="13" ht="30" customHeight="1">
      <x:c r="A13" s="20" t="str">
        <x:v>Access</x:v>
      </x:c>
      <x:c r="B13" s="18" t="n">
        <x:v>2022</x:v>
      </x:c>
      <x:c r="C13" s="18" t="str">
        <x:v>Tier 1</x:v>
      </x:c>
      <x:c r="D13" s="22" t="n">
        <x:v>166660</x:v>
      </x:c>
      <x:c r="E13" s="22" t="n">
        <x:v>1125012</x:v>
      </x:c>
      <x:c r="F13" s="22" t="n">
        <x:v>12535280</x:v>
      </x:c>
      <x:c r="G13" s="22" t="n">
        <x:v>4149413</x:v>
      </x:c>
      <x:c r="H13" s="22" t="n">
        <x:v>65065</x:v>
      </x:c>
      <x:c r="I13" s="22" t="n">
        <x:v>118681</x:v>
      </x:c>
      <x:c r="J13" s="22" t="n">
        <x:v>1.92</x:v>
      </x:c>
      <x:c r="K13" s="22" t="n">
        <x:v>17.85</x:v>
      </x:c>
      <x:c r="L13" s="22" t="n">
        <x:v>1.33</x:v>
      </x:c>
      <x:c r="M13" s="22" t="n">
        <x:v>1.57</x:v>
      </x:c>
      <x:c r="N13" s="22" t="n">
        <x:v>91.48</x:v>
      </x:c>
      <x:c r="O13" s="22" t="n">
        <x:v>16.34</x:v>
      </x:c>
      <x:c r="P13" s="20" t="str">
        <x:v>PwC</x:v>
      </x:c>
      <x:c r="Q13" s="18" t="n">
        <x:v>0</x:v>
      </x:c>
      <x:c r="R13" s="18" t="n">
        <x:v>1</x:v>
      </x:c>
    </x:row>
    <x:row r="14" ht="30" customHeight="1">
      <x:c r="A14" s="20" t="str">
        <x:v>Zenith</x:v>
      </x:c>
      <x:c r="B14" s="18" t="n">
        <x:v>2015</x:v>
      </x:c>
      <x:c r="C14" s="18" t="str">
        <x:v>Tier 1</x:v>
      </x:c>
      <x:c r="D14" s="22" t="n">
        <x:v>98784</x:v>
      </x:c>
      <x:c r="E14" s="22" t="n">
        <x:v>396653</x:v>
      </x:c>
      <x:c r="F14" s="22" t="n">
        <x:v>3750327</x:v>
      </x:c>
      <x:c r="G14" s="22" t="n">
        <x:v>1849225</x:v>
      </x:c>
      <x:c r="H14" s="22" t="n">
        <x:v>49433</x:v>
      </x:c>
      <x:c r="I14" s="22" t="n">
        <x:v>11091</x:v>
      </x:c>
      <x:c r="J14" s="22" t="n">
        <x:v>2.1</x:v>
      </x:c>
      <x:c r="K14" s="22" t="n">
        <x:v>21</x:v>
      </x:c>
      <x:c r="L14" s="22" t="n">
        <x:v>2.63</x:v>
      </x:c>
      <x:c r="M14" s="22" t="n">
        <x:v>2.67</x:v>
      </x:c>
      <x:c r="N14" s="22" t="n">
        <x:v>85.41</x:v>
      </x:c>
      <x:c r="O14" s="22" t="n">
        <x:v>15.137</x:v>
      </x:c>
      <x:c r="P14" s="20" t="str">
        <x:v>KPMG</x:v>
      </x:c>
      <x:c r="Q14" s="18" t="n">
        <x:v>0</x:v>
      </x:c>
      <x:c r="R14" s="18" t="n">
        <x:v>0</x:v>
      </x:c>
    </x:row>
    <x:row r="15" ht="30" customHeight="1">
      <x:c r="A15" s="20" t="str">
        <x:v>Zenith</x:v>
      </x:c>
      <x:c r="B15" s="18" t="n">
        <x:v>2016</x:v>
      </x:c>
      <x:c r="C15" s="18" t="str">
        <x:v>Tier 1</x:v>
      </x:c>
      <x:c r="D15" s="22" t="n">
        <x:v>119285</x:v>
      </x:c>
      <x:c r="E15" s="22" t="n">
        <x:v>454808</x:v>
      </x:c>
      <x:c r="F15" s="22" t="n">
        <x:v>4283736</x:v>
      </x:c>
      <x:c r="G15" s="22" t="n">
        <x:v>2193224</x:v>
      </x:c>
      <x:c r="H15" s="22" t="n">
        <x:v>55092</x:v>
      </x:c>
      <x:c r="I15" s="22" t="n">
        <x:v>26295</x:v>
      </x:c>
      <x:c r="J15" s="22" t="n">
        <x:v>2.63</x:v>
      </x:c>
      <x:c r="K15" s="22" t="n">
        <x:v>22</x:v>
      </x:c>
      <x:c r="L15" s="22" t="n">
        <x:v>2.78</x:v>
      </x:c>
      <x:c r="M15" s="22" t="n">
        <x:v>2.51</x:v>
      </x:c>
      <x:c r="N15" s="22" t="n">
        <x:v>85.61</x:v>
      </x:c>
      <x:c r="O15" s="22" t="n">
        <x:v>15.27</x:v>
      </x:c>
      <x:c r="P15" s="20" t="str">
        <x:v>KPMG</x:v>
      </x:c>
      <x:c r="Q15" s="18" t="n">
        <x:v>0</x:v>
      </x:c>
      <x:c r="R15" s="18" t="n">
        <x:v>0</x:v>
      </x:c>
    </x:row>
    <x:row r="16" ht="30" customHeight="1">
      <x:c r="A16" s="20" t="str">
        <x:v>Zenith</x:v>
      </x:c>
      <x:c r="B16" s="18" t="n">
        <x:v>2017</x:v>
      </x:c>
      <x:c r="C16" s="18" t="str">
        <x:v>Tier 1</x:v>
      </x:c>
      <x:c r="D16" s="22" t="n">
        <x:v>157145</x:v>
      </x:c>
      <x:c r="E16" s="22" t="n">
        <x:v>673636</x:v>
      </x:c>
      <x:c r="F16" s="22" t="n">
        <x:v>4833658</x:v>
      </x:c>
      <x:c r="G16" s="22" t="n">
        <x:v>2117069</x:v>
      </x:c>
      <x:c r="H16" s="22" t="n">
        <x:v>136605</x:v>
      </x:c>
      <x:c r="I16" s="22" t="n">
        <x:v>95244</x:v>
      </x:c>
      <x:c r="J16" s="22" t="n">
        <x:v>4.33</x:v>
      </x:c>
      <x:c r="K16" s="22" t="n">
        <x:v>24</x:v>
      </x:c>
      <x:c r="L16" s="22" t="n">
        <x:v>3.25</x:v>
      </x:c>
      <x:c r="M16" s="22" t="n">
        <x:v>6.45</x:v>
      </x:c>
      <x:c r="N16" s="22" t="n">
        <x:v>85.36</x:v>
      </x:c>
      <x:c r="O16" s="22" t="n">
        <x:v>15.391</x:v>
      </x:c>
      <x:c r="P16" s="20" t="str">
        <x:v>KPMG</x:v>
      </x:c>
      <x:c r="Q16" s="18" t="n">
        <x:v>0</x:v>
      </x:c>
      <x:c r="R16" s="18" t="n">
        <x:v>0</x:v>
      </x:c>
    </x:row>
    <x:row r="17" ht="30" customHeight="1">
      <x:c r="A17" s="20" t="str">
        <x:v>Zenith</x:v>
      </x:c>
      <x:c r="B17" s="18" t="n">
        <x:v>2018</x:v>
      </x:c>
      <x:c r="C17" s="18" t="str">
        <x:v>Tier 1</x:v>
      </x:c>
      <x:c r="D17" s="22" t="n">
        <x:v>160454</x:v>
      </x:c>
      <x:c r="E17" s="22" t="n">
        <x:v>531580</x:v>
      </x:c>
      <x:c r="F17" s="22" t="n">
        <x:v>4981855</x:v>
      </x:c>
      <x:c r="G17" s="22" t="n">
        <x:v>1823126</x:v>
      </x:c>
      <x:c r="H17" s="22" t="n">
        <x:v>144502</x:v>
      </x:c>
      <x:c r="I17" s="22" t="n">
        <x:v>15705</x:v>
      </x:c>
      <x:c r="J17" s="22" t="n">
        <x:v>4.98</x:v>
      </x:c>
      <x:c r="K17" s="22" t="n">
        <x:v>25</x:v>
      </x:c>
      <x:c r="L17" s="22" t="n">
        <x:v>3.22</x:v>
      </x:c>
      <x:c r="M17" s="22" t="n">
        <x:v>7.93</x:v>
      </x:c>
      <x:c r="N17" s="22" t="n">
        <x:v>84.22</x:v>
      </x:c>
      <x:c r="O17" s="22" t="n">
        <x:v>15.421</x:v>
      </x:c>
      <x:c r="P17" s="20" t="str">
        <x:v>KPMG</x:v>
      </x:c>
      <x:c r="Q17" s="18" t="n">
        <x:v>0</x:v>
      </x:c>
      <x:c r="R17" s="18" t="n">
        <x:v>1</x:v>
      </x:c>
    </x:row>
    <x:row r="18" ht="30" customHeight="1">
      <x:c r="A18" s="20" t="str">
        <x:v>Zenith</x:v>
      </x:c>
      <x:c r="B18" s="18" t="n">
        <x:v>2019</x:v>
      </x:c>
      <x:c r="C18" s="18" t="str">
        <x:v>Tier 1</x:v>
      </x:c>
      <x:c r="D18" s="22" t="n">
        <x:v>178003</x:v>
      </x:c>
      <x:c r="E18" s="22" t="n">
        <x:v>564687</x:v>
      </x:c>
      <x:c r="F18" s="22" t="n">
        <x:v>5435073</x:v>
      </x:c>
      <x:c r="G18" s="22" t="n">
        <x:v>2239472</x:v>
      </x:c>
      <x:c r="H18" s="22" t="n">
        <x:v>137745</x:v>
      </x:c>
      <x:c r="I18" s="22" t="n">
        <x:v>23393</x:v>
      </x:c>
      <x:c r="J18" s="22" t="n">
        <x:v>4.3</x:v>
      </x:c>
      <x:c r="K18" s="22" t="n">
        <x:v>22</x:v>
      </x:c>
      <x:c r="L18" s="22" t="n">
        <x:v>3.28</x:v>
      </x:c>
      <x:c r="M18" s="22" t="n">
        <x:v>6.15</x:v>
      </x:c>
      <x:c r="N18" s="22" t="n">
        <x:v>85.67</x:v>
      </x:c>
      <x:c r="O18" s="22" t="n">
        <x:v>15.508</x:v>
      </x:c>
      <x:c r="P18" s="20" t="str">
        <x:v>KPMG</x:v>
      </x:c>
      <x:c r="Q18" s="18" t="n">
        <x:v>0</x:v>
      </x:c>
      <x:c r="R18" s="18" t="n">
        <x:v>1</x:v>
      </x:c>
    </x:row>
    <x:row r="19" ht="30" customHeight="1">
      <x:c r="A19" s="20" t="str">
        <x:v>Zenith</x:v>
      </x:c>
      <x:c r="B19" s="18" t="n">
        <x:v>2020</x:v>
      </x:c>
      <x:c r="C19" s="18" t="str">
        <x:v>Tier 1</x:v>
      </x:c>
      <x:c r="D19" s="22" t="n">
        <x:v>197852</x:v>
      </x:c>
      <x:c r="E19" s="22" t="n">
        <x:v>595921</x:v>
      </x:c>
      <x:c r="F19" s="22" t="n">
        <x:v>7124987</x:v>
      </x:c>
      <x:c r="G19" s="22" t="n">
        <x:v>2639797</x:v>
      </x:c>
      <x:c r="H19" s="22" t="n">
        <x:v>161585</x:v>
      </x:c>
      <x:c r="I19" s="22" t="n">
        <x:v>37237</x:v>
      </x:c>
      <x:c r="J19" s="22" t="n">
        <x:v>4.29</x:v>
      </x:c>
      <x:c r="K19" s="22" t="n">
        <x:v>21.1</x:v>
      </x:c>
      <x:c r="L19" s="22" t="n">
        <x:v>2.78</x:v>
      </x:c>
      <x:c r="M19" s="22" t="n">
        <x:v>6.12</x:v>
      </x:c>
      <x:c r="N19" s="22" t="n">
        <x:v>87.3</x:v>
      </x:c>
      <x:c r="O19" s="22" t="n">
        <x:v>15.779</x:v>
      </x:c>
      <x:c r="P19" s="20" t="str">
        <x:v>PwC</x:v>
      </x:c>
      <x:c r="Q19" s="18" t="n">
        <x:v>0</x:v>
      </x:c>
      <x:c r="R19" s="18" t="n">
        <x:v>1</x:v>
      </x:c>
    </x:row>
    <x:row r="20" ht="30" customHeight="1">
      <x:c r="A20" s="20" t="str">
        <x:v>Zenith</x:v>
      </x:c>
      <x:c r="B20" s="18" t="n">
        <x:v>2021</x:v>
      </x:c>
      <x:c r="C20" s="18" t="str">
        <x:v>Tier 1</x:v>
      </x:c>
      <x:c r="D20" s="22" t="n">
        <x:v>233133</x:v>
      </x:c>
      <x:c r="E20" s="22" t="n">
        <x:v>677283</x:v>
      </x:c>
      <x:c r="F20" s="22" t="n">
        <x:v>7872292</x:v>
      </x:c>
      <x:c r="G20" s="22" t="n">
        <x:v>3099452</x:v>
      </x:c>
      <x:c r="H20" s="22" t="n">
        <x:v>184456</x:v>
      </x:c>
      <x:c r="I20" s="22" t="n">
        <x:v>56175</x:v>
      </x:c>
      <x:c r="J20" s="22" t="n">
        <x:v>4.19</x:v>
      </x:c>
      <x:c r="K20" s="22" t="n">
        <x:v>19.8</x:v>
      </x:c>
      <x:c r="L20" s="22" t="n">
        <x:v>2.96</x:v>
      </x:c>
      <x:c r="M20" s="22" t="n">
        <x:v>5.95</x:v>
      </x:c>
      <x:c r="N20" s="22" t="n">
        <x:v>86.66</x:v>
      </x:c>
      <x:c r="O20" s="22" t="n">
        <x:v>15.879</x:v>
      </x:c>
      <x:c r="P20" s="20" t="str">
        <x:v>PwC</x:v>
      </x:c>
      <x:c r="Q20" s="18" t="n">
        <x:v>0</x:v>
      </x:c>
      <x:c r="R20" s="18" t="n">
        <x:v>1</x:v>
      </x:c>
    </x:row>
    <x:row r="21" ht="30" customHeight="1">
      <x:c r="A21" s="20" t="str">
        <x:v>Zenith</x:v>
      </x:c>
      <x:c r="B21" s="18" t="n">
        <x:v>2022</x:v>
      </x:c>
      <x:c r="C21" s="18" t="str">
        <x:v>Tier 1</x:v>
      </x:c>
      <x:c r="D21" s="22" t="n">
        <x:v>234593</x:v>
      </x:c>
      <x:c r="E21" s="22" t="n">
        <x:v>833087</x:v>
      </x:c>
      <x:c r="F21" s="22" t="n">
        <x:v>10570678</x:v>
      </x:c>
      <x:c r="G21" s="22" t="n">
        <x:v>3838805</x:v>
      </x:c>
      <x:c r="H21" s="22" t="n">
        <x:v>231245</x:v>
      </x:c>
      <x:c r="I21" s="22" t="n">
        <x:v>61896</x:v>
      </x:c>
      <x:c r="J21" s="22" t="n">
        <x:v>4.3</x:v>
      </x:c>
      <x:c r="K21" s="22" t="n">
        <x:v>19.3</x:v>
      </x:c>
      <x:c r="L21" s="22" t="n">
        <x:v>2.22</x:v>
      </x:c>
      <x:c r="M21" s="22" t="n">
        <x:v>6.02</x:v>
      </x:c>
      <x:c r="N21" s="22" t="n">
        <x:v>88.69</x:v>
      </x:c>
      <x:c r="O21" s="22" t="n">
        <x:v>16.174</x:v>
      </x:c>
      <x:c r="P21" s="20" t="str">
        <x:v>PwC</x:v>
      </x:c>
      <x:c r="Q21" s="18" t="n">
        <x:v>0</x:v>
      </x:c>
      <x:c r="R21" s="18" t="n">
        <x:v>1</x:v>
      </x:c>
    </x:row>
    <x:row r="22" ht="30" customHeight="1">
      <x:c r="A22" s="20" t="str">
        <x:v>First Bank</x:v>
      </x:c>
      <x:c r="B22" s="18" t="n">
        <x:v>2015</x:v>
      </x:c>
      <x:c r="C22" s="18" t="str">
        <x:v>Tier 1</x:v>
      </x:c>
      <x:c r="D22" s="22" t="n">
        <x:v>37</x:v>
      </x:c>
      <x:c r="E22" s="22" t="n">
        <x:v>421227</x:v>
      </x:c>
      <x:c r="F22" s="22" t="n">
        <x:v>3332375</x:v>
      </x:c>
      <x:c r="G22" s="22" t="n">
        <x:v>1457285</x:v>
      </x:c>
      <x:c r="H22" s="22" t="n">
        <x:v>187640</x:v>
      </x:c>
      <x:c r="I22" s="22" t="n">
        <x:v>120046</x:v>
      </x:c>
      <x:c r="J22" s="22" t="n">
        <x:v>45</x:v>
      </x:c>
      <x:c r="K22" s="22" t="n">
        <x:v>17.1</x:v>
      </x:c>
      <x:c r="L22" s="22" t="n">
        <x:v>0</x:v>
      </x:c>
      <x:c r="M22" s="22" t="n">
        <x:v>12.88</x:v>
      </x:c>
      <x:c r="N22" s="22" t="n">
        <x:v>92.2</x:v>
      </x:c>
      <x:c r="O22" s="22" t="n">
        <x:v>15.019</x:v>
      </x:c>
      <x:c r="P22" s="20" t="str">
        <x:v>PwC</x:v>
      </x:c>
      <x:c r="Q22" s="18" t="n">
        <x:v>0</x:v>
      </x:c>
      <x:c r="R22" s="18" t="n">
        <x:v>0</x:v>
      </x:c>
    </x:row>
    <x:row r="23" ht="30" customHeight="1">
      <x:c r="A23" s="20" t="str">
        <x:v>First Bank</x:v>
      </x:c>
      <x:c r="B23" s="18" t="n">
        <x:v>2016</x:v>
      </x:c>
      <x:c r="C23" s="18" t="str">
        <x:v>Tier 1</x:v>
      </x:c>
      <x:c r="D23" s="22" t="n">
        <x:v>11768</x:v>
      </x:c>
      <x:c r="E23" s="22" t="n">
        <x:v>434663</x:v>
      </x:c>
      <x:c r="F23" s="22" t="n">
        <x:v>4514792</x:v>
      </x:c>
      <x:c r="G23" s="22" t="n">
        <x:v>2086740</x:v>
      </x:c>
      <x:c r="H23" s="22" t="n">
        <x:v>240695</x:v>
      </x:c>
      <x:c r="I23" s="22" t="n">
        <x:v>224948</x:v>
      </x:c>
      <x:c r="J23" s="22" t="n">
        <x:v>24.4</x:v>
      </x:c>
      <x:c r="K23" s="22" t="n">
        <x:v>17.79</x:v>
      </x:c>
      <x:c r="L23" s="22" t="n">
        <x:v>0.26</x:v>
      </x:c>
      <x:c r="M23" s="22" t="n">
        <x:v>11.54</x:v>
      </x:c>
      <x:c r="N23" s="22" t="n">
        <x:v>88.53</x:v>
      </x:c>
      <x:c r="O23" s="22" t="n">
        <x:v>15.323</x:v>
      </x:c>
      <x:c r="P23" s="20" t="str">
        <x:v>PwC</x:v>
      </x:c>
      <x:c r="Q23" s="18" t="n">
        <x:v>0</x:v>
      </x:c>
      <x:c r="R23" s="18" t="n">
        <x:v>0</x:v>
      </x:c>
    </x:row>
    <x:row r="24" ht="30" customHeight="1">
      <x:c r="A24" s="20" t="str">
        <x:v>First Bank</x:v>
      </x:c>
      <x:c r="B24" s="18" t="n">
        <x:v>2017</x:v>
      </x:c>
      <x:c r="C24" s="18" t="str">
        <x:v>Tier 1</x:v>
      </x:c>
      <x:c r="D24" s="22" t="n">
        <x:v>51475</x:v>
      </x:c>
      <x:c r="E24" s="22" t="n">
        <x:v>474866</x:v>
      </x:c>
      <x:c r="F24" s="22" t="n">
        <x:v>5014248</x:v>
      </x:c>
      <x:c r="G24" s="22" t="n">
        <x:v>2026038</x:v>
      </x:c>
      <x:c r="H24" s="22" t="n">
        <x:v>178719</x:v>
      </x:c>
      <x:c r="I24" s="22" t="n">
        <x:v>141275</x:v>
      </x:c>
      <x:c r="J24" s="22" t="n">
        <x:v>22.8</x:v>
      </x:c>
      <x:c r="K24" s="22" t="n">
        <x:v>17.74</x:v>
      </x:c>
      <x:c r="L24" s="22" t="n">
        <x:v>1.03</x:v>
      </x:c>
      <x:c r="M24" s="22" t="n">
        <x:v>8.82</x:v>
      </x:c>
      <x:c r="N24" s="22" t="n">
        <x:v>87.48</x:v>
      </x:c>
      <x:c r="O24" s="22" t="n">
        <x:v>15.428</x:v>
      </x:c>
      <x:c r="P24" s="20" t="str">
        <x:v>PwC</x:v>
      </x:c>
      <x:c r="Q24" s="18" t="n">
        <x:v>0</x:v>
      </x:c>
      <x:c r="R24" s="18" t="n">
        <x:v>0</x:v>
      </x:c>
    </x:row>
    <x:row r="25" ht="30" customHeight="1">
      <x:c r="A25" s="20" t="str">
        <x:v>First Bank</x:v>
      </x:c>
      <x:c r="B25" s="18" t="n">
        <x:v>2018</x:v>
      </x:c>
      <x:c r="C25" s="18" t="str">
        <x:v>Tier 1</x:v>
      </x:c>
      <x:c r="D25" s="22" t="n">
        <x:v>38844</x:v>
      </x:c>
      <x:c r="E25" s="22" t="n">
        <x:v>363680</x:v>
      </x:c>
      <x:c r="F25" s="22" t="n">
        <x:v>5303327</x:v>
      </x:c>
      <x:c r="G25" s="22" t="n">
        <x:v>1694884</x:v>
      </x:c>
      <x:c r="H25" s="22" t="n">
        <x:v>166250</x:v>
      </x:c>
      <x:c r="I25" s="22" t="n">
        <x:v>92796</x:v>
      </x:c>
      <x:c r="J25" s="22" t="n">
        <x:v>24.7</x:v>
      </x:c>
      <x:c r="K25" s="22" t="n">
        <x:v>17.26</x:v>
      </x:c>
      <x:c r="L25" s="22" t="n">
        <x:v>0.73</x:v>
      </x:c>
      <x:c r="M25" s="22" t="n">
        <x:v>9.81</x:v>
      </x:c>
      <x:c r="N25" s="22" t="n">
        <x:v>91.01</x:v>
      </x:c>
      <x:c r="O25" s="22" t="n">
        <x:v>15.484</x:v>
      </x:c>
      <x:c r="P25" s="20" t="str">
        <x:v>PwC</x:v>
      </x:c>
      <x:c r="Q25" s="18" t="n">
        <x:v>0</x:v>
      </x:c>
      <x:c r="R25" s="18" t="n">
        <x:v>1</x:v>
      </x:c>
    </x:row>
    <x:row r="26" ht="30" customHeight="1">
      <x:c r="A26" s="20" t="str">
        <x:v>First Bank</x:v>
      </x:c>
      <x:c r="B26" s="18" t="n">
        <x:v>2019</x:v>
      </x:c>
      <x:c r="C26" s="18" t="str">
        <x:v>Tier 1</x:v>
      </x:c>
      <x:c r="D26" s="22" t="n">
        <x:v>62667</x:v>
      </x:c>
      <x:c r="E26" s="22" t="n">
        <x:v>395926</x:v>
      </x:c>
      <x:c r="F26" s="22" t="n">
        <x:v>5869219</x:v>
      </x:c>
      <x:c r="G26" s="22" t="n">
        <x:v>1866023</x:v>
      </x:c>
      <x:c r="H26" s="22" t="n">
        <x:v>158400</x:v>
      </x:c>
      <x:c r="I26" s="22" t="n">
        <x:v>50821</x:v>
      </x:c>
      <x:c r="J26" s="22" t="n">
        <x:v>9.9</x:v>
      </x:c>
      <x:c r="K26" s="22" t="n">
        <x:v>15.45</x:v>
      </x:c>
      <x:c r="L26" s="22" t="n">
        <x:v>1.07</x:v>
      </x:c>
      <x:c r="M26" s="22" t="n">
        <x:v>8.49</x:v>
      </x:c>
      <x:c r="N26" s="22" t="n">
        <x:v>89.93</x:v>
      </x:c>
      <x:c r="O26" s="22" t="n">
        <x:v>15.585</x:v>
      </x:c>
      <x:c r="P26" s="20" t="str">
        <x:v>PwC</x:v>
      </x:c>
      <x:c r="Q26" s="18" t="n">
        <x:v>0</x:v>
      </x:c>
      <x:c r="R26" s="18" t="n">
        <x:v>1</x:v>
      </x:c>
    </x:row>
    <x:row r="27" ht="30" customHeight="1">
      <x:c r="A27" s="20" t="str">
        <x:v>First Bank</x:v>
      </x:c>
      <x:c r="B27" s="18" t="n">
        <x:v>2020</x:v>
      </x:c>
      <x:c r="C27" s="18" t="str">
        <x:v>Tier 1</x:v>
      </x:c>
      <x:c r="D27" s="22" t="n">
        <x:v>67750</x:v>
      </x:c>
      <x:c r="E27" s="22" t="n">
        <x:v>399128</x:v>
      </x:c>
      <x:c r="F27" s="22" t="n">
        <x:v>7367465</x:v>
      </x:c>
      <x:c r="G27" s="22" t="n">
        <x:v>2222380</x:v>
      </x:c>
      <x:c r="H27" s="22" t="n">
        <x:v>144500</x:v>
      </x:c>
      <x:c r="I27" s="22" t="n">
        <x:v>64100</x:v>
      </x:c>
      <x:c r="J27" s="22" t="n">
        <x:v>7.7</x:v>
      </x:c>
      <x:c r="K27" s="22" t="n">
        <x:v>17.01</x:v>
      </x:c>
      <x:c r="L27" s="22" t="n">
        <x:v>0.92</x:v>
      </x:c>
      <x:c r="M27" s="22" t="n">
        <x:v>6.5</x:v>
      </x:c>
      <x:c r="N27" s="22" t="n">
        <x:v>90.43</x:v>
      </x:c>
      <x:c r="O27" s="22" t="n">
        <x:v>15.813</x:v>
      </x:c>
      <x:c r="P27" s="20" t="str">
        <x:v>KPMG</x:v>
      </x:c>
      <x:c r="Q27" s="18" t="n">
        <x:v>0</x:v>
      </x:c>
      <x:c r="R27" s="18" t="n">
        <x:v>1</x:v>
      </x:c>
    </x:row>
    <x:row r="28" ht="30" customHeight="1">
      <x:c r="A28" s="20" t="str">
        <x:v>First Bank</x:v>
      </x:c>
      <x:c r="B28" s="18" t="n">
        <x:v>2021</x:v>
      </x:c>
      <x:c r="C28" s="18" t="str">
        <x:v>Tier 1</x:v>
      </x:c>
      <x:c r="D28" s="22" t="n">
        <x:v>117840</x:v>
      </x:c>
      <x:c r="E28" s="22" t="n">
        <x:v>567875</x:v>
      </x:c>
      <x:c r="F28" s="22" t="n">
        <x:v>8542372</x:v>
      </x:c>
      <x:c r="G28" s="22" t="n">
        <x:v>2835233</x:v>
      </x:c>
      <x:c r="H28" s="22" t="n">
        <x:v>140200</x:v>
      </x:c>
      <x:c r="I28" s="22" t="n">
        <x:v>123080</x:v>
      </x:c>
      <x:c r="J28" s="22" t="n">
        <x:v>7.2</x:v>
      </x:c>
      <x:c r="K28" s="22" t="n">
        <x:v>17.39</x:v>
      </x:c>
      <x:c r="L28" s="22" t="n">
        <x:v>1.38</x:v>
      </x:c>
      <x:c r="M28" s="22" t="n">
        <x:v>4.94</x:v>
      </x:c>
      <x:c r="N28" s="22" t="n">
        <x:v>90.7</x:v>
      </x:c>
      <x:c r="O28" s="22" t="n">
        <x:v>15.961</x:v>
      </x:c>
      <x:c r="P28" s="20" t="str">
        <x:v>KPMG</x:v>
      </x:c>
      <x:c r="Q28" s="18" t="n">
        <x:v>0</x:v>
      </x:c>
      <x:c r="R28" s="18" t="n">
        <x:v>1</x:v>
      </x:c>
    </x:row>
    <x:row r="29" ht="30" customHeight="1">
      <x:c r="A29" s="20" t="str">
        <x:v>First Bank</x:v>
      </x:c>
      <x:c r="B29" s="18" t="n">
        <x:v>2022</x:v>
      </x:c>
      <x:c r="C29" s="18" t="str">
        <x:v>Tier 1</x:v>
      </x:c>
      <x:c r="D29" s="22" t="n">
        <x:v>129584</x:v>
      </x:c>
      <x:c r="E29" s="22" t="n">
        <x:v>555663</x:v>
      </x:c>
      <x:c r="F29" s="22" t="n">
        <x:v>10089910</x:v>
      </x:c>
      <x:c r="G29" s="22" t="n">
        <x:v>3699495</x:v>
      </x:c>
      <x:c r="H29" s="22" t="n">
        <x:v>132100</x:v>
      </x:c>
      <x:c r="I29" s="22" t="n">
        <x:v>66710</x:v>
      </x:c>
      <x:c r="J29" s="22" t="n">
        <x:v>5.4</x:v>
      </x:c>
      <x:c r="K29" s="22" t="n">
        <x:v>16.57</x:v>
      </x:c>
      <x:c r="L29" s="22" t="n">
        <x:v>1.28</x:v>
      </x:c>
      <x:c r="M29" s="22" t="n">
        <x:v>3.57</x:v>
      </x:c>
      <x:c r="N29" s="22" t="n">
        <x:v>91.04</x:v>
      </x:c>
      <x:c r="O29" s="22" t="n">
        <x:v>16.127</x:v>
      </x:c>
      <x:c r="P29" s="20" t="str">
        <x:v>KPMG</x:v>
      </x:c>
      <x:c r="Q29" s="18" t="n">
        <x:v>0</x:v>
      </x:c>
      <x:c r="R29" s="18" t="n">
        <x:v>1</x:v>
      </x:c>
    </x:row>
    <x:row r="30" ht="30" customHeight="1">
      <x:c r="A30" s="20" t="str">
        <x:v>UBA</x:v>
      </x:c>
      <x:c r="B30" s="18" t="n">
        <x:v>2015</x:v>
      </x:c>
      <x:c r="C30" s="18" t="str">
        <x:v>Tier 1</x:v>
      </x:c>
      <x:c r="D30" s="22" t="n">
        <x:v>47642</x:v>
      </x:c>
      <x:c r="E30" s="22" t="n">
        <x:v>247378</x:v>
      </x:c>
      <x:c r="F30" s="22" t="n">
        <x:v>2216337</x:v>
      </x:c>
      <x:c r="G30" s="22" t="n">
        <x:v>835737</x:v>
      </x:c>
      <x:c r="H30" s="22" t="n">
        <x:v>14104</x:v>
      </x:c>
      <x:c r="I30" s="22" t="n">
        <x:v>3491</x:v>
      </x:c>
      <x:c r="J30" s="22" t="n">
        <x:v>0.91</x:v>
      </x:c>
      <x:c r="K30" s="22" t="n">
        <x:v>20</x:v>
      </x:c>
      <x:c r="L30" s="22" t="n">
        <x:v>2.15</x:v>
      </x:c>
      <x:c r="M30" s="22" t="n">
        <x:v>1.69</x:v>
      </x:c>
      <x:c r="N30" s="22" t="n">
        <x:v>84.74</x:v>
      </x:c>
      <x:c r="O30" s="22" t="n">
        <x:v>14.611</x:v>
      </x:c>
      <x:c r="P30" s="20" t="str">
        <x:v>PricewaterhouseCoopers</x:v>
      </x:c>
      <x:c r="Q30" s="18" t="n">
        <x:v>0</x:v>
      </x:c>
      <x:c r="R30" s="18" t="n">
        <x:v>0</x:v>
      </x:c>
    </x:row>
    <x:row r="31" ht="30" customHeight="1">
      <x:c r="A31" s="20" t="str">
        <x:v>UBA</x:v>
      </x:c>
      <x:c r="B31" s="18" t="n">
        <x:v>2016</x:v>
      </x:c>
      <x:c r="C31" s="18" t="str">
        <x:v>Tier 1</x:v>
      </x:c>
      <x:c r="D31" s="22" t="n">
        <x:v>47541</x:v>
      </x:c>
      <x:c r="E31" s="22" t="n">
        <x:v>269895</x:v>
      </x:c>
      <x:c r="F31" s="22" t="n">
        <x:v>2539585</x:v>
      </x:c>
      <x:c r="G31" s="22" t="n">
        <x:v>1120096</x:v>
      </x:c>
      <x:c r="H31" s="22" t="n">
        <x:v>32295</x:v>
      </x:c>
      <x:c r="I31" s="22" t="n">
        <x:v>25521</x:v>
      </x:c>
      <x:c r="J31" s="22" t="n">
        <x:v>5.1</x:v>
      </x:c>
      <x:c r="K31" s="22" t="n">
        <x:v>20</x:v>
      </x:c>
      <x:c r="L31" s="22" t="n">
        <x:v>1.87</x:v>
      </x:c>
      <x:c r="M31" s="22" t="n">
        <x:v>2.88</x:v>
      </x:c>
      <x:c r="N31" s="22" t="n">
        <x:v>84.61</x:v>
      </x:c>
      <x:c r="O31" s="22" t="n">
        <x:v>14.747</x:v>
      </x:c>
      <x:c r="P31" s="20" t="str">
        <x:v>PricewaterhouseCoopers</x:v>
      </x:c>
      <x:c r="Q31" s="18" t="n">
        <x:v>0</x:v>
      </x:c>
      <x:c r="R31" s="18" t="n">
        <x:v>0</x:v>
      </x:c>
    </x:row>
    <x:row r="32" ht="30" customHeight="1">
      <x:c r="A32" s="20" t="str">
        <x:v>UBA</x:v>
      </x:c>
      <x:c r="B32" s="18" t="n">
        <x:v>2017</x:v>
      </x:c>
      <x:c r="C32" s="18" t="str">
        <x:v>Tier 1</x:v>
      </x:c>
      <x:c r="D32" s="22" t="n">
        <x:v>41396</x:v>
      </x:c>
      <x:c r="E32" s="22" t="n">
        <x:v>316263</x:v>
      </x:c>
      <x:c r="F32" s="22" t="n">
        <x:v>2931826</x:v>
      </x:c>
      <x:c r="G32" s="22" t="n">
        <x:v>1204426</x:v>
      </x:c>
      <x:c r="H32" s="22" t="n">
        <x:v>31212</x:v>
      </x:c>
      <x:c r="I32" s="22" t="n">
        <x:v>30433</x:v>
      </x:c>
      <x:c r="J32" s="22" t="n">
        <x:v>3.7</x:v>
      </x:c>
      <x:c r="K32" s="22" t="n">
        <x:v>20</x:v>
      </x:c>
      <x:c r="L32" s="22" t="n">
        <x:v>1.41</x:v>
      </x:c>
      <x:c r="M32" s="22" t="n">
        <x:v>2.59</x:v>
      </x:c>
      <x:c r="N32" s="22" t="n">
        <x:v>86.33</x:v>
      </x:c>
      <x:c r="O32" s="22" t="n">
        <x:v>14.891</x:v>
      </x:c>
      <x:c r="P32" s="20" t="str">
        <x:v>PricewaterhouseCoopers</x:v>
      </x:c>
      <x:c r="Q32" s="18" t="n">
        <x:v>0</x:v>
      </x:c>
      <x:c r="R32" s="18" t="n">
        <x:v>0</x:v>
      </x:c>
    </x:row>
    <x:row r="33" ht="30" customHeight="1">
      <x:c r="A33" s="20" t="str">
        <x:v>UBA</x:v>
      </x:c>
      <x:c r="B33" s="18" t="n">
        <x:v>2018</x:v>
      </x:c>
      <x:c r="C33" s="18" t="str">
        <x:v>Tier 1</x:v>
      </x:c>
      <x:c r="D33" s="22" t="n">
        <x:v>41047</x:v>
      </x:c>
      <x:c r="E33" s="22" t="n">
        <x:v>341504</x:v>
      </x:c>
      <x:c r="F33" s="22" t="n">
        <x:v>3591305</x:v>
      </x:c>
      <x:c r="G33" s="22" t="n">
        <x:v>1274112</x:v>
      </x:c>
      <x:c r="H33" s="22" t="n">
        <x:v>60311</x:v>
      </x:c>
      <x:c r="I33" s="22" t="n">
        <x:v>4257</x:v>
      </x:c>
      <x:c r="J33" s="22" t="n">
        <x:v>4.2</x:v>
      </x:c>
      <x:c r="K33" s="22" t="n">
        <x:v>20</x:v>
      </x:c>
      <x:c r="L33" s="22" t="n">
        <x:v>1.14</x:v>
      </x:c>
      <x:c r="M33" s="22" t="n">
        <x:v>4.73</x:v>
      </x:c>
      <x:c r="N33" s="22" t="n">
        <x:v>89.85</x:v>
      </x:c>
      <x:c r="O33" s="22" t="n">
        <x:v>15.094</x:v>
      </x:c>
      <x:c r="P33" s="20" t="str">
        <x:v>PricewaterhouseCoopers</x:v>
      </x:c>
      <x:c r="Q33" s="18" t="n">
        <x:v>0</x:v>
      </x:c>
      <x:c r="R33" s="18" t="n">
        <x:v>1</x:v>
      </x:c>
    </x:row>
    <x:row r="34" ht="30" customHeight="1">
      <x:c r="A34" s="20" t="str">
        <x:v>UBA</x:v>
      </x:c>
      <x:c r="B34" s="18" t="n">
        <x:v>2019</x:v>
      </x:c>
      <x:c r="C34" s="18" t="str">
        <x:v>Tier 1</x:v>
      </x:c>
      <x:c r="D34" s="22" t="n">
        <x:v>62750</x:v>
      </x:c>
      <x:c r="E34" s="22" t="n">
        <x:v>412624</x:v>
      </x:c>
      <x:c r="F34" s="22" t="n">
        <x:v>4136493</x:v>
      </x:c>
      <x:c r="G34" s="22" t="n">
        <x:v>1557358</x:v>
      </x:c>
      <x:c r="H34" s="22" t="n">
        <x:v>53978</x:v>
      </x:c>
      <x:c r="I34" s="22" t="n">
        <x:v>16369</x:v>
      </x:c>
      <x:c r="J34" s="22" t="n">
        <x:v>2.87</x:v>
      </x:c>
      <x:c r="K34" s="22" t="n">
        <x:v>20.39</x:v>
      </x:c>
      <x:c r="L34" s="22" t="n">
        <x:v>1.52</x:v>
      </x:c>
      <x:c r="M34" s="22" t="n">
        <x:v>3.47</x:v>
      </x:c>
      <x:c r="N34" s="22" t="n">
        <x:v>89.2</x:v>
      </x:c>
      <x:c r="O34" s="22" t="n">
        <x:v>15.235</x:v>
      </x:c>
      <x:c r="P34" s="20" t="str">
        <x:v>Ernst &amp; Young</x:v>
      </x:c>
      <x:c r="Q34" s="18" t="n">
        <x:v>0</x:v>
      </x:c>
      <x:c r="R34" s="18" t="n">
        <x:v>1</x:v>
      </x:c>
    </x:row>
    <x:row r="35" ht="30" customHeight="1">
      <x:c r="A35" s="20" t="str">
        <x:v>UBA</x:v>
      </x:c>
      <x:c r="B35" s="18" t="n">
        <x:v>2020</x:v>
      </x:c>
      <x:c r="C35" s="18" t="str">
        <x:v>Tier 1</x:v>
      </x:c>
      <x:c r="D35" s="22" t="n">
        <x:v>56911</x:v>
      </x:c>
      <x:c r="E35" s="22" t="n">
        <x:v>381476</x:v>
      </x:c>
      <x:c r="F35" s="22" t="n">
        <x:v>5207833</x:v>
      </x:c>
      <x:c r="G35" s="22" t="n">
        <x:v>1874858</x:v>
      </x:c>
      <x:c r="H35" s="22" t="n">
        <x:v>62322</x:v>
      </x:c>
      <x:c r="I35" s="22" t="n">
        <x:v>21864</x:v>
      </x:c>
      <x:c r="J35" s="22" t="n">
        <x:v>2.2</x:v>
      </x:c>
      <x:c r="K35" s="22" t="n">
        <x:v>19.7</x:v>
      </x:c>
      <x:c r="L35" s="22" t="n">
        <x:v>1.09</x:v>
      </x:c>
      <x:c r="M35" s="22" t="n">
        <x:v>3.32</x:v>
      </x:c>
      <x:c r="N35" s="22" t="n">
        <x:v>90.82</x:v>
      </x:c>
      <x:c r="O35" s="22" t="n">
        <x:v>15.466</x:v>
      </x:c>
      <x:c r="P35" s="20" t="str">
        <x:v>Ernst &amp; Young</x:v>
      </x:c>
      <x:c r="Q35" s="18" t="n">
        <x:v>0</x:v>
      </x:c>
      <x:c r="R35" s="18" t="n">
        <x:v>1</x:v>
      </x:c>
    </x:row>
    <x:row r="36" ht="30" customHeight="1">
      <x:c r="A36" s="20" t="str">
        <x:v>UBA</x:v>
      </x:c>
      <x:c r="B36" s="18" t="n">
        <x:v>2021</x:v>
      </x:c>
      <x:c r="C36" s="18" t="str">
        <x:v>Tier 1</x:v>
      </x:c>
      <x:c r="D36" s="22" t="n">
        <x:v>58669</x:v>
      </x:c>
      <x:c r="E36" s="22" t="n">
        <x:v>381493</x:v>
      </x:c>
      <x:c r="F36" s="22" t="n">
        <x:v>5574976</x:v>
      </x:c>
      <x:c r="G36" s="22" t="n">
        <x:v>1913403</x:v>
      </x:c>
      <x:c r="H36" s="22" t="n">
        <x:v>65301</x:v>
      </x:c>
      <x:c r="I36" s="22" t="n">
        <x:v>9749</x:v>
      </x:c>
      <x:c r="J36" s="22" t="n">
        <x:v>3.2</x:v>
      </x:c>
      <x:c r="K36" s="22" t="n">
        <x:v>21.8</x:v>
      </x:c>
      <x:c r="L36" s="22" t="n">
        <x:v>1.05</x:v>
      </x:c>
      <x:c r="M36" s="22" t="n">
        <x:v>3.41</x:v>
      </x:c>
      <x:c r="N36" s="22" t="n">
        <x:v>91</x:v>
      </x:c>
      <x:c r="O36" s="22" t="n">
        <x:v>15.534</x:v>
      </x:c>
      <x:c r="P36" s="20" t="str">
        <x:v>Ernst &amp; Young</x:v>
      </x:c>
      <x:c r="Q36" s="18" t="n">
        <x:v>0</x:v>
      </x:c>
      <x:c r="R36" s="18" t="n">
        <x:v>1</x:v>
      </x:c>
    </x:row>
    <x:row r="37" ht="30" customHeight="1">
      <x:c r="A37" s="20" t="str">
        <x:v>UBA</x:v>
      </x:c>
      <x:c r="B37" s="18" t="n">
        <x:v>2022</x:v>
      </x:c>
      <x:c r="C37" s="18" t="str">
        <x:v>Tier 1</x:v>
      </x:c>
      <x:c r="D37" s="22" t="n">
        <x:v>133696</x:v>
      </x:c>
      <x:c r="E37" s="22" t="n">
        <x:v>564555</x:v>
      </x:c>
      <x:c r="F37" s="22" t="n">
        <x:v>7361044</x:v>
      </x:c>
      <x:c r="G37" s="22" t="n">
        <x:v>2174779</x:v>
      </x:c>
      <x:c r="H37" s="22" t="n">
        <x:v>51682</x:v>
      </x:c>
      <x:c r="I37" s="22" t="n">
        <x:v>10565</x:v>
      </x:c>
      <x:c r="J37" s="22" t="n">
        <x:v>3.1</x:v>
      </x:c>
      <x:c r="K37" s="22" t="n">
        <x:v>21.9</x:v>
      </x:c>
      <x:c r="L37" s="22" t="n">
        <x:v>1.82</x:v>
      </x:c>
      <x:c r="M37" s="22" t="n">
        <x:v>2.38</x:v>
      </x:c>
      <x:c r="N37" s="22" t="n">
        <x:v>92.05</x:v>
      </x:c>
      <x:c r="O37" s="22" t="n">
        <x:v>15.812</x:v>
      </x:c>
      <x:c r="P37" s="20" t="str">
        <x:v>Ernst &amp; Young</x:v>
      </x:c>
      <x:c r="Q37" s="18" t="n">
        <x:v>0</x:v>
      </x:c>
      <x:c r="R37" s="18" t="n">
        <x:v>1</x:v>
      </x:c>
    </x:row>
    <x:row r="38" ht="30" customHeight="1">
      <x:c r="A38" s="20" t="str">
        <x:v>GTBank</x:v>
      </x:c>
      <x:c r="B38" s="18" t="n">
        <x:v>2015</x:v>
      </x:c>
      <x:c r="C38" s="18" t="str">
        <x:v>Tier 1</x:v>
      </x:c>
      <x:c r="D38" s="22" t="n">
        <x:v>94308</x:v>
      </x:c>
      <x:c r="E38" s="22" t="n">
        <x:v>268876</x:v>
      </x:c>
      <x:c r="F38" s="22" t="n">
        <x:v>2277629</x:v>
      </x:c>
      <x:c r="G38" s="22" t="n">
        <x:v>1265207</x:v>
      </x:c>
      <x:c r="H38" s="22" t="n">
        <x:v>26309</x:v>
      </x:c>
      <x:c r="I38" s="22" t="n">
        <x:v>11769</x:v>
      </x:c>
      <x:c r="J38" s="22" t="n">
        <x:v>15.72</x:v>
      </x:c>
      <x:c r="K38" s="22" t="n">
        <x:v>18.17</x:v>
      </x:c>
      <x:c r="L38" s="22" t="n">
        <x:v>4.14</x:v>
      </x:c>
      <x:c r="M38" s="22" t="n">
        <x:v>2.08</x:v>
      </x:c>
      <x:c r="N38" s="22" t="n">
        <x:v>82.19</x:v>
      </x:c>
      <x:c r="O38" s="22" t="n">
        <x:v>14.64</x:v>
      </x:c>
      <x:c r="P38" s="20" t="str">
        <x:v>PwC</x:v>
      </x:c>
      <x:c r="Q38" s="18" t="n">
        <x:v>0</x:v>
      </x:c>
      <x:c r="R38" s="18" t="n">
        <x:v>0</x:v>
      </x:c>
    </x:row>
    <x:row r="39" ht="30" customHeight="1">
      <x:c r="A39" s="20" t="str">
        <x:v>GTBank</x:v>
      </x:c>
      <x:c r="B39" s="18" t="n">
        <x:v>2016</x:v>
      </x:c>
      <x:c r="C39" s="18" t="str">
        <x:v>Tier 1</x:v>
      </x:c>
      <x:c r="D39" s="22" t="n">
        <x:v>126837</x:v>
      </x:c>
      <x:c r="E39" s="22" t="n">
        <x:v>365917</x:v>
      </x:c>
      <x:c r="F39" s="22" t="n">
        <x:v>2613340</x:v>
      </x:c>
      <x:c r="G39" s="22" t="n">
        <x:v>1417218</x:v>
      </x:c>
      <x:c r="H39" s="22" t="n">
        <x:v>71819</x:v>
      </x:c>
      <x:c r="I39" s="22" t="n">
        <x:v>63543</x:v>
      </x:c>
      <x:c r="J39" s="22" t="n">
        <x:v>3.4</x:v>
      </x:c>
      <x:c r="K39" s="22" t="n">
        <x:v>19.79</x:v>
      </x:c>
      <x:c r="L39" s="22" t="n">
        <x:v>4.85</x:v>
      </x:c>
      <x:c r="M39" s="22" t="n">
        <x:v>5.07</x:v>
      </x:c>
      <x:c r="N39" s="22" t="n">
        <x:v>81.75</x:v>
      </x:c>
      <x:c r="O39" s="22" t="n">
        <x:v>14.78</x:v>
      </x:c>
      <x:c r="P39" s="20" t="str">
        <x:v>PwC</x:v>
      </x:c>
      <x:c r="Q39" s="18" t="n">
        <x:v>0</x:v>
      </x:c>
      <x:c r="R39" s="18" t="n">
        <x:v>0</x:v>
      </x:c>
    </x:row>
    <x:row r="40" ht="30" customHeight="1">
      <x:c r="A40" s="20" t="str">
        <x:v>GTBank</x:v>
      </x:c>
      <x:c r="B40" s="18" t="n">
        <x:v>2017</x:v>
      </x:c>
      <x:c r="C40" s="18" t="str">
        <x:v>Tier 1</x:v>
      </x:c>
      <x:c r="D40" s="22" t="n">
        <x:v>161285</x:v>
      </x:c>
      <x:c r="E40" s="22" t="n">
        <x:v>360237</x:v>
      </x:c>
      <x:c r="F40" s="22" t="n">
        <x:v>2824929</x:v>
      </x:c>
      <x:c r="G40" s="22" t="n">
        <x:v>1163273</x:v>
      </x:c>
      <x:c r="H40" s="22" t="n">
        <x:v>57658</x:v>
      </x:c>
      <x:c r="I40" s="22" t="n">
        <x:v>10835</x:v>
      </x:c>
      <x:c r="J40" s="22" t="n">
        <x:v>8.83</x:v>
      </x:c>
      <x:c r="K40" s="22" t="n">
        <x:v>25.5</x:v>
      </x:c>
      <x:c r="L40" s="22" t="n">
        <x:v>5.71</x:v>
      </x:c>
      <x:c r="M40" s="22" t="n">
        <x:v>4.96</x:v>
      </x:c>
      <x:c r="N40" s="22" t="n">
        <x:v>79.31</x:v>
      </x:c>
      <x:c r="O40" s="22" t="n">
        <x:v>14.85</x:v>
      </x:c>
      <x:c r="P40" s="20" t="str">
        <x:v>PwC</x:v>
      </x:c>
      <x:c r="Q40" s="18" t="n">
        <x:v>0</x:v>
      </x:c>
      <x:c r="R40" s="18" t="n">
        <x:v>0</x:v>
      </x:c>
    </x:row>
    <x:row r="41" ht="30" customHeight="1">
      <x:c r="A41" s="20" t="str">
        <x:v>GTBank</x:v>
      </x:c>
      <x:c r="B41" s="18" t="n">
        <x:v>2018</x:v>
      </x:c>
      <x:c r="C41" s="18" t="str">
        <x:v>Tier 1</x:v>
      </x:c>
      <x:c r="D41" s="22" t="n">
        <x:v>166753</x:v>
      </x:c>
      <x:c r="E41" s="22" t="n">
        <x:v>356380</x:v>
      </x:c>
      <x:c r="F41" s="22" t="n">
        <x:v>2712521</x:v>
      </x:c>
      <x:c r="G41" s="22" t="n">
        <x:v>1159030</x:v>
      </x:c>
      <x:c r="H41" s="22" t="n">
        <x:v>90984</x:v>
      </x:c>
      <x:c r="I41" s="22" t="n">
        <x:v>1504</x:v>
      </x:c>
      <x:c r="J41" s="22" t="n">
        <x:v>7.3</x:v>
      </x:c>
      <x:c r="K41" s="22" t="n">
        <x:v>20.93</x:v>
      </x:c>
      <x:c r="L41" s="22" t="n">
        <x:v>6.15</x:v>
      </x:c>
      <x:c r="M41" s="22" t="n">
        <x:v>7.85</x:v>
      </x:c>
      <x:c r="N41" s="22" t="n">
        <x:v>81.19</x:v>
      </x:c>
      <x:c r="O41" s="22" t="n">
        <x:v>14.81</x:v>
      </x:c>
      <x:c r="P41" s="20" t="str">
        <x:v>PwC</x:v>
      </x:c>
      <x:c r="Q41" s="18" t="n">
        <x:v>0</x:v>
      </x:c>
      <x:c r="R41" s="18" t="n">
        <x:v>1</x:v>
      </x:c>
    </x:row>
    <x:row r="42" ht="30" customHeight="1">
      <x:c r="A42" s="20" t="str">
        <x:v>GTBank</x:v>
      </x:c>
      <x:c r="B42" s="18" t="n">
        <x:v>2019</x:v>
      </x:c>
      <x:c r="C42" s="18" t="str">
        <x:v>Tier 1</x:v>
      </x:c>
      <x:c r="D42" s="22" t="n">
        <x:v>175125</x:v>
      </x:c>
      <x:c r="E42" s="22" t="n">
        <x:v>350927</x:v>
      </x:c>
      <x:c r="F42" s="22" t="n">
        <x:v>3097248</x:v>
      </x:c>
      <x:c r="G42" s="22" t="n">
        <x:v>1357147</x:v>
      </x:c>
      <x:c r="H42" s="22" t="n">
        <x:v>56254</x:v>
      </x:c>
      <x:c r="I42" s="22" t="n">
        <x:v>2222</x:v>
      </x:c>
      <x:c r="J42" s="22" t="n">
        <x:v>6.5</x:v>
      </x:c>
      <x:c r="K42" s="22" t="n">
        <x:v>20.66</x:v>
      </x:c>
      <x:c r="L42" s="22" t="n">
        <x:v>5.65</x:v>
      </x:c>
      <x:c r="M42" s="22" t="n">
        <x:v>4.15</x:v>
      </x:c>
      <x:c r="N42" s="22" t="n">
        <x:v>80.44</x:v>
      </x:c>
      <x:c r="O42" s="22" t="n">
        <x:v>14.95</x:v>
      </x:c>
      <x:c r="P42" s="20" t="str">
        <x:v>PwC</x:v>
      </x:c>
      <x:c r="Q42" s="18" t="n">
        <x:v>0</x:v>
      </x:c>
      <x:c r="R42" s="18" t="n">
        <x:v>1</x:v>
      </x:c>
    </x:row>
    <x:row r="43" ht="30" customHeight="1">
      <x:c r="A43" s="20" t="str">
        <x:v>GTBank</x:v>
      </x:c>
      <x:c r="B43" s="18" t="n">
        <x:v>2020</x:v>
      </x:c>
      <x:c r="C43" s="18" t="str">
        <x:v>Tier 1</x:v>
      </x:c>
      <x:c r="D43" s="22" t="n">
        <x:v>178188</x:v>
      </x:c>
      <x:c r="E43" s="22" t="n">
        <x:v>367058</x:v>
      </x:c>
      <x:c r="F43" s="22" t="n">
        <x:v>4061544</x:v>
      </x:c>
      <x:c r="G43" s="22" t="n">
        <x:v>1473566</x:v>
      </x:c>
      <x:c r="H43" s="22" t="n">
        <x:v>62948</x:v>
      </x:c>
      <x:c r="I43" s="22" t="n">
        <x:v>13667</x:v>
      </x:c>
      <x:c r="J43" s="22" t="n">
        <x:v>6.4</x:v>
      </x:c>
      <x:c r="K43" s="22" t="n">
        <x:v>19.55</x:v>
      </x:c>
      <x:c r="L43" s="22" t="n">
        <x:v>4.39</x:v>
      </x:c>
      <x:c r="M43" s="22" t="n">
        <x:v>4.27</x:v>
      </x:c>
      <x:c r="N43" s="22" t="n">
        <x:v>82.71</x:v>
      </x:c>
      <x:c r="O43" s="22" t="n">
        <x:v>15.22</x:v>
      </x:c>
      <x:c r="P43" s="20" t="str">
        <x:v>PwC</x:v>
      </x:c>
      <x:c r="Q43" s="18" t="n">
        <x:v>0</x:v>
      </x:c>
      <x:c r="R43" s="18" t="n">
        <x:v>1</x:v>
      </x:c>
    </x:row>
    <x:row r="44" ht="30" customHeight="1">
      <x:c r="A44" s="20" t="str">
        <x:v>GTBank</x:v>
      </x:c>
      <x:c r="B44" s="18" t="n">
        <x:v>2021</x:v>
      </x:c>
      <x:c r="C44" s="18" t="str">
        <x:v>Tier 1</x:v>
      </x:c>
      <x:c r="D44" s="22" t="n">
        <x:v>146184</x:v>
      </x:c>
      <x:c r="E44" s="22" t="n">
        <x:v>303978</x:v>
      </x:c>
      <x:c r="F44" s="22" t="n">
        <x:v>4357033</x:v>
      </x:c>
      <x:c r="G44" s="22" t="n">
        <x:v>1475674</x:v>
      </x:c>
      <x:c r="H44" s="22" t="n">
        <x:v>67041</x:v>
      </x:c>
      <x:c r="I44" s="22" t="n">
        <x:v>4089</x:v>
      </x:c>
      <x:c r="J44" s="22" t="n">
        <x:v>6</x:v>
      </x:c>
      <x:c r="K44" s="22" t="n">
        <x:v>23.83</x:v>
      </x:c>
      <x:c r="L44" s="22" t="n">
        <x:v>3.35</x:v>
      </x:c>
      <x:c r="M44" s="22" t="n">
        <x:v>4.54</x:v>
      </x:c>
      <x:c r="N44" s="22" t="n">
        <x:v>84.45</x:v>
      </x:c>
      <x:c r="O44" s="22" t="n">
        <x:v>15.29</x:v>
      </x:c>
      <x:c r="P44" s="20" t="str">
        <x:v>PwC</x:v>
      </x:c>
      <x:c r="Q44" s="18" t="n">
        <x:v>0</x:v>
      </x:c>
      <x:c r="R44" s="18" t="n">
        <x:v>1</x:v>
      </x:c>
    </x:row>
    <x:row r="45" ht="30" customHeight="1">
      <x:c r="A45" s="20" t="str">
        <x:v>GTBank</x:v>
      </x:c>
      <x:c r="B45" s="18" t="n">
        <x:v>2022</x:v>
      </x:c>
      <x:c r="C45" s="18" t="str">
        <x:v>Tier 1</x:v>
      </x:c>
      <x:c r="D45" s="22" t="n">
        <x:v>145296</x:v>
      </x:c>
      <x:c r="E45" s="22" t="n">
        <x:v>340912</x:v>
      </x:c>
      <x:c r="F45" s="22" t="n">
        <x:v>5208577</x:v>
      </x:c>
      <x:c r="G45" s="22" t="n">
        <x:v>1577192</x:v>
      </x:c>
      <x:c r="H45" s="22" t="n">
        <x:v>75972</x:v>
      </x:c>
      <x:c r="I45" s="22" t="n">
        <x:v>8937</x:v>
      </x:c>
      <x:c r="J45" s="22" t="n">
        <x:v>5.19</x:v>
      </x:c>
      <x:c r="K45" s="22" t="n">
        <x:v>24.08</x:v>
      </x:c>
      <x:c r="L45" s="22" t="n">
        <x:v>2.79</x:v>
      </x:c>
      <x:c r="M45" s="22" t="n">
        <x:v>4.82</x:v>
      </x:c>
      <x:c r="N45" s="22" t="n">
        <x:v>85.88</x:v>
      </x:c>
      <x:c r="O45" s="22" t="n">
        <x:v>15.47</x:v>
      </x:c>
      <x:c r="P45" s="20" t="str">
        <x:v>EY</x:v>
      </x:c>
      <x:c r="Q45" s="18" t="n">
        <x:v>0</x:v>
      </x:c>
      <x:c r="R45" s="18" t="n">
        <x:v>1</x:v>
      </x:c>
    </x:row>
    <x:row r="46" ht="30" customHeight="1">
      <x:c r="A46" s="20" t="str">
        <x:v>Fidelity</x:v>
      </x:c>
      <x:c r="B46" s="18" t="n">
        <x:v>2015</x:v>
      </x:c>
      <x:c r="C46" s="18" t="str">
        <x:v>Tier 2</x:v>
      </x:c>
      <x:c r="D46" s="22" t="n">
        <x:v>13904</x:v>
      </x:c>
      <x:c r="E46" s="22" t="n">
        <x:v>146948</x:v>
      </x:c>
      <x:c r="F46" s="22" t="n">
        <x:v>1231722</x:v>
      </x:c>
      <x:c r="G46" s="22" t="n">
        <x:v>598978</x:v>
      </x:c>
      <x:c r="H46" s="22" t="n">
        <x:v>20776</x:v>
      </x:c>
      <x:c r="I46" s="22" t="n">
        <x:v>5764</x:v>
      </x:c>
      <x:c r="J46" s="22" t="n">
        <x:v>4.4</x:v>
      </x:c>
      <x:c r="K46" s="22" t="n">
        <x:v>19</x:v>
      </x:c>
      <x:c r="L46" s="22" t="n">
        <x:v>1.13</x:v>
      </x:c>
      <x:c r="M46" s="22" t="n">
        <x:v>3.47</x:v>
      </x:c>
      <x:c r="N46" s="22" t="n">
        <x:v>85.1</x:v>
      </x:c>
      <x:c r="O46" s="22" t="n">
        <x:v>14.024</x:v>
      </x:c>
      <x:c r="P46" s="20" t="str">
        <x:v>Ernst &amp; Young, PKF</x:v>
      </x:c>
      <x:c r="Q46" s="18" t="n">
        <x:v>0</x:v>
      </x:c>
      <x:c r="R46" s="18" t="n">
        <x:v>0</x:v>
      </x:c>
    </x:row>
    <x:row r="47" ht="30" customHeight="1">
      <x:c r="A47" s="20" t="str">
        <x:v>Fidelity</x:v>
      </x:c>
      <x:c r="B47" s="18" t="n">
        <x:v>2016</x:v>
      </x:c>
      <x:c r="C47" s="18" t="str">
        <x:v>Tier 2</x:v>
      </x:c>
      <x:c r="D47" s="22" t="n">
        <x:v>9734</x:v>
      </x:c>
      <x:c r="E47" s="22" t="n">
        <x:v>152021</x:v>
      </x:c>
      <x:c r="F47" s="22" t="n">
        <x:v>1298141</x:v>
      </x:c>
      <x:c r="G47" s="22" t="n">
        <x:v>743120</x:v>
      </x:c>
      <x:c r="H47" s="22" t="n">
        <x:v>24719</x:v>
      </x:c>
      <x:c r="I47" s="22" t="n">
        <x:v>8671</x:v>
      </x:c>
      <x:c r="J47" s="22" t="n">
        <x:v>6.6</x:v>
      </x:c>
      <x:c r="K47" s="22" t="n">
        <x:v>17.2</x:v>
      </x:c>
      <x:c r="L47" s="22" t="n">
        <x:v>0.75</x:v>
      </x:c>
      <x:c r="M47" s="22" t="n">
        <x:v>3.33</x:v>
      </x:c>
      <x:c r="N47" s="22" t="n">
        <x:v>85.72</x:v>
      </x:c>
      <x:c r="O47" s="22" t="n">
        <x:v>14.076</x:v>
      </x:c>
      <x:c r="P47" s="20" t="str">
        <x:v>Ernst &amp; Young, PKF</x:v>
      </x:c>
      <x:c r="Q47" s="18" t="n">
        <x:v>0</x:v>
      </x:c>
      <x:c r="R47" s="18" t="n">
        <x:v>0</x:v>
      </x:c>
    </x:row>
    <x:row r="48" ht="30" customHeight="1">
      <x:c r="A48" s="20" t="str">
        <x:v>Fidelity</x:v>
      </x:c>
      <x:c r="B48" s="18" t="n">
        <x:v>2017</x:v>
      </x:c>
      <x:c r="C48" s="18" t="str">
        <x:v>Tier 2</x:v>
      </x:c>
      <x:c r="D48" s="22" t="n">
        <x:v>17768</x:v>
      </x:c>
      <x:c r="E48" s="22" t="n">
        <x:v>180244</x:v>
      </x:c>
      <x:c r="F48" s="22" t="n">
        <x:v>1379214</x:v>
      </x:c>
      <x:c r="G48" s="22" t="n">
        <x:v>795315</x:v>
      </x:c>
      <x:c r="H48" s="22" t="n">
        <x:v>26578</x:v>
      </x:c>
      <x:c r="I48" s="22" t="n">
        <x:v>11315</x:v>
      </x:c>
      <x:c r="J48" s="22" t="n">
        <x:v>6.4</x:v>
      </x:c>
      <x:c r="K48" s="22" t="n">
        <x:v>16.03</x:v>
      </x:c>
      <x:c r="L48" s="22" t="n">
        <x:v>1.29</x:v>
      </x:c>
      <x:c r="M48" s="22" t="n">
        <x:v>3.34</x:v>
      </x:c>
      <x:c r="N48" s="22" t="n">
        <x:v>85.4</x:v>
      </x:c>
      <x:c r="O48" s="22" t="n">
        <x:v>14.137</x:v>
      </x:c>
      <x:c r="P48" s="20" t="str">
        <x:v>PKF &amp; Ernst &amp; Young</x:v>
      </x:c>
      <x:c r="Q48" s="18" t="n">
        <x:v>0</x:v>
      </x:c>
      <x:c r="R48" s="18" t="n">
        <x:v>0</x:v>
      </x:c>
    </x:row>
    <x:row r="49" ht="30" customHeight="1">
      <x:c r="A49" s="20" t="str">
        <x:v>Fidelity</x:v>
      </x:c>
      <x:c r="B49" s="18" t="n">
        <x:v>2018</x:v>
      </x:c>
      <x:c r="C49" s="18" t="str">
        <x:v>Tier 2</x:v>
      </x:c>
      <x:c r="D49" s="22" t="n">
        <x:v>22926</x:v>
      </x:c>
      <x:c r="E49" s="22" t="n">
        <x:v>188873</x:v>
      </x:c>
      <x:c r="F49" s="22" t="n">
        <x:v>1719883</x:v>
      </x:c>
      <x:c r="G49" s="22" t="n">
        <x:v>906623</x:v>
      </x:c>
      <x:c r="H49" s="22" t="n">
        <x:v>56743</x:v>
      </x:c>
      <x:c r="I49" s="22" t="n">
        <x:v>4215</x:v>
      </x:c>
      <x:c r="J49" s="22" t="n">
        <x:v>5.7</x:v>
      </x:c>
      <x:c r="K49" s="22" t="n">
        <x:v>16.7</x:v>
      </x:c>
      <x:c r="L49" s="22" t="n">
        <x:v>1.33</x:v>
      </x:c>
      <x:c r="M49" s="22" t="n">
        <x:v>6.26</x:v>
      </x:c>
      <x:c r="N49" s="22" t="n">
        <x:v>88.7</x:v>
      </x:c>
      <x:c r="O49" s="22" t="n">
        <x:v>14.358</x:v>
      </x:c>
      <x:c r="P49" s="20" t="str">
        <x:v>Ernst &amp; Young</x:v>
      </x:c>
      <x:c r="Q49" s="18" t="n">
        <x:v>0</x:v>
      </x:c>
      <x:c r="R49" s="18" t="n">
        <x:v>1</x:v>
      </x:c>
    </x:row>
    <x:row r="50" ht="30" customHeight="1">
      <x:c r="A50" s="20" t="str">
        <x:v>Fidelity</x:v>
      </x:c>
      <x:c r="B50" s="18" t="n">
        <x:v>2019</x:v>
      </x:c>
      <x:c r="C50" s="18" t="str">
        <x:v>Tier 2</x:v>
      </x:c>
      <x:c r="D50" s="22" t="n">
        <x:v>28425</x:v>
      </x:c>
      <x:c r="E50" s="22" t="n">
        <x:v>218011</x:v>
      </x:c>
      <x:c r="F50" s="22" t="n">
        <x:v>2114037</x:v>
      </x:c>
      <x:c r="G50" s="22" t="n">
        <x:v>1178389</x:v>
      </x:c>
      <x:c r="H50" s="22" t="n">
        <x:v>51415</x:v>
      </x:c>
      <x:c r="I50" s="22" t="n">
        <x:v>-5292</x:v>
      </x:c>
      <x:c r="J50" s="22" t="n">
        <x:v>3.3</x:v>
      </x:c>
      <x:c r="K50" s="22" t="n">
        <x:v>18.3</x:v>
      </x:c>
      <x:c r="L50" s="22" t="n">
        <x:v>1.35</x:v>
      </x:c>
      <x:c r="M50" s="22" t="n">
        <x:v>4.36</x:v>
      </x:c>
      <x:c r="N50" s="22" t="n">
        <x:v>88.93</x:v>
      </x:c>
      <x:c r="O50" s="22" t="n">
        <x:v>14.56</x:v>
      </x:c>
      <x:c r="P50" s="20" t="str">
        <x:v>Ernst &amp; Young</x:v>
      </x:c>
      <x:c r="Q50" s="18" t="n">
        <x:v>0</x:v>
      </x:c>
      <x:c r="R50" s="18" t="n">
        <x:v>1</x:v>
      </x:c>
    </x:row>
    <x:row r="51" ht="30" customHeight="1">
      <x:c r="A51" s="20" t="str">
        <x:v>Fidelity</x:v>
      </x:c>
      <x:c r="B51" s="18" t="n">
        <x:v>2020</x:v>
      </x:c>
      <x:c r="C51" s="18" t="str">
        <x:v>Tier 2</x:v>
      </x:c>
      <x:c r="D51" s="22" t="n">
        <x:v>26650</x:v>
      </x:c>
      <x:c r="E51" s="22" t="n">
        <x:v>206204</x:v>
      </x:c>
      <x:c r="F51" s="22" t="n">
        <x:v>2758148</x:v>
      </x:c>
      <x:c r="G51" s="22" t="n">
        <x:v>1393624</x:v>
      </x:c>
      <x:c r="H51" s="22" t="n">
        <x:v>67518</x:v>
      </x:c>
      <x:c r="I51" s="22" t="n">
        <x:v>16858</x:v>
      </x:c>
      <x:c r="J51" s="22" t="n">
        <x:v>3.8</x:v>
      </x:c>
      <x:c r="K51" s="22" t="n">
        <x:v>18.2</x:v>
      </x:c>
      <x:c r="L51" s="22" t="n">
        <x:v>0.97</x:v>
      </x:c>
      <x:c r="M51" s="22" t="n">
        <x:v>4.85</x:v>
      </x:c>
      <x:c r="N51" s="22" t="n">
        <x:v>90.08</x:v>
      </x:c>
      <x:c r="O51" s="22" t="n">
        <x:v>14.83</x:v>
      </x:c>
      <x:c r="P51" s="20" t="str">
        <x:v>Ernst &amp; Young</x:v>
      </x:c>
      <x:c r="Q51" s="18" t="n">
        <x:v>0</x:v>
      </x:c>
      <x:c r="R51" s="18" t="n">
        <x:v>1</x:v>
      </x:c>
    </x:row>
    <x:row r="52" ht="30" customHeight="1">
      <x:c r="A52" s="20" t="str">
        <x:v>Fidelity</x:v>
      </x:c>
      <x:c r="B52" s="18" t="n">
        <x:v>2021</x:v>
      </x:c>
      <x:c r="C52" s="18" t="str">
        <x:v>Tier 2</x:v>
      </x:c>
      <x:c r="D52" s="22" t="n">
        <x:v>23104</x:v>
      </x:c>
      <x:c r="E52" s="22" t="n">
        <x:v>250776</x:v>
      </x:c>
      <x:c r="F52" s="22" t="n">
        <x:v>3280454</x:v>
      </x:c>
      <x:c r="G52" s="22" t="n">
        <x:v>1732543</x:v>
      </x:c>
      <x:c r="H52" s="22" t="n">
        <x:v>74131</x:v>
      </x:c>
      <x:c r="I52" s="22" t="n">
        <x:v>7034</x:v>
      </x:c>
      <x:c r="J52" s="22" t="n">
        <x:v>2.9</x:v>
      </x:c>
      <x:c r="K52" s="22" t="n">
        <x:v>19.15</x:v>
      </x:c>
      <x:c r="L52" s="22" t="n">
        <x:v>0.7</x:v>
      </x:c>
      <x:c r="M52" s="22" t="n">
        <x:v>4.28</x:v>
      </x:c>
      <x:c r="N52" s="22" t="n">
        <x:v>91.3</x:v>
      </x:c>
      <x:c r="O52" s="22" t="n">
        <x:v>15</x:v>
      </x:c>
      <x:c r="P52" s="20" t="str">
        <x:v>Deloitte &amp; Touche</x:v>
      </x:c>
      <x:c r="Q52" s="18" t="n">
        <x:v>0</x:v>
      </x:c>
      <x:c r="R52" s="18" t="n">
        <x:v>1</x:v>
      </x:c>
    </x:row>
    <x:row r="53" ht="30" customHeight="1">
      <x:c r="A53" s="20" t="str">
        <x:v>Fidelity</x:v>
      </x:c>
      <x:c r="B53" s="18" t="n">
        <x:v>2022</x:v>
      </x:c>
      <x:c r="C53" s="18" t="str">
        <x:v>Tier 2</x:v>
      </x:c>
      <x:c r="D53" s="22" t="n">
        <x:v>46724</x:v>
      </x:c>
      <x:c r="E53" s="22" t="n">
        <x:v>337050</x:v>
      </x:c>
      <x:c r="F53" s="22" t="n">
        <x:v>3989009</x:v>
      </x:c>
      <x:c r="G53" s="22" t="n">
        <x:v>2196760</x:v>
      </x:c>
      <x:c r="H53" s="22" t="n">
        <x:v>80548</x:v>
      </x:c>
      <x:c r="I53" s="22" t="n">
        <x:v>5443</x:v>
      </x:c>
      <x:c r="J53" s="22" t="n">
        <x:v>2.9</x:v>
      </x:c>
      <x:c r="K53" s="22" t="n">
        <x:v>18.14</x:v>
      </x:c>
      <x:c r="L53" s="22" t="n">
        <x:v>1.17</x:v>
      </x:c>
      <x:c r="M53" s="22" t="n">
        <x:v>3.67</x:v>
      </x:c>
      <x:c r="N53" s="22" t="n">
        <x:v>92.12</x:v>
      </x:c>
      <x:c r="O53" s="22" t="n">
        <x:v>15.2</x:v>
      </x:c>
      <x:c r="P53" s="20" t="str">
        <x:v>Deloitte &amp; Touche</x:v>
      </x:c>
      <x:c r="Q53" s="18" t="n">
        <x:v>0</x:v>
      </x:c>
      <x:c r="R53" s="18" t="n">
        <x:v>1</x:v>
      </x:c>
    </x:row>
    <x:row r="54" ht="30" customHeight="1">
      <x:c r="A54" s="20" t="str">
        <x:v>Stanbic</x:v>
      </x:c>
      <x:c r="B54" s="18" t="n">
        <x:v>2015</x:v>
      </x:c>
      <x:c r="C54" s="18" t="str">
        <x:v>Tier 2</x:v>
      </x:c>
      <x:c r="D54" s="22" t="n">
        <x:v>6232</x:v>
      </x:c>
      <x:c r="E54" s="22" t="n">
        <x:v>118400</x:v>
      </x:c>
      <x:c r="F54" s="22" t="n">
        <x:v>890580</x:v>
      </x:c>
      <x:c r="G54" s="22" t="n">
        <x:v>406210</x:v>
      </x:c>
      <x:c r="H54" s="22" t="n">
        <x:v>25915</x:v>
      </x:c>
      <x:c r="I54" s="22" t="n">
        <x:v>15114</x:v>
      </x:c>
      <x:c r="J54" s="22" t="n">
        <x:v>6.65</x:v>
      </x:c>
      <x:c r="K54" s="22" t="n">
        <x:v>18.3</x:v>
      </x:c>
      <x:c r="L54" s="22" t="n">
        <x:v>0.7</x:v>
      </x:c>
      <x:c r="M54" s="22" t="n">
        <x:v>6.38</x:v>
      </x:c>
      <x:c r="N54" s="22" t="n">
        <x:v>86.2</x:v>
      </x:c>
      <x:c r="O54" s="22" t="n">
        <x:v>13.7</x:v>
      </x:c>
      <x:c r="P54" s="20" t="str">
        <x:v>PwC</x:v>
      </x:c>
      <x:c r="Q54" s="18" t="n">
        <x:v>0</x:v>
      </x:c>
      <x:c r="R54" s="18" t="n">
        <x:v>0</x:v>
      </x:c>
    </x:row>
    <x:row r="55" ht="30" customHeight="1">
      <x:c r="A55" s="20" t="str">
        <x:v>Stanbic</x:v>
      </x:c>
      <x:c r="B55" s="18" t="n">
        <x:v>2016</x:v>
      </x:c>
      <x:c r="C55" s="18" t="str">
        <x:v>Tier 2</x:v>
      </x:c>
      <x:c r="D55" s="22" t="n">
        <x:v>15030</x:v>
      </x:c>
      <x:c r="E55" s="22" t="n">
        <x:v>142500</x:v>
      </x:c>
      <x:c r="F55" s="22" t="n">
        <x:v>993759</x:v>
      </x:c>
      <x:c r="G55" s="22" t="n">
        <x:v>390580</x:v>
      </x:c>
      <x:c r="H55" s="22" t="n">
        <x:v>22351</x:v>
      </x:c>
      <x:c r="I55" s="22" t="n">
        <x:v>20272</x:v>
      </x:c>
      <x:c r="J55" s="22" t="n">
        <x:v>4.78</x:v>
      </x:c>
      <x:c r="K55" s="22" t="n">
        <x:v>21</x:v>
      </x:c>
      <x:c r="L55" s="22" t="n">
        <x:v>1.51</x:v>
      </x:c>
      <x:c r="M55" s="22" t="n">
        <x:v>5.72</x:v>
      </x:c>
      <x:c r="N55" s="22" t="n">
        <x:v>88.2</x:v>
      </x:c>
      <x:c r="O55" s="22" t="n">
        <x:v>13.81</x:v>
      </x:c>
      <x:c r="P55" s="20" t="str">
        <x:v>PwC</x:v>
      </x:c>
      <x:c r="Q55" s="18" t="n">
        <x:v>0</x:v>
      </x:c>
      <x:c r="R55" s="18" t="n">
        <x:v>0</x:v>
      </x:c>
    </x:row>
    <x:row r="56" ht="30" customHeight="1">
      <x:c r="A56" s="20" t="str">
        <x:v>Stanbic</x:v>
      </x:c>
      <x:c r="B56" s="18" t="n">
        <x:v>2017</x:v>
      </x:c>
      <x:c r="C56" s="18" t="str">
        <x:v>Tier 2</x:v>
      </x:c>
      <x:c r="D56" s="22" t="n">
        <x:v>28842</x:v>
      </x:c>
      <x:c r="E56" s="22" t="n">
        <x:v>166302</x:v>
      </x:c>
      <x:c r="F56" s="22" t="n">
        <x:v>1332669</x:v>
      </x:c>
      <x:c r="G56" s="22" t="n">
        <x:v>391000</x:v>
      </x:c>
      <x:c r="H56" s="22" t="n">
        <x:v>26000</x:v>
      </x:c>
      <x:c r="I56" s="22" t="n">
        <x:v>-25577</x:v>
      </x:c>
      <x:c r="J56" s="22" t="n">
        <x:v>4.2</x:v>
      </x:c>
      <x:c r="K56" s="22" t="n">
        <x:v>20.5</x:v>
      </x:c>
      <x:c r="L56" s="22" t="n">
        <x:v>2.16</x:v>
      </x:c>
      <x:c r="M56" s="22" t="n">
        <x:v>6.65</x:v>
      </x:c>
      <x:c r="N56" s="22" t="n">
        <x:v>89.59</x:v>
      </x:c>
      <x:c r="O56" s="22" t="n">
        <x:v>14.103</x:v>
      </x:c>
      <x:c r="P56" s="20" t="str">
        <x:v>KPMG</x:v>
      </x:c>
      <x:c r="Q56" s="18" t="n">
        <x:v>0</x:v>
      </x:c>
      <x:c r="R56" s="18" t="n">
        <x:v>0</x:v>
      </x:c>
    </x:row>
    <x:row r="57" ht="30" customHeight="1">
      <x:c r="A57" s="20" t="str">
        <x:v>Stanbic</x:v>
      </x:c>
      <x:c r="B57" s="18" t="n">
        <x:v>2018</x:v>
      </x:c>
      <x:c r="C57" s="18" t="str">
        <x:v>Tier 2</x:v>
      </x:c>
      <x:c r="D57" s="22" t="n">
        <x:v>49912</x:v>
      </x:c>
      <x:c r="E57" s="22" t="n">
        <x:v>169207</x:v>
      </x:c>
      <x:c r="F57" s="22" t="n">
        <x:v>1613500</x:v>
      </x:c>
      <x:c r="G57" s="22" t="n">
        <x:v>600000</x:v>
      </x:c>
      <x:c r="H57" s="22" t="n">
        <x:v>28500</x:v>
      </x:c>
      <x:c r="I57" s="22" t="n">
        <x:v>2988</x:v>
      </x:c>
      <x:c r="J57" s="22" t="n">
        <x:v>3.9</x:v>
      </x:c>
      <x:c r="K57" s="22" t="n">
        <x:v>18.5</x:v>
      </x:c>
      <x:c r="L57" s="22" t="n">
        <x:v>3.09</x:v>
      </x:c>
      <x:c r="M57" s="22" t="n">
        <x:v>4.75</x:v>
      </x:c>
      <x:c r="N57" s="22" t="n">
        <x:v>89</x:v>
      </x:c>
      <x:c r="O57" s="22" t="n">
        <x:v>14.294</x:v>
      </x:c>
      <x:c r="P57" s="20" t="str">
        <x:v>PwC</x:v>
      </x:c>
      <x:c r="Q57" s="18" t="n">
        <x:v>0</x:v>
      </x:c>
      <x:c r="R57" s="18" t="n">
        <x:v>1</x:v>
      </x:c>
    </x:row>
    <x:row r="58" ht="30" customHeight="1">
      <x:c r="A58" s="20" t="str">
        <x:v>Stanbic</x:v>
      </x:c>
      <x:c r="B58" s="18" t="n">
        <x:v>2019</x:v>
      </x:c>
      <x:c r="C58" s="18" t="str">
        <x:v>Tier 2</x:v>
      </x:c>
      <x:c r="D58" s="22" t="n">
        <x:v>52287</x:v>
      </x:c>
      <x:c r="E58" s="22" t="n">
        <x:v>178828</x:v>
      </x:c>
      <x:c r="F58" s="22" t="n">
        <x:v>1850000</x:v>
      </x:c>
      <x:c r="G58" s="22" t="n">
        <x:v>630000</x:v>
      </x:c>
      <x:c r="H58" s="22" t="n">
        <x:v>29000</x:v>
      </x:c>
      <x:c r="I58" s="22" t="n">
        <x:v>-1664</x:v>
      </x:c>
      <x:c r="J58" s="22" t="n">
        <x:v>3.5</x:v>
      </x:c>
      <x:c r="K58" s="22" t="n">
        <x:v>19</x:v>
      </x:c>
      <x:c r="L58" s="22" t="n">
        <x:v>2.83</x:v>
      </x:c>
      <x:c r="M58" s="22" t="n">
        <x:v>4.6</x:v>
      </x:c>
      <x:c r="N58" s="22" t="n">
        <x:v>88.5</x:v>
      </x:c>
      <x:c r="O58" s="22" t="n">
        <x:v>14.431</x:v>
      </x:c>
      <x:c r="P58" s="20" t="str">
        <x:v>PwC</x:v>
      </x:c>
      <x:c r="Q58" s="18" t="n">
        <x:v>0</x:v>
      </x:c>
      <x:c r="R58" s="18" t="n">
        <x:v>1</x:v>
      </x:c>
    </x:row>
    <x:row r="59" ht="30" customHeight="1">
      <x:c r="A59" s="20" t="str">
        <x:v>Stanbic</x:v>
      </x:c>
      <x:c r="B59" s="18" t="n">
        <x:v>2020</x:v>
      </x:c>
      <x:c r="C59" s="18" t="str">
        <x:v>Tier 2</x:v>
      </x:c>
      <x:c r="D59" s="22" t="n">
        <x:v>59489</x:v>
      </x:c>
      <x:c r="E59" s="22" t="n">
        <x:v>178308</x:v>
      </x:c>
      <x:c r="F59" s="22" t="n">
        <x:v>2370347</x:v>
      </x:c>
      <x:c r="G59" s="22" t="n">
        <x:v>655292</x:v>
      </x:c>
      <x:c r="H59" s="22" t="n">
        <x:v>30153</x:v>
      </x:c>
      <x:c r="I59" s="22" t="n">
        <x:v>-10170</x:v>
      </x:c>
      <x:c r="J59" s="22" t="n">
        <x:v>4.04</x:v>
      </x:c>
      <x:c r="K59" s="22" t="n">
        <x:v>19.4</x:v>
      </x:c>
      <x:c r="L59" s="22" t="n">
        <x:v>2.51</x:v>
      </x:c>
      <x:c r="M59" s="22" t="n">
        <x:v>4.6</x:v>
      </x:c>
      <x:c r="N59" s="22" t="n">
        <x:v>89.79</x:v>
      </x:c>
      <x:c r="O59" s="22" t="n">
        <x:v>14.679</x:v>
      </x:c>
      <x:c r="P59" s="20" t="str">
        <x:v>PwC</x:v>
      </x:c>
      <x:c r="Q59" s="18" t="n">
        <x:v>0</x:v>
      </x:c>
      <x:c r="R59" s="18" t="n">
        <x:v>1</x:v>
      </x:c>
    </x:row>
    <x:row r="60" ht="30" customHeight="1">
      <x:c r="A60" s="20" t="str">
        <x:v>Stanbic</x:v>
      </x:c>
      <x:c r="B60" s="18" t="n">
        <x:v>2021</x:v>
      </x:c>
      <x:c r="C60" s="18" t="str">
        <x:v>Tier 2</x:v>
      </x:c>
      <x:c r="D60" s="22" t="n">
        <x:v>29570</x:v>
      </x:c>
      <x:c r="E60" s="22" t="n">
        <x:v>140036</x:v>
      </x:c>
      <x:c r="F60" s="22" t="n">
        <x:v>2614087</x:v>
      </x:c>
      <x:c r="G60" s="22" t="n">
        <x:v>946259</x:v>
      </x:c>
      <x:c r="H60" s="22" t="n">
        <x:v>25215</x:v>
      </x:c>
      <x:c r="I60" s="22" t="n">
        <x:v>1208</x:v>
      </x:c>
      <x:c r="J60" s="22" t="n">
        <x:v>2.15</x:v>
      </x:c>
      <x:c r="K60" s="22" t="n">
        <x:v>16.1</x:v>
      </x:c>
      <x:c r="L60" s="22" t="n">
        <x:v>1.13</x:v>
      </x:c>
      <x:c r="M60" s="22" t="n">
        <x:v>2.66</x:v>
      </x:c>
      <x:c r="N60" s="22" t="n">
        <x:v>90.37</x:v>
      </x:c>
      <x:c r="O60" s="22" t="n">
        <x:v>14.776</x:v>
      </x:c>
      <x:c r="P60" s="20" t="str">
        <x:v>PwC</x:v>
      </x:c>
      <x:c r="Q60" s="18" t="n">
        <x:v>0</x:v>
      </x:c>
      <x:c r="R60" s="18" t="n">
        <x:v>1</x:v>
      </x:c>
    </x:row>
    <x:row r="61" ht="30" customHeight="1">
      <x:c r="A61" s="20" t="str">
        <x:v>Stanbic</x:v>
      </x:c>
      <x:c r="B61" s="18" t="n">
        <x:v>2022</x:v>
      </x:c>
      <x:c r="C61" s="18" t="str">
        <x:v>Tier 2</x:v>
      </x:c>
      <x:c r="D61" s="22" t="n">
        <x:v>55150</x:v>
      </x:c>
      <x:c r="E61" s="22" t="n">
        <x:v>211549</x:v>
      </x:c>
      <x:c r="F61" s="22" t="n">
        <x:v>2854509</x:v>
      </x:c>
      <x:c r="G61" s="22" t="n">
        <x:v>1241603</x:v>
      </x:c>
      <x:c r="H61" s="22" t="n">
        <x:v>33414</x:v>
      </x:c>
      <x:c r="I61" s="22" t="n">
        <x:v>10147</x:v>
      </x:c>
      <x:c r="J61" s="22" t="n">
        <x:v>2.38</x:v>
      </x:c>
      <x:c r="K61" s="22" t="n">
        <x:v>18.4</x:v>
      </x:c>
      <x:c r="L61" s="22" t="n">
        <x:v>1.93</x:v>
      </x:c>
      <x:c r="M61" s="22" t="n">
        <x:v>2.69</x:v>
      </x:c>
      <x:c r="N61" s="22" t="n">
        <x:v>90.22</x:v>
      </x:c>
      <x:c r="O61" s="22" t="n">
        <x:v>14.864</x:v>
      </x:c>
      <x:c r="P61" s="20" t="str">
        <x:v>PwC</x:v>
      </x:c>
      <x:c r="Q61" s="18" t="n">
        <x:v>0</x:v>
      </x:c>
      <x:c r="R61" s="18" t="n">
        <x:v>1</x:v>
      </x:c>
    </x:row>
    <x:row r="62" ht="30" customHeight="1">
      <x:c r="A62" s="20" t="str">
        <x:v>Sterling</x:v>
      </x:c>
      <x:c r="B62" s="18" t="n">
        <x:v>2015</x:v>
      </x:c>
      <x:c r="C62" s="18" t="str">
        <x:v>Tier 2</x:v>
      </x:c>
      <x:c r="D62" s="22" t="n">
        <x:v>10293</x:v>
      </x:c>
      <x:c r="E62" s="22" t="n">
        <x:v>110194</x:v>
      </x:c>
      <x:c r="F62" s="22" t="n">
        <x:v>799451</x:v>
      </x:c>
      <x:c r="G62" s="22" t="n">
        <x:v>354475</x:v>
      </x:c>
      <x:c r="H62" s="22" t="n">
        <x:v>15749</x:v>
      </x:c>
      <x:c r="I62" s="22" t="n">
        <x:v>8151</x:v>
      </x:c>
      <x:c r="J62" s="22" t="n">
        <x:v>4.8</x:v>
      </x:c>
      <x:c r="K62" s="22" t="n">
        <x:v>17.5</x:v>
      </x:c>
      <x:c r="L62" s="22" t="n">
        <x:v>1.29</x:v>
      </x:c>
      <x:c r="M62" s="22" t="n">
        <x:v>4.44</x:v>
      </x:c>
      <x:c r="N62" s="22" t="n">
        <x:v>88.05</x:v>
      </x:c>
      <x:c r="O62" s="22" t="n">
        <x:v>13.592</x:v>
      </x:c>
      <x:c r="P62" s="20" t="str">
        <x:v>Ernst &amp; Young</x:v>
      </x:c>
      <x:c r="Q62" s="18" t="n">
        <x:v>0</x:v>
      </x:c>
      <x:c r="R62" s="18" t="n">
        <x:v>0</x:v>
      </x:c>
    </x:row>
    <x:row r="63" ht="30" customHeight="1">
      <x:c r="A63" s="20" t="str">
        <x:v>Sterling</x:v>
      </x:c>
      <x:c r="B63" s="18" t="n">
        <x:v>2016</x:v>
      </x:c>
      <x:c r="C63" s="18" t="str">
        <x:v>Tier 2</x:v>
      </x:c>
      <x:c r="D63" s="22" t="n">
        <x:v>5181</x:v>
      </x:c>
      <x:c r="E63" s="22" t="n">
        <x:v>111238</x:v>
      </x:c>
      <x:c r="F63" s="22" t="n">
        <x:v>834190</x:v>
      </x:c>
      <x:c r="G63" s="22" t="n">
        <x:v>476713</x:v>
      </x:c>
      <x:c r="H63" s="22" t="n">
        <x:v>8463</x:v>
      </x:c>
      <x:c r="I63" s="22" t="n">
        <x:v>11714</x:v>
      </x:c>
      <x:c r="J63" s="22" t="n">
        <x:v>9.9</x:v>
      </x:c>
      <x:c r="K63" s="22" t="n">
        <x:v>11.16</x:v>
      </x:c>
      <x:c r="L63" s="22" t="n">
        <x:v>0.62</x:v>
      </x:c>
      <x:c r="M63" s="22" t="n">
        <x:v>1.78</x:v>
      </x:c>
      <x:c r="N63" s="22" t="n">
        <x:v>89.73</x:v>
      </x:c>
      <x:c r="O63" s="22" t="n">
        <x:v>13.634</x:v>
      </x:c>
      <x:c r="P63" s="20" t="str">
        <x:v>KPMG</x:v>
      </x:c>
      <x:c r="Q63" s="18" t="n">
        <x:v>0</x:v>
      </x:c>
      <x:c r="R63" s="18" t="n">
        <x:v>0</x:v>
      </x:c>
    </x:row>
    <x:row r="64" ht="30" customHeight="1">
      <x:c r="A64" s="20" t="str">
        <x:v>Sterling</x:v>
      </x:c>
      <x:c r="B64" s="18" t="n">
        <x:v>2017</x:v>
      </x:c>
      <x:c r="C64" s="18" t="str">
        <x:v>Tier 2</x:v>
      </x:c>
      <x:c r="D64" s="22" t="n">
        <x:v>8455</x:v>
      </x:c>
      <x:c r="E64" s="22" t="n">
        <x:v>133022</x:v>
      </x:c>
      <x:c r="F64" s="22" t="n">
        <x:v>1068798</x:v>
      </x:c>
      <x:c r="G64" s="22" t="n">
        <x:v>617577</x:v>
      </x:c>
      <x:c r="H64" s="22" t="n">
        <x:v>19504</x:v>
      </x:c>
      <x:c r="I64" s="22" t="n">
        <x:v>12267</x:v>
      </x:c>
      <x:c r="J64" s="22" t="n">
        <x:v>6.2</x:v>
      </x:c>
      <x:c r="K64" s="22" t="n">
        <x:v>11.73</x:v>
      </x:c>
      <x:c r="L64" s="22" t="n">
        <x:v>0.79</x:v>
      </x:c>
      <x:c r="M64" s="22" t="n">
        <x:v>3.16</x:v>
      </x:c>
      <x:c r="N64" s="22" t="n">
        <x:v>90.37</x:v>
      </x:c>
      <x:c r="O64" s="22" t="n">
        <x:v>13.882</x:v>
      </x:c>
      <x:c r="P64" s="20" t="str">
        <x:v>Ernst &amp; Young</x:v>
      </x:c>
      <x:c r="Q64" s="18" t="n">
        <x:v>0</x:v>
      </x:c>
      <x:c r="R64" s="18" t="n">
        <x:v>0</x:v>
      </x:c>
    </x:row>
    <x:row r="65" ht="30" customHeight="1">
      <x:c r="A65" s="20" t="str">
        <x:v>Sterling</x:v>
      </x:c>
      <x:c r="B65" s="18" t="n">
        <x:v>2018</x:v>
      </x:c>
      <x:c r="C65" s="18" t="str">
        <x:v>Tier 2</x:v>
      </x:c>
      <x:c r="D65" s="22" t="n">
        <x:v>9218</x:v>
      </x:c>
      <x:c r="E65" s="22" t="n">
        <x:v>152164</x:v>
      </x:c>
      <x:c r="F65" s="22" t="n">
        <x:v>1102921</x:v>
      </x:c>
      <x:c r="G65" s="22" t="n">
        <x:v>646734</x:v>
      </x:c>
      <x:c r="H65" s="22" t="n">
        <x:v>25717</x:v>
      </x:c>
      <x:c r="I65" s="22" t="n">
        <x:v>-5843</x:v>
      </x:c>
      <x:c r="J65" s="22" t="n">
        <x:v>8.7</x:v>
      </x:c>
      <x:c r="K65" s="22" t="n">
        <x:v>13.4</x:v>
      </x:c>
      <x:c r="L65" s="22" t="n">
        <x:v>0.84</x:v>
      </x:c>
      <x:c r="M65" s="22" t="n">
        <x:v>3.98</x:v>
      </x:c>
      <x:c r="N65" s="22" t="n">
        <x:v>91.13</x:v>
      </x:c>
      <x:c r="O65" s="22" t="n">
        <x:v>13.914</x:v>
      </x:c>
      <x:c r="P65" s="20" t="str">
        <x:v>Ernst &amp; Young</x:v>
      </x:c>
      <x:c r="Q65" s="18" t="n">
        <x:v>0</x:v>
      </x:c>
      <x:c r="R65" s="18" t="n">
        <x:v>1</x:v>
      </x:c>
    </x:row>
    <x:row r="66" ht="30" customHeight="1">
      <x:c r="A66" s="20" t="str">
        <x:v>Sterling</x:v>
      </x:c>
      <x:c r="B66" s="18" t="n">
        <x:v>2019</x:v>
      </x:c>
      <x:c r="C66" s="18" t="str">
        <x:v>Tier 2</x:v>
      </x:c>
      <x:c r="D66" s="22" t="n">
        <x:v>10163</x:v>
      </x:c>
      <x:c r="E66" s="22" t="n">
        <x:v>147439</x:v>
      </x:c>
      <x:c r="F66" s="22" t="n">
        <x:v>1165509</x:v>
      </x:c>
      <x:c r="G66" s="22" t="n">
        <x:v>631698</x:v>
      </x:c>
      <x:c r="H66" s="22" t="n">
        <x:v>12966</x:v>
      </x:c>
      <x:c r="I66" s="22" t="n">
        <x:v>5842</x:v>
      </x:c>
      <x:c r="J66" s="22" t="n">
        <x:v>2.2</x:v>
      </x:c>
      <x:c r="K66" s="22" t="n">
        <x:v>14.7</x:v>
      </x:c>
      <x:c r="L66" s="22" t="n">
        <x:v>0.87</x:v>
      </x:c>
      <x:c r="M66" s="22" t="n">
        <x:v>2.05</x:v>
      </x:c>
      <x:c r="N66" s="22" t="n">
        <x:v>89.76</x:v>
      </x:c>
      <x:c r="O66" s="22" t="n">
        <x:v>13.969</x:v>
      </x:c>
      <x:c r="P66" s="20" t="str">
        <x:v>Ernst &amp; Young</x:v>
      </x:c>
      <x:c r="Q66" s="18" t="n">
        <x:v>0</x:v>
      </x:c>
      <x:c r="R66" s="18" t="n">
        <x:v>1</x:v>
      </x:c>
    </x:row>
    <x:row r="67" ht="30" customHeight="1">
      <x:c r="A67" s="20" t="str">
        <x:v>Sterling</x:v>
      </x:c>
      <x:c r="B67" s="18" t="n">
        <x:v>2020</x:v>
      </x:c>
      <x:c r="C67" s="18" t="str">
        <x:v>Tier 2</x:v>
      </x:c>
      <x:c r="D67" s="22" t="n">
        <x:v>11110</x:v>
      </x:c>
      <x:c r="E67" s="22" t="n">
        <x:v>136475</x:v>
      </x:c>
      <x:c r="F67" s="22" t="n">
        <x:v>1281830</x:v>
      </x:c>
      <x:c r="G67" s="22" t="n">
        <x:v>613359</x:v>
      </x:c>
      <x:c r="H67" s="22" t="n">
        <x:v>16532</x:v>
      </x:c>
      <x:c r="I67" s="22" t="n">
        <x:v>7913</x:v>
      </x:c>
      <x:c r="J67" s="22" t="n">
        <x:v>1.9</x:v>
      </x:c>
      <x:c r="K67" s="22" t="n">
        <x:v>17.98</x:v>
      </x:c>
      <x:c r="L67" s="22" t="n">
        <x:v>0.87</x:v>
      </x:c>
      <x:c r="M67" s="22" t="n">
        <x:v>2.7</x:v>
      </x:c>
      <x:c r="N67" s="22" t="n">
        <x:v>89.44</x:v>
      </x:c>
      <x:c r="O67" s="22" t="n">
        <x:v>14.064</x:v>
      </x:c>
      <x:c r="P67" s="20" t="str">
        <x:v>Deloitte &amp; Touche</x:v>
      </x:c>
      <x:c r="Q67" s="18" t="n">
        <x:v>0</x:v>
      </x:c>
      <x:c r="R67" s="18" t="n">
        <x:v>1</x:v>
      </x:c>
    </x:row>
    <x:row r="68" ht="30" customHeight="1">
      <x:c r="A68" s="20" t="str">
        <x:v>Sterling</x:v>
      </x:c>
      <x:c r="B68" s="18" t="n">
        <x:v>2021</x:v>
      </x:c>
      <x:c r="C68" s="18" t="str">
        <x:v>Tier 2</x:v>
      </x:c>
      <x:c r="D68" s="22" t="n">
        <x:v>13403</x:v>
      </x:c>
      <x:c r="E68" s="22" t="n">
        <x:v>139922</x:v>
      </x:c>
      <x:c r="F68" s="22" t="n">
        <x:v>1611749</x:v>
      </x:c>
      <x:c r="G68" s="22" t="n">
        <x:v>726080</x:v>
      </x:c>
      <x:c r="H68" s="22" t="n">
        <x:v>14180</x:v>
      </x:c>
      <x:c r="I68" s="22" t="n">
        <x:v>9822</x:v>
      </x:c>
      <x:c r="J68" s="22" t="n">
        <x:v>1</x:v>
      </x:c>
      <x:c r="K68" s="22" t="n">
        <x:v>14.82</x:v>
      </x:c>
      <x:c r="L68" s="22" t="n">
        <x:v>0.83</x:v>
      </x:c>
      <x:c r="M68" s="22" t="n">
        <x:v>1.95</x:v>
      </x:c>
      <x:c r="N68" s="22" t="n">
        <x:v>91.12</x:v>
      </x:c>
      <x:c r="O68" s="22" t="n">
        <x:v>14.293</x:v>
      </x:c>
      <x:c r="P68" s="20" t="str">
        <x:v>Deloitte &amp; Touche</x:v>
      </x:c>
      <x:c r="Q68" s="18" t="n">
        <x:v>0</x:v>
      </x:c>
      <x:c r="R68" s="18" t="n">
        <x:v>1</x:v>
      </x:c>
    </x:row>
    <x:row r="69" ht="30" customHeight="1">
      <x:c r="A69" s="20" t="str">
        <x:v>Sterling</x:v>
      </x:c>
      <x:c r="B69" s="18" t="n">
        <x:v>2022</x:v>
      </x:c>
      <x:c r="C69" s="18" t="str">
        <x:v>Tier 2</x:v>
      </x:c>
      <x:c r="D69" s="22" t="n">
        <x:v>19327</x:v>
      </x:c>
      <x:c r="E69" s="22" t="n">
        <x:v>172832</x:v>
      </x:c>
      <x:c r="F69" s="22" t="n">
        <x:v>1840622</x:v>
      </x:c>
      <x:c r="G69" s="22" t="n">
        <x:v>758183</x:v>
      </x:c>
      <x:c r="H69" s="22" t="n">
        <x:v>20448</x:v>
      </x:c>
      <x:c r="I69" s="22" t="n">
        <x:v>9084</x:v>
      </x:c>
      <x:c r="J69" s="22" t="n">
        <x:v>4</x:v>
      </x:c>
      <x:c r="K69" s="22" t="n">
        <x:v>14.67</x:v>
      </x:c>
      <x:c r="L69" s="22" t="n">
        <x:v>1.05</x:v>
      </x:c>
      <x:c r="M69" s="22" t="n">
        <x:v>2.7</x:v>
      </x:c>
      <x:c r="N69" s="22" t="n">
        <x:v>91.66</x:v>
      </x:c>
      <x:c r="O69" s="22" t="n">
        <x:v>14.426</x:v>
      </x:c>
      <x:c r="P69" s="20" t="str">
        <x:v>Deloitte &amp; Touche</x:v>
      </x:c>
      <x:c r="Q69" s="18" t="n">
        <x:v>0</x:v>
      </x:c>
      <x:c r="R69" s="18" t="n">
        <x:v>1</x:v>
      </x:c>
    </x:row>
    <x:row r="70" ht="30" customHeight="1">
      <x:c r="A70" s="20" t="str">
        <x:v>Wema</x:v>
      </x:c>
      <x:c r="B70" s="18" t="n">
        <x:v>2015</x:v>
      </x:c>
      <x:c r="C70" s="18" t="str">
        <x:v>Tier 2</x:v>
      </x:c>
      <x:c r="D70" s="22" t="n">
        <x:v>2273.21</x:v>
      </x:c>
      <x:c r="E70" s="22" t="n">
        <x:v>45869.44</x:v>
      </x:c>
      <x:c r="F70" s="22" t="n">
        <x:v>396743.31</x:v>
      </x:c>
      <x:c r="G70" s="22" t="n">
        <x:v>188022.92</x:v>
      </x:c>
      <x:c r="H70" s="22" t="n">
        <x:v>2426.33</x:v>
      </x:c>
      <x:c r="I70" s="22" t="n">
        <x:v>-77.64</x:v>
      </x:c>
      <x:c r="J70" s="22" t="n">
        <x:v>2.67</x:v>
      </x:c>
      <x:c r="K70" s="22" t="n">
        <x:v>15.1</x:v>
      </x:c>
      <x:c r="L70" s="22" t="n">
        <x:v>0.57</x:v>
      </x:c>
      <x:c r="M70" s="22" t="n">
        <x:v>1.29</x:v>
      </x:c>
      <x:c r="N70" s="22" t="n">
        <x:v>88.39</x:v>
      </x:c>
      <x:c r="O70" s="22" t="n">
        <x:v>12.891</x:v>
      </x:c>
      <x:c r="P70" s="20" t="str">
        <x:v>Akintola Williams Deloitte</x:v>
      </x:c>
      <x:c r="Q70" s="18" t="n">
        <x:v>0</x:v>
      </x:c>
      <x:c r="R70" s="18" t="n">
        <x:v>0</x:v>
      </x:c>
    </x:row>
    <x:row r="71" ht="30" customHeight="1">
      <x:c r="A71" s="20" t="str">
        <x:v>Wema</x:v>
      </x:c>
      <x:c r="B71" s="18" t="n">
        <x:v>2016</x:v>
      </x:c>
      <x:c r="C71" s="18" t="str">
        <x:v>Tier 2</x:v>
      </x:c>
      <x:c r="D71" s="22" t="n">
        <x:v>2591.8</x:v>
      </x:c>
      <x:c r="E71" s="22" t="n">
        <x:v>53834.41</x:v>
      </x:c>
      <x:c r="F71" s="22" t="n">
        <x:v>421221.04</x:v>
      </x:c>
      <x:c r="G71" s="22" t="n">
        <x:v>229840.98</x:v>
      </x:c>
      <x:c r="H71" s="22" t="n">
        <x:v>2832.43</x:v>
      </x:c>
      <x:c r="I71" s="22" t="n">
        <x:v>412.4</x:v>
      </x:c>
      <x:c r="J71" s="22" t="n">
        <x:v>5.07</x:v>
      </x:c>
      <x:c r="K71" s="22" t="n">
        <x:v>11.07</x:v>
      </x:c>
      <x:c r="L71" s="22" t="n">
        <x:v>0.62</x:v>
      </x:c>
      <x:c r="M71" s="22" t="n">
        <x:v>1.23</x:v>
      </x:c>
      <x:c r="N71" s="22" t="n">
        <x:v>88.49</x:v>
      </x:c>
      <x:c r="O71" s="22" t="n">
        <x:v>12.951</x:v>
      </x:c>
      <x:c r="P71" s="20" t="str">
        <x:v>Akintola Williams Deloitte</x:v>
      </x:c>
      <x:c r="Q71" s="18" t="n">
        <x:v>0</x:v>
      </x:c>
      <x:c r="R71" s="18" t="n">
        <x:v>0</x:v>
      </x:c>
    </x:row>
    <x:row r="72" ht="30" customHeight="1">
      <x:c r="A72" s="20" t="str">
        <x:v>Wema</x:v>
      </x:c>
      <x:c r="B72" s="18" t="n">
        <x:v>2017</x:v>
      </x:c>
      <x:c r="C72" s="18" t="str">
        <x:v>Tier 2</x:v>
      </x:c>
      <x:c r="D72" s="22" t="n">
        <x:v>2301.16</x:v>
      </x:c>
      <x:c r="E72" s="22" t="n">
        <x:v>64858.37</x:v>
      </x:c>
      <x:c r="F72" s="22" t="n">
        <x:v>385388.3</x:v>
      </x:c>
      <x:c r="G72" s="22" t="n">
        <x:v>220076.03</x:v>
      </x:c>
      <x:c r="H72" s="22" t="n">
        <x:v>4236</x:v>
      </x:c>
      <x:c r="I72" s="22" t="n">
        <x:v>2179.8</x:v>
      </x:c>
      <x:c r="J72" s="22" t="n">
        <x:v>3.52</x:v>
      </x:c>
      <x:c r="K72" s="22" t="n">
        <x:v>14.32</x:v>
      </x:c>
      <x:c r="L72" s="22" t="n">
        <x:v>0.6</x:v>
      </x:c>
      <x:c r="M72" s="22" t="n">
        <x:v>1.92</x:v>
      </x:c>
      <x:c r="N72" s="22" t="n">
        <x:v>87.11</x:v>
      </x:c>
      <x:c r="O72" s="22" t="n">
        <x:v>12.862</x:v>
      </x:c>
      <x:c r="P72" s="20" t="str">
        <x:v>Deloitte &amp; Touche</x:v>
      </x:c>
      <x:c r="Q72" s="18" t="n">
        <x:v>0</x:v>
      </x:c>
      <x:c r="R72" s="18" t="n">
        <x:v>0</x:v>
      </x:c>
    </x:row>
    <x:row r="73" ht="30" customHeight="1">
      <x:c r="A73" s="20" t="str">
        <x:v>Wema</x:v>
      </x:c>
      <x:c r="B73" s="18" t="n">
        <x:v>2018</x:v>
      </x:c>
      <x:c r="C73" s="18" t="str">
        <x:v>Tier 2</x:v>
      </x:c>
      <x:c r="D73" s="22"/>
      <x:c r="E73" s="22"/>
      <x:c r="F73" s="22"/>
      <x:c r="G73" s="22"/>
      <x:c r="H73" s="22"/>
      <x:c r="I73" s="22"/>
      <x:c r="J73" s="22"/>
      <x:c r="K73" s="22"/>
      <x:c r="L73" s="22"/>
      <x:c r="M73" s="22"/>
      <x:c r="N73" s="22"/>
      <x:c r="O73" s="22"/>
      <x:c r="P73" s="20" t="str">
        <x:v>Missing</x:v>
      </x:c>
      <x:c r="Q73" s="18"/>
      <x:c r="R73" s="18" t="n">
        <x:v>1</x:v>
      </x:c>
    </x:row>
    <x:row r="74" ht="30" customHeight="1">
      <x:c r="A74" s="20" t="str">
        <x:v>Wema</x:v>
      </x:c>
      <x:c r="B74" s="18" t="n">
        <x:v>2019</x:v>
      </x:c>
      <x:c r="C74" s="18" t="str">
        <x:v>Tier 2</x:v>
      </x:c>
      <x:c r="D74" s="22" t="n">
        <x:v>5210.75</x:v>
      </x:c>
      <x:c r="E74" s="22" t="n">
        <x:v>93389.81</x:v>
      </x:c>
      <x:c r="F74" s="22" t="n">
        <x:v>704955.6</x:v>
      </x:c>
      <x:c r="G74" s="22" t="n">
        <x:v>301368.3</x:v>
      </x:c>
      <x:c r="H74" s="22" t="n">
        <x:v>12128.43</x:v>
      </x:c>
      <x:c r="I74" s="22" t="n">
        <x:v>6130.6</x:v>
      </x:c>
      <x:c r="J74" s="22" t="n">
        <x:v>7.38</x:v>
      </x:c>
      <x:c r="K74" s="22" t="n">
        <x:v>13.6</x:v>
      </x:c>
      <x:c r="L74" s="22" t="n">
        <x:v>0.74</x:v>
      </x:c>
      <x:c r="M74" s="22" t="n">
        <x:v>4.02</x:v>
      </x:c>
      <x:c r="N74" s="22" t="n">
        <x:v>92.15</x:v>
      </x:c>
      <x:c r="O74" s="22" t="n">
        <x:v>13.466</x:v>
      </x:c>
      <x:c r="P74" s="20" t="str">
        <x:v>Deloitte &amp; Touche</x:v>
      </x:c>
      <x:c r="Q74" s="18" t="n">
        <x:v>0</x:v>
      </x:c>
      <x:c r="R74" s="18" t="n">
        <x:v>1</x:v>
      </x:c>
    </x:row>
    <x:row r="75" ht="30" customHeight="1">
      <x:c r="A75" s="20" t="str">
        <x:v>Wema</x:v>
      </x:c>
      <x:c r="B75" s="18" t="n">
        <x:v>2020</x:v>
      </x:c>
      <x:c r="C75" s="18" t="str">
        <x:v>Tier 2</x:v>
      </x:c>
      <x:c r="D75" s="22" t="n">
        <x:v>4592.22</x:v>
      </x:c>
      <x:c r="E75" s="22" t="n">
        <x:v>79876.99</x:v>
      </x:c>
      <x:c r="F75" s="22" t="n">
        <x:v>968582.08</x:v>
      </x:c>
      <x:c r="G75" s="22" t="n">
        <x:v>375039.66</x:v>
      </x:c>
      <x:c r="H75" s="22" t="n">
        <x:v>14963.58</x:v>
      </x:c>
      <x:c r="I75" s="22" t="n">
        <x:v>5635.17</x:v>
      </x:c>
      <x:c r="J75" s="22" t="n">
        <x:v>4.69</x:v>
      </x:c>
      <x:c r="K75" s="22" t="n">
        <x:v>15.01</x:v>
      </x:c>
      <x:c r="L75" s="22" t="n">
        <x:v>0.47</x:v>
      </x:c>
      <x:c r="M75" s="22" t="n">
        <x:v>3.99</x:v>
      </x:c>
      <x:c r="N75" s="22" t="n">
        <x:v>93.87</x:v>
      </x:c>
      <x:c r="O75" s="22" t="n">
        <x:v>13.784</x:v>
      </x:c>
      <x:c r="P75" s="20" t="str">
        <x:v>Deloitte &amp; Touche</x:v>
      </x:c>
      <x:c r="Q75" s="18" t="n">
        <x:v>0</x:v>
      </x:c>
      <x:c r="R75" s="18" t="n">
        <x:v>1</x:v>
      </x:c>
    </x:row>
    <x:row r="76" ht="30" customHeight="1">
      <x:c r="A76" s="20" t="str">
        <x:v>Wema</x:v>
      </x:c>
      <x:c r="B76" s="18" t="n">
        <x:v>2021</x:v>
      </x:c>
      <x:c r="C76" s="18" t="str">
        <x:v>Tier 2</x:v>
      </x:c>
      <x:c r="D76" s="22" t="n">
        <x:v>8933</x:v>
      </x:c>
      <x:c r="E76" s="22" t="n">
        <x:v>92137</x:v>
      </x:c>
      <x:c r="F76" s="22" t="n">
        <x:v>1164518</x:v>
      </x:c>
      <x:c r="G76" s="22" t="n">
        <x:v>435552</x:v>
      </x:c>
      <x:c r="H76" s="22" t="n">
        <x:v>16688</x:v>
      </x:c>
      <x:c r="I76" s="22" t="n">
        <x:v>2104</x:v>
      </x:c>
      <x:c r="J76" s="22" t="n">
        <x:v>4.88</x:v>
      </x:c>
      <x:c r="K76" s="22" t="n">
        <x:v>11.71</x:v>
      </x:c>
      <x:c r="L76" s="22" t="n">
        <x:v>0.77</x:v>
      </x:c>
      <x:c r="M76" s="22" t="n">
        <x:v>3.83</x:v>
      </x:c>
      <x:c r="N76" s="22" t="n">
        <x:v>93.96</x:v>
      </x:c>
      <x:c r="O76" s="22" t="n">
        <x:v>13.968</x:v>
      </x:c>
      <x:c r="P76" s="20" t="str">
        <x:v>KPMG</x:v>
      </x:c>
      <x:c r="Q76" s="18" t="n">
        <x:v>0</x:v>
      </x:c>
      <x:c r="R76" s="18" t="n">
        <x:v>1</x:v>
      </x:c>
    </x:row>
    <x:row r="77" ht="30" customHeight="1">
      <x:c r="A77" s="20" t="str">
        <x:v>Wema</x:v>
      </x:c>
      <x:c r="B77" s="18" t="n">
        <x:v>2022</x:v>
      </x:c>
      <x:c r="C77" s="18" t="str">
        <x:v>Tier 2</x:v>
      </x:c>
      <x:c r="D77" s="22" t="n">
        <x:v>11214</x:v>
      </x:c>
      <x:c r="E77" s="22" t="n">
        <x:v>131083</x:v>
      </x:c>
      <x:c r="F77" s="22" t="n">
        <x:v>1433704</x:v>
      </x:c>
      <x:c r="G77" s="22" t="n">
        <x:v>539372</x:v>
      </x:c>
      <x:c r="H77" s="22" t="n">
        <x:v>17941</x:v>
      </x:c>
      <x:c r="I77" s="22" t="n">
        <x:v>4808</x:v>
      </x:c>
      <x:c r="J77" s="22" t="n">
        <x:v>6.08</x:v>
      </x:c>
      <x:c r="K77" s="22" t="n">
        <x:v>12.74</x:v>
      </x:c>
      <x:c r="L77" s="22" t="n">
        <x:v>0.78</x:v>
      </x:c>
      <x:c r="M77" s="22" t="n">
        <x:v>3.33</x:v>
      </x:c>
      <x:c r="N77" s="22" t="n">
        <x:v>94.24</x:v>
      </x:c>
      <x:c r="O77" s="22" t="n">
        <x:v>14.176</x:v>
      </x:c>
      <x:c r="P77" s="20" t="str">
        <x:v>KPMG</x:v>
      </x:c>
      <x:c r="Q77" s="18" t="n">
        <x:v>0</x:v>
      </x:c>
      <x:c r="R77" s="18" t="n">
        <x:v>1</x:v>
      </x:c>
    </x:row>
    <x:row r="78" ht="30" customHeight="1">
      <x:c r="A78" s="20" t="str">
        <x:v>FCMB</x:v>
      </x:c>
      <x:c r="B78" s="18" t="n">
        <x:v>2015</x:v>
      </x:c>
      <x:c r="C78" s="18" t="str">
        <x:v>Tier 2</x:v>
      </x:c>
      <x:c r="D78" s="22" t="n">
        <x:v>3542</x:v>
      </x:c>
      <x:c r="E78" s="22" t="n">
        <x:v>84900</x:v>
      </x:c>
      <x:c r="F78" s="22" t="n">
        <x:v>1150144</x:v>
      </x:c>
      <x:c r="G78" s="22" t="n">
        <x:v>592672</x:v>
      </x:c>
      <x:c r="H78" s="22" t="n">
        <x:v>36587</x:v>
      </x:c>
      <x:c r="I78" s="22" t="n">
        <x:v>14102</x:v>
      </x:c>
      <x:c r="J78" s="22" t="n">
        <x:v>4.15</x:v>
      </x:c>
      <x:c r="K78" s="22" t="n">
        <x:v>16.88</x:v>
      </x:c>
      <x:c r="L78" s="22" t="n">
        <x:v>0.31</x:v>
      </x:c>
      <x:c r="M78" s="22" t="n">
        <x:v>6.17</x:v>
      </x:c>
      <x:c r="N78" s="22" t="n">
        <x:v>87.1</x:v>
      </x:c>
      <x:c r="O78" s="22" t="n">
        <x:v>13.955</x:v>
      </x:c>
      <x:c r="P78" s="20" t="str">
        <x:v>KPMG</x:v>
      </x:c>
      <x:c r="Q78" s="18" t="n">
        <x:v>0</x:v>
      </x:c>
      <x:c r="R78" s="18" t="n">
        <x:v>0</x:v>
      </x:c>
    </x:row>
    <x:row r="79" ht="30" customHeight="1">
      <x:c r="A79" s="20" t="str">
        <x:v>FCMB</x:v>
      </x:c>
      <x:c r="B79" s="18" t="n">
        <x:v>2016</x:v>
      </x:c>
      <x:c r="C79" s="18" t="str">
        <x:v>Tier 2</x:v>
      </x:c>
      <x:c r="D79" s="22" t="n">
        <x:v>12076</x:v>
      </x:c>
      <x:c r="E79" s="22" t="n">
        <x:v>112581</x:v>
      </x:c>
      <x:c r="F79" s="22" t="n">
        <x:v>1163435</x:v>
      </x:c>
      <x:c r="G79" s="22" t="n">
        <x:v>659700</x:v>
      </x:c>
      <x:c r="H79" s="22" t="n">
        <x:v>33247</x:v>
      </x:c>
      <x:c r="I79" s="22" t="n">
        <x:v>35311</x:v>
      </x:c>
      <x:c r="J79" s="22" t="n">
        <x:v>3.74</x:v>
      </x:c>
      <x:c r="K79" s="22" t="n">
        <x:v>16.54</x:v>
      </x:c>
      <x:c r="L79" s="22" t="n">
        <x:v>1.04</x:v>
      </x:c>
      <x:c r="M79" s="22" t="n">
        <x:v>5.04</x:v>
      </x:c>
      <x:c r="N79" s="22" t="n">
        <x:v>86.02</x:v>
      </x:c>
      <x:c r="O79" s="22" t="n">
        <x:v>13.967</x:v>
      </x:c>
      <x:c r="P79" s="20" t="str">
        <x:v>KPMG</x:v>
      </x:c>
      <x:c r="Q79" s="18" t="n">
        <x:v>0</x:v>
      </x:c>
      <x:c r="R79" s="18" t="n">
        <x:v>0</x:v>
      </x:c>
    </x:row>
    <x:row r="80" ht="30" customHeight="1">
      <x:c r="A80" s="20" t="str">
        <x:v>FCMB</x:v>
      </x:c>
      <x:c r="B80" s="18" t="n">
        <x:v>2017</x:v>
      </x:c>
      <x:c r="C80" s="18" t="str">
        <x:v>Tier 2</x:v>
      </x:c>
      <x:c r="D80" s="22" t="n">
        <x:v>6794</x:v>
      </x:c>
      <x:c r="E80" s="22" t="n">
        <x:v>98239</x:v>
      </x:c>
      <x:c r="F80" s="22" t="n">
        <x:v>1169344</x:v>
      </x:c>
      <x:c r="G80" s="22" t="n">
        <x:v>649379</x:v>
      </x:c>
      <x:c r="H80" s="22" t="n">
        <x:v>25305</x:v>
      </x:c>
      <x:c r="I80" s="22" t="n">
        <x:v>22653</x:v>
      </x:c>
      <x:c r="J80" s="22" t="n">
        <x:v>4.92</x:v>
      </x:c>
      <x:c r="K80" s="22" t="n">
        <x:v>17.21</x:v>
      </x:c>
      <x:c r="L80" s="22" t="n">
        <x:v>0.58</x:v>
      </x:c>
      <x:c r="M80" s="22" t="n">
        <x:v>3.9</x:v>
      </x:c>
      <x:c r="N80" s="22" t="n">
        <x:v>85.97</x:v>
      </x:c>
      <x:c r="O80" s="22" t="n">
        <x:v>13.972</x:v>
      </x:c>
      <x:c r="P80" s="20" t="str">
        <x:v>KPMG</x:v>
      </x:c>
      <x:c r="Q80" s="18" t="n">
        <x:v>0</x:v>
      </x:c>
      <x:c r="R80" s="18" t="n">
        <x:v>0</x:v>
      </x:c>
    </x:row>
    <x:row r="81" ht="30" customHeight="1">
      <x:c r="A81" s="20" t="str">
        <x:v>FCMB</x:v>
      </x:c>
      <x:c r="B81" s="18" t="n">
        <x:v>2018</x:v>
      </x:c>
      <x:c r="C81" s="18" t="str">
        <x:v>Tier 2</x:v>
      </x:c>
      <x:c r="D81" s="22" t="n">
        <x:v>12355</x:v>
      </x:c>
      <x:c r="E81" s="22" t="n">
        <x:v>101385</x:v>
      </x:c>
      <x:c r="F81" s="22" t="n">
        <x:v>1391479</x:v>
      </x:c>
      <x:c r="G81" s="22" t="n">
        <x:v>616006</x:v>
      </x:c>
      <x:c r="H81" s="22" t="n">
        <x:v>48291</x:v>
      </x:c>
      <x:c r="I81" s="22" t="n">
        <x:v>13954</x:v>
      </x:c>
      <x:c r="J81" s="22" t="n">
        <x:v>5.9</x:v>
      </x:c>
      <x:c r="K81" s="22" t="n">
        <x:v>15.79</x:v>
      </x:c>
      <x:c r="L81" s="22" t="n">
        <x:v>0.89</x:v>
      </x:c>
      <x:c r="M81" s="22" t="n">
        <x:v>7.84</x:v>
      </x:c>
      <x:c r="N81" s="22" t="n">
        <x:v>88.21</x:v>
      </x:c>
      <x:c r="O81" s="22" t="n">
        <x:v>14.146</x:v>
      </x:c>
      <x:c r="P81" s="20" t="str">
        <x:v>KPMG</x:v>
      </x:c>
      <x:c r="Q81" s="18" t="n">
        <x:v>0</x:v>
      </x:c>
      <x:c r="R81" s="18" t="n">
        <x:v>1</x:v>
      </x:c>
    </x:row>
    <x:row r="82" ht="30" customHeight="1">
      <x:c r="A82" s="20" t="str">
        <x:v>FCMB</x:v>
      </x:c>
      <x:c r="B82" s="18" t="n">
        <x:v>2019</x:v>
      </x:c>
      <x:c r="C82" s="18" t="str">
        <x:v>Tier 2</x:v>
      </x:c>
      <x:c r="D82" s="22" t="n">
        <x:v>13642</x:v>
      </x:c>
      <x:c r="E82" s="22" t="n">
        <x:v>94910</x:v>
      </x:c>
      <x:c r="F82" s="22" t="n">
        <x:v>1621454</x:v>
      </x:c>
      <x:c r="G82" s="22" t="n">
        <x:v>692974</x:v>
      </x:c>
      <x:c r="H82" s="22" t="n">
        <x:v>46747</x:v>
      </x:c>
      <x:c r="I82" s="22" t="n">
        <x:v>13406</x:v>
      </x:c>
      <x:c r="J82" s="22" t="n">
        <x:v>3.7</x:v>
      </x:c>
      <x:c r="K82" s="22" t="n">
        <x:v>17.16</x:v>
      </x:c>
      <x:c r="L82" s="22" t="n">
        <x:v>0.84</x:v>
      </x:c>
      <x:c r="M82" s="22" t="n">
        <x:v>6.75</x:v>
      </x:c>
      <x:c r="N82" s="22" t="n">
        <x:v>87.11</x:v>
      </x:c>
      <x:c r="O82" s="22" t="n">
        <x:v>14.299</x:v>
      </x:c>
      <x:c r="P82" s="20" t="str">
        <x:v>KPMG</x:v>
      </x:c>
      <x:c r="Q82" s="18" t="n">
        <x:v>0</x:v>
      </x:c>
      <x:c r="R82" s="18" t="n">
        <x:v>1</x:v>
      </x:c>
    </x:row>
    <x:row r="83" ht="30" customHeight="1">
      <x:c r="A83" s="20" t="str">
        <x:v>FCMB</x:v>
      </x:c>
      <x:c r="B83" s="18" t="n">
        <x:v>2020</x:v>
      </x:c>
      <x:c r="C83" s="18" t="str">
        <x:v>Tier 2</x:v>
      </x:c>
      <x:c r="D83" s="22" t="n">
        <x:v>14510</x:v>
      </x:c>
      <x:c r="E83" s="22" t="n">
        <x:v>109885</x:v>
      </x:c>
      <x:c r="F83" s="22" t="n">
        <x:v>2014277</x:v>
      </x:c>
      <x:c r="G83" s="22" t="n">
        <x:v>801282</x:v>
      </x:c>
      <x:c r="H83" s="22" t="n">
        <x:v>56248</x:v>
      </x:c>
      <x:c r="I83" s="22" t="n">
        <x:v>20697</x:v>
      </x:c>
      <x:c r="J83" s="22" t="n">
        <x:v>3.3</x:v>
      </x:c>
      <x:c r="K83" s="22" t="n">
        <x:v>17.49</x:v>
      </x:c>
      <x:c r="L83" s="22" t="n">
        <x:v>0.72</x:v>
      </x:c>
      <x:c r="M83" s="22" t="n">
        <x:v>7.02</x:v>
      </x:c>
      <x:c r="N83" s="22" t="n">
        <x:v>89.83</x:v>
      </x:c>
      <x:c r="O83" s="22" t="n">
        <x:v>14.516</x:v>
      </x:c>
      <x:c r="P83" s="20" t="str">
        <x:v>Deloitte</x:v>
      </x:c>
      <x:c r="Q83" s="18" t="n">
        <x:v>0</x:v>
      </x:c>
      <x:c r="R83" s="18" t="n">
        <x:v>1</x:v>
      </x:c>
    </x:row>
    <x:row r="84" ht="30" customHeight="1">
      <x:c r="A84" s="20" t="str">
        <x:v>FCMB</x:v>
      </x:c>
      <x:c r="B84" s="18" t="n">
        <x:v>2021</x:v>
      </x:c>
      <x:c r="C84" s="18" t="str">
        <x:v>Tier 2</x:v>
      </x:c>
      <x:c r="D84" s="22" t="n">
        <x:v>16176</x:v>
      </x:c>
      <x:c r="E84" s="22" t="n">
        <x:v>183785</x:v>
      </x:c>
      <x:c r="F84" s="22" t="n">
        <x:v>2434973</x:v>
      </x:c>
      <x:c r="G84" s="22" t="n">
        <x:v>1039831</x:v>
      </x:c>
      <x:c r="H84" s="22" t="n">
        <x:v>77924</x:v>
      </x:c>
      <x:c r="I84" s="22" t="n">
        <x:v>13870</x:v>
      </x:c>
      <x:c r="J84" s="22" t="n">
        <x:v>4.1</x:v>
      </x:c>
      <x:c r="K84" s="22" t="n">
        <x:v>14.89</x:v>
      </x:c>
      <x:c r="L84" s="22" t="n">
        <x:v>0.66</x:v>
      </x:c>
      <x:c r="M84" s="22" t="n">
        <x:v>7.49</x:v>
      </x:c>
      <x:c r="N84" s="22" t="n">
        <x:v>91.09</x:v>
      </x:c>
      <x:c r="O84" s="22" t="n">
        <x:v>14.705</x:v>
      </x:c>
      <x:c r="P84" s="20" t="str">
        <x:v>Deloitte</x:v>
      </x:c>
      <x:c r="Q84" s="18" t="n">
        <x:v>0</x:v>
      </x:c>
      <x:c r="R84" s="18" t="n">
        <x:v>1</x:v>
      </x:c>
    </x:row>
    <x:row r="85" ht="30" customHeight="1">
      <x:c r="A85" s="20" t="str">
        <x:v>FCMB</x:v>
      </x:c>
      <x:c r="B85" s="18" t="n">
        <x:v>2022</x:v>
      </x:c>
      <x:c r="C85" s="18" t="str">
        <x:v>Tier 2</x:v>
      </x:c>
      <x:c r="D85" s="22" t="n">
        <x:v>24557</x:v>
      </x:c>
      <x:c r="E85" s="22" t="n">
        <x:v>246936</x:v>
      </x:c>
      <x:c r="F85" s="22" t="n">
        <x:v>2907400</x:v>
      </x:c>
      <x:c r="G85" s="22" t="n">
        <x:v>1166622</x:v>
      </x:c>
      <x:c r="H85" s="22" t="n">
        <x:v>86459</x:v>
      </x:c>
      <x:c r="I85" s="22" t="n">
        <x:v>23862</x:v>
      </x:c>
      <x:c r="J85" s="22" t="n">
        <x:v>6.6</x:v>
      </x:c>
      <x:c r="K85" s="22" t="n">
        <x:v>16.03</x:v>
      </x:c>
      <x:c r="L85" s="22" t="n">
        <x:v>0.84</x:v>
      </x:c>
      <x:c r="M85" s="22" t="n">
        <x:v>7.41</x:v>
      </x:c>
      <x:c r="N85" s="22" t="n">
        <x:v>91.57</x:v>
      </x:c>
      <x:c r="O85" s="22" t="n">
        <x:v>14.883</x:v>
      </x:c>
      <x:c r="P85" s="20" t="str">
        <x:v>Deloitte</x:v>
      </x:c>
      <x:c r="Q85" s="18" t="n">
        <x:v>0</x:v>
      </x:c>
      <x:c r="R85" s="18" t="n">
        <x:v>1</x:v>
      </x:c>
    </x:row>
    <x:row r="86" ht="30" customHeight="1">
      <x:c r="A86" s="20" t="str">
        <x:v>Ecobank Nigeria</x:v>
      </x:c>
      <x:c r="B86" s="18" t="n">
        <x:v>2015</x:v>
      </x:c>
      <x:c r="C86" s="18" t="str">
        <x:v>Tier 2</x:v>
      </x:c>
      <x:c r="D86" s="22" t="n">
        <x:v>5756</x:v>
      </x:c>
      <x:c r="E86" s="22" t="n">
        <x:v>204210</x:v>
      </x:c>
      <x:c r="F86" s="22" t="n">
        <x:v>1160000</x:v>
      </x:c>
      <x:c r="G86" s="22" t="n">
        <x:v>730419</x:v>
      </x:c>
      <x:c r="H86" s="22" t="n">
        <x:v>38910</x:v>
      </x:c>
      <x:c r="I86" s="22" t="n">
        <x:v>45210</x:v>
      </x:c>
      <x:c r="J86" s="22" t="n">
        <x:v>8.2</x:v>
      </x:c>
      <x:c r="K86" s="22" t="n">
        <x:v>15</x:v>
      </x:c>
      <x:c r="L86" s="22" t="n">
        <x:v>0.5</x:v>
      </x:c>
      <x:c r="M86" s="22" t="n">
        <x:v>5.33</x:v>
      </x:c>
      <x:c r="N86" s="22" t="n">
        <x:v>90.2</x:v>
      </x:c>
      <x:c r="O86" s="22" t="n">
        <x:v>13.96</x:v>
      </x:c>
      <x:c r="P86" s="20" t="str">
        <x:v>Deloitte</x:v>
      </x:c>
      <x:c r="Q86" s="18" t="n">
        <x:v>0</x:v>
      </x:c>
      <x:c r="R86" s="18" t="n">
        <x:v>0</x:v>
      </x:c>
    </x:row>
    <x:row r="87" ht="30" customHeight="1">
      <x:c r="A87" s="20" t="str">
        <x:v>Ecobank Nigeria</x:v>
      </x:c>
      <x:c r="B87" s="18" t="n">
        <x:v>2016</x:v>
      </x:c>
      <x:c r="C87" s="18" t="str">
        <x:v>Tier 2</x:v>
      </x:c>
      <x:c r="D87" s="22" t="n">
        <x:v>5780</x:v>
      </x:c>
      <x:c r="E87" s="22" t="n">
        <x:v>259584</x:v>
      </x:c>
      <x:c r="F87" s="22" t="n">
        <x:v>1808503</x:v>
      </x:c>
      <x:c r="G87" s="22" t="n">
        <x:v>869872</x:v>
      </x:c>
      <x:c r="H87" s="22" t="n">
        <x:v>116480</x:v>
      </x:c>
      <x:c r="I87" s="22" t="n">
        <x:v>82783</x:v>
      </x:c>
      <x:c r="J87" s="22" t="n">
        <x:v>9.1</x:v>
      </x:c>
      <x:c r="K87" s="22" t="n">
        <x:v>15</x:v>
      </x:c>
      <x:c r="L87" s="22" t="n">
        <x:v>0.32</x:v>
      </x:c>
      <x:c r="M87" s="22" t="n">
        <x:v>13.39</x:v>
      </x:c>
      <x:c r="N87" s="22" t="n">
        <x:v>93.5</x:v>
      </x:c>
      <x:c r="O87" s="22" t="n">
        <x:v>14.41</x:v>
      </x:c>
      <x:c r="P87" s="20" t="str">
        <x:v>Deloitte</x:v>
      </x:c>
      <x:c r="Q87" s="18" t="n">
        <x:v>0</x:v>
      </x:c>
      <x:c r="R87" s="18" t="n">
        <x:v>0</x:v>
      </x:c>
    </x:row>
    <x:row r="88" ht="30" customHeight="1">
      <x:c r="A88" s="20" t="str">
        <x:v>Ecobank Nigeria</x:v>
      </x:c>
      <x:c r="B88" s="18" t="n">
        <x:v>2017</x:v>
      </x:c>
      <x:c r="C88" s="18" t="str">
        <x:v>Tier 2</x:v>
      </x:c>
      <x:c r="D88" s="22" t="n">
        <x:v>20204</x:v>
      </x:c>
      <x:c r="E88" s="22" t="n">
        <x:v>251061</x:v>
      </x:c>
      <x:c r="F88" s="22" t="n">
        <x:v>1829761</x:v>
      </x:c>
      <x:c r="G88" s="22" t="n">
        <x:v>831573</x:v>
      </x:c>
      <x:c r="H88" s="22" t="n">
        <x:v>120510</x:v>
      </x:c>
      <x:c r="I88" s="22" t="n">
        <x:v>59901</x:v>
      </x:c>
      <x:c r="J88" s="22" t="n">
        <x:v>14.5</x:v>
      </x:c>
      <x:c r="K88" s="22" t="n">
        <x:v>13.6</x:v>
      </x:c>
      <x:c r="L88" s="22" t="n">
        <x:v>1.1</x:v>
      </x:c>
      <x:c r="M88" s="22" t="n">
        <x:v>14.49</x:v>
      </x:c>
      <x:c r="N88" s="22" t="n">
        <x:v>94.1</x:v>
      </x:c>
      <x:c r="O88" s="22" t="n">
        <x:v>14.42</x:v>
      </x:c>
      <x:c r="P88" s="20" t="str">
        <x:v>Deloitte</x:v>
      </x:c>
      <x:c r="Q88" s="18" t="n">
        <x:v>0</x:v>
      </x:c>
      <x:c r="R88" s="18" t="n">
        <x:v>0</x:v>
      </x:c>
    </x:row>
    <x:row r="89" ht="30" customHeight="1">
      <x:c r="A89" s="20" t="str">
        <x:v>Ecobank Nigeria</x:v>
      </x:c>
      <x:c r="B89" s="18" t="n">
        <x:v>2018</x:v>
      </x:c>
      <x:c r="C89" s="18" t="str">
        <x:v>Tier 2</x:v>
      </x:c>
      <x:c r="D89" s="22" t="n">
        <x:v>27540</x:v>
      </x:c>
      <x:c r="E89" s="22" t="n">
        <x:v>179820</x:v>
      </x:c>
      <x:c r="F89" s="22" t="n">
        <x:v>1661886</x:v>
      </x:c>
      <x:c r="G89" s="22" t="n">
        <x:v>691500</x:v>
      </x:c>
      <x:c r="H89" s="22" t="n">
        <x:v>102300</x:v>
      </x:c>
      <x:c r="I89" s="22" t="n">
        <x:v>24510</x:v>
      </x:c>
      <x:c r="J89" s="22" t="n">
        <x:v>13.7</x:v>
      </x:c>
      <x:c r="K89" s="22" t="n">
        <x:v>12.1</x:v>
      </x:c>
      <x:c r="L89" s="22" t="n">
        <x:v>1.66</x:v>
      </x:c>
      <x:c r="M89" s="22" t="n">
        <x:v>14.79</x:v>
      </x:c>
      <x:c r="N89" s="22" t="n">
        <x:v>91.2</x:v>
      </x:c>
      <x:c r="O89" s="22" t="n">
        <x:v>14.32</x:v>
      </x:c>
      <x:c r="P89" s="20" t="str">
        <x:v>Deloitte</x:v>
      </x:c>
      <x:c r="Q89" s="18" t="n">
        <x:v>0</x:v>
      </x:c>
      <x:c r="R89" s="18" t="n">
        <x:v>1</x:v>
      </x:c>
    </x:row>
    <x:row r="90" ht="30" customHeight="1">
      <x:c r="A90" s="20" t="str">
        <x:v>Ecobank Nigeria</x:v>
      </x:c>
      <x:c r="B90" s="18" t="n">
        <x:v>2019</x:v>
      </x:c>
      <x:c r="C90" s="18" t="str">
        <x:v>Tier 2</x:v>
      </x:c>
      <x:c r="D90" s="22" t="n">
        <x:v>32410</x:v>
      </x:c>
      <x:c r="E90" s="22" t="n">
        <x:v>161550</x:v>
      </x:c>
      <x:c r="F90" s="22" t="n">
        <x:v>1832100</x:v>
      </x:c>
      <x:c r="G90" s="22" t="n">
        <x:v>765400</x:v>
      </x:c>
      <x:c r="H90" s="22" t="n">
        <x:v>115400</x:v>
      </x:c>
      <x:c r="I90" s="22" t="n">
        <x:v>14200</x:v>
      </x:c>
      <x:c r="J90" s="22" t="n">
        <x:v>23.9</x:v>
      </x:c>
      <x:c r="K90" s="22" t="n">
        <x:v>10.6</x:v>
      </x:c>
      <x:c r="L90" s="22" t="n">
        <x:v>1.77</x:v>
      </x:c>
      <x:c r="M90" s="22" t="n">
        <x:v>15.08</x:v>
      </x:c>
      <x:c r="N90" s="22" t="n">
        <x:v>92.5</x:v>
      </x:c>
      <x:c r="O90" s="22" t="n">
        <x:v>14.42</x:v>
      </x:c>
      <x:c r="P90" s="20" t="str">
        <x:v>Deloitte</x:v>
      </x:c>
      <x:c r="Q90" s="18" t="n">
        <x:v>0</x:v>
      </x:c>
      <x:c r="R90" s="18" t="n">
        <x:v>1</x:v>
      </x:c>
    </x:row>
    <x:row r="91" ht="30" customHeight="1">
      <x:c r="A91" s="20" t="str">
        <x:v>Ecobank Nigeria</x:v>
      </x:c>
      <x:c r="B91" s="18" t="n">
        <x:v>2020</x:v>
      </x:c>
      <x:c r="C91" s="18" t="str">
        <x:v>Tier 2</x:v>
      </x:c>
      <x:c r="D91" s="22" t="n">
        <x:v>8087</x:v>
      </x:c>
      <x:c r="E91" s="22" t="n">
        <x:v>158750</x:v>
      </x:c>
      <x:c r="F91" s="22" t="n">
        <x:v>2186711</x:v>
      </x:c>
      <x:c r="G91" s="22" t="n">
        <x:v>993191</x:v>
      </x:c>
      <x:c r="H91" s="22" t="n">
        <x:v>111609</x:v>
      </x:c>
      <x:c r="I91" s="22" t="n">
        <x:v>9164</x:v>
      </x:c>
      <x:c r="J91" s="22" t="n">
        <x:v>19.86</x:v>
      </x:c>
      <x:c r="K91" s="22" t="n">
        <x:v>23.21</x:v>
      </x:c>
      <x:c r="L91" s="22" t="n">
        <x:v>0.37</x:v>
      </x:c>
      <x:c r="M91" s="22" t="n">
        <x:v>11.24</x:v>
      </x:c>
      <x:c r="N91" s="22" t="n">
        <x:v>86.34</x:v>
      </x:c>
      <x:c r="O91" s="22" t="n">
        <x:v>14.6</x:v>
      </x:c>
      <x:c r="P91" s="20" t="str">
        <x:v>Ernst &amp; Young</x:v>
      </x:c>
      <x:c r="Q91" s="18" t="n">
        <x:v>0</x:v>
      </x:c>
      <x:c r="R91" s="18" t="n">
        <x:v>1</x:v>
      </x:c>
    </x:row>
    <x:row r="92" ht="30" customHeight="1">
      <x:c r="A92" s="20" t="str">
        <x:v>Ecobank Nigeria</x:v>
      </x:c>
      <x:c r="B92" s="18" t="n">
        <x:v>2021</x:v>
      </x:c>
      <x:c r="C92" s="18" t="str">
        <x:v>Tier 2</x:v>
      </x:c>
      <x:c r="D92" s="22" t="n">
        <x:v>9766</x:v>
      </x:c>
      <x:c r="E92" s="22" t="n">
        <x:v>164304</x:v>
      </x:c>
      <x:c r="F92" s="22" t="n">
        <x:v>2475079</x:v>
      </x:c>
      <x:c r="G92" s="22" t="n">
        <x:v>1113022</x:v>
      </x:c>
      <x:c r="H92" s="22" t="n">
        <x:v>97419</x:v>
      </x:c>
      <x:c r="I92" s="22" t="n">
        <x:v>7041</x:v>
      </x:c>
      <x:c r="J92" s="22" t="n">
        <x:v>16.35</x:v>
      </x:c>
      <x:c r="K92" s="22" t="n">
        <x:v>11.48</x:v>
      </x:c>
      <x:c r="L92" s="22" t="n">
        <x:v>0.39</x:v>
      </x:c>
      <x:c r="M92" s="22" t="n">
        <x:v>8.75</x:v>
      </x:c>
      <x:c r="N92" s="22" t="n">
        <x:v>88.74</x:v>
      </x:c>
      <x:c r="O92" s="22" t="n">
        <x:v>14.72</x:v>
      </x:c>
      <x:c r="P92" s="20" t="str">
        <x:v>Ernst &amp; Young</x:v>
      </x:c>
      <x:c r="Q92" s="18" t="n">
        <x:v>0</x:v>
      </x:c>
      <x:c r="R92" s="18" t="n">
        <x:v>1</x:v>
      </x:c>
    </x:row>
    <x:row r="93" ht="30" customHeight="1">
      <x:c r="A93" s="20" t="str">
        <x:v>Ecobank Nigeria</x:v>
      </x:c>
      <x:c r="B93" s="18" t="n">
        <x:v>2022</x:v>
      </x:c>
      <x:c r="C93" s="18" t="str">
        <x:v>Tier 2</x:v>
      </x:c>
      <x:c r="D93" s="22" t="n">
        <x:v>10396</x:v>
      </x:c>
      <x:c r="E93" s="22" t="n">
        <x:v>211771</x:v>
      </x:c>
      <x:c r="F93" s="22" t="n">
        <x:v>2917689</x:v>
      </x:c>
      <x:c r="G93" s="22" t="n">
        <x:v>1190306</x:v>
      </x:c>
      <x:c r="H93" s="22" t="n">
        <x:v>62880</x:v>
      </x:c>
      <x:c r="I93" s="22" t="n">
        <x:v>12377</x:v>
      </x:c>
      <x:c r="J93" s="22" t="n">
        <x:v>6.9</x:v>
      </x:c>
      <x:c r="K93" s="22" t="n">
        <x:v>13.27</x:v>
      </x:c>
      <x:c r="L93" s="22" t="n">
        <x:v>0.36</x:v>
      </x:c>
      <x:c r="M93" s="22" t="n">
        <x:v>5.28</x:v>
      </x:c>
      <x:c r="N93" s="22" t="n">
        <x:v>89.9</x:v>
      </x:c>
      <x:c r="O93" s="22" t="n">
        <x:v>14.89</x:v>
      </x:c>
      <x:c r="P93" s="20" t="str">
        <x:v>Ernst &amp; Young</x:v>
      </x:c>
      <x:c r="Q93" s="18" t="n">
        <x:v>0</x:v>
      </x:c>
      <x:c r="R93" s="18" t="n">
        <x:v>1</x:v>
      </x:c>
    </x:row>
    <x:row r="94" ht="30" customHeight="1">
      <x:c r="A94" s="20" t="str">
        <x:v>Unity</x:v>
      </x:c>
      <x:c r="B94" s="18" t="n">
        <x:v>2015</x:v>
      </x:c>
      <x:c r="C94" s="18" t="str">
        <x:v>Tier 2</x:v>
      </x:c>
      <x:c r="D94" s="22" t="n">
        <x:v>6255</x:v>
      </x:c>
      <x:c r="E94" s="22" t="n">
        <x:v>69663</x:v>
      </x:c>
      <x:c r="F94" s="22" t="n">
        <x:v>476586</x:v>
      </x:c>
      <x:c r="G94" s="22" t="n">
        <x:v>216221</x:v>
      </x:c>
      <x:c r="H94" s="22" t="n">
        <x:v>13450</x:v>
      </x:c>
      <x:c r="I94" s="22" t="n">
        <x:v>1800</x:v>
      </x:c>
      <x:c r="J94" s="22" t="n">
        <x:v>12</x:v>
      </x:c>
      <x:c r="K94" s="22" t="n">
        <x:v>16</x:v>
      </x:c>
      <x:c r="L94" s="22" t="n">
        <x:v>1.31</x:v>
      </x:c>
      <x:c r="M94" s="22" t="n">
        <x:v>6.22</x:v>
      </x:c>
      <x:c r="N94" s="22" t="n">
        <x:v>87.79</x:v>
      </x:c>
      <x:c r="O94" s="22" t="n">
        <x:v>13.07</x:v>
      </x:c>
      <x:c r="P94" s="20" t="str">
        <x:v>Ahmed Zakari &amp; Co</x:v>
      </x:c>
      <x:c r="Q94" s="18" t="n">
        <x:v>0</x:v>
      </x:c>
      <x:c r="R94" s="18" t="n">
        <x:v>0</x:v>
      </x:c>
    </x:row>
    <x:row r="95" ht="30" customHeight="1">
      <x:c r="A95" s="20" t="str">
        <x:v>Unity</x:v>
      </x:c>
      <x:c r="B95" s="18" t="n">
        <x:v>2016</x:v>
      </x:c>
      <x:c r="C95" s="18" t="str">
        <x:v>Tier 2</x:v>
      </x:c>
      <x:c r="D95" s="22" t="n">
        <x:v>3200</x:v>
      </x:c>
      <x:c r="E95" s="22" t="n">
        <x:v>82026</x:v>
      </x:c>
      <x:c r="F95" s="22" t="n">
        <x:v>492021</x:v>
      </x:c>
      <x:c r="G95" s="22" t="n">
        <x:v>237996</x:v>
      </x:c>
      <x:c r="H95" s="22" t="n">
        <x:v>14650</x:v>
      </x:c>
      <x:c r="I95" s="22" t="n">
        <x:v>1200</x:v>
      </x:c>
      <x:c r="J95" s="22" t="n">
        <x:v>13</x:v>
      </x:c>
      <x:c r="K95" s="22" t="n">
        <x:v>17</x:v>
      </x:c>
      <x:c r="L95" s="22" t="n">
        <x:v>0.65</x:v>
      </x:c>
      <x:c r="M95" s="22" t="n">
        <x:v>6.16</x:v>
      </x:c>
      <x:c r="N95" s="22" t="n">
        <x:v>88.54</x:v>
      </x:c>
      <x:c r="O95" s="22" t="n">
        <x:v>13.11</x:v>
      </x:c>
      <x:c r="P95" s="20" t="str">
        <x:v>Ahmed Zakari &amp; Co</x:v>
      </x:c>
      <x:c r="Q95" s="18" t="n">
        <x:v>0</x:v>
      </x:c>
      <x:c r="R95" s="18" t="n">
        <x:v>0</x:v>
      </x:c>
    </x:row>
    <x:row r="96" ht="30" customHeight="1">
      <x:c r="A96" s="20" t="str">
        <x:v>Unity</x:v>
      </x:c>
      <x:c r="B96" s="18" t="n">
        <x:v>2017</x:v>
      </x:c>
      <x:c r="C96" s="18" t="str">
        <x:v>Tier 2</x:v>
      </x:c>
      <x:c r="D96" s="22" t="n">
        <x:v>-14918</x:v>
      </x:c>
      <x:c r="E96" s="22" t="n">
        <x:v>89926</x:v>
      </x:c>
      <x:c r="F96" s="22" t="n">
        <x:v>156507</x:v>
      </x:c>
      <x:c r="G96" s="22" t="n">
        <x:v>9467</x:v>
      </x:c>
      <x:c r="H96" s="22" t="n">
        <x:v>509</x:v>
      </x:c>
      <x:c r="I96" s="22" t="n">
        <x:v>44255</x:v>
      </x:c>
      <x:c r="J96" s="22" t="n">
        <x:v>0</x:v>
      </x:c>
      <x:c r="K96" s="22" t="n">
        <x:v>-198.07</x:v>
      </x:c>
      <x:c r="L96" s="22" t="n">
        <x:v>-9.53</x:v>
      </x:c>
      <x:c r="M96" s="22" t="n">
        <x:v>5.38</x:v>
      </x:c>
      <x:c r="N96" s="22" t="n">
        <x:v>254.75</x:v>
      </x:c>
      <x:c r="O96" s="22" t="n">
        <x:v>11.96</x:v>
      </x:c>
      <x:c r="P96" s="20" t="str">
        <x:v>Ahmed Zakari &amp; Co</x:v>
      </x:c>
      <x:c r="Q96" s="18" t="n">
        <x:v>0</x:v>
      </x:c>
      <x:c r="R96" s="18" t="n">
        <x:v>0</x:v>
      </x:c>
    </x:row>
    <x:row r="97" ht="30" customHeight="1">
      <x:c r="A97" s="20" t="str">
        <x:v>Unity</x:v>
      </x:c>
      <x:c r="B97" s="18" t="n">
        <x:v>2018</x:v>
      </x:c>
      <x:c r="C97" s="18" t="str">
        <x:v>Tier 2</x:v>
      </x:c>
      <x:c r="D97" s="22" t="n">
        <x:v>1269</x:v>
      </x:c>
      <x:c r="E97" s="22" t="n">
        <x:v>37325</x:v>
      </x:c>
      <x:c r="F97" s="22" t="n">
        <x:v>235976</x:v>
      </x:c>
      <x:c r="G97" s="22" t="n">
        <x:v>44402</x:v>
      </x:c>
      <x:c r="H97" s="22" t="n">
        <x:v>744</x:v>
      </x:c>
      <x:c r="I97" s="22" t="n">
        <x:v>161</x:v>
      </x:c>
      <x:c r="J97" s="22" t="n">
        <x:v>0</x:v>
      </x:c>
      <x:c r="K97" s="22" t="n">
        <x:v>-198.56</x:v>
      </x:c>
      <x:c r="L97" s="22" t="n">
        <x:v>0.54</x:v>
      </x:c>
      <x:c r="M97" s="22" t="n">
        <x:v>1.68</x:v>
      </x:c>
      <x:c r="N97" s="22" t="n">
        <x:v>203.27</x:v>
      </x:c>
      <x:c r="O97" s="22" t="n">
        <x:v>12.37</x:v>
      </x:c>
      <x:c r="P97" s="20" t="str">
        <x:v>Ahmed Zakari &amp; Co</x:v>
      </x:c>
      <x:c r="Q97" s="18" t="n">
        <x:v>0</x:v>
      </x:c>
      <x:c r="R97" s="18" t="n">
        <x:v>1</x:v>
      </x:c>
    </x:row>
    <x:row r="98" ht="30" customHeight="1">
      <x:c r="A98" s="20" t="str">
        <x:v>Unity</x:v>
      </x:c>
      <x:c r="B98" s="18" t="n">
        <x:v>2019</x:v>
      </x:c>
      <x:c r="C98" s="18" t="str">
        <x:v>Tier 2</x:v>
      </x:c>
      <x:c r="D98" s="22" t="n">
        <x:v>3383</x:v>
      </x:c>
      <x:c r="E98" s="22" t="n">
        <x:v>44587</x:v>
      </x:c>
      <x:c r="F98" s="22" t="n">
        <x:v>293052</x:v>
      </x:c>
      <x:c r="G98" s="22" t="n">
        <x:v>106914</x:v>
      </x:c>
      <x:c r="H98" s="22" t="n">
        <x:v>14841</x:v>
      </x:c>
      <x:c r="I98" s="22" t="n">
        <x:v>-1922</x:v>
      </x:c>
      <x:c r="J98" s="22" t="n">
        <x:v>0.9</x:v>
      </x:c>
      <x:c r="K98" s="22" t="n">
        <x:v>-201.59</x:v>
      </x:c>
      <x:c r="L98" s="22" t="n">
        <x:v>1.15</x:v>
      </x:c>
      <x:c r="M98" s="22" t="n">
        <x:v>13.88</x:v>
      </x:c>
      <x:c r="N98" s="22" t="n">
        <x:v>195.16</x:v>
      </x:c>
      <x:c r="O98" s="22" t="n">
        <x:v>12.59</x:v>
      </x:c>
      <x:c r="P98" s="20" t="str">
        <x:v>KPMG</x:v>
      </x:c>
      <x:c r="Q98" s="18" t="n">
        <x:v>1</x:v>
      </x:c>
      <x:c r="R98" s="18" t="n">
        <x:v>1</x:v>
      </x:c>
    </x:row>
    <x:row r="99" ht="30" customHeight="1">
      <x:c r="A99" s="20" t="str">
        <x:v>Unity</x:v>
      </x:c>
      <x:c r="B99" s="18" t="n">
        <x:v>2020</x:v>
      </x:c>
      <x:c r="C99" s="18" t="str">
        <x:v>Tier 2</x:v>
      </x:c>
      <x:c r="D99" s="22" t="n">
        <x:v>2086</x:v>
      </x:c>
      <x:c r="E99" s="22" t="n">
        <x:v>42709</x:v>
      </x:c>
      <x:c r="F99" s="22" t="n">
        <x:v>492020</x:v>
      </x:c>
      <x:c r="G99" s="22" t="n">
        <x:v>206206</x:v>
      </x:c>
      <x:c r="H99" s="22" t="n">
        <x:v>11909</x:v>
      </x:c>
      <x:c r="I99" s="22" t="n">
        <x:v>4127</x:v>
      </x:c>
      <x:c r="J99" s="22" t="n">
        <x:v>0.03</x:v>
      </x:c>
      <x:c r="K99" s="22" t="n">
        <x:v>-101.47</x:v>
      </x:c>
      <x:c r="L99" s="22" t="n">
        <x:v>0.42</x:v>
      </x:c>
      <x:c r="M99" s="22" t="n">
        <x:v>5.78</x:v>
      </x:c>
      <x:c r="N99" s="22" t="n">
        <x:v>155.98</x:v>
      </x:c>
      <x:c r="O99" s="22" t="n">
        <x:v>13.11</x:v>
      </x:c>
      <x:c r="P99" s="20" t="str">
        <x:v>KPMG</x:v>
      </x:c>
      <x:c r="Q99" s="18" t="n">
        <x:v>1</x:v>
      </x:c>
      <x:c r="R99" s="18" t="n">
        <x:v>1</x:v>
      </x:c>
    </x:row>
    <x:row r="100" ht="30" customHeight="1">
      <x:c r="A100" s="20" t="str">
        <x:v>Unity</x:v>
      </x:c>
      <x:c r="B100" s="18" t="n">
        <x:v>2021</x:v>
      </x:c>
      <x:c r="C100" s="18" t="str">
        <x:v>Tier 2</x:v>
      </x:c>
      <x:c r="D100" s="22" t="n">
        <x:v>3173</x:v>
      </x:c>
      <x:c r="E100" s="22" t="n">
        <x:v>50284</x:v>
      </x:c>
      <x:c r="F100" s="22" t="n">
        <x:v>538869</x:v>
      </x:c>
      <x:c r="G100" s="22" t="n">
        <x:v>272469</x:v>
      </x:c>
      <x:c r="H100" s="22" t="n">
        <x:v>3199</x:v>
      </x:c>
      <x:c r="I100" s="22" t="n">
        <x:v>2564</x:v>
      </x:c>
      <x:c r="J100" s="22" t="n">
        <x:v>0.04</x:v>
      </x:c>
      <x:c r="K100" s="22" t="n">
        <x:v>-86.18</x:v>
      </x:c>
      <x:c r="L100" s="22" t="n">
        <x:v>0.59</x:v>
      </x:c>
      <x:c r="M100" s="22" t="n">
        <x:v>1.17</x:v>
      </x:c>
      <x:c r="N100" s="22" t="n">
        <x:v>151.25</x:v>
      </x:c>
      <x:c r="O100" s="22" t="n">
        <x:v>13.2</x:v>
      </x:c>
      <x:c r="P100" s="20" t="str">
        <x:v>KPMG</x:v>
      </x:c>
      <x:c r="Q100" s="18" t="n">
        <x:v>1</x:v>
      </x:c>
      <x:c r="R100" s="18" t="n">
        <x:v>1</x:v>
      </x:c>
    </x:row>
    <x:row r="101" ht="30" customHeight="1">
      <x:c r="A101" s="20" t="str">
        <x:v>Unity</x:v>
      </x:c>
      <x:c r="B101" s="18" t="n">
        <x:v>2022</x:v>
      </x:c>
      <x:c r="C101" s="18" t="str">
        <x:v>Tier 2</x:v>
      </x:c>
      <x:c r="D101" s="22" t="n">
        <x:v>941</x:v>
      </x:c>
      <x:c r="E101" s="22" t="n">
        <x:v>57150</x:v>
      </x:c>
      <x:c r="F101" s="22" t="n">
        <x:v>510144</x:v>
      </x:c>
      <x:c r="G101" s="22" t="n">
        <x:v>292969</x:v>
      </x:c>
      <x:c r="H101" s="22" t="n">
        <x:v>3613</x:v>
      </x:c>
      <x:c r="I101" s="22" t="n">
        <x:v>1204</x:v>
      </x:c>
      <x:c r="J101" s="22" t="n">
        <x:v>3.62</x:v>
      </x:c>
      <x:c r="K101" s="22" t="n">
        <x:v>-89.69</x:v>
      </x:c>
      <x:c r="L101" s="22" t="n">
        <x:v>0.18</x:v>
      </x:c>
      <x:c r="M101" s="22" t="n">
        <x:v>1.23</x:v>
      </x:c>
      <x:c r="N101" s="22" t="n">
        <x:v>153.89</x:v>
      </x:c>
      <x:c r="O101" s="22" t="n">
        <x:v>13.14</x:v>
      </x:c>
      <x:c r="P101" s="20" t="str">
        <x:v>KPMG</x:v>
      </x:c>
      <x:c r="Q101" s="18" t="n">
        <x:v>1</x:v>
      </x:c>
      <x:c r="R101" s="18" t="n">
        <x:v>1</x:v>
      </x:c>
    </x:row>
  </x:sheetData>
  <x:mergeCells>
    <x:mergeCell ref="A1:R1"/>
    <x:mergeCell ref="A2:R3"/>
  </x:mergeCells>
  <x:pageMargins left="0.7" right="0.7" top="0.75" bottom="0.75" header="0.3" footer="0.3"/>
  <x:tableParts count="1">
    <x:tablePart xmlns:r="http://schemas.openxmlformats.org/officeDocument/2006/relationships" r:id="R3b4a3455da16431d"/>
  </x:tableParts>
</x:worksheet>
</file>

<file path=xl/worksheets/sheet5.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1" hidden="0" customWidth="1"/>
    <x:col min="2" max="2" width="10" hidden="0" customWidth="1"/>
    <x:col min="3" max="3" width="14"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30" hidden="0" customWidth="1"/>
    <x:col min="17" max="17" width="18" hidden="0" customWidth="1"/>
    <x:col min="18" max="18" width="16" hidden="0" customWidth="1"/>
    <x:col min="19" max="19" width="30" hidden="0" customWidth="1"/>
  </x:cols>
  <x:sheetData>
    <x:row r="1" ht="30" customHeight="1">
      <x:c r="A1" s="3" t="str">
        <x:v>CURRENT WORD DATA TABLES | RAW CANDIDATES</x:v>
      </x:c>
      <x:c r="B1" s="3"/>
      <x:c r="C1" s="3"/>
      <x:c r="D1" s="3"/>
      <x:c r="E1" s="3"/>
      <x:c r="F1" s="3"/>
      <x:c r="G1" s="3"/>
      <x:c r="H1" s="3"/>
      <x:c r="I1" s="3"/>
      <x:c r="J1" s="3"/>
      <x:c r="K1" s="3"/>
      <x:c r="L1" s="3"/>
      <x:c r="M1" s="3"/>
      <x:c r="N1" s="3"/>
      <x:c r="O1" s="3"/>
      <x:c r="P1" s="3"/>
      <x:c r="Q1" s="3"/>
      <x:c r="R1" s="3"/>
      <x:c r="S1" s="3"/>
    </x:row>
    <x:row r="2" ht="25" customHeight="1">
      <x:c r="A2" s="8" t="str">
        <x:v>Unchanged against the archived Word tables: 1,560 fields compared, zero differences. Thirteen banks; 104 positions; 103 populated PAT/assets pairs. Includes eight Union records not in the CSV. Not a verified dataset.</x:v>
      </x:c>
      <x:c r="B2" s="8"/>
      <x:c r="C2" s="8"/>
      <x:c r="D2" s="8"/>
      <x:c r="E2" s="8"/>
      <x:c r="F2" s="8"/>
      <x:c r="G2" s="8"/>
      <x:c r="H2" s="8"/>
      <x:c r="I2" s="8"/>
      <x:c r="J2" s="8"/>
      <x:c r="K2" s="8"/>
      <x:c r="L2" s="8"/>
      <x:c r="M2" s="8"/>
      <x:c r="N2" s="8"/>
      <x:c r="O2" s="8"/>
      <x:c r="P2" s="8"/>
      <x:c r="Q2" s="8"/>
      <x:c r="R2" s="8"/>
      <x:c r="S2" s="8"/>
    </x:row>
    <x:row r="3" ht="20" customHeight="1">
      <x:c r="A3" s="8"/>
      <x:c r="B3" s="8"/>
      <x:c r="C3" s="8"/>
      <x:c r="D3" s="8"/>
      <x:c r="E3" s="8"/>
      <x:c r="F3" s="8"/>
      <x:c r="G3" s="8"/>
      <x:c r="H3" s="8"/>
      <x:c r="I3" s="8"/>
      <x:c r="J3" s="8"/>
      <x:c r="K3" s="8"/>
      <x:c r="L3" s="8"/>
      <x:c r="M3" s="8"/>
      <x:c r="N3" s="8"/>
      <x:c r="O3" s="8"/>
      <x:c r="P3" s="8"/>
      <x:c r="Q3" s="8"/>
      <x:c r="R3" s="8"/>
      <x:c r="S3" s="8"/>
    </x:row>
    <x:row r="5" ht="34" customHeight="1">
      <x:c r="A5" s="14" t="str">
        <x:v>Bank</x:v>
      </x:c>
      <x:c r="B5" s="14" t="str">
        <x:v>Year</x:v>
      </x:c>
      <x:c r="C5" s="14" t="str">
        <x:v>Tier as supplied</x:v>
      </x:c>
      <x:c r="D5" s="14" t="str">
        <x:v>PAT (NGNm)</x:v>
      </x:c>
      <x:c r="E5" s="14" t="str">
        <x:v>Gross earnings (NGNm)</x:v>
      </x:c>
      <x:c r="F5" s="14" t="str">
        <x:v>Total assets (NGNm)</x:v>
      </x:c>
      <x:c r="G5" s="14" t="str">
        <x:v>Gross loans as labelled (NGNm)</x:v>
      </x:c>
      <x:c r="H5" s="14" t="str">
        <x:v>Allowance as labelled (NGNm)</x:v>
      </x:c>
      <x:c r="I5" s="14" t="str">
        <x:v>Impairment as supplied (NGNm)</x:v>
      </x:c>
      <x:c r="J5" s="14" t="str">
        <x:v>NPL (%)</x:v>
      </x:c>
      <x:c r="K5" s="14" t="str">
        <x:v>CAR (%)</x:v>
      </x:c>
      <x:c r="L5" s="14" t="str">
        <x:v>ROA closing (%)</x:v>
      </x:c>
      <x:c r="M5" s="14" t="str">
        <x:v>Allowance / loans (%)</x:v>
      </x:c>
      <x:c r="N5" s="14" t="str">
        <x:v>Leverage (%)</x:v>
      </x:c>
      <x:c r="O5" s="14" t="str">
        <x:v>ln assets</x:v>
      </x:c>
      <x:c r="P5" s="14" t="str">
        <x:v>Auditor as supplied</x:v>
      </x:c>
      <x:c r="Q5" s="14" t="str">
        <x:v>GC code as supplied</x:v>
      </x:c>
      <x:c r="R5" s="14" t="str">
        <x:v>IFRS 9 dummy</x:v>
      </x:c>
      <x:c r="S5" s="14" t="str">
        <x:v>Location</x:v>
      </x:c>
    </x:row>
    <x:row r="6" ht="30" customHeight="1">
      <x:c r="A6" s="20" t="str">
        <x:v>Access</x:v>
      </x:c>
      <x:c r="B6" s="18" t="n">
        <x:v>2015</x:v>
      </x:c>
      <x:c r="C6" s="18" t="str">
        <x:v>Tier 1</x:v>
      </x:c>
      <x:c r="D6" s="22" t="n">
        <x:v>58925</x:v>
      </x:c>
      <x:c r="E6" s="22" t="n">
        <x:v>302062</x:v>
      </x:c>
      <x:c r="F6" s="22" t="n">
        <x:v>2411944</x:v>
      </x:c>
      <x:c r="G6" s="22" t="n">
        <x:v>1243215</x:v>
      </x:c>
      <x:c r="H6" s="22" t="n">
        <x:v>26906</x:v>
      </x:c>
      <x:c r="I6" s="22" t="n">
        <x:v>13288</x:v>
      </x:c>
      <x:c r="J6" s="22" t="n">
        <x:v>1.5</x:v>
      </x:c>
      <x:c r="K6" s="22" t="n">
        <x:v>18</x:v>
      </x:c>
      <x:c r="L6" s="22" t="n">
        <x:v>2.44</x:v>
      </x:c>
      <x:c r="M6" s="22" t="n">
        <x:v>2.16</x:v>
      </x:c>
      <x:c r="N6" s="22" t="n">
        <x:v>85.06</x:v>
      </x:c>
      <x:c r="O6" s="22" t="n">
        <x:v>14.7</x:v>
      </x:c>
      <x:c r="P6" s="20" t="str">
        <x:v>PwC</x:v>
      </x:c>
      <x:c r="Q6" s="18" t="n">
        <x:v>0</x:v>
      </x:c>
      <x:c r="R6" s="18" t="n">
        <x:v>0</x:v>
      </x:c>
      <x:c r="S6" s="20" t="str">
        <x:v>p. 2; Tables 1(a)/(b)</x:v>
      </x:c>
    </x:row>
    <x:row r="7" ht="30" customHeight="1">
      <x:c r="A7" s="20" t="str">
        <x:v>Access</x:v>
      </x:c>
      <x:c r="B7" s="18" t="n">
        <x:v>2016</x:v>
      </x:c>
      <x:c r="C7" s="18" t="str">
        <x:v>Tier 1</x:v>
      </x:c>
      <x:c r="D7" s="22" t="n">
        <x:v>64026</x:v>
      </x:c>
      <x:c r="E7" s="22" t="n">
        <x:v>331001</x:v>
      </x:c>
      <x:c r="F7" s="22" t="n">
        <x:v>3094961</x:v>
      </x:c>
      <x:c r="G7" s="22" t="n">
        <x:v>1594562</x:v>
      </x:c>
      <x:c r="H7" s="22" t="n">
        <x:v>30276</x:v>
      </x:c>
      <x:c r="I7" s="22" t="n">
        <x:v>17641</x:v>
      </x:c>
      <x:c r="J7" s="22" t="n">
        <x:v>1.8</x:v>
      </x:c>
      <x:c r="K7" s="22" t="n">
        <x:v>19.55</x:v>
      </x:c>
      <x:c r="L7" s="22" t="n">
        <x:v>2.07</x:v>
      </x:c>
      <x:c r="M7" s="22" t="n">
        <x:v>1.9</x:v>
      </x:c>
      <x:c r="N7" s="22" t="n">
        <x:v>86.38</x:v>
      </x:c>
      <x:c r="O7" s="22" t="n">
        <x:v>14.95</x:v>
      </x:c>
      <x:c r="P7" s="20" t="str">
        <x:v>PwC</x:v>
      </x:c>
      <x:c r="Q7" s="18" t="n">
        <x:v>0</x:v>
      </x:c>
      <x:c r="R7" s="18" t="n">
        <x:v>0</x:v>
      </x:c>
      <x:c r="S7" s="20" t="str">
        <x:v>p. 2; Tables 1(a)/(b)</x:v>
      </x:c>
    </x:row>
    <x:row r="8" ht="30" customHeight="1">
      <x:c r="A8" s="20" t="str">
        <x:v>Access</x:v>
      </x:c>
      <x:c r="B8" s="18" t="n">
        <x:v>2017</x:v>
      </x:c>
      <x:c r="C8" s="18" t="str">
        <x:v>Tier 1</x:v>
      </x:c>
      <x:c r="D8" s="22" t="n">
        <x:v>53239</x:v>
      </x:c>
      <x:c r="E8" s="22" t="n">
        <x:v>398162</x:v>
      </x:c>
      <x:c r="F8" s="22" t="n">
        <x:v>3499684</x:v>
      </x:c>
      <x:c r="G8" s="22" t="n">
        <x:v>1827389</x:v>
      </x:c>
      <x:c r="H8" s="22" t="n">
        <x:v>56331</x:v>
      </x:c>
      <x:c r="I8" s="22" t="n">
        <x:v>29150</x:v>
      </x:c>
      <x:c r="J8" s="22" t="n">
        <x:v>4.28</x:v>
      </x:c>
      <x:c r="K8" s="22" t="n">
        <x:v>18.18</x:v>
      </x:c>
      <x:c r="L8" s="22" t="n">
        <x:v>1.52</x:v>
      </x:c>
      <x:c r="M8" s="22" t="n">
        <x:v>3.08</x:v>
      </x:c>
      <x:c r="N8" s="22" t="n">
        <x:v>86.59</x:v>
      </x:c>
      <x:c r="O8" s="22" t="n">
        <x:v>15.07</x:v>
      </x:c>
      <x:c r="P8" s="20" t="str">
        <x:v>PwC</x:v>
      </x:c>
      <x:c r="Q8" s="18" t="n">
        <x:v>0</x:v>
      </x:c>
      <x:c r="R8" s="18" t="n">
        <x:v>0</x:v>
      </x:c>
      <x:c r="S8" s="20" t="str">
        <x:v>p. 2; Tables 1(a)/(b)</x:v>
      </x:c>
    </x:row>
    <x:row r="9" ht="30" customHeight="1">
      <x:c r="A9" s="20" t="str">
        <x:v>Access</x:v>
      </x:c>
      <x:c r="B9" s="18" t="n">
        <x:v>2018</x:v>
      </x:c>
      <x:c r="C9" s="18" t="str">
        <x:v>Tier 1</x:v>
      </x:c>
      <x:c r="D9" s="22" t="n">
        <x:v>73596</x:v>
      </x:c>
      <x:c r="E9" s="22" t="n">
        <x:v>435743</x:v>
      </x:c>
      <x:c r="F9" s="22" t="n">
        <x:v>3968115</x:v>
      </x:c>
      <x:c r="G9" s="22" t="n">
        <x:v>1753772</x:v>
      </x:c>
      <x:c r="H9" s="22" t="n">
        <x:v>72010</x:v>
      </x:c>
      <x:c r="I9" s="22" t="n">
        <x:v>10702</x:v>
      </x:c>
      <x:c r="J9" s="22" t="n">
        <x:v>2.38</x:v>
      </x:c>
      <x:c r="K9" s="22" t="n">
        <x:v>16.34</x:v>
      </x:c>
      <x:c r="L9" s="22" t="n">
        <x:v>1.85</x:v>
      </x:c>
      <x:c r="M9" s="22" t="n">
        <x:v>4.11</x:v>
      </x:c>
      <x:c r="N9" s="22" t="n">
        <x:v>88.66</x:v>
      </x:c>
      <x:c r="O9" s="22" t="n">
        <x:v>15.19</x:v>
      </x:c>
      <x:c r="P9" s="20" t="str">
        <x:v>PwC</x:v>
      </x:c>
      <x:c r="Q9" s="18" t="n">
        <x:v>0</x:v>
      </x:c>
      <x:c r="R9" s="18" t="n">
        <x:v>1</x:v>
      </x:c>
      <x:c r="S9" s="20" t="str">
        <x:v>p. 2; Tables 1(a)/(b)</x:v>
      </x:c>
    </x:row>
    <x:row r="10" ht="30" customHeight="1">
      <x:c r="A10" s="20" t="str">
        <x:v>Access</x:v>
      </x:c>
      <x:c r="B10" s="18" t="n">
        <x:v>2019</x:v>
      </x:c>
      <x:c r="C10" s="18" t="str">
        <x:v>Tier 1</x:v>
      </x:c>
      <x:c r="D10" s="22" t="n">
        <x:v>73569</x:v>
      </x:c>
      <x:c r="E10" s="22" t="n">
        <x:v>576348</x:v>
      </x:c>
      <x:c r="F10" s="22" t="n">
        <x:v>6311041</x:v>
      </x:c>
      <x:c r="G10" s="22" t="n">
        <x:v>2662623</x:v>
      </x:c>
      <x:c r="H10" s="22" t="n">
        <x:v>180999</x:v>
      </x:c>
      <x:c r="I10" s="22" t="n">
        <x:v>21055</x:v>
      </x:c>
      <x:c r="J10" s="22" t="n">
        <x:v>6.1</x:v>
      </x:c>
      <x:c r="K10" s="22" t="n">
        <x:v>17.65</x:v>
      </x:c>
      <x:c r="L10" s="22" t="n">
        <x:v>1.17</x:v>
      </x:c>
      <x:c r="M10" s="22" t="n">
        <x:v>6.8</x:v>
      </x:c>
      <x:c r="N10" s="22" t="n">
        <x:v>91.4</x:v>
      </x:c>
      <x:c r="O10" s="22" t="n">
        <x:v>15.66</x:v>
      </x:c>
      <x:c r="P10" s="20" t="str">
        <x:v>PwC</x:v>
      </x:c>
      <x:c r="Q10" s="18" t="n">
        <x:v>0</x:v>
      </x:c>
      <x:c r="R10" s="18" t="n">
        <x:v>1</x:v>
      </x:c>
      <x:c r="S10" s="20" t="str">
        <x:v>p. 2; Tables 1(a)/(b)</x:v>
      </x:c>
    </x:row>
    <x:row r="11" ht="30" customHeight="1">
      <x:c r="A11" s="20" t="str">
        <x:v>Access</x:v>
      </x:c>
      <x:c r="B11" s="18" t="n">
        <x:v>2020</x:v>
      </x:c>
      <x:c r="C11" s="18" t="str">
        <x:v>Tier 1</x:v>
      </x:c>
      <x:c r="D11" s="22" t="n">
        <x:v>80039</x:v>
      </x:c>
      <x:c r="E11" s="22" t="n">
        <x:v>634864</x:v>
      </x:c>
      <x:c r="F11" s="22" t="n">
        <x:v>7624980</x:v>
      </x:c>
      <x:c r="G11" s="22" t="n">
        <x:v>2829171</x:v>
      </x:c>
      <x:c r="H11" s="22" t="n">
        <x:v>116211</x:v>
      </x:c>
      <x:c r="I11" s="22" t="n">
        <x:v>39651</x:v>
      </x:c>
      <x:c r="J11" s="22" t="n">
        <x:v>3.65</x:v>
      </x:c>
      <x:c r="K11" s="22" t="n">
        <x:v>16.83</x:v>
      </x:c>
      <x:c r="L11" s="22" t="n">
        <x:v>1.05</x:v>
      </x:c>
      <x:c r="M11" s="22" t="n">
        <x:v>4.11</x:v>
      </x:c>
      <x:c r="N11" s="22" t="n">
        <x:v>91.31</x:v>
      </x:c>
      <x:c r="O11" s="22" t="n">
        <x:v>15.85</x:v>
      </x:c>
      <x:c r="P11" s="20" t="str">
        <x:v>PwC</x:v>
      </x:c>
      <x:c r="Q11" s="18" t="n">
        <x:v>0</x:v>
      </x:c>
      <x:c r="R11" s="18" t="n">
        <x:v>1</x:v>
      </x:c>
      <x:c r="S11" s="20" t="str">
        <x:v>p. 2; Tables 1(a)/(b)</x:v>
      </x:c>
    </x:row>
    <x:row r="12" ht="30" customHeight="1">
      <x:c r="A12" s="20" t="str">
        <x:v>Access</x:v>
      </x:c>
      <x:c r="B12" s="18" t="n">
        <x:v>2021</x:v>
      </x:c>
      <x:c r="C12" s="18" t="str">
        <x:v>Tier 1</x:v>
      </x:c>
      <x:c r="D12" s="22" t="n">
        <x:v>111326</x:v>
      </x:c>
      <x:c r="E12" s="22" t="n">
        <x:v>734283</x:v>
      </x:c>
      <x:c r="F12" s="22" t="n">
        <x:v>9660761</x:v>
      </x:c>
      <x:c r="G12" s="22" t="n">
        <x:v>3343722</x:v>
      </x:c>
      <x:c r="H12" s="22" t="n">
        <x:v>87650</x:v>
      </x:c>
      <x:c r="I12" s="22" t="n">
        <x:v>53801</x:v>
      </x:c>
      <x:c r="J12" s="22" t="n">
        <x:v>2.03</x:v>
      </x:c>
      <x:c r="K12" s="22" t="n">
        <x:v>20.93</x:v>
      </x:c>
      <x:c r="L12" s="22" t="n">
        <x:v>1.15</x:v>
      </x:c>
      <x:c r="M12" s="22" t="n">
        <x:v>2.62</x:v>
      </x:c>
      <x:c r="N12" s="22" t="n">
        <x:v>90.98</x:v>
      </x:c>
      <x:c r="O12" s="22" t="n">
        <x:v>16.08</x:v>
      </x:c>
      <x:c r="P12" s="20" t="str">
        <x:v>PwC</x:v>
      </x:c>
      <x:c r="Q12" s="18" t="n">
        <x:v>0</x:v>
      </x:c>
      <x:c r="R12" s="18" t="n">
        <x:v>1</x:v>
      </x:c>
      <x:c r="S12" s="20" t="str">
        <x:v>p. 2; Tables 1(a)/(b)</x:v>
      </x:c>
    </x:row>
    <x:row r="13" ht="30" customHeight="1">
      <x:c r="A13" s="20" t="str">
        <x:v>Access</x:v>
      </x:c>
      <x:c r="B13" s="18" t="n">
        <x:v>2022</x:v>
      </x:c>
      <x:c r="C13" s="18" t="str">
        <x:v>Tier 1</x:v>
      </x:c>
      <x:c r="D13" s="22" t="n">
        <x:v>166660</x:v>
      </x:c>
      <x:c r="E13" s="22" t="n">
        <x:v>1125012</x:v>
      </x:c>
      <x:c r="F13" s="22" t="n">
        <x:v>12535280</x:v>
      </x:c>
      <x:c r="G13" s="22" t="n">
        <x:v>4149413</x:v>
      </x:c>
      <x:c r="H13" s="22" t="n">
        <x:v>65065</x:v>
      </x:c>
      <x:c r="I13" s="22" t="n">
        <x:v>118681</x:v>
      </x:c>
      <x:c r="J13" s="22" t="n">
        <x:v>1.92</x:v>
      </x:c>
      <x:c r="K13" s="22" t="n">
        <x:v>17.85</x:v>
      </x:c>
      <x:c r="L13" s="22" t="n">
        <x:v>1.33</x:v>
      </x:c>
      <x:c r="M13" s="22" t="n">
        <x:v>1.57</x:v>
      </x:c>
      <x:c r="N13" s="22" t="n">
        <x:v>91.48</x:v>
      </x:c>
      <x:c r="O13" s="22" t="n">
        <x:v>16.34</x:v>
      </x:c>
      <x:c r="P13" s="20" t="str">
        <x:v>PwC</x:v>
      </x:c>
      <x:c r="Q13" s="18" t="n">
        <x:v>0</x:v>
      </x:c>
      <x:c r="R13" s="18" t="n">
        <x:v>1</x:v>
      </x:c>
      <x:c r="S13" s="20" t="str">
        <x:v>p. 2; Tables 1(a)/(b)</x:v>
      </x:c>
    </x:row>
    <x:row r="14" ht="30" customHeight="1">
      <x:c r="A14" s="20" t="str">
        <x:v>Zenith</x:v>
      </x:c>
      <x:c r="B14" s="18" t="n">
        <x:v>2015</x:v>
      </x:c>
      <x:c r="C14" s="18" t="str">
        <x:v>Tier 1</x:v>
      </x:c>
      <x:c r="D14" s="22" t="n">
        <x:v>98784</x:v>
      </x:c>
      <x:c r="E14" s="22" t="n">
        <x:v>396653</x:v>
      </x:c>
      <x:c r="F14" s="22" t="n">
        <x:v>3750327</x:v>
      </x:c>
      <x:c r="G14" s="22" t="n">
        <x:v>1849225</x:v>
      </x:c>
      <x:c r="H14" s="22" t="n">
        <x:v>49433</x:v>
      </x:c>
      <x:c r="I14" s="22" t="n">
        <x:v>11091</x:v>
      </x:c>
      <x:c r="J14" s="22" t="n">
        <x:v>2.1</x:v>
      </x:c>
      <x:c r="K14" s="22" t="n">
        <x:v>21</x:v>
      </x:c>
      <x:c r="L14" s="22" t="n">
        <x:v>2.63</x:v>
      </x:c>
      <x:c r="M14" s="22" t="n">
        <x:v>2.67</x:v>
      </x:c>
      <x:c r="N14" s="22" t="n">
        <x:v>85.41</x:v>
      </x:c>
      <x:c r="O14" s="22" t="n">
        <x:v>15.137</x:v>
      </x:c>
      <x:c r="P14" s="20" t="str">
        <x:v>KPMG</x:v>
      </x:c>
      <x:c r="Q14" s="18" t="n">
        <x:v>0</x:v>
      </x:c>
      <x:c r="R14" s="18" t="n">
        <x:v>0</x:v>
      </x:c>
      <x:c r="S14" s="20" t="str">
        <x:v>p. 3; Tables 2(a)/(b)</x:v>
      </x:c>
    </x:row>
    <x:row r="15" ht="30" customHeight="1">
      <x:c r="A15" s="20" t="str">
        <x:v>Zenith</x:v>
      </x:c>
      <x:c r="B15" s="18" t="n">
        <x:v>2016</x:v>
      </x:c>
      <x:c r="C15" s="18" t="str">
        <x:v>Tier 1</x:v>
      </x:c>
      <x:c r="D15" s="22" t="n">
        <x:v>119285</x:v>
      </x:c>
      <x:c r="E15" s="22" t="n">
        <x:v>454808</x:v>
      </x:c>
      <x:c r="F15" s="22" t="n">
        <x:v>4283736</x:v>
      </x:c>
      <x:c r="G15" s="22" t="n">
        <x:v>2193224</x:v>
      </x:c>
      <x:c r="H15" s="22" t="n">
        <x:v>55092</x:v>
      </x:c>
      <x:c r="I15" s="22" t="n">
        <x:v>26295</x:v>
      </x:c>
      <x:c r="J15" s="22" t="n">
        <x:v>2.63</x:v>
      </x:c>
      <x:c r="K15" s="22" t="n">
        <x:v>22</x:v>
      </x:c>
      <x:c r="L15" s="22" t="n">
        <x:v>2.78</x:v>
      </x:c>
      <x:c r="M15" s="22" t="n">
        <x:v>2.51</x:v>
      </x:c>
      <x:c r="N15" s="22" t="n">
        <x:v>85.61</x:v>
      </x:c>
      <x:c r="O15" s="22" t="n">
        <x:v>15.27</x:v>
      </x:c>
      <x:c r="P15" s="20" t="str">
        <x:v>KPMG</x:v>
      </x:c>
      <x:c r="Q15" s="18" t="n">
        <x:v>0</x:v>
      </x:c>
      <x:c r="R15" s="18" t="n">
        <x:v>0</x:v>
      </x:c>
      <x:c r="S15" s="20" t="str">
        <x:v>p. 3; Tables 2(a)/(b)</x:v>
      </x:c>
    </x:row>
    <x:row r="16" ht="30" customHeight="1">
      <x:c r="A16" s="20" t="str">
        <x:v>Zenith</x:v>
      </x:c>
      <x:c r="B16" s="18" t="n">
        <x:v>2017</x:v>
      </x:c>
      <x:c r="C16" s="18" t="str">
        <x:v>Tier 1</x:v>
      </x:c>
      <x:c r="D16" s="22" t="n">
        <x:v>157145</x:v>
      </x:c>
      <x:c r="E16" s="22" t="n">
        <x:v>673636</x:v>
      </x:c>
      <x:c r="F16" s="22" t="n">
        <x:v>4833658</x:v>
      </x:c>
      <x:c r="G16" s="22" t="n">
        <x:v>2117069</x:v>
      </x:c>
      <x:c r="H16" s="22" t="n">
        <x:v>136605</x:v>
      </x:c>
      <x:c r="I16" s="22" t="n">
        <x:v>95244</x:v>
      </x:c>
      <x:c r="J16" s="22" t="n">
        <x:v>4.33</x:v>
      </x:c>
      <x:c r="K16" s="22" t="n">
        <x:v>24</x:v>
      </x:c>
      <x:c r="L16" s="22" t="n">
        <x:v>3.25</x:v>
      </x:c>
      <x:c r="M16" s="22" t="n">
        <x:v>6.45</x:v>
      </x:c>
      <x:c r="N16" s="22" t="n">
        <x:v>85.36</x:v>
      </x:c>
      <x:c r="O16" s="22" t="n">
        <x:v>15.391</x:v>
      </x:c>
      <x:c r="P16" s="20" t="str">
        <x:v>KPMG</x:v>
      </x:c>
      <x:c r="Q16" s="18" t="n">
        <x:v>0</x:v>
      </x:c>
      <x:c r="R16" s="18" t="n">
        <x:v>0</x:v>
      </x:c>
      <x:c r="S16" s="20" t="str">
        <x:v>p. 3; Tables 2(a)/(b)</x:v>
      </x:c>
    </x:row>
    <x:row r="17" ht="30" customHeight="1">
      <x:c r="A17" s="20" t="str">
        <x:v>Zenith</x:v>
      </x:c>
      <x:c r="B17" s="18" t="n">
        <x:v>2018</x:v>
      </x:c>
      <x:c r="C17" s="18" t="str">
        <x:v>Tier 1</x:v>
      </x:c>
      <x:c r="D17" s="22" t="n">
        <x:v>160454</x:v>
      </x:c>
      <x:c r="E17" s="22" t="n">
        <x:v>531580</x:v>
      </x:c>
      <x:c r="F17" s="22" t="n">
        <x:v>4981855</x:v>
      </x:c>
      <x:c r="G17" s="22" t="n">
        <x:v>1823126</x:v>
      </x:c>
      <x:c r="H17" s="22" t="n">
        <x:v>144502</x:v>
      </x:c>
      <x:c r="I17" s="22" t="n">
        <x:v>15705</x:v>
      </x:c>
      <x:c r="J17" s="22" t="n">
        <x:v>4.98</x:v>
      </x:c>
      <x:c r="K17" s="22" t="n">
        <x:v>25</x:v>
      </x:c>
      <x:c r="L17" s="22" t="n">
        <x:v>3.22</x:v>
      </x:c>
      <x:c r="M17" s="22" t="n">
        <x:v>7.93</x:v>
      </x:c>
      <x:c r="N17" s="22" t="n">
        <x:v>84.22</x:v>
      </x:c>
      <x:c r="O17" s="22" t="n">
        <x:v>15.421</x:v>
      </x:c>
      <x:c r="P17" s="20" t="str">
        <x:v>KPMG</x:v>
      </x:c>
      <x:c r="Q17" s="18" t="n">
        <x:v>0</x:v>
      </x:c>
      <x:c r="R17" s="18" t="n">
        <x:v>1</x:v>
      </x:c>
      <x:c r="S17" s="20" t="str">
        <x:v>p. 3; Tables 2(a)/(b)</x:v>
      </x:c>
    </x:row>
    <x:row r="18" ht="30" customHeight="1">
      <x:c r="A18" s="20" t="str">
        <x:v>Zenith</x:v>
      </x:c>
      <x:c r="B18" s="18" t="n">
        <x:v>2019</x:v>
      </x:c>
      <x:c r="C18" s="18" t="str">
        <x:v>Tier 1</x:v>
      </x:c>
      <x:c r="D18" s="22" t="n">
        <x:v>178003</x:v>
      </x:c>
      <x:c r="E18" s="22" t="n">
        <x:v>564687</x:v>
      </x:c>
      <x:c r="F18" s="22" t="n">
        <x:v>5435073</x:v>
      </x:c>
      <x:c r="G18" s="22" t="n">
        <x:v>2239472</x:v>
      </x:c>
      <x:c r="H18" s="22" t="n">
        <x:v>137745</x:v>
      </x:c>
      <x:c r="I18" s="22" t="n">
        <x:v>23393</x:v>
      </x:c>
      <x:c r="J18" s="22" t="n">
        <x:v>4.3</x:v>
      </x:c>
      <x:c r="K18" s="22" t="n">
        <x:v>22</x:v>
      </x:c>
      <x:c r="L18" s="22" t="n">
        <x:v>3.28</x:v>
      </x:c>
      <x:c r="M18" s="22" t="n">
        <x:v>6.15</x:v>
      </x:c>
      <x:c r="N18" s="22" t="n">
        <x:v>85.67</x:v>
      </x:c>
      <x:c r="O18" s="22" t="n">
        <x:v>15.508</x:v>
      </x:c>
      <x:c r="P18" s="20" t="str">
        <x:v>KPMG</x:v>
      </x:c>
      <x:c r="Q18" s="18" t="n">
        <x:v>0</x:v>
      </x:c>
      <x:c r="R18" s="18" t="n">
        <x:v>1</x:v>
      </x:c>
      <x:c r="S18" s="20" t="str">
        <x:v>p. 3; Tables 2(a)/(b)</x:v>
      </x:c>
    </x:row>
    <x:row r="19" ht="30" customHeight="1">
      <x:c r="A19" s="20" t="str">
        <x:v>Zenith</x:v>
      </x:c>
      <x:c r="B19" s="18" t="n">
        <x:v>2020</x:v>
      </x:c>
      <x:c r="C19" s="18" t="str">
        <x:v>Tier 1</x:v>
      </x:c>
      <x:c r="D19" s="22" t="n">
        <x:v>197852</x:v>
      </x:c>
      <x:c r="E19" s="22" t="n">
        <x:v>595921</x:v>
      </x:c>
      <x:c r="F19" s="22" t="n">
        <x:v>7124987</x:v>
      </x:c>
      <x:c r="G19" s="22" t="n">
        <x:v>2639797</x:v>
      </x:c>
      <x:c r="H19" s="22" t="n">
        <x:v>161585</x:v>
      </x:c>
      <x:c r="I19" s="22" t="n">
        <x:v>37237</x:v>
      </x:c>
      <x:c r="J19" s="22" t="n">
        <x:v>4.29</x:v>
      </x:c>
      <x:c r="K19" s="22" t="n">
        <x:v>21.1</x:v>
      </x:c>
      <x:c r="L19" s="22" t="n">
        <x:v>2.78</x:v>
      </x:c>
      <x:c r="M19" s="22" t="n">
        <x:v>6.12</x:v>
      </x:c>
      <x:c r="N19" s="22" t="n">
        <x:v>87.3</x:v>
      </x:c>
      <x:c r="O19" s="22" t="n">
        <x:v>15.779</x:v>
      </x:c>
      <x:c r="P19" s="20" t="str">
        <x:v>PwC</x:v>
      </x:c>
      <x:c r="Q19" s="18" t="n">
        <x:v>0</x:v>
      </x:c>
      <x:c r="R19" s="18" t="n">
        <x:v>1</x:v>
      </x:c>
      <x:c r="S19" s="20" t="str">
        <x:v>p. 3; Tables 2(a)/(b)</x:v>
      </x:c>
    </x:row>
    <x:row r="20" ht="30" customHeight="1">
      <x:c r="A20" s="20" t="str">
        <x:v>Zenith</x:v>
      </x:c>
      <x:c r="B20" s="18" t="n">
        <x:v>2021</x:v>
      </x:c>
      <x:c r="C20" s="18" t="str">
        <x:v>Tier 1</x:v>
      </x:c>
      <x:c r="D20" s="22" t="n">
        <x:v>233133</x:v>
      </x:c>
      <x:c r="E20" s="22" t="n">
        <x:v>677283</x:v>
      </x:c>
      <x:c r="F20" s="22" t="n">
        <x:v>7872292</x:v>
      </x:c>
      <x:c r="G20" s="22" t="n">
        <x:v>3099452</x:v>
      </x:c>
      <x:c r="H20" s="22" t="n">
        <x:v>184456</x:v>
      </x:c>
      <x:c r="I20" s="22" t="n">
        <x:v>56175</x:v>
      </x:c>
      <x:c r="J20" s="22" t="n">
        <x:v>4.19</x:v>
      </x:c>
      <x:c r="K20" s="22" t="n">
        <x:v>19.8</x:v>
      </x:c>
      <x:c r="L20" s="22" t="n">
        <x:v>2.96</x:v>
      </x:c>
      <x:c r="M20" s="22" t="n">
        <x:v>5.95</x:v>
      </x:c>
      <x:c r="N20" s="22" t="n">
        <x:v>86.66</x:v>
      </x:c>
      <x:c r="O20" s="22" t="n">
        <x:v>15.879</x:v>
      </x:c>
      <x:c r="P20" s="20" t="str">
        <x:v>PwC</x:v>
      </x:c>
      <x:c r="Q20" s="18" t="n">
        <x:v>0</x:v>
      </x:c>
      <x:c r="R20" s="18" t="n">
        <x:v>1</x:v>
      </x:c>
      <x:c r="S20" s="20" t="str">
        <x:v>p. 3; Tables 2(a)/(b)</x:v>
      </x:c>
    </x:row>
    <x:row r="21" ht="30" customHeight="1">
      <x:c r="A21" s="20" t="str">
        <x:v>Zenith</x:v>
      </x:c>
      <x:c r="B21" s="18" t="n">
        <x:v>2022</x:v>
      </x:c>
      <x:c r="C21" s="18" t="str">
        <x:v>Tier 1</x:v>
      </x:c>
      <x:c r="D21" s="22" t="n">
        <x:v>234593</x:v>
      </x:c>
      <x:c r="E21" s="22" t="n">
        <x:v>833087</x:v>
      </x:c>
      <x:c r="F21" s="22" t="n">
        <x:v>10570678</x:v>
      </x:c>
      <x:c r="G21" s="22" t="n">
        <x:v>3838805</x:v>
      </x:c>
      <x:c r="H21" s="22" t="n">
        <x:v>231245</x:v>
      </x:c>
      <x:c r="I21" s="22" t="n">
        <x:v>61896</x:v>
      </x:c>
      <x:c r="J21" s="22" t="n">
        <x:v>4.3</x:v>
      </x:c>
      <x:c r="K21" s="22" t="n">
        <x:v>19.3</x:v>
      </x:c>
      <x:c r="L21" s="22" t="n">
        <x:v>2.22</x:v>
      </x:c>
      <x:c r="M21" s="22" t="n">
        <x:v>6.02</x:v>
      </x:c>
      <x:c r="N21" s="22" t="n">
        <x:v>88.69</x:v>
      </x:c>
      <x:c r="O21" s="22" t="n">
        <x:v>16.174</x:v>
      </x:c>
      <x:c r="P21" s="20" t="str">
        <x:v>PwC</x:v>
      </x:c>
      <x:c r="Q21" s="18" t="n">
        <x:v>0</x:v>
      </x:c>
      <x:c r="R21" s="18" t="n">
        <x:v>1</x:v>
      </x:c>
      <x:c r="S21" s="20" t="str">
        <x:v>p. 3; Tables 2(a)/(b)</x:v>
      </x:c>
    </x:row>
    <x:row r="22" ht="30" customHeight="1">
      <x:c r="A22" s="20" t="str">
        <x:v>First Bank</x:v>
      </x:c>
      <x:c r="B22" s="18" t="n">
        <x:v>2015</x:v>
      </x:c>
      <x:c r="C22" s="18" t="str">
        <x:v>Tier 1</x:v>
      </x:c>
      <x:c r="D22" s="22" t="n">
        <x:v>37</x:v>
      </x:c>
      <x:c r="E22" s="22" t="n">
        <x:v>421227</x:v>
      </x:c>
      <x:c r="F22" s="22" t="n">
        <x:v>3332375</x:v>
      </x:c>
      <x:c r="G22" s="22" t="n">
        <x:v>1457285</x:v>
      </x:c>
      <x:c r="H22" s="22" t="n">
        <x:v>187640</x:v>
      </x:c>
      <x:c r="I22" s="22" t="n">
        <x:v>120046</x:v>
      </x:c>
      <x:c r="J22" s="22" t="n">
        <x:v>45</x:v>
      </x:c>
      <x:c r="K22" s="22" t="n">
        <x:v>17.1</x:v>
      </x:c>
      <x:c r="L22" s="22" t="n">
        <x:v>0</x:v>
      </x:c>
      <x:c r="M22" s="22" t="n">
        <x:v>12.88</x:v>
      </x:c>
      <x:c r="N22" s="22" t="n">
        <x:v>92.2</x:v>
      </x:c>
      <x:c r="O22" s="22" t="n">
        <x:v>15.019</x:v>
      </x:c>
      <x:c r="P22" s="20" t="str">
        <x:v>PwC</x:v>
      </x:c>
      <x:c r="Q22" s="18" t="n">
        <x:v>0</x:v>
      </x:c>
      <x:c r="R22" s="18" t="n">
        <x:v>0</x:v>
      </x:c>
      <x:c r="S22" s="20" t="str">
        <x:v>p. 4; Tables 3(a)/(b)</x:v>
      </x:c>
    </x:row>
    <x:row r="23" ht="30" customHeight="1">
      <x:c r="A23" s="20" t="str">
        <x:v>First Bank</x:v>
      </x:c>
      <x:c r="B23" s="18" t="n">
        <x:v>2016</x:v>
      </x:c>
      <x:c r="C23" s="18" t="str">
        <x:v>Tier 1</x:v>
      </x:c>
      <x:c r="D23" s="22" t="n">
        <x:v>11768</x:v>
      </x:c>
      <x:c r="E23" s="22" t="n">
        <x:v>434663</x:v>
      </x:c>
      <x:c r="F23" s="22" t="n">
        <x:v>4514792</x:v>
      </x:c>
      <x:c r="G23" s="22" t="n">
        <x:v>2086740</x:v>
      </x:c>
      <x:c r="H23" s="22" t="n">
        <x:v>240695</x:v>
      </x:c>
      <x:c r="I23" s="22" t="n">
        <x:v>224948</x:v>
      </x:c>
      <x:c r="J23" s="22" t="n">
        <x:v>24.4</x:v>
      </x:c>
      <x:c r="K23" s="22" t="n">
        <x:v>17.79</x:v>
      </x:c>
      <x:c r="L23" s="22" t="n">
        <x:v>0.26</x:v>
      </x:c>
      <x:c r="M23" s="22" t="n">
        <x:v>11.54</x:v>
      </x:c>
      <x:c r="N23" s="22" t="n">
        <x:v>88.53</x:v>
      </x:c>
      <x:c r="O23" s="22" t="n">
        <x:v>15.323</x:v>
      </x:c>
      <x:c r="P23" s="20" t="str">
        <x:v>PwC</x:v>
      </x:c>
      <x:c r="Q23" s="18" t="n">
        <x:v>0</x:v>
      </x:c>
      <x:c r="R23" s="18" t="n">
        <x:v>0</x:v>
      </x:c>
      <x:c r="S23" s="20" t="str">
        <x:v>p. 4; Tables 3(a)/(b)</x:v>
      </x:c>
    </x:row>
    <x:row r="24" ht="30" customHeight="1">
      <x:c r="A24" s="20" t="str">
        <x:v>First Bank</x:v>
      </x:c>
      <x:c r="B24" s="18" t="n">
        <x:v>2017</x:v>
      </x:c>
      <x:c r="C24" s="18" t="str">
        <x:v>Tier 1</x:v>
      </x:c>
      <x:c r="D24" s="22" t="n">
        <x:v>51475</x:v>
      </x:c>
      <x:c r="E24" s="22" t="n">
        <x:v>474866</x:v>
      </x:c>
      <x:c r="F24" s="22" t="n">
        <x:v>5014248</x:v>
      </x:c>
      <x:c r="G24" s="22" t="n">
        <x:v>2026038</x:v>
      </x:c>
      <x:c r="H24" s="22" t="n">
        <x:v>178719</x:v>
      </x:c>
      <x:c r="I24" s="22" t="n">
        <x:v>141275</x:v>
      </x:c>
      <x:c r="J24" s="22" t="n">
        <x:v>22.8</x:v>
      </x:c>
      <x:c r="K24" s="22" t="n">
        <x:v>17.74</x:v>
      </x:c>
      <x:c r="L24" s="22" t="n">
        <x:v>1.03</x:v>
      </x:c>
      <x:c r="M24" s="22" t="n">
        <x:v>8.82</x:v>
      </x:c>
      <x:c r="N24" s="22" t="n">
        <x:v>87.48</x:v>
      </x:c>
      <x:c r="O24" s="22" t="n">
        <x:v>15.428</x:v>
      </x:c>
      <x:c r="P24" s="20" t="str">
        <x:v>PwC</x:v>
      </x:c>
      <x:c r="Q24" s="18" t="n">
        <x:v>0</x:v>
      </x:c>
      <x:c r="R24" s="18" t="n">
        <x:v>0</x:v>
      </x:c>
      <x:c r="S24" s="20" t="str">
        <x:v>p. 4; Tables 3(a)/(b)</x:v>
      </x:c>
    </x:row>
    <x:row r="25" ht="30" customHeight="1">
      <x:c r="A25" s="20" t="str">
        <x:v>First Bank</x:v>
      </x:c>
      <x:c r="B25" s="18" t="n">
        <x:v>2018</x:v>
      </x:c>
      <x:c r="C25" s="18" t="str">
        <x:v>Tier 1</x:v>
      </x:c>
      <x:c r="D25" s="22" t="n">
        <x:v>38844</x:v>
      </x:c>
      <x:c r="E25" s="22" t="n">
        <x:v>363680</x:v>
      </x:c>
      <x:c r="F25" s="22" t="n">
        <x:v>5303327</x:v>
      </x:c>
      <x:c r="G25" s="22" t="n">
        <x:v>1694884</x:v>
      </x:c>
      <x:c r="H25" s="22" t="n">
        <x:v>166250</x:v>
      </x:c>
      <x:c r="I25" s="22" t="n">
        <x:v>92796</x:v>
      </x:c>
      <x:c r="J25" s="22" t="n">
        <x:v>24.7</x:v>
      </x:c>
      <x:c r="K25" s="22" t="n">
        <x:v>17.26</x:v>
      </x:c>
      <x:c r="L25" s="22" t="n">
        <x:v>0.73</x:v>
      </x:c>
      <x:c r="M25" s="22" t="n">
        <x:v>9.81</x:v>
      </x:c>
      <x:c r="N25" s="22" t="n">
        <x:v>91.01</x:v>
      </x:c>
      <x:c r="O25" s="22" t="n">
        <x:v>15.484</x:v>
      </x:c>
      <x:c r="P25" s="20" t="str">
        <x:v>PwC</x:v>
      </x:c>
      <x:c r="Q25" s="18" t="n">
        <x:v>0</x:v>
      </x:c>
      <x:c r="R25" s="18" t="n">
        <x:v>1</x:v>
      </x:c>
      <x:c r="S25" s="20" t="str">
        <x:v>p. 4; Tables 3(a)/(b)</x:v>
      </x:c>
    </x:row>
    <x:row r="26" ht="30" customHeight="1">
      <x:c r="A26" s="20" t="str">
        <x:v>First Bank</x:v>
      </x:c>
      <x:c r="B26" s="18" t="n">
        <x:v>2019</x:v>
      </x:c>
      <x:c r="C26" s="18" t="str">
        <x:v>Tier 1</x:v>
      </x:c>
      <x:c r="D26" s="22" t="n">
        <x:v>62667</x:v>
      </x:c>
      <x:c r="E26" s="22" t="n">
        <x:v>395926</x:v>
      </x:c>
      <x:c r="F26" s="22" t="n">
        <x:v>5869219</x:v>
      </x:c>
      <x:c r="G26" s="22" t="n">
        <x:v>1866023</x:v>
      </x:c>
      <x:c r="H26" s="22" t="n">
        <x:v>158400</x:v>
      </x:c>
      <x:c r="I26" s="22" t="n">
        <x:v>50821</x:v>
      </x:c>
      <x:c r="J26" s="22" t="n">
        <x:v>9.9</x:v>
      </x:c>
      <x:c r="K26" s="22" t="n">
        <x:v>15.45</x:v>
      </x:c>
      <x:c r="L26" s="22" t="n">
        <x:v>1.07</x:v>
      </x:c>
      <x:c r="M26" s="22" t="n">
        <x:v>8.49</x:v>
      </x:c>
      <x:c r="N26" s="22" t="n">
        <x:v>89.93</x:v>
      </x:c>
      <x:c r="O26" s="22" t="n">
        <x:v>15.585</x:v>
      </x:c>
      <x:c r="P26" s="20" t="str">
        <x:v>PwC</x:v>
      </x:c>
      <x:c r="Q26" s="18" t="n">
        <x:v>0</x:v>
      </x:c>
      <x:c r="R26" s="18" t="n">
        <x:v>1</x:v>
      </x:c>
      <x:c r="S26" s="20" t="str">
        <x:v>p. 4; Tables 3(a)/(b)</x:v>
      </x:c>
    </x:row>
    <x:row r="27" ht="30" customHeight="1">
      <x:c r="A27" s="20" t="str">
        <x:v>First Bank</x:v>
      </x:c>
      <x:c r="B27" s="18" t="n">
        <x:v>2020</x:v>
      </x:c>
      <x:c r="C27" s="18" t="str">
        <x:v>Tier 1</x:v>
      </x:c>
      <x:c r="D27" s="22" t="n">
        <x:v>67750</x:v>
      </x:c>
      <x:c r="E27" s="22" t="n">
        <x:v>399128</x:v>
      </x:c>
      <x:c r="F27" s="22" t="n">
        <x:v>7367465</x:v>
      </x:c>
      <x:c r="G27" s="22" t="n">
        <x:v>2222380</x:v>
      </x:c>
      <x:c r="H27" s="22" t="n">
        <x:v>144500</x:v>
      </x:c>
      <x:c r="I27" s="22" t="n">
        <x:v>64100</x:v>
      </x:c>
      <x:c r="J27" s="22" t="n">
        <x:v>7.7</x:v>
      </x:c>
      <x:c r="K27" s="22" t="n">
        <x:v>17.01</x:v>
      </x:c>
      <x:c r="L27" s="22" t="n">
        <x:v>0.92</x:v>
      </x:c>
      <x:c r="M27" s="22" t="n">
        <x:v>6.5</x:v>
      </x:c>
      <x:c r="N27" s="22" t="n">
        <x:v>90.43</x:v>
      </x:c>
      <x:c r="O27" s="22" t="n">
        <x:v>15.813</x:v>
      </x:c>
      <x:c r="P27" s="20" t="str">
        <x:v>KPMG</x:v>
      </x:c>
      <x:c r="Q27" s="18" t="n">
        <x:v>0</x:v>
      </x:c>
      <x:c r="R27" s="18" t="n">
        <x:v>1</x:v>
      </x:c>
      <x:c r="S27" s="20" t="str">
        <x:v>p. 4; Tables 3(a)/(b)</x:v>
      </x:c>
    </x:row>
    <x:row r="28" ht="30" customHeight="1">
      <x:c r="A28" s="20" t="str">
        <x:v>First Bank</x:v>
      </x:c>
      <x:c r="B28" s="18" t="n">
        <x:v>2021</x:v>
      </x:c>
      <x:c r="C28" s="18" t="str">
        <x:v>Tier 1</x:v>
      </x:c>
      <x:c r="D28" s="22" t="n">
        <x:v>117840</x:v>
      </x:c>
      <x:c r="E28" s="22" t="n">
        <x:v>567875</x:v>
      </x:c>
      <x:c r="F28" s="22" t="n">
        <x:v>8542372</x:v>
      </x:c>
      <x:c r="G28" s="22" t="n">
        <x:v>2835233</x:v>
      </x:c>
      <x:c r="H28" s="22" t="n">
        <x:v>140200</x:v>
      </x:c>
      <x:c r="I28" s="22" t="n">
        <x:v>123080</x:v>
      </x:c>
      <x:c r="J28" s="22" t="n">
        <x:v>7.2</x:v>
      </x:c>
      <x:c r="K28" s="22" t="n">
        <x:v>17.39</x:v>
      </x:c>
      <x:c r="L28" s="22" t="n">
        <x:v>1.38</x:v>
      </x:c>
      <x:c r="M28" s="22" t="n">
        <x:v>4.94</x:v>
      </x:c>
      <x:c r="N28" s="22" t="n">
        <x:v>90.7</x:v>
      </x:c>
      <x:c r="O28" s="22" t="n">
        <x:v>15.961</x:v>
      </x:c>
      <x:c r="P28" s="20" t="str">
        <x:v>KPMG</x:v>
      </x:c>
      <x:c r="Q28" s="18" t="n">
        <x:v>0</x:v>
      </x:c>
      <x:c r="R28" s="18" t="n">
        <x:v>1</x:v>
      </x:c>
      <x:c r="S28" s="20" t="str">
        <x:v>p. 4; Tables 3(a)/(b)</x:v>
      </x:c>
    </x:row>
    <x:row r="29" ht="30" customHeight="1">
      <x:c r="A29" s="20" t="str">
        <x:v>First Bank</x:v>
      </x:c>
      <x:c r="B29" s="18" t="n">
        <x:v>2022</x:v>
      </x:c>
      <x:c r="C29" s="18" t="str">
        <x:v>Tier 1</x:v>
      </x:c>
      <x:c r="D29" s="22" t="n">
        <x:v>129584</x:v>
      </x:c>
      <x:c r="E29" s="22" t="n">
        <x:v>555663</x:v>
      </x:c>
      <x:c r="F29" s="22" t="n">
        <x:v>10089910</x:v>
      </x:c>
      <x:c r="G29" s="22" t="n">
        <x:v>3699495</x:v>
      </x:c>
      <x:c r="H29" s="22" t="n">
        <x:v>132100</x:v>
      </x:c>
      <x:c r="I29" s="22" t="n">
        <x:v>66710</x:v>
      </x:c>
      <x:c r="J29" s="22" t="n">
        <x:v>5.4</x:v>
      </x:c>
      <x:c r="K29" s="22" t="n">
        <x:v>16.57</x:v>
      </x:c>
      <x:c r="L29" s="22" t="n">
        <x:v>1.28</x:v>
      </x:c>
      <x:c r="M29" s="22" t="n">
        <x:v>3.57</x:v>
      </x:c>
      <x:c r="N29" s="22" t="n">
        <x:v>91.04</x:v>
      </x:c>
      <x:c r="O29" s="22" t="n">
        <x:v>16.127</x:v>
      </x:c>
      <x:c r="P29" s="20" t="str">
        <x:v>KPMG</x:v>
      </x:c>
      <x:c r="Q29" s="18" t="n">
        <x:v>0</x:v>
      </x:c>
      <x:c r="R29" s="18" t="n">
        <x:v>1</x:v>
      </x:c>
      <x:c r="S29" s="20" t="str">
        <x:v>p. 4; Tables 3(a)/(b)</x:v>
      </x:c>
    </x:row>
    <x:row r="30" ht="30" customHeight="1">
      <x:c r="A30" s="20" t="str">
        <x:v>UBA</x:v>
      </x:c>
      <x:c r="B30" s="18" t="n">
        <x:v>2015</x:v>
      </x:c>
      <x:c r="C30" s="18" t="str">
        <x:v>Tier 1</x:v>
      </x:c>
      <x:c r="D30" s="22" t="n">
        <x:v>47642</x:v>
      </x:c>
      <x:c r="E30" s="22" t="n">
        <x:v>247378</x:v>
      </x:c>
      <x:c r="F30" s="22" t="n">
        <x:v>2216337</x:v>
      </x:c>
      <x:c r="G30" s="22" t="n">
        <x:v>835737</x:v>
      </x:c>
      <x:c r="H30" s="22" t="n">
        <x:v>14104</x:v>
      </x:c>
      <x:c r="I30" s="22" t="n">
        <x:v>3491</x:v>
      </x:c>
      <x:c r="J30" s="22" t="n">
        <x:v>0.91</x:v>
      </x:c>
      <x:c r="K30" s="22" t="n">
        <x:v>20</x:v>
      </x:c>
      <x:c r="L30" s="22" t="n">
        <x:v>2.15</x:v>
      </x:c>
      <x:c r="M30" s="22" t="n">
        <x:v>1.69</x:v>
      </x:c>
      <x:c r="N30" s="22" t="n">
        <x:v>84.74</x:v>
      </x:c>
      <x:c r="O30" s="22" t="n">
        <x:v>14.611</x:v>
      </x:c>
      <x:c r="P30" s="20" t="str">
        <x:v>PricewaterhouseCoopers</x:v>
      </x:c>
      <x:c r="Q30" s="18" t="n">
        <x:v>0</x:v>
      </x:c>
      <x:c r="R30" s="18" t="n">
        <x:v>0</x:v>
      </x:c>
      <x:c r="S30" s="20" t="str">
        <x:v>p. 5; Tables 4(a)/(b)</x:v>
      </x:c>
    </x:row>
    <x:row r="31" ht="30" customHeight="1">
      <x:c r="A31" s="20" t="str">
        <x:v>UBA</x:v>
      </x:c>
      <x:c r="B31" s="18" t="n">
        <x:v>2016</x:v>
      </x:c>
      <x:c r="C31" s="18" t="str">
        <x:v>Tier 1</x:v>
      </x:c>
      <x:c r="D31" s="22" t="n">
        <x:v>47541</x:v>
      </x:c>
      <x:c r="E31" s="22" t="n">
        <x:v>269895</x:v>
      </x:c>
      <x:c r="F31" s="22" t="n">
        <x:v>2539585</x:v>
      </x:c>
      <x:c r="G31" s="22" t="n">
        <x:v>1120096</x:v>
      </x:c>
      <x:c r="H31" s="22" t="n">
        <x:v>32295</x:v>
      </x:c>
      <x:c r="I31" s="22" t="n">
        <x:v>25521</x:v>
      </x:c>
      <x:c r="J31" s="22" t="n">
        <x:v>5.1</x:v>
      </x:c>
      <x:c r="K31" s="22" t="n">
        <x:v>20</x:v>
      </x:c>
      <x:c r="L31" s="22" t="n">
        <x:v>1.87</x:v>
      </x:c>
      <x:c r="M31" s="22" t="n">
        <x:v>2.88</x:v>
      </x:c>
      <x:c r="N31" s="22" t="n">
        <x:v>84.61</x:v>
      </x:c>
      <x:c r="O31" s="22" t="n">
        <x:v>14.747</x:v>
      </x:c>
      <x:c r="P31" s="20" t="str">
        <x:v>PricewaterhouseCoopers</x:v>
      </x:c>
      <x:c r="Q31" s="18" t="n">
        <x:v>0</x:v>
      </x:c>
      <x:c r="R31" s="18" t="n">
        <x:v>0</x:v>
      </x:c>
      <x:c r="S31" s="20" t="str">
        <x:v>p. 5; Tables 4(a)/(b)</x:v>
      </x:c>
    </x:row>
    <x:row r="32" ht="30" customHeight="1">
      <x:c r="A32" s="20" t="str">
        <x:v>UBA</x:v>
      </x:c>
      <x:c r="B32" s="18" t="n">
        <x:v>2017</x:v>
      </x:c>
      <x:c r="C32" s="18" t="str">
        <x:v>Tier 1</x:v>
      </x:c>
      <x:c r="D32" s="22" t="n">
        <x:v>41396</x:v>
      </x:c>
      <x:c r="E32" s="22" t="n">
        <x:v>316263</x:v>
      </x:c>
      <x:c r="F32" s="22" t="n">
        <x:v>2931826</x:v>
      </x:c>
      <x:c r="G32" s="22" t="n">
        <x:v>1204426</x:v>
      </x:c>
      <x:c r="H32" s="22" t="n">
        <x:v>31212</x:v>
      </x:c>
      <x:c r="I32" s="22" t="n">
        <x:v>30433</x:v>
      </x:c>
      <x:c r="J32" s="22" t="n">
        <x:v>3.7</x:v>
      </x:c>
      <x:c r="K32" s="22" t="n">
        <x:v>20</x:v>
      </x:c>
      <x:c r="L32" s="22" t="n">
        <x:v>1.41</x:v>
      </x:c>
      <x:c r="M32" s="22" t="n">
        <x:v>2.59</x:v>
      </x:c>
      <x:c r="N32" s="22" t="n">
        <x:v>86.33</x:v>
      </x:c>
      <x:c r="O32" s="22" t="n">
        <x:v>14.891</x:v>
      </x:c>
      <x:c r="P32" s="20" t="str">
        <x:v>PricewaterhouseCoopers</x:v>
      </x:c>
      <x:c r="Q32" s="18" t="n">
        <x:v>0</x:v>
      </x:c>
      <x:c r="R32" s="18" t="n">
        <x:v>0</x:v>
      </x:c>
      <x:c r="S32" s="20" t="str">
        <x:v>p. 5; Tables 4(a)/(b)</x:v>
      </x:c>
    </x:row>
    <x:row r="33" ht="30" customHeight="1">
      <x:c r="A33" s="20" t="str">
        <x:v>UBA</x:v>
      </x:c>
      <x:c r="B33" s="18" t="n">
        <x:v>2018</x:v>
      </x:c>
      <x:c r="C33" s="18" t="str">
        <x:v>Tier 1</x:v>
      </x:c>
      <x:c r="D33" s="22" t="n">
        <x:v>41047</x:v>
      </x:c>
      <x:c r="E33" s="22" t="n">
        <x:v>341504</x:v>
      </x:c>
      <x:c r="F33" s="22" t="n">
        <x:v>3591305</x:v>
      </x:c>
      <x:c r="G33" s="22" t="n">
        <x:v>1274112</x:v>
      </x:c>
      <x:c r="H33" s="22" t="n">
        <x:v>60311</x:v>
      </x:c>
      <x:c r="I33" s="22" t="n">
        <x:v>4257</x:v>
      </x:c>
      <x:c r="J33" s="22" t="n">
        <x:v>4.2</x:v>
      </x:c>
      <x:c r="K33" s="22" t="n">
        <x:v>20</x:v>
      </x:c>
      <x:c r="L33" s="22" t="n">
        <x:v>1.14</x:v>
      </x:c>
      <x:c r="M33" s="22" t="n">
        <x:v>4.73</x:v>
      </x:c>
      <x:c r="N33" s="22" t="n">
        <x:v>89.85</x:v>
      </x:c>
      <x:c r="O33" s="22" t="n">
        <x:v>15.094</x:v>
      </x:c>
      <x:c r="P33" s="20" t="str">
        <x:v>PricewaterhouseCoopers</x:v>
      </x:c>
      <x:c r="Q33" s="18" t="n">
        <x:v>0</x:v>
      </x:c>
      <x:c r="R33" s="18" t="n">
        <x:v>1</x:v>
      </x:c>
      <x:c r="S33" s="20" t="str">
        <x:v>p. 5; Tables 4(a)/(b)</x:v>
      </x:c>
    </x:row>
    <x:row r="34" ht="30" customHeight="1">
      <x:c r="A34" s="20" t="str">
        <x:v>UBA</x:v>
      </x:c>
      <x:c r="B34" s="18" t="n">
        <x:v>2019</x:v>
      </x:c>
      <x:c r="C34" s="18" t="str">
        <x:v>Tier 1</x:v>
      </x:c>
      <x:c r="D34" s="22" t="n">
        <x:v>62750</x:v>
      </x:c>
      <x:c r="E34" s="22" t="n">
        <x:v>412624</x:v>
      </x:c>
      <x:c r="F34" s="22" t="n">
        <x:v>4136493</x:v>
      </x:c>
      <x:c r="G34" s="22" t="n">
        <x:v>1557358</x:v>
      </x:c>
      <x:c r="H34" s="22" t="n">
        <x:v>53978</x:v>
      </x:c>
      <x:c r="I34" s="22" t="n">
        <x:v>16369</x:v>
      </x:c>
      <x:c r="J34" s="22" t="n">
        <x:v>2.87</x:v>
      </x:c>
      <x:c r="K34" s="22" t="n">
        <x:v>20.39</x:v>
      </x:c>
      <x:c r="L34" s="22" t="n">
        <x:v>1.52</x:v>
      </x:c>
      <x:c r="M34" s="22" t="n">
        <x:v>3.47</x:v>
      </x:c>
      <x:c r="N34" s="22" t="n">
        <x:v>89.2</x:v>
      </x:c>
      <x:c r="O34" s="22" t="n">
        <x:v>15.235</x:v>
      </x:c>
      <x:c r="P34" s="20" t="str">
        <x:v>Ernst &amp; Young</x:v>
      </x:c>
      <x:c r="Q34" s="18" t="n">
        <x:v>0</x:v>
      </x:c>
      <x:c r="R34" s="18" t="n">
        <x:v>1</x:v>
      </x:c>
      <x:c r="S34" s="20" t="str">
        <x:v>p. 5; Tables 4(a)/(b)</x:v>
      </x:c>
    </x:row>
    <x:row r="35" ht="30" customHeight="1">
      <x:c r="A35" s="20" t="str">
        <x:v>UBA</x:v>
      </x:c>
      <x:c r="B35" s="18" t="n">
        <x:v>2020</x:v>
      </x:c>
      <x:c r="C35" s="18" t="str">
        <x:v>Tier 1</x:v>
      </x:c>
      <x:c r="D35" s="22" t="n">
        <x:v>56911</x:v>
      </x:c>
      <x:c r="E35" s="22" t="n">
        <x:v>381476</x:v>
      </x:c>
      <x:c r="F35" s="22" t="n">
        <x:v>5207833</x:v>
      </x:c>
      <x:c r="G35" s="22" t="n">
        <x:v>1874858</x:v>
      </x:c>
      <x:c r="H35" s="22" t="n">
        <x:v>62322</x:v>
      </x:c>
      <x:c r="I35" s="22" t="n">
        <x:v>21864</x:v>
      </x:c>
      <x:c r="J35" s="22" t="n">
        <x:v>2.2</x:v>
      </x:c>
      <x:c r="K35" s="22" t="n">
        <x:v>19.7</x:v>
      </x:c>
      <x:c r="L35" s="22" t="n">
        <x:v>1.09</x:v>
      </x:c>
      <x:c r="M35" s="22" t="n">
        <x:v>3.32</x:v>
      </x:c>
      <x:c r="N35" s="22" t="n">
        <x:v>90.82</x:v>
      </x:c>
      <x:c r="O35" s="22" t="n">
        <x:v>15.466</x:v>
      </x:c>
      <x:c r="P35" s="20" t="str">
        <x:v>Ernst &amp; Young</x:v>
      </x:c>
      <x:c r="Q35" s="18" t="n">
        <x:v>0</x:v>
      </x:c>
      <x:c r="R35" s="18" t="n">
        <x:v>1</x:v>
      </x:c>
      <x:c r="S35" s="20" t="str">
        <x:v>p. 5; Tables 4(a)/(b)</x:v>
      </x:c>
    </x:row>
    <x:row r="36" ht="30" customHeight="1">
      <x:c r="A36" s="20" t="str">
        <x:v>UBA</x:v>
      </x:c>
      <x:c r="B36" s="18" t="n">
        <x:v>2021</x:v>
      </x:c>
      <x:c r="C36" s="18" t="str">
        <x:v>Tier 1</x:v>
      </x:c>
      <x:c r="D36" s="22" t="n">
        <x:v>58669</x:v>
      </x:c>
      <x:c r="E36" s="22" t="n">
        <x:v>381493</x:v>
      </x:c>
      <x:c r="F36" s="22" t="n">
        <x:v>5574976</x:v>
      </x:c>
      <x:c r="G36" s="22" t="n">
        <x:v>1913403</x:v>
      </x:c>
      <x:c r="H36" s="22" t="n">
        <x:v>65301</x:v>
      </x:c>
      <x:c r="I36" s="22" t="n">
        <x:v>9749</x:v>
      </x:c>
      <x:c r="J36" s="22" t="n">
        <x:v>3.2</x:v>
      </x:c>
      <x:c r="K36" s="22" t="n">
        <x:v>21.8</x:v>
      </x:c>
      <x:c r="L36" s="22" t="n">
        <x:v>1.05</x:v>
      </x:c>
      <x:c r="M36" s="22" t="n">
        <x:v>3.41</x:v>
      </x:c>
      <x:c r="N36" s="22" t="n">
        <x:v>91</x:v>
      </x:c>
      <x:c r="O36" s="22" t="n">
        <x:v>15.534</x:v>
      </x:c>
      <x:c r="P36" s="20" t="str">
        <x:v>Ernst &amp; Young</x:v>
      </x:c>
      <x:c r="Q36" s="18" t="n">
        <x:v>0</x:v>
      </x:c>
      <x:c r="R36" s="18" t="n">
        <x:v>1</x:v>
      </x:c>
      <x:c r="S36" s="20" t="str">
        <x:v>p. 5; Tables 4(a)/(b)</x:v>
      </x:c>
    </x:row>
    <x:row r="37" ht="30" customHeight="1">
      <x:c r="A37" s="20" t="str">
        <x:v>UBA</x:v>
      </x:c>
      <x:c r="B37" s="18" t="n">
        <x:v>2022</x:v>
      </x:c>
      <x:c r="C37" s="18" t="str">
        <x:v>Tier 1</x:v>
      </x:c>
      <x:c r="D37" s="22" t="n">
        <x:v>133696</x:v>
      </x:c>
      <x:c r="E37" s="22" t="n">
        <x:v>564555</x:v>
      </x:c>
      <x:c r="F37" s="22" t="n">
        <x:v>7361044</x:v>
      </x:c>
      <x:c r="G37" s="22" t="n">
        <x:v>2174779</x:v>
      </x:c>
      <x:c r="H37" s="22" t="n">
        <x:v>51682</x:v>
      </x:c>
      <x:c r="I37" s="22" t="n">
        <x:v>10565</x:v>
      </x:c>
      <x:c r="J37" s="22" t="n">
        <x:v>3.1</x:v>
      </x:c>
      <x:c r="K37" s="22" t="n">
        <x:v>21.9</x:v>
      </x:c>
      <x:c r="L37" s="22" t="n">
        <x:v>1.82</x:v>
      </x:c>
      <x:c r="M37" s="22" t="n">
        <x:v>2.38</x:v>
      </x:c>
      <x:c r="N37" s="22" t="n">
        <x:v>92.05</x:v>
      </x:c>
      <x:c r="O37" s="22" t="n">
        <x:v>15.812</x:v>
      </x:c>
      <x:c r="P37" s="20" t="str">
        <x:v>Ernst &amp; Young</x:v>
      </x:c>
      <x:c r="Q37" s="18" t="n">
        <x:v>0</x:v>
      </x:c>
      <x:c r="R37" s="18" t="n">
        <x:v>1</x:v>
      </x:c>
      <x:c r="S37" s="20" t="str">
        <x:v>p. 5; Tables 4(a)/(b)</x:v>
      </x:c>
    </x:row>
    <x:row r="38" ht="30" customHeight="1">
      <x:c r="A38" s="20" t="str">
        <x:v>GTBank</x:v>
      </x:c>
      <x:c r="B38" s="18" t="n">
        <x:v>2015</x:v>
      </x:c>
      <x:c r="C38" s="18" t="str">
        <x:v>Tier 1</x:v>
      </x:c>
      <x:c r="D38" s="22" t="n">
        <x:v>94308</x:v>
      </x:c>
      <x:c r="E38" s="22" t="n">
        <x:v>268876</x:v>
      </x:c>
      <x:c r="F38" s="22" t="n">
        <x:v>2277629</x:v>
      </x:c>
      <x:c r="G38" s="22" t="n">
        <x:v>1265207</x:v>
      </x:c>
      <x:c r="H38" s="22" t="n">
        <x:v>26309</x:v>
      </x:c>
      <x:c r="I38" s="22" t="n">
        <x:v>11769</x:v>
      </x:c>
      <x:c r="J38" s="22" t="n">
        <x:v>15.72</x:v>
      </x:c>
      <x:c r="K38" s="22" t="n">
        <x:v>18.17</x:v>
      </x:c>
      <x:c r="L38" s="22" t="n">
        <x:v>4.14</x:v>
      </x:c>
      <x:c r="M38" s="22" t="n">
        <x:v>2.08</x:v>
      </x:c>
      <x:c r="N38" s="22" t="n">
        <x:v>82.19</x:v>
      </x:c>
      <x:c r="O38" s="22" t="n">
        <x:v>14.64</x:v>
      </x:c>
      <x:c r="P38" s="20" t="str">
        <x:v>PwC</x:v>
      </x:c>
      <x:c r="Q38" s="18" t="n">
        <x:v>0</x:v>
      </x:c>
      <x:c r="R38" s="18" t="n">
        <x:v>0</x:v>
      </x:c>
      <x:c r="S38" s="20" t="str">
        <x:v>p. 6; Tables 5(a)/(b)</x:v>
      </x:c>
    </x:row>
    <x:row r="39" ht="30" customHeight="1">
      <x:c r="A39" s="20" t="str">
        <x:v>GTBank</x:v>
      </x:c>
      <x:c r="B39" s="18" t="n">
        <x:v>2016</x:v>
      </x:c>
      <x:c r="C39" s="18" t="str">
        <x:v>Tier 1</x:v>
      </x:c>
      <x:c r="D39" s="22" t="n">
        <x:v>126837</x:v>
      </x:c>
      <x:c r="E39" s="22" t="n">
        <x:v>365917</x:v>
      </x:c>
      <x:c r="F39" s="22" t="n">
        <x:v>2613340</x:v>
      </x:c>
      <x:c r="G39" s="22" t="n">
        <x:v>1417218</x:v>
      </x:c>
      <x:c r="H39" s="22" t="n">
        <x:v>71819</x:v>
      </x:c>
      <x:c r="I39" s="22" t="n">
        <x:v>63543</x:v>
      </x:c>
      <x:c r="J39" s="22" t="n">
        <x:v>3.4</x:v>
      </x:c>
      <x:c r="K39" s="22" t="n">
        <x:v>19.79</x:v>
      </x:c>
      <x:c r="L39" s="22" t="n">
        <x:v>4.85</x:v>
      </x:c>
      <x:c r="M39" s="22" t="n">
        <x:v>5.07</x:v>
      </x:c>
      <x:c r="N39" s="22" t="n">
        <x:v>81.75</x:v>
      </x:c>
      <x:c r="O39" s="22" t="n">
        <x:v>14.78</x:v>
      </x:c>
      <x:c r="P39" s="20" t="str">
        <x:v>PwC</x:v>
      </x:c>
      <x:c r="Q39" s="18" t="n">
        <x:v>0</x:v>
      </x:c>
      <x:c r="R39" s="18" t="n">
        <x:v>0</x:v>
      </x:c>
      <x:c r="S39" s="20" t="str">
        <x:v>p. 6; Tables 5(a)/(b)</x:v>
      </x:c>
    </x:row>
    <x:row r="40" ht="30" customHeight="1">
      <x:c r="A40" s="20" t="str">
        <x:v>GTBank</x:v>
      </x:c>
      <x:c r="B40" s="18" t="n">
        <x:v>2017</x:v>
      </x:c>
      <x:c r="C40" s="18" t="str">
        <x:v>Tier 1</x:v>
      </x:c>
      <x:c r="D40" s="22" t="n">
        <x:v>161285</x:v>
      </x:c>
      <x:c r="E40" s="22" t="n">
        <x:v>360237</x:v>
      </x:c>
      <x:c r="F40" s="22" t="n">
        <x:v>2824929</x:v>
      </x:c>
      <x:c r="G40" s="22" t="n">
        <x:v>1163273</x:v>
      </x:c>
      <x:c r="H40" s="22" t="n">
        <x:v>57658</x:v>
      </x:c>
      <x:c r="I40" s="22" t="n">
        <x:v>10835</x:v>
      </x:c>
      <x:c r="J40" s="22" t="n">
        <x:v>8.83</x:v>
      </x:c>
      <x:c r="K40" s="22" t="n">
        <x:v>25.5</x:v>
      </x:c>
      <x:c r="L40" s="22" t="n">
        <x:v>5.71</x:v>
      </x:c>
      <x:c r="M40" s="22" t="n">
        <x:v>4.96</x:v>
      </x:c>
      <x:c r="N40" s="22" t="n">
        <x:v>79.31</x:v>
      </x:c>
      <x:c r="O40" s="22" t="n">
        <x:v>14.85</x:v>
      </x:c>
      <x:c r="P40" s="20" t="str">
        <x:v>PwC</x:v>
      </x:c>
      <x:c r="Q40" s="18" t="n">
        <x:v>0</x:v>
      </x:c>
      <x:c r="R40" s="18" t="n">
        <x:v>0</x:v>
      </x:c>
      <x:c r="S40" s="20" t="str">
        <x:v>p. 6; Tables 5(a)/(b)</x:v>
      </x:c>
    </x:row>
    <x:row r="41" ht="30" customHeight="1">
      <x:c r="A41" s="20" t="str">
        <x:v>GTBank</x:v>
      </x:c>
      <x:c r="B41" s="18" t="n">
        <x:v>2018</x:v>
      </x:c>
      <x:c r="C41" s="18" t="str">
        <x:v>Tier 1</x:v>
      </x:c>
      <x:c r="D41" s="22" t="n">
        <x:v>166753</x:v>
      </x:c>
      <x:c r="E41" s="22" t="n">
        <x:v>356380</x:v>
      </x:c>
      <x:c r="F41" s="22" t="n">
        <x:v>2712521</x:v>
      </x:c>
      <x:c r="G41" s="22" t="n">
        <x:v>1159030</x:v>
      </x:c>
      <x:c r="H41" s="22" t="n">
        <x:v>90984</x:v>
      </x:c>
      <x:c r="I41" s="22" t="n">
        <x:v>1504</x:v>
      </x:c>
      <x:c r="J41" s="22" t="n">
        <x:v>7.3</x:v>
      </x:c>
      <x:c r="K41" s="22" t="n">
        <x:v>20.93</x:v>
      </x:c>
      <x:c r="L41" s="22" t="n">
        <x:v>6.15</x:v>
      </x:c>
      <x:c r="M41" s="22" t="n">
        <x:v>7.85</x:v>
      </x:c>
      <x:c r="N41" s="22" t="n">
        <x:v>81.19</x:v>
      </x:c>
      <x:c r="O41" s="22" t="n">
        <x:v>14.81</x:v>
      </x:c>
      <x:c r="P41" s="20" t="str">
        <x:v>PwC</x:v>
      </x:c>
      <x:c r="Q41" s="18" t="n">
        <x:v>0</x:v>
      </x:c>
      <x:c r="R41" s="18" t="n">
        <x:v>1</x:v>
      </x:c>
      <x:c r="S41" s="20" t="str">
        <x:v>p. 6; Tables 5(a)/(b)</x:v>
      </x:c>
    </x:row>
    <x:row r="42" ht="30" customHeight="1">
      <x:c r="A42" s="20" t="str">
        <x:v>GTBank</x:v>
      </x:c>
      <x:c r="B42" s="18" t="n">
        <x:v>2019</x:v>
      </x:c>
      <x:c r="C42" s="18" t="str">
        <x:v>Tier 1</x:v>
      </x:c>
      <x:c r="D42" s="22" t="n">
        <x:v>175125</x:v>
      </x:c>
      <x:c r="E42" s="22" t="n">
        <x:v>350927</x:v>
      </x:c>
      <x:c r="F42" s="22" t="n">
        <x:v>3097248</x:v>
      </x:c>
      <x:c r="G42" s="22" t="n">
        <x:v>1357147</x:v>
      </x:c>
      <x:c r="H42" s="22" t="n">
        <x:v>56254</x:v>
      </x:c>
      <x:c r="I42" s="22" t="n">
        <x:v>2222</x:v>
      </x:c>
      <x:c r="J42" s="22" t="n">
        <x:v>6.5</x:v>
      </x:c>
      <x:c r="K42" s="22" t="n">
        <x:v>20.66</x:v>
      </x:c>
      <x:c r="L42" s="22" t="n">
        <x:v>5.65</x:v>
      </x:c>
      <x:c r="M42" s="22" t="n">
        <x:v>4.15</x:v>
      </x:c>
      <x:c r="N42" s="22" t="n">
        <x:v>80.44</x:v>
      </x:c>
      <x:c r="O42" s="22" t="n">
        <x:v>14.95</x:v>
      </x:c>
      <x:c r="P42" s="20" t="str">
        <x:v>PwC</x:v>
      </x:c>
      <x:c r="Q42" s="18" t="n">
        <x:v>0</x:v>
      </x:c>
      <x:c r="R42" s="18" t="n">
        <x:v>1</x:v>
      </x:c>
      <x:c r="S42" s="20" t="str">
        <x:v>p. 6; Tables 5(a)/(b)</x:v>
      </x:c>
    </x:row>
    <x:row r="43" ht="30" customHeight="1">
      <x:c r="A43" s="20" t="str">
        <x:v>GTBank</x:v>
      </x:c>
      <x:c r="B43" s="18" t="n">
        <x:v>2020</x:v>
      </x:c>
      <x:c r="C43" s="18" t="str">
        <x:v>Tier 1</x:v>
      </x:c>
      <x:c r="D43" s="22" t="n">
        <x:v>178188</x:v>
      </x:c>
      <x:c r="E43" s="22" t="n">
        <x:v>367058</x:v>
      </x:c>
      <x:c r="F43" s="22" t="n">
        <x:v>4061544</x:v>
      </x:c>
      <x:c r="G43" s="22" t="n">
        <x:v>1473566</x:v>
      </x:c>
      <x:c r="H43" s="22" t="n">
        <x:v>62948</x:v>
      </x:c>
      <x:c r="I43" s="22" t="n">
        <x:v>13667</x:v>
      </x:c>
      <x:c r="J43" s="22" t="n">
        <x:v>6.4</x:v>
      </x:c>
      <x:c r="K43" s="22" t="n">
        <x:v>19.55</x:v>
      </x:c>
      <x:c r="L43" s="22" t="n">
        <x:v>4.39</x:v>
      </x:c>
      <x:c r="M43" s="22" t="n">
        <x:v>4.27</x:v>
      </x:c>
      <x:c r="N43" s="22" t="n">
        <x:v>82.71</x:v>
      </x:c>
      <x:c r="O43" s="22" t="n">
        <x:v>15.22</x:v>
      </x:c>
      <x:c r="P43" s="20" t="str">
        <x:v>PwC</x:v>
      </x:c>
      <x:c r="Q43" s="18" t="n">
        <x:v>0</x:v>
      </x:c>
      <x:c r="R43" s="18" t="n">
        <x:v>1</x:v>
      </x:c>
      <x:c r="S43" s="20" t="str">
        <x:v>p. 6; Tables 5(a)/(b)</x:v>
      </x:c>
    </x:row>
    <x:row r="44" ht="30" customHeight="1">
      <x:c r="A44" s="20" t="str">
        <x:v>GTBank</x:v>
      </x:c>
      <x:c r="B44" s="18" t="n">
        <x:v>2021</x:v>
      </x:c>
      <x:c r="C44" s="18" t="str">
        <x:v>Tier 1</x:v>
      </x:c>
      <x:c r="D44" s="22" t="n">
        <x:v>146184</x:v>
      </x:c>
      <x:c r="E44" s="22" t="n">
        <x:v>303978</x:v>
      </x:c>
      <x:c r="F44" s="22" t="n">
        <x:v>4357033</x:v>
      </x:c>
      <x:c r="G44" s="22" t="n">
        <x:v>1475674</x:v>
      </x:c>
      <x:c r="H44" s="22" t="n">
        <x:v>67041</x:v>
      </x:c>
      <x:c r="I44" s="22" t="n">
        <x:v>4089</x:v>
      </x:c>
      <x:c r="J44" s="22" t="n">
        <x:v>6</x:v>
      </x:c>
      <x:c r="K44" s="22" t="n">
        <x:v>23.83</x:v>
      </x:c>
      <x:c r="L44" s="22" t="n">
        <x:v>3.35</x:v>
      </x:c>
      <x:c r="M44" s="22" t="n">
        <x:v>4.54</x:v>
      </x:c>
      <x:c r="N44" s="22" t="n">
        <x:v>84.45</x:v>
      </x:c>
      <x:c r="O44" s="22" t="n">
        <x:v>15.29</x:v>
      </x:c>
      <x:c r="P44" s="20" t="str">
        <x:v>PwC</x:v>
      </x:c>
      <x:c r="Q44" s="18" t="n">
        <x:v>0</x:v>
      </x:c>
      <x:c r="R44" s="18" t="n">
        <x:v>1</x:v>
      </x:c>
      <x:c r="S44" s="20" t="str">
        <x:v>p. 6; Tables 5(a)/(b)</x:v>
      </x:c>
    </x:row>
    <x:row r="45" ht="30" customHeight="1">
      <x:c r="A45" s="20" t="str">
        <x:v>GTBank</x:v>
      </x:c>
      <x:c r="B45" s="18" t="n">
        <x:v>2022</x:v>
      </x:c>
      <x:c r="C45" s="18" t="str">
        <x:v>Tier 1</x:v>
      </x:c>
      <x:c r="D45" s="22" t="n">
        <x:v>145296</x:v>
      </x:c>
      <x:c r="E45" s="22" t="n">
        <x:v>340912</x:v>
      </x:c>
      <x:c r="F45" s="22" t="n">
        <x:v>5208577</x:v>
      </x:c>
      <x:c r="G45" s="22" t="n">
        <x:v>1577192</x:v>
      </x:c>
      <x:c r="H45" s="22" t="n">
        <x:v>75972</x:v>
      </x:c>
      <x:c r="I45" s="22" t="n">
        <x:v>8937</x:v>
      </x:c>
      <x:c r="J45" s="22" t="n">
        <x:v>5.19</x:v>
      </x:c>
      <x:c r="K45" s="22" t="n">
        <x:v>24.08</x:v>
      </x:c>
      <x:c r="L45" s="22" t="n">
        <x:v>2.79</x:v>
      </x:c>
      <x:c r="M45" s="22" t="n">
        <x:v>4.82</x:v>
      </x:c>
      <x:c r="N45" s="22" t="n">
        <x:v>85.88</x:v>
      </x:c>
      <x:c r="O45" s="22" t="n">
        <x:v>15.47</x:v>
      </x:c>
      <x:c r="P45" s="20" t="str">
        <x:v>EY</x:v>
      </x:c>
      <x:c r="Q45" s="18" t="n">
        <x:v>0</x:v>
      </x:c>
      <x:c r="R45" s="18" t="n">
        <x:v>1</x:v>
      </x:c>
      <x:c r="S45" s="20" t="str">
        <x:v>p. 6; Tables 5(a)/(b)</x:v>
      </x:c>
    </x:row>
    <x:row r="46" ht="30" customHeight="1">
      <x:c r="A46" s="20" t="str">
        <x:v>Fidelity</x:v>
      </x:c>
      <x:c r="B46" s="18" t="n">
        <x:v>2015</x:v>
      </x:c>
      <x:c r="C46" s="18" t="str">
        <x:v>Tier 2</x:v>
      </x:c>
      <x:c r="D46" s="22" t="n">
        <x:v>13904</x:v>
      </x:c>
      <x:c r="E46" s="22" t="n">
        <x:v>146948</x:v>
      </x:c>
      <x:c r="F46" s="22" t="n">
        <x:v>1231722</x:v>
      </x:c>
      <x:c r="G46" s="22" t="n">
        <x:v>598978</x:v>
      </x:c>
      <x:c r="H46" s="22" t="n">
        <x:v>20776</x:v>
      </x:c>
      <x:c r="I46" s="22" t="n">
        <x:v>5764</x:v>
      </x:c>
      <x:c r="J46" s="22" t="n">
        <x:v>4.4</x:v>
      </x:c>
      <x:c r="K46" s="22" t="n">
        <x:v>19</x:v>
      </x:c>
      <x:c r="L46" s="22" t="n">
        <x:v>1.13</x:v>
      </x:c>
      <x:c r="M46" s="22" t="n">
        <x:v>3.47</x:v>
      </x:c>
      <x:c r="N46" s="22" t="n">
        <x:v>85.1</x:v>
      </x:c>
      <x:c r="O46" s="22" t="n">
        <x:v>14.024</x:v>
      </x:c>
      <x:c r="P46" s="20" t="str">
        <x:v>Ernst &amp; Young, PKF</x:v>
      </x:c>
      <x:c r="Q46" s="18" t="n">
        <x:v>0</x:v>
      </x:c>
      <x:c r="R46" s="18" t="n">
        <x:v>0</x:v>
      </x:c>
      <x:c r="S46" s="20" t="str">
        <x:v>p. 7; Tables 6(a)/(b)</x:v>
      </x:c>
    </x:row>
    <x:row r="47" ht="30" customHeight="1">
      <x:c r="A47" s="20" t="str">
        <x:v>Fidelity</x:v>
      </x:c>
      <x:c r="B47" s="18" t="n">
        <x:v>2016</x:v>
      </x:c>
      <x:c r="C47" s="18" t="str">
        <x:v>Tier 2</x:v>
      </x:c>
      <x:c r="D47" s="22" t="n">
        <x:v>9734</x:v>
      </x:c>
      <x:c r="E47" s="22" t="n">
        <x:v>152021</x:v>
      </x:c>
      <x:c r="F47" s="22" t="n">
        <x:v>1298141</x:v>
      </x:c>
      <x:c r="G47" s="22" t="n">
        <x:v>743120</x:v>
      </x:c>
      <x:c r="H47" s="22" t="n">
        <x:v>24719</x:v>
      </x:c>
      <x:c r="I47" s="22" t="n">
        <x:v>8671</x:v>
      </x:c>
      <x:c r="J47" s="22" t="n">
        <x:v>6.6</x:v>
      </x:c>
      <x:c r="K47" s="22" t="n">
        <x:v>17.2</x:v>
      </x:c>
      <x:c r="L47" s="22" t="n">
        <x:v>0.75</x:v>
      </x:c>
      <x:c r="M47" s="22" t="n">
        <x:v>3.33</x:v>
      </x:c>
      <x:c r="N47" s="22" t="n">
        <x:v>85.72</x:v>
      </x:c>
      <x:c r="O47" s="22" t="n">
        <x:v>14.076</x:v>
      </x:c>
      <x:c r="P47" s="20" t="str">
        <x:v>Ernst &amp; Young, PKF</x:v>
      </x:c>
      <x:c r="Q47" s="18" t="n">
        <x:v>0</x:v>
      </x:c>
      <x:c r="R47" s="18" t="n">
        <x:v>0</x:v>
      </x:c>
      <x:c r="S47" s="20" t="str">
        <x:v>p. 7; Tables 6(a)/(b)</x:v>
      </x:c>
    </x:row>
    <x:row r="48" ht="30" customHeight="1">
      <x:c r="A48" s="20" t="str">
        <x:v>Fidelity</x:v>
      </x:c>
      <x:c r="B48" s="18" t="n">
        <x:v>2017</x:v>
      </x:c>
      <x:c r="C48" s="18" t="str">
        <x:v>Tier 2</x:v>
      </x:c>
      <x:c r="D48" s="22" t="n">
        <x:v>17768</x:v>
      </x:c>
      <x:c r="E48" s="22" t="n">
        <x:v>180244</x:v>
      </x:c>
      <x:c r="F48" s="22" t="n">
        <x:v>1379214</x:v>
      </x:c>
      <x:c r="G48" s="22" t="n">
        <x:v>795315</x:v>
      </x:c>
      <x:c r="H48" s="22" t="n">
        <x:v>26578</x:v>
      </x:c>
      <x:c r="I48" s="22" t="n">
        <x:v>11315</x:v>
      </x:c>
      <x:c r="J48" s="22" t="n">
        <x:v>6.4</x:v>
      </x:c>
      <x:c r="K48" s="22" t="n">
        <x:v>16.03</x:v>
      </x:c>
      <x:c r="L48" s="22" t="n">
        <x:v>1.29</x:v>
      </x:c>
      <x:c r="M48" s="22" t="n">
        <x:v>3.34</x:v>
      </x:c>
      <x:c r="N48" s="22" t="n">
        <x:v>85.4</x:v>
      </x:c>
      <x:c r="O48" s="22" t="n">
        <x:v>14.137</x:v>
      </x:c>
      <x:c r="P48" s="20" t="str">
        <x:v>PKF &amp; Ernst &amp; Young</x:v>
      </x:c>
      <x:c r="Q48" s="18" t="n">
        <x:v>0</x:v>
      </x:c>
      <x:c r="R48" s="18" t="n">
        <x:v>0</x:v>
      </x:c>
      <x:c r="S48" s="20" t="str">
        <x:v>p. 7; Tables 6(a)/(b)</x:v>
      </x:c>
    </x:row>
    <x:row r="49" ht="30" customHeight="1">
      <x:c r="A49" s="20" t="str">
        <x:v>Fidelity</x:v>
      </x:c>
      <x:c r="B49" s="18" t="n">
        <x:v>2018</x:v>
      </x:c>
      <x:c r="C49" s="18" t="str">
        <x:v>Tier 2</x:v>
      </x:c>
      <x:c r="D49" s="22" t="n">
        <x:v>22926</x:v>
      </x:c>
      <x:c r="E49" s="22" t="n">
        <x:v>188873</x:v>
      </x:c>
      <x:c r="F49" s="22" t="n">
        <x:v>1719883</x:v>
      </x:c>
      <x:c r="G49" s="22" t="n">
        <x:v>906623</x:v>
      </x:c>
      <x:c r="H49" s="22" t="n">
        <x:v>56743</x:v>
      </x:c>
      <x:c r="I49" s="22" t="n">
        <x:v>4215</x:v>
      </x:c>
      <x:c r="J49" s="22" t="n">
        <x:v>5.7</x:v>
      </x:c>
      <x:c r="K49" s="22" t="n">
        <x:v>16.7</x:v>
      </x:c>
      <x:c r="L49" s="22" t="n">
        <x:v>1.33</x:v>
      </x:c>
      <x:c r="M49" s="22" t="n">
        <x:v>6.26</x:v>
      </x:c>
      <x:c r="N49" s="22" t="n">
        <x:v>88.7</x:v>
      </x:c>
      <x:c r="O49" s="22" t="n">
        <x:v>14.358</x:v>
      </x:c>
      <x:c r="P49" s="20" t="str">
        <x:v>Ernst &amp; Young</x:v>
      </x:c>
      <x:c r="Q49" s="18" t="n">
        <x:v>0</x:v>
      </x:c>
      <x:c r="R49" s="18" t="n">
        <x:v>1</x:v>
      </x:c>
      <x:c r="S49" s="20" t="str">
        <x:v>p. 7; Tables 6(a)/(b)</x:v>
      </x:c>
    </x:row>
    <x:row r="50" ht="30" customHeight="1">
      <x:c r="A50" s="20" t="str">
        <x:v>Fidelity</x:v>
      </x:c>
      <x:c r="B50" s="18" t="n">
        <x:v>2019</x:v>
      </x:c>
      <x:c r="C50" s="18" t="str">
        <x:v>Tier 2</x:v>
      </x:c>
      <x:c r="D50" s="22" t="n">
        <x:v>28425</x:v>
      </x:c>
      <x:c r="E50" s="22" t="n">
        <x:v>218011</x:v>
      </x:c>
      <x:c r="F50" s="22" t="n">
        <x:v>2114037</x:v>
      </x:c>
      <x:c r="G50" s="22" t="n">
        <x:v>1178389</x:v>
      </x:c>
      <x:c r="H50" s="22" t="n">
        <x:v>51415</x:v>
      </x:c>
      <x:c r="I50" s="22"/>
      <x:c r="J50" s="22" t="n">
        <x:v>3.3</x:v>
      </x:c>
      <x:c r="K50" s="22" t="n">
        <x:v>18.3</x:v>
      </x:c>
      <x:c r="L50" s="22" t="n">
        <x:v>1.35</x:v>
      </x:c>
      <x:c r="M50" s="22" t="n">
        <x:v>4.36</x:v>
      </x:c>
      <x:c r="N50" s="22" t="n">
        <x:v>88.93</x:v>
      </x:c>
      <x:c r="O50" s="22" t="n">
        <x:v>14.56</x:v>
      </x:c>
      <x:c r="P50" s="20" t="str">
        <x:v>Ernst &amp; Young</x:v>
      </x:c>
      <x:c r="Q50" s="18" t="n">
        <x:v>0</x:v>
      </x:c>
      <x:c r="R50" s="18" t="n">
        <x:v>1</x:v>
      </x:c>
      <x:c r="S50" s="20" t="str">
        <x:v>p. 7; Tables 6(a)/(b)</x:v>
      </x:c>
    </x:row>
    <x:row r="51" ht="30" customHeight="1">
      <x:c r="A51" s="20" t="str">
        <x:v>Fidelity</x:v>
      </x:c>
      <x:c r="B51" s="18" t="n">
        <x:v>2020</x:v>
      </x:c>
      <x:c r="C51" s="18" t="str">
        <x:v>Tier 2</x:v>
      </x:c>
      <x:c r="D51" s="22" t="n">
        <x:v>26650</x:v>
      </x:c>
      <x:c r="E51" s="22" t="n">
        <x:v>206204</x:v>
      </x:c>
      <x:c r="F51" s="22" t="n">
        <x:v>2758148</x:v>
      </x:c>
      <x:c r="G51" s="22" t="n">
        <x:v>1393624</x:v>
      </x:c>
      <x:c r="H51" s="22" t="n">
        <x:v>67518</x:v>
      </x:c>
      <x:c r="I51" s="22" t="n">
        <x:v>16858</x:v>
      </x:c>
      <x:c r="J51" s="22" t="n">
        <x:v>3.8</x:v>
      </x:c>
      <x:c r="K51" s="22" t="n">
        <x:v>18.2</x:v>
      </x:c>
      <x:c r="L51" s="22" t="n">
        <x:v>0.97</x:v>
      </x:c>
      <x:c r="M51" s="22" t="n">
        <x:v>4.85</x:v>
      </x:c>
      <x:c r="N51" s="22" t="n">
        <x:v>90.08</x:v>
      </x:c>
      <x:c r="O51" s="22" t="n">
        <x:v>14.83</x:v>
      </x:c>
      <x:c r="P51" s="20" t="str">
        <x:v>Ernst &amp; Young</x:v>
      </x:c>
      <x:c r="Q51" s="18" t="n">
        <x:v>0</x:v>
      </x:c>
      <x:c r="R51" s="18" t="n">
        <x:v>1</x:v>
      </x:c>
      <x:c r="S51" s="20" t="str">
        <x:v>p. 7; Tables 6(a)/(b)</x:v>
      </x:c>
    </x:row>
    <x:row r="52" ht="30" customHeight="1">
      <x:c r="A52" s="20" t="str">
        <x:v>Fidelity</x:v>
      </x:c>
      <x:c r="B52" s="18" t="n">
        <x:v>2021</x:v>
      </x:c>
      <x:c r="C52" s="18" t="str">
        <x:v>Tier 2</x:v>
      </x:c>
      <x:c r="D52" s="22" t="n">
        <x:v>23104</x:v>
      </x:c>
      <x:c r="E52" s="22" t="n">
        <x:v>250776</x:v>
      </x:c>
      <x:c r="F52" s="22" t="n">
        <x:v>3280454</x:v>
      </x:c>
      <x:c r="G52" s="22" t="n">
        <x:v>1732543</x:v>
      </x:c>
      <x:c r="H52" s="22" t="n">
        <x:v>74131</x:v>
      </x:c>
      <x:c r="I52" s="22" t="n">
        <x:v>7034</x:v>
      </x:c>
      <x:c r="J52" s="22" t="n">
        <x:v>2.9</x:v>
      </x:c>
      <x:c r="K52" s="22" t="n">
        <x:v>19.15</x:v>
      </x:c>
      <x:c r="L52" s="22" t="n">
        <x:v>0.7</x:v>
      </x:c>
      <x:c r="M52" s="22" t="n">
        <x:v>4.28</x:v>
      </x:c>
      <x:c r="N52" s="22" t="n">
        <x:v>91.3</x:v>
      </x:c>
      <x:c r="O52" s="22" t="n">
        <x:v>15</x:v>
      </x:c>
      <x:c r="P52" s="20" t="str">
        <x:v>Deloitte &amp; Touche</x:v>
      </x:c>
      <x:c r="Q52" s="18" t="n">
        <x:v>0</x:v>
      </x:c>
      <x:c r="R52" s="18" t="n">
        <x:v>1</x:v>
      </x:c>
      <x:c r="S52" s="20" t="str">
        <x:v>p. 7; Tables 6(a)/(b)</x:v>
      </x:c>
    </x:row>
    <x:row r="53" ht="30" customHeight="1">
      <x:c r="A53" s="20" t="str">
        <x:v>Fidelity</x:v>
      </x:c>
      <x:c r="B53" s="18" t="n">
        <x:v>2022</x:v>
      </x:c>
      <x:c r="C53" s="18" t="str">
        <x:v>Tier 2</x:v>
      </x:c>
      <x:c r="D53" s="22" t="n">
        <x:v>46724</x:v>
      </x:c>
      <x:c r="E53" s="22" t="n">
        <x:v>337050</x:v>
      </x:c>
      <x:c r="F53" s="22" t="n">
        <x:v>3989009</x:v>
      </x:c>
      <x:c r="G53" s="22" t="n">
        <x:v>2196760</x:v>
      </x:c>
      <x:c r="H53" s="22" t="n">
        <x:v>80548</x:v>
      </x:c>
      <x:c r="I53" s="22" t="n">
        <x:v>5443</x:v>
      </x:c>
      <x:c r="J53" s="22" t="n">
        <x:v>2.9</x:v>
      </x:c>
      <x:c r="K53" s="22" t="n">
        <x:v>18.14</x:v>
      </x:c>
      <x:c r="L53" s="22" t="n">
        <x:v>1.17</x:v>
      </x:c>
      <x:c r="M53" s="22" t="n">
        <x:v>3.67</x:v>
      </x:c>
      <x:c r="N53" s="22" t="n">
        <x:v>92.12</x:v>
      </x:c>
      <x:c r="O53" s="22" t="n">
        <x:v>15.2</x:v>
      </x:c>
      <x:c r="P53" s="20" t="str">
        <x:v>Deloitte &amp; Touche</x:v>
      </x:c>
      <x:c r="Q53" s="18" t="n">
        <x:v>0</x:v>
      </x:c>
      <x:c r="R53" s="18" t="n">
        <x:v>1</x:v>
      </x:c>
      <x:c r="S53" s="20" t="str">
        <x:v>p. 7; Tables 6(a)/(b)</x:v>
      </x:c>
    </x:row>
    <x:row r="54" ht="30" customHeight="1">
      <x:c r="A54" s="20" t="str">
        <x:v>Stanbic</x:v>
      </x:c>
      <x:c r="B54" s="18" t="n">
        <x:v>2015</x:v>
      </x:c>
      <x:c r="C54" s="18" t="str">
        <x:v>Tier 2</x:v>
      </x:c>
      <x:c r="D54" s="22" t="n">
        <x:v>6232</x:v>
      </x:c>
      <x:c r="E54" s="22" t="n">
        <x:v>118400</x:v>
      </x:c>
      <x:c r="F54" s="22" t="n">
        <x:v>890580</x:v>
      </x:c>
      <x:c r="G54" s="22" t="n">
        <x:v>406210</x:v>
      </x:c>
      <x:c r="H54" s="22" t="n">
        <x:v>25915</x:v>
      </x:c>
      <x:c r="I54" s="22" t="n">
        <x:v>15114</x:v>
      </x:c>
      <x:c r="J54" s="22" t="n">
        <x:v>6.65</x:v>
      </x:c>
      <x:c r="K54" s="22" t="n">
        <x:v>18.3</x:v>
      </x:c>
      <x:c r="L54" s="22" t="n">
        <x:v>0.7</x:v>
      </x:c>
      <x:c r="M54" s="22" t="n">
        <x:v>6.38</x:v>
      </x:c>
      <x:c r="N54" s="22" t="n">
        <x:v>86.2</x:v>
      </x:c>
      <x:c r="O54" s="22" t="n">
        <x:v>13.7</x:v>
      </x:c>
      <x:c r="P54" s="20" t="str">
        <x:v>PwC</x:v>
      </x:c>
      <x:c r="Q54" s="18" t="n">
        <x:v>0</x:v>
      </x:c>
      <x:c r="R54" s="18" t="n">
        <x:v>0</x:v>
      </x:c>
      <x:c r="S54" s="20" t="str">
        <x:v>p. 8; Tables 7(a)/(b)</x:v>
      </x:c>
    </x:row>
    <x:row r="55" ht="30" customHeight="1">
      <x:c r="A55" s="20" t="str">
        <x:v>Stanbic</x:v>
      </x:c>
      <x:c r="B55" s="18" t="n">
        <x:v>2016</x:v>
      </x:c>
      <x:c r="C55" s="18" t="str">
        <x:v>Tier 2</x:v>
      </x:c>
      <x:c r="D55" s="22" t="n">
        <x:v>15030</x:v>
      </x:c>
      <x:c r="E55" s="22" t="n">
        <x:v>142500</x:v>
      </x:c>
      <x:c r="F55" s="22" t="n">
        <x:v>993759</x:v>
      </x:c>
      <x:c r="G55" s="22" t="n">
        <x:v>390580</x:v>
      </x:c>
      <x:c r="H55" s="22" t="n">
        <x:v>22351</x:v>
      </x:c>
      <x:c r="I55" s="22" t="n">
        <x:v>20272</x:v>
      </x:c>
      <x:c r="J55" s="22" t="n">
        <x:v>4.78</x:v>
      </x:c>
      <x:c r="K55" s="22" t="n">
        <x:v>21</x:v>
      </x:c>
      <x:c r="L55" s="22" t="n">
        <x:v>1.51</x:v>
      </x:c>
      <x:c r="M55" s="22" t="n">
        <x:v>5.72</x:v>
      </x:c>
      <x:c r="N55" s="22" t="n">
        <x:v>88.2</x:v>
      </x:c>
      <x:c r="O55" s="22" t="n">
        <x:v>13.81</x:v>
      </x:c>
      <x:c r="P55" s="20" t="str">
        <x:v>PwC</x:v>
      </x:c>
      <x:c r="Q55" s="18" t="n">
        <x:v>0</x:v>
      </x:c>
      <x:c r="R55" s="18" t="n">
        <x:v>0</x:v>
      </x:c>
      <x:c r="S55" s="20" t="str">
        <x:v>p. 8; Tables 7(a)/(b)</x:v>
      </x:c>
    </x:row>
    <x:row r="56" ht="30" customHeight="1">
      <x:c r="A56" s="20" t="str">
        <x:v>Stanbic</x:v>
      </x:c>
      <x:c r="B56" s="18" t="n">
        <x:v>2017</x:v>
      </x:c>
      <x:c r="C56" s="18" t="str">
        <x:v>Tier 2</x:v>
      </x:c>
      <x:c r="D56" s="22" t="n">
        <x:v>28842</x:v>
      </x:c>
      <x:c r="E56" s="22" t="n">
        <x:v>166302</x:v>
      </x:c>
      <x:c r="F56" s="22" t="n">
        <x:v>1332669</x:v>
      </x:c>
      <x:c r="G56" s="22" t="n">
        <x:v>391000</x:v>
      </x:c>
      <x:c r="H56" s="22" t="n">
        <x:v>26000</x:v>
      </x:c>
      <x:c r="I56" s="22" t="n">
        <x:v>-25577</x:v>
      </x:c>
      <x:c r="J56" s="22" t="n">
        <x:v>4.2</x:v>
      </x:c>
      <x:c r="K56" s="22" t="n">
        <x:v>20.5</x:v>
      </x:c>
      <x:c r="L56" s="22" t="n">
        <x:v>2.16</x:v>
      </x:c>
      <x:c r="M56" s="22" t="n">
        <x:v>6.65</x:v>
      </x:c>
      <x:c r="N56" s="22" t="n">
        <x:v>89.59</x:v>
      </x:c>
      <x:c r="O56" s="22" t="n">
        <x:v>14.103</x:v>
      </x:c>
      <x:c r="P56" s="20" t="str">
        <x:v>KPMG</x:v>
      </x:c>
      <x:c r="Q56" s="18" t="n">
        <x:v>0</x:v>
      </x:c>
      <x:c r="R56" s="18" t="n">
        <x:v>0</x:v>
      </x:c>
      <x:c r="S56" s="20" t="str">
        <x:v>p. 8; Tables 7(a)/(b)</x:v>
      </x:c>
    </x:row>
    <x:row r="57" ht="30" customHeight="1">
      <x:c r="A57" s="20" t="str">
        <x:v>Stanbic</x:v>
      </x:c>
      <x:c r="B57" s="18" t="n">
        <x:v>2018</x:v>
      </x:c>
      <x:c r="C57" s="18" t="str">
        <x:v>Tier 2</x:v>
      </x:c>
      <x:c r="D57" s="22" t="n">
        <x:v>49912</x:v>
      </x:c>
      <x:c r="E57" s="22" t="n">
        <x:v>169207</x:v>
      </x:c>
      <x:c r="F57" s="22" t="n">
        <x:v>1613500</x:v>
      </x:c>
      <x:c r="G57" s="22" t="n">
        <x:v>600000</x:v>
      </x:c>
      <x:c r="H57" s="22" t="n">
        <x:v>28500</x:v>
      </x:c>
      <x:c r="I57" s="22" t="n">
        <x:v>2988</x:v>
      </x:c>
      <x:c r="J57" s="22" t="n">
        <x:v>3.9</x:v>
      </x:c>
      <x:c r="K57" s="22" t="n">
        <x:v>18.5</x:v>
      </x:c>
      <x:c r="L57" s="22" t="n">
        <x:v>3.09</x:v>
      </x:c>
      <x:c r="M57" s="22" t="n">
        <x:v>4.75</x:v>
      </x:c>
      <x:c r="N57" s="22" t="n">
        <x:v>89</x:v>
      </x:c>
      <x:c r="O57" s="22" t="n">
        <x:v>14.294</x:v>
      </x:c>
      <x:c r="P57" s="20" t="str">
        <x:v>PwC</x:v>
      </x:c>
      <x:c r="Q57" s="18" t="n">
        <x:v>0</x:v>
      </x:c>
      <x:c r="R57" s="18" t="n">
        <x:v>1</x:v>
      </x:c>
      <x:c r="S57" s="20" t="str">
        <x:v>p. 8; Tables 7(a)/(b)</x:v>
      </x:c>
    </x:row>
    <x:row r="58" ht="30" customHeight="1">
      <x:c r="A58" s="20" t="str">
        <x:v>Stanbic</x:v>
      </x:c>
      <x:c r="B58" s="18" t="n">
        <x:v>2019</x:v>
      </x:c>
      <x:c r="C58" s="18" t="str">
        <x:v>Tier 2</x:v>
      </x:c>
      <x:c r="D58" s="22" t="n">
        <x:v>52287</x:v>
      </x:c>
      <x:c r="E58" s="22" t="n">
        <x:v>178828</x:v>
      </x:c>
      <x:c r="F58" s="22" t="n">
        <x:v>1850000</x:v>
      </x:c>
      <x:c r="G58" s="22" t="n">
        <x:v>630000</x:v>
      </x:c>
      <x:c r="H58" s="22" t="n">
        <x:v>29000</x:v>
      </x:c>
      <x:c r="I58" s="22" t="n">
        <x:v>-1664</x:v>
      </x:c>
      <x:c r="J58" s="22" t="n">
        <x:v>3.5</x:v>
      </x:c>
      <x:c r="K58" s="22" t="n">
        <x:v>19</x:v>
      </x:c>
      <x:c r="L58" s="22" t="n">
        <x:v>2.83</x:v>
      </x:c>
      <x:c r="M58" s="22" t="n">
        <x:v>4.6</x:v>
      </x:c>
      <x:c r="N58" s="22" t="n">
        <x:v>88.5</x:v>
      </x:c>
      <x:c r="O58" s="22" t="n">
        <x:v>14.431</x:v>
      </x:c>
      <x:c r="P58" s="20" t="str">
        <x:v>PwC</x:v>
      </x:c>
      <x:c r="Q58" s="18" t="n">
        <x:v>0</x:v>
      </x:c>
      <x:c r="R58" s="18" t="n">
        <x:v>1</x:v>
      </x:c>
      <x:c r="S58" s="20" t="str">
        <x:v>p. 8; Tables 7(a)/(b)</x:v>
      </x:c>
    </x:row>
    <x:row r="59" ht="30" customHeight="1">
      <x:c r="A59" s="20" t="str">
        <x:v>Stanbic</x:v>
      </x:c>
      <x:c r="B59" s="18" t="n">
        <x:v>2020</x:v>
      </x:c>
      <x:c r="C59" s="18" t="str">
        <x:v>Tier 2</x:v>
      </x:c>
      <x:c r="D59" s="22" t="n">
        <x:v>59489</x:v>
      </x:c>
      <x:c r="E59" s="22" t="n">
        <x:v>178308</x:v>
      </x:c>
      <x:c r="F59" s="22" t="n">
        <x:v>2370347</x:v>
      </x:c>
      <x:c r="G59" s="22" t="n">
        <x:v>655292</x:v>
      </x:c>
      <x:c r="H59" s="22" t="n">
        <x:v>30153</x:v>
      </x:c>
      <x:c r="I59" s="22" t="n">
        <x:v>-10170</x:v>
      </x:c>
      <x:c r="J59" s="22" t="n">
        <x:v>4.04</x:v>
      </x:c>
      <x:c r="K59" s="22" t="n">
        <x:v>19.4</x:v>
      </x:c>
      <x:c r="L59" s="22" t="n">
        <x:v>2.51</x:v>
      </x:c>
      <x:c r="M59" s="22" t="n">
        <x:v>4.6</x:v>
      </x:c>
      <x:c r="N59" s="22" t="n">
        <x:v>89.79</x:v>
      </x:c>
      <x:c r="O59" s="22" t="n">
        <x:v>14.679</x:v>
      </x:c>
      <x:c r="P59" s="20" t="str">
        <x:v>PwC</x:v>
      </x:c>
      <x:c r="Q59" s="18" t="n">
        <x:v>0</x:v>
      </x:c>
      <x:c r="R59" s="18" t="n">
        <x:v>1</x:v>
      </x:c>
      <x:c r="S59" s="20" t="str">
        <x:v>p. 8; Tables 7(a)/(b)</x:v>
      </x:c>
    </x:row>
    <x:row r="60" ht="30" customHeight="1">
      <x:c r="A60" s="20" t="str">
        <x:v>Stanbic</x:v>
      </x:c>
      <x:c r="B60" s="18" t="n">
        <x:v>2021</x:v>
      </x:c>
      <x:c r="C60" s="18" t="str">
        <x:v>Tier 2</x:v>
      </x:c>
      <x:c r="D60" s="22" t="n">
        <x:v>29570</x:v>
      </x:c>
      <x:c r="E60" s="22" t="n">
        <x:v>140036</x:v>
      </x:c>
      <x:c r="F60" s="22" t="n">
        <x:v>2614087</x:v>
      </x:c>
      <x:c r="G60" s="22" t="n">
        <x:v>946259</x:v>
      </x:c>
      <x:c r="H60" s="22" t="n">
        <x:v>25215</x:v>
      </x:c>
      <x:c r="I60" s="22" t="n">
        <x:v>1208</x:v>
      </x:c>
      <x:c r="J60" s="22" t="n">
        <x:v>2.15</x:v>
      </x:c>
      <x:c r="K60" s="22" t="n">
        <x:v>16.1</x:v>
      </x:c>
      <x:c r="L60" s="22" t="n">
        <x:v>1.13</x:v>
      </x:c>
      <x:c r="M60" s="22" t="n">
        <x:v>2.66</x:v>
      </x:c>
      <x:c r="N60" s="22" t="n">
        <x:v>90.37</x:v>
      </x:c>
      <x:c r="O60" s="22" t="n">
        <x:v>14.776</x:v>
      </x:c>
      <x:c r="P60" s="20" t="str">
        <x:v>PwC</x:v>
      </x:c>
      <x:c r="Q60" s="18" t="n">
        <x:v>0</x:v>
      </x:c>
      <x:c r="R60" s="18" t="n">
        <x:v>1</x:v>
      </x:c>
      <x:c r="S60" s="20" t="str">
        <x:v>p. 8; Tables 7(a)/(b)</x:v>
      </x:c>
    </x:row>
    <x:row r="61" ht="30" customHeight="1">
      <x:c r="A61" s="20" t="str">
        <x:v>Stanbic</x:v>
      </x:c>
      <x:c r="B61" s="18" t="n">
        <x:v>2022</x:v>
      </x:c>
      <x:c r="C61" s="18" t="str">
        <x:v>Tier 2</x:v>
      </x:c>
      <x:c r="D61" s="22" t="n">
        <x:v>55150</x:v>
      </x:c>
      <x:c r="E61" s="22" t="n">
        <x:v>211549</x:v>
      </x:c>
      <x:c r="F61" s="22" t="n">
        <x:v>2854509</x:v>
      </x:c>
      <x:c r="G61" s="22" t="n">
        <x:v>1241603</x:v>
      </x:c>
      <x:c r="H61" s="22" t="n">
        <x:v>33414</x:v>
      </x:c>
      <x:c r="I61" s="22" t="n">
        <x:v>10147</x:v>
      </x:c>
      <x:c r="J61" s="22" t="n">
        <x:v>2.38</x:v>
      </x:c>
      <x:c r="K61" s="22" t="n">
        <x:v>18.4</x:v>
      </x:c>
      <x:c r="L61" s="22" t="n">
        <x:v>1.93</x:v>
      </x:c>
      <x:c r="M61" s="22" t="n">
        <x:v>2.69</x:v>
      </x:c>
      <x:c r="N61" s="22" t="n">
        <x:v>90.22</x:v>
      </x:c>
      <x:c r="O61" s="22" t="n">
        <x:v>14.864</x:v>
      </x:c>
      <x:c r="P61" s="20" t="str">
        <x:v>PwC</x:v>
      </x:c>
      <x:c r="Q61" s="18" t="n">
        <x:v>0</x:v>
      </x:c>
      <x:c r="R61" s="18" t="n">
        <x:v>1</x:v>
      </x:c>
      <x:c r="S61" s="20" t="str">
        <x:v>p. 8; Tables 7(a)/(b)</x:v>
      </x:c>
    </x:row>
    <x:row r="62" ht="30" customHeight="1">
      <x:c r="A62" s="20" t="str">
        <x:v>Sterling</x:v>
      </x:c>
      <x:c r="B62" s="18" t="n">
        <x:v>2015</x:v>
      </x:c>
      <x:c r="C62" s="18" t="str">
        <x:v>Tier 2</x:v>
      </x:c>
      <x:c r="D62" s="22" t="n">
        <x:v>10293</x:v>
      </x:c>
      <x:c r="E62" s="22" t="n">
        <x:v>110194</x:v>
      </x:c>
      <x:c r="F62" s="22" t="n">
        <x:v>799451</x:v>
      </x:c>
      <x:c r="G62" s="22" t="n">
        <x:v>354475</x:v>
      </x:c>
      <x:c r="H62" s="22" t="n">
        <x:v>15749</x:v>
      </x:c>
      <x:c r="I62" s="22" t="n">
        <x:v>8151</x:v>
      </x:c>
      <x:c r="J62" s="22" t="n">
        <x:v>4.8</x:v>
      </x:c>
      <x:c r="K62" s="22" t="n">
        <x:v>17.5</x:v>
      </x:c>
      <x:c r="L62" s="22" t="n">
        <x:v>1.29</x:v>
      </x:c>
      <x:c r="M62" s="22" t="n">
        <x:v>4.44</x:v>
      </x:c>
      <x:c r="N62" s="22" t="n">
        <x:v>88.05</x:v>
      </x:c>
      <x:c r="O62" s="22" t="n">
        <x:v>13.592</x:v>
      </x:c>
      <x:c r="P62" s="20" t="str">
        <x:v>Ernst &amp; Young</x:v>
      </x:c>
      <x:c r="Q62" s="18" t="n">
        <x:v>0</x:v>
      </x:c>
      <x:c r="R62" s="18" t="n">
        <x:v>0</x:v>
      </x:c>
      <x:c r="S62" s="20" t="str">
        <x:v>p. 9; Tables 8(a)/(b)</x:v>
      </x:c>
    </x:row>
    <x:row r="63" ht="30" customHeight="1">
      <x:c r="A63" s="20" t="str">
        <x:v>Sterling</x:v>
      </x:c>
      <x:c r="B63" s="18" t="n">
        <x:v>2016</x:v>
      </x:c>
      <x:c r="C63" s="18" t="str">
        <x:v>Tier 2</x:v>
      </x:c>
      <x:c r="D63" s="22" t="n">
        <x:v>5181</x:v>
      </x:c>
      <x:c r="E63" s="22" t="n">
        <x:v>111238</x:v>
      </x:c>
      <x:c r="F63" s="22" t="n">
        <x:v>834190</x:v>
      </x:c>
      <x:c r="G63" s="22" t="n">
        <x:v>476713</x:v>
      </x:c>
      <x:c r="H63" s="22" t="n">
        <x:v>8463</x:v>
      </x:c>
      <x:c r="I63" s="22" t="n">
        <x:v>11714</x:v>
      </x:c>
      <x:c r="J63" s="22" t="n">
        <x:v>9.9</x:v>
      </x:c>
      <x:c r="K63" s="22" t="n">
        <x:v>11.16</x:v>
      </x:c>
      <x:c r="L63" s="22" t="n">
        <x:v>0.62</x:v>
      </x:c>
      <x:c r="M63" s="22" t="n">
        <x:v>1.78</x:v>
      </x:c>
      <x:c r="N63" s="22" t="n">
        <x:v>89.73</x:v>
      </x:c>
      <x:c r="O63" s="22" t="n">
        <x:v>13.634</x:v>
      </x:c>
      <x:c r="P63" s="20" t="str">
        <x:v>KPMG</x:v>
      </x:c>
      <x:c r="Q63" s="18" t="n">
        <x:v>0</x:v>
      </x:c>
      <x:c r="R63" s="18" t="n">
        <x:v>0</x:v>
      </x:c>
      <x:c r="S63" s="20" t="str">
        <x:v>p. 9; Tables 8(a)/(b)</x:v>
      </x:c>
    </x:row>
    <x:row r="64" ht="30" customHeight="1">
      <x:c r="A64" s="20" t="str">
        <x:v>Sterling</x:v>
      </x:c>
      <x:c r="B64" s="18" t="n">
        <x:v>2017</x:v>
      </x:c>
      <x:c r="C64" s="18" t="str">
        <x:v>Tier 2</x:v>
      </x:c>
      <x:c r="D64" s="22" t="n">
        <x:v>8455</x:v>
      </x:c>
      <x:c r="E64" s="22" t="n">
        <x:v>133022</x:v>
      </x:c>
      <x:c r="F64" s="22" t="n">
        <x:v>1068798</x:v>
      </x:c>
      <x:c r="G64" s="22" t="n">
        <x:v>617577</x:v>
      </x:c>
      <x:c r="H64" s="22" t="n">
        <x:v>19504</x:v>
      </x:c>
      <x:c r="I64" s="22" t="n">
        <x:v>12267</x:v>
      </x:c>
      <x:c r="J64" s="22" t="n">
        <x:v>6.2</x:v>
      </x:c>
      <x:c r="K64" s="22" t="n">
        <x:v>11.73</x:v>
      </x:c>
      <x:c r="L64" s="22" t="n">
        <x:v>0.79</x:v>
      </x:c>
      <x:c r="M64" s="22" t="n">
        <x:v>3.16</x:v>
      </x:c>
      <x:c r="N64" s="22" t="n">
        <x:v>90.37</x:v>
      </x:c>
      <x:c r="O64" s="22" t="n">
        <x:v>13.882</x:v>
      </x:c>
      <x:c r="P64" s="20" t="str">
        <x:v>Ernst &amp; Young</x:v>
      </x:c>
      <x:c r="Q64" s="18" t="n">
        <x:v>0</x:v>
      </x:c>
      <x:c r="R64" s="18" t="n">
        <x:v>0</x:v>
      </x:c>
      <x:c r="S64" s="20" t="str">
        <x:v>p. 9; Tables 8(a)/(b)</x:v>
      </x:c>
    </x:row>
    <x:row r="65" ht="30" customHeight="1">
      <x:c r="A65" s="20" t="str">
        <x:v>Sterling</x:v>
      </x:c>
      <x:c r="B65" s="18" t="n">
        <x:v>2018</x:v>
      </x:c>
      <x:c r="C65" s="18" t="str">
        <x:v>Tier 2</x:v>
      </x:c>
      <x:c r="D65" s="22" t="n">
        <x:v>9218</x:v>
      </x:c>
      <x:c r="E65" s="22" t="n">
        <x:v>152164</x:v>
      </x:c>
      <x:c r="F65" s="22" t="n">
        <x:v>1102921</x:v>
      </x:c>
      <x:c r="G65" s="22" t="n">
        <x:v>646734</x:v>
      </x:c>
      <x:c r="H65" s="22" t="n">
        <x:v>25717</x:v>
      </x:c>
      <x:c r="I65" s="22"/>
      <x:c r="J65" s="22" t="n">
        <x:v>8.7</x:v>
      </x:c>
      <x:c r="K65" s="22" t="n">
        <x:v>13.4</x:v>
      </x:c>
      <x:c r="L65" s="22" t="n">
        <x:v>0.84</x:v>
      </x:c>
      <x:c r="M65" s="22" t="n">
        <x:v>3.98</x:v>
      </x:c>
      <x:c r="N65" s="22" t="n">
        <x:v>91.13</x:v>
      </x:c>
      <x:c r="O65" s="22" t="n">
        <x:v>13.914</x:v>
      </x:c>
      <x:c r="P65" s="20" t="str">
        <x:v>Ernst &amp; Young</x:v>
      </x:c>
      <x:c r="Q65" s="18" t="n">
        <x:v>0</x:v>
      </x:c>
      <x:c r="R65" s="18" t="n">
        <x:v>1</x:v>
      </x:c>
      <x:c r="S65" s="20" t="str">
        <x:v>p. 9; Tables 8(a)/(b)</x:v>
      </x:c>
    </x:row>
    <x:row r="66" ht="30" customHeight="1">
      <x:c r="A66" s="20" t="str">
        <x:v>Sterling</x:v>
      </x:c>
      <x:c r="B66" s="18" t="n">
        <x:v>2019</x:v>
      </x:c>
      <x:c r="C66" s="18" t="str">
        <x:v>Tier 2</x:v>
      </x:c>
      <x:c r="D66" s="22" t="n">
        <x:v>10163</x:v>
      </x:c>
      <x:c r="E66" s="22" t="n">
        <x:v>147439</x:v>
      </x:c>
      <x:c r="F66" s="22" t="n">
        <x:v>1165509</x:v>
      </x:c>
      <x:c r="G66" s="22" t="n">
        <x:v>631698</x:v>
      </x:c>
      <x:c r="H66" s="22" t="n">
        <x:v>12966</x:v>
      </x:c>
      <x:c r="I66" s="22" t="n">
        <x:v>5842</x:v>
      </x:c>
      <x:c r="J66" s="22" t="n">
        <x:v>2.2</x:v>
      </x:c>
      <x:c r="K66" s="22" t="n">
        <x:v>14.7</x:v>
      </x:c>
      <x:c r="L66" s="22" t="n">
        <x:v>0.87</x:v>
      </x:c>
      <x:c r="M66" s="22" t="n">
        <x:v>2.05</x:v>
      </x:c>
      <x:c r="N66" s="22" t="n">
        <x:v>89.76</x:v>
      </x:c>
      <x:c r="O66" s="22" t="n">
        <x:v>13.969</x:v>
      </x:c>
      <x:c r="P66" s="20" t="str">
        <x:v>Ernst &amp; Young</x:v>
      </x:c>
      <x:c r="Q66" s="18" t="n">
        <x:v>0</x:v>
      </x:c>
      <x:c r="R66" s="18" t="n">
        <x:v>1</x:v>
      </x:c>
      <x:c r="S66" s="20" t="str">
        <x:v>p. 9; Tables 8(a)/(b)</x:v>
      </x:c>
    </x:row>
    <x:row r="67" ht="30" customHeight="1">
      <x:c r="A67" s="20" t="str">
        <x:v>Sterling</x:v>
      </x:c>
      <x:c r="B67" s="18" t="n">
        <x:v>2020</x:v>
      </x:c>
      <x:c r="C67" s="18" t="str">
        <x:v>Tier 2</x:v>
      </x:c>
      <x:c r="D67" s="22" t="n">
        <x:v>11110</x:v>
      </x:c>
      <x:c r="E67" s="22" t="n">
        <x:v>136475</x:v>
      </x:c>
      <x:c r="F67" s="22" t="n">
        <x:v>1281830</x:v>
      </x:c>
      <x:c r="G67" s="22" t="n">
        <x:v>613359</x:v>
      </x:c>
      <x:c r="H67" s="22" t="n">
        <x:v>16532</x:v>
      </x:c>
      <x:c r="I67" s="22" t="n">
        <x:v>7913</x:v>
      </x:c>
      <x:c r="J67" s="22" t="n">
        <x:v>1.9</x:v>
      </x:c>
      <x:c r="K67" s="22" t="n">
        <x:v>17.98</x:v>
      </x:c>
      <x:c r="L67" s="22" t="n">
        <x:v>0.87</x:v>
      </x:c>
      <x:c r="M67" s="22" t="n">
        <x:v>2.7</x:v>
      </x:c>
      <x:c r="N67" s="22" t="n">
        <x:v>89.44</x:v>
      </x:c>
      <x:c r="O67" s="22" t="n">
        <x:v>14.064</x:v>
      </x:c>
      <x:c r="P67" s="20" t="str">
        <x:v>Deloitte &amp; Touche</x:v>
      </x:c>
      <x:c r="Q67" s="18" t="n">
        <x:v>0</x:v>
      </x:c>
      <x:c r="R67" s="18" t="n">
        <x:v>1</x:v>
      </x:c>
      <x:c r="S67" s="20" t="str">
        <x:v>p. 9; Tables 8(a)/(b)</x:v>
      </x:c>
    </x:row>
    <x:row r="68" ht="30" customHeight="1">
      <x:c r="A68" s="20" t="str">
        <x:v>Sterling</x:v>
      </x:c>
      <x:c r="B68" s="18" t="n">
        <x:v>2021</x:v>
      </x:c>
      <x:c r="C68" s="18" t="str">
        <x:v>Tier 2</x:v>
      </x:c>
      <x:c r="D68" s="22" t="n">
        <x:v>13403</x:v>
      </x:c>
      <x:c r="E68" s="22" t="n">
        <x:v>139922</x:v>
      </x:c>
      <x:c r="F68" s="22" t="n">
        <x:v>1611749</x:v>
      </x:c>
      <x:c r="G68" s="22" t="n">
        <x:v>726080</x:v>
      </x:c>
      <x:c r="H68" s="22" t="n">
        <x:v>14180</x:v>
      </x:c>
      <x:c r="I68" s="22" t="n">
        <x:v>9822</x:v>
      </x:c>
      <x:c r="J68" s="22" t="n">
        <x:v>1</x:v>
      </x:c>
      <x:c r="K68" s="22" t="n">
        <x:v>14.82</x:v>
      </x:c>
      <x:c r="L68" s="22" t="n">
        <x:v>0.83</x:v>
      </x:c>
      <x:c r="M68" s="22" t="n">
        <x:v>1.95</x:v>
      </x:c>
      <x:c r="N68" s="22" t="n">
        <x:v>91.12</x:v>
      </x:c>
      <x:c r="O68" s="22" t="n">
        <x:v>14.293</x:v>
      </x:c>
      <x:c r="P68" s="20" t="str">
        <x:v>Deloitte &amp; Touche</x:v>
      </x:c>
      <x:c r="Q68" s="18" t="n">
        <x:v>0</x:v>
      </x:c>
      <x:c r="R68" s="18" t="n">
        <x:v>1</x:v>
      </x:c>
      <x:c r="S68" s="20" t="str">
        <x:v>p. 9; Tables 8(a)/(b)</x:v>
      </x:c>
    </x:row>
    <x:row r="69" ht="30" customHeight="1">
      <x:c r="A69" s="20" t="str">
        <x:v>Sterling</x:v>
      </x:c>
      <x:c r="B69" s="18" t="n">
        <x:v>2022</x:v>
      </x:c>
      <x:c r="C69" s="18" t="str">
        <x:v>Tier 2</x:v>
      </x:c>
      <x:c r="D69" s="22" t="n">
        <x:v>19327</x:v>
      </x:c>
      <x:c r="E69" s="22" t="n">
        <x:v>172832</x:v>
      </x:c>
      <x:c r="F69" s="22" t="n">
        <x:v>1840622</x:v>
      </x:c>
      <x:c r="G69" s="22" t="n">
        <x:v>758183</x:v>
      </x:c>
      <x:c r="H69" s="22" t="n">
        <x:v>20448</x:v>
      </x:c>
      <x:c r="I69" s="22" t="n">
        <x:v>9084</x:v>
      </x:c>
      <x:c r="J69" s="22" t="n">
        <x:v>4</x:v>
      </x:c>
      <x:c r="K69" s="22" t="n">
        <x:v>14.67</x:v>
      </x:c>
      <x:c r="L69" s="22" t="n">
        <x:v>1.05</x:v>
      </x:c>
      <x:c r="M69" s="22" t="n">
        <x:v>2.7</x:v>
      </x:c>
      <x:c r="N69" s="22" t="n">
        <x:v>91.66</x:v>
      </x:c>
      <x:c r="O69" s="22" t="n">
        <x:v>14.426</x:v>
      </x:c>
      <x:c r="P69" s="20" t="str">
        <x:v>Deloitte &amp; Touche</x:v>
      </x:c>
      <x:c r="Q69" s="18" t="n">
        <x:v>0</x:v>
      </x:c>
      <x:c r="R69" s="18" t="n">
        <x:v>1</x:v>
      </x:c>
      <x:c r="S69" s="20" t="str">
        <x:v>p. 9; Tables 8(a)/(b)</x:v>
      </x:c>
    </x:row>
    <x:row r="70" ht="30" customHeight="1">
      <x:c r="A70" s="20" t="str">
        <x:v>Wema</x:v>
      </x:c>
      <x:c r="B70" s="18" t="n">
        <x:v>2015</x:v>
      </x:c>
      <x:c r="C70" s="18" t="str">
        <x:v>Tier 2</x:v>
      </x:c>
      <x:c r="D70" s="22" t="n">
        <x:v>2273</x:v>
      </x:c>
      <x:c r="E70" s="22" t="n">
        <x:v>45869</x:v>
      </x:c>
      <x:c r="F70" s="22" t="n">
        <x:v>396743</x:v>
      </x:c>
      <x:c r="G70" s="22" t="n">
        <x:v>188023</x:v>
      </x:c>
      <x:c r="H70" s="22" t="n">
        <x:v>2426</x:v>
      </x:c>
      <x:c r="I70" s="22"/>
      <x:c r="J70" s="22" t="n">
        <x:v>2.67</x:v>
      </x:c>
      <x:c r="K70" s="22" t="n">
        <x:v>15.1</x:v>
      </x:c>
      <x:c r="L70" s="22" t="n">
        <x:v>0.57</x:v>
      </x:c>
      <x:c r="M70" s="22" t="n">
        <x:v>1.29</x:v>
      </x:c>
      <x:c r="N70" s="22" t="n">
        <x:v>88.39</x:v>
      </x:c>
      <x:c r="O70" s="22" t="n">
        <x:v>12.891</x:v>
      </x:c>
      <x:c r="P70" s="20" t="str">
        <x:v>Akintola Williams Deloitte</x:v>
      </x:c>
      <x:c r="Q70" s="18" t="n">
        <x:v>0</x:v>
      </x:c>
      <x:c r="R70" s="18" t="n">
        <x:v>0</x:v>
      </x:c>
      <x:c r="S70" s="20" t="str">
        <x:v>p. 10; Tables 9(a)/(b)</x:v>
      </x:c>
    </x:row>
    <x:row r="71" ht="30" customHeight="1">
      <x:c r="A71" s="20" t="str">
        <x:v>Wema</x:v>
      </x:c>
      <x:c r="B71" s="18" t="n">
        <x:v>2016</x:v>
      </x:c>
      <x:c r="C71" s="18" t="str">
        <x:v>Tier 2</x:v>
      </x:c>
      <x:c r="D71" s="22" t="n">
        <x:v>2592</x:v>
      </x:c>
      <x:c r="E71" s="22" t="n">
        <x:v>53834</x:v>
      </x:c>
      <x:c r="F71" s="22" t="n">
        <x:v>421221</x:v>
      </x:c>
      <x:c r="G71" s="22" t="n">
        <x:v>229841</x:v>
      </x:c>
      <x:c r="H71" s="22" t="n">
        <x:v>2832</x:v>
      </x:c>
      <x:c r="I71" s="22" t="n">
        <x:v>412</x:v>
      </x:c>
      <x:c r="J71" s="22" t="n">
        <x:v>5.07</x:v>
      </x:c>
      <x:c r="K71" s="22" t="n">
        <x:v>11.07</x:v>
      </x:c>
      <x:c r="L71" s="22" t="n">
        <x:v>0.62</x:v>
      </x:c>
      <x:c r="M71" s="22" t="n">
        <x:v>1.23</x:v>
      </x:c>
      <x:c r="N71" s="22" t="n">
        <x:v>88.49</x:v>
      </x:c>
      <x:c r="O71" s="22" t="n">
        <x:v>12.951</x:v>
      </x:c>
      <x:c r="P71" s="20" t="str">
        <x:v>Akintola Williams Deloitte</x:v>
      </x:c>
      <x:c r="Q71" s="18" t="n">
        <x:v>0</x:v>
      </x:c>
      <x:c r="R71" s="18" t="n">
        <x:v>0</x:v>
      </x:c>
      <x:c r="S71" s="20" t="str">
        <x:v>p. 10; Tables 9(a)/(b)</x:v>
      </x:c>
    </x:row>
    <x:row r="72" ht="30" customHeight="1">
      <x:c r="A72" s="20" t="str">
        <x:v>Wema</x:v>
      </x:c>
      <x:c r="B72" s="18" t="n">
        <x:v>2017</x:v>
      </x:c>
      <x:c r="C72" s="18" t="str">
        <x:v>Tier 2</x:v>
      </x:c>
      <x:c r="D72" s="22" t="n">
        <x:v>2301</x:v>
      </x:c>
      <x:c r="E72" s="22" t="n">
        <x:v>64858</x:v>
      </x:c>
      <x:c r="F72" s="22" t="n">
        <x:v>385388</x:v>
      </x:c>
      <x:c r="G72" s="22" t="n">
        <x:v>220076</x:v>
      </x:c>
      <x:c r="H72" s="22" t="n">
        <x:v>4236</x:v>
      </x:c>
      <x:c r="I72" s="22" t="n">
        <x:v>2180</x:v>
      </x:c>
      <x:c r="J72" s="22" t="n">
        <x:v>3.52</x:v>
      </x:c>
      <x:c r="K72" s="22" t="n">
        <x:v>14.32</x:v>
      </x:c>
      <x:c r="L72" s="22" t="n">
        <x:v>0.6</x:v>
      </x:c>
      <x:c r="M72" s="22" t="n">
        <x:v>1.92</x:v>
      </x:c>
      <x:c r="N72" s="22" t="n">
        <x:v>87.11</x:v>
      </x:c>
      <x:c r="O72" s="22" t="n">
        <x:v>12.862</x:v>
      </x:c>
      <x:c r="P72" s="20" t="str">
        <x:v>Deloitte &amp; Touche</x:v>
      </x:c>
      <x:c r="Q72" s="18" t="n">
        <x:v>0</x:v>
      </x:c>
      <x:c r="R72" s="18" t="n">
        <x:v>0</x:v>
      </x:c>
      <x:c r="S72" s="20" t="str">
        <x:v>p. 10; Tables 9(a)/(b)</x:v>
      </x:c>
    </x:row>
    <x:row r="73" ht="30" customHeight="1">
      <x:c r="A73" s="20" t="str">
        <x:v>Wema</x:v>
      </x:c>
      <x:c r="B73" s="18" t="n">
        <x:v>2018</x:v>
      </x:c>
      <x:c r="C73" s="18" t="str">
        <x:v>Tier 2</x:v>
      </x:c>
      <x:c r="D73" s="22"/>
      <x:c r="E73" s="22"/>
      <x:c r="F73" s="22"/>
      <x:c r="G73" s="22"/>
      <x:c r="H73" s="22"/>
      <x:c r="I73" s="22"/>
      <x:c r="J73" s="22"/>
      <x:c r="K73" s="22"/>
      <x:c r="L73" s="22"/>
      <x:c r="M73" s="22"/>
      <x:c r="N73" s="22"/>
      <x:c r="O73" s="22"/>
      <x:c r="P73" s="20" t="str">
        <x:v>Missing</x:v>
      </x:c>
      <x:c r="Q73" s="18" t="n">
        <x:v>0</x:v>
      </x:c>
      <x:c r="R73" s="18" t="n">
        <x:v>1</x:v>
      </x:c>
      <x:c r="S73" s="20" t="str">
        <x:v>p. 10; Tables 9(a)/(b)</x:v>
      </x:c>
    </x:row>
    <x:row r="74" ht="30" customHeight="1">
      <x:c r="A74" s="20" t="str">
        <x:v>Wema</x:v>
      </x:c>
      <x:c r="B74" s="18" t="n">
        <x:v>2019</x:v>
      </x:c>
      <x:c r="C74" s="18" t="str">
        <x:v>Tier 2</x:v>
      </x:c>
      <x:c r="D74" s="22" t="n">
        <x:v>5211</x:v>
      </x:c>
      <x:c r="E74" s="22" t="n">
        <x:v>93390</x:v>
      </x:c>
      <x:c r="F74" s="22" t="n">
        <x:v>704956</x:v>
      </x:c>
      <x:c r="G74" s="22" t="n">
        <x:v>301368</x:v>
      </x:c>
      <x:c r="H74" s="22" t="n">
        <x:v>12128</x:v>
      </x:c>
      <x:c r="I74" s="22" t="n">
        <x:v>6131</x:v>
      </x:c>
      <x:c r="J74" s="22" t="n">
        <x:v>7.38</x:v>
      </x:c>
      <x:c r="K74" s="22" t="n">
        <x:v>13.6</x:v>
      </x:c>
      <x:c r="L74" s="22" t="n">
        <x:v>0.74</x:v>
      </x:c>
      <x:c r="M74" s="22" t="n">
        <x:v>4.02</x:v>
      </x:c>
      <x:c r="N74" s="22" t="n">
        <x:v>92.15</x:v>
      </x:c>
      <x:c r="O74" s="22" t="n">
        <x:v>13.466</x:v>
      </x:c>
      <x:c r="P74" s="20" t="str">
        <x:v>Deloitte &amp; Touche</x:v>
      </x:c>
      <x:c r="Q74" s="18" t="n">
        <x:v>0</x:v>
      </x:c>
      <x:c r="R74" s="18" t="n">
        <x:v>1</x:v>
      </x:c>
      <x:c r="S74" s="20" t="str">
        <x:v>p. 10; Tables 9(a)/(b)</x:v>
      </x:c>
    </x:row>
    <x:row r="75" ht="30" customHeight="1">
      <x:c r="A75" s="20" t="str">
        <x:v>Wema</x:v>
      </x:c>
      <x:c r="B75" s="18" t="n">
        <x:v>2020</x:v>
      </x:c>
      <x:c r="C75" s="18" t="str">
        <x:v>Tier 2</x:v>
      </x:c>
      <x:c r="D75" s="22" t="n">
        <x:v>4592</x:v>
      </x:c>
      <x:c r="E75" s="22" t="n">
        <x:v>79877</x:v>
      </x:c>
      <x:c r="F75" s="22" t="n">
        <x:v>968582</x:v>
      </x:c>
      <x:c r="G75" s="22" t="n">
        <x:v>375040</x:v>
      </x:c>
      <x:c r="H75" s="22" t="n">
        <x:v>14964</x:v>
      </x:c>
      <x:c r="I75" s="22" t="n">
        <x:v>5635</x:v>
      </x:c>
      <x:c r="J75" s="22" t="n">
        <x:v>4.69</x:v>
      </x:c>
      <x:c r="K75" s="22" t="n">
        <x:v>15.01</x:v>
      </x:c>
      <x:c r="L75" s="22" t="n">
        <x:v>0.47</x:v>
      </x:c>
      <x:c r="M75" s="22" t="n">
        <x:v>3.99</x:v>
      </x:c>
      <x:c r="N75" s="22" t="n">
        <x:v>93.87</x:v>
      </x:c>
      <x:c r="O75" s="22" t="n">
        <x:v>13.784</x:v>
      </x:c>
      <x:c r="P75" s="20" t="str">
        <x:v>Deloitte &amp; Touche</x:v>
      </x:c>
      <x:c r="Q75" s="18" t="n">
        <x:v>0</x:v>
      </x:c>
      <x:c r="R75" s="18" t="n">
        <x:v>1</x:v>
      </x:c>
      <x:c r="S75" s="20" t="str">
        <x:v>p. 10; Tables 9(a)/(b)</x:v>
      </x:c>
    </x:row>
    <x:row r="76" ht="30" customHeight="1">
      <x:c r="A76" s="20" t="str">
        <x:v>Wema</x:v>
      </x:c>
      <x:c r="B76" s="18" t="n">
        <x:v>2021</x:v>
      </x:c>
      <x:c r="C76" s="18" t="str">
        <x:v>Tier 2</x:v>
      </x:c>
      <x:c r="D76" s="22" t="n">
        <x:v>8933</x:v>
      </x:c>
      <x:c r="E76" s="22" t="n">
        <x:v>92137</x:v>
      </x:c>
      <x:c r="F76" s="22" t="n">
        <x:v>1164518</x:v>
      </x:c>
      <x:c r="G76" s="22" t="n">
        <x:v>435552</x:v>
      </x:c>
      <x:c r="H76" s="22" t="n">
        <x:v>16688</x:v>
      </x:c>
      <x:c r="I76" s="22" t="n">
        <x:v>2104</x:v>
      </x:c>
      <x:c r="J76" s="22" t="n">
        <x:v>4.88</x:v>
      </x:c>
      <x:c r="K76" s="22" t="n">
        <x:v>11.71</x:v>
      </x:c>
      <x:c r="L76" s="22" t="n">
        <x:v>0.77</x:v>
      </x:c>
      <x:c r="M76" s="22" t="n">
        <x:v>3.83</x:v>
      </x:c>
      <x:c r="N76" s="22" t="n">
        <x:v>93.96</x:v>
      </x:c>
      <x:c r="O76" s="22" t="n">
        <x:v>13.968</x:v>
      </x:c>
      <x:c r="P76" s="20" t="str">
        <x:v>KPMG</x:v>
      </x:c>
      <x:c r="Q76" s="18" t="n">
        <x:v>0</x:v>
      </x:c>
      <x:c r="R76" s="18" t="n">
        <x:v>1</x:v>
      </x:c>
      <x:c r="S76" s="20" t="str">
        <x:v>p. 10; Tables 9(a)/(b)</x:v>
      </x:c>
    </x:row>
    <x:row r="77" ht="30" customHeight="1">
      <x:c r="A77" s="20" t="str">
        <x:v>Wema</x:v>
      </x:c>
      <x:c r="B77" s="18" t="n">
        <x:v>2022</x:v>
      </x:c>
      <x:c r="C77" s="18" t="str">
        <x:v>Tier 2</x:v>
      </x:c>
      <x:c r="D77" s="22" t="n">
        <x:v>11214</x:v>
      </x:c>
      <x:c r="E77" s="22" t="n">
        <x:v>131083</x:v>
      </x:c>
      <x:c r="F77" s="22" t="n">
        <x:v>1433704</x:v>
      </x:c>
      <x:c r="G77" s="22" t="n">
        <x:v>539372</x:v>
      </x:c>
      <x:c r="H77" s="22" t="n">
        <x:v>17941</x:v>
      </x:c>
      <x:c r="I77" s="22" t="n">
        <x:v>4808</x:v>
      </x:c>
      <x:c r="J77" s="22" t="n">
        <x:v>6.08</x:v>
      </x:c>
      <x:c r="K77" s="22" t="n">
        <x:v>12.74</x:v>
      </x:c>
      <x:c r="L77" s="22" t="n">
        <x:v>0.78</x:v>
      </x:c>
      <x:c r="M77" s="22" t="n">
        <x:v>3.33</x:v>
      </x:c>
      <x:c r="N77" s="22" t="n">
        <x:v>94.24</x:v>
      </x:c>
      <x:c r="O77" s="22" t="n">
        <x:v>14.176</x:v>
      </x:c>
      <x:c r="P77" s="20" t="str">
        <x:v>KPMG</x:v>
      </x:c>
      <x:c r="Q77" s="18" t="n">
        <x:v>0</x:v>
      </x:c>
      <x:c r="R77" s="18" t="n">
        <x:v>1</x:v>
      </x:c>
      <x:c r="S77" s="20" t="str">
        <x:v>p. 10; Tables 9(a)/(b)</x:v>
      </x:c>
    </x:row>
    <x:row r="78" ht="30" customHeight="1">
      <x:c r="A78" s="20" t="str">
        <x:v>FCMB</x:v>
      </x:c>
      <x:c r="B78" s="18" t="n">
        <x:v>2015</x:v>
      </x:c>
      <x:c r="C78" s="18" t="str">
        <x:v>Tier 2</x:v>
      </x:c>
      <x:c r="D78" s="22" t="n">
        <x:v>3542</x:v>
      </x:c>
      <x:c r="E78" s="22" t="n">
        <x:v>84900</x:v>
      </x:c>
      <x:c r="F78" s="22" t="n">
        <x:v>1150144</x:v>
      </x:c>
      <x:c r="G78" s="22" t="n">
        <x:v>592672</x:v>
      </x:c>
      <x:c r="H78" s="22" t="n">
        <x:v>36587</x:v>
      </x:c>
      <x:c r="I78" s="22" t="n">
        <x:v>14102</x:v>
      </x:c>
      <x:c r="J78" s="22" t="n">
        <x:v>4.15</x:v>
      </x:c>
      <x:c r="K78" s="22" t="n">
        <x:v>16.88</x:v>
      </x:c>
      <x:c r="L78" s="22" t="n">
        <x:v>0.31</x:v>
      </x:c>
      <x:c r="M78" s="22" t="n">
        <x:v>6.17</x:v>
      </x:c>
      <x:c r="N78" s="22" t="n">
        <x:v>87.1</x:v>
      </x:c>
      <x:c r="O78" s="22" t="n">
        <x:v>13.955</x:v>
      </x:c>
      <x:c r="P78" s="20" t="str">
        <x:v>KPMG</x:v>
      </x:c>
      <x:c r="Q78" s="18" t="n">
        <x:v>0</x:v>
      </x:c>
      <x:c r="R78" s="18" t="n">
        <x:v>0</x:v>
      </x:c>
      <x:c r="S78" s="20" t="str">
        <x:v>p. 11; Tables 10(a)/(b)</x:v>
      </x:c>
    </x:row>
    <x:row r="79" ht="30" customHeight="1">
      <x:c r="A79" s="20" t="str">
        <x:v>FCMB</x:v>
      </x:c>
      <x:c r="B79" s="18" t="n">
        <x:v>2016</x:v>
      </x:c>
      <x:c r="C79" s="18" t="str">
        <x:v>Tier 2</x:v>
      </x:c>
      <x:c r="D79" s="22" t="n">
        <x:v>12076</x:v>
      </x:c>
      <x:c r="E79" s="22" t="n">
        <x:v>112581</x:v>
      </x:c>
      <x:c r="F79" s="22" t="n">
        <x:v>1163435</x:v>
      </x:c>
      <x:c r="G79" s="22" t="n">
        <x:v>659700</x:v>
      </x:c>
      <x:c r="H79" s="22" t="n">
        <x:v>33247</x:v>
      </x:c>
      <x:c r="I79" s="22" t="n">
        <x:v>35311</x:v>
      </x:c>
      <x:c r="J79" s="22" t="n">
        <x:v>3.74</x:v>
      </x:c>
      <x:c r="K79" s="22" t="n">
        <x:v>16.54</x:v>
      </x:c>
      <x:c r="L79" s="22" t="n">
        <x:v>1.04</x:v>
      </x:c>
      <x:c r="M79" s="22" t="n">
        <x:v>5.04</x:v>
      </x:c>
      <x:c r="N79" s="22" t="n">
        <x:v>86.02</x:v>
      </x:c>
      <x:c r="O79" s="22" t="n">
        <x:v>13.967</x:v>
      </x:c>
      <x:c r="P79" s="20" t="str">
        <x:v>KPMG</x:v>
      </x:c>
      <x:c r="Q79" s="18" t="n">
        <x:v>0</x:v>
      </x:c>
      <x:c r="R79" s="18" t="n">
        <x:v>0</x:v>
      </x:c>
      <x:c r="S79" s="20" t="str">
        <x:v>p. 11; Tables 10(a)/(b)</x:v>
      </x:c>
    </x:row>
    <x:row r="80" ht="30" customHeight="1">
      <x:c r="A80" s="20" t="str">
        <x:v>FCMB</x:v>
      </x:c>
      <x:c r="B80" s="18" t="n">
        <x:v>2017</x:v>
      </x:c>
      <x:c r="C80" s="18" t="str">
        <x:v>Tier 2</x:v>
      </x:c>
      <x:c r="D80" s="22" t="n">
        <x:v>6794</x:v>
      </x:c>
      <x:c r="E80" s="22" t="n">
        <x:v>98239</x:v>
      </x:c>
      <x:c r="F80" s="22" t="n">
        <x:v>1169344</x:v>
      </x:c>
      <x:c r="G80" s="22" t="n">
        <x:v>649379</x:v>
      </x:c>
      <x:c r="H80" s="22" t="n">
        <x:v>25305</x:v>
      </x:c>
      <x:c r="I80" s="22" t="n">
        <x:v>22653</x:v>
      </x:c>
      <x:c r="J80" s="22" t="n">
        <x:v>4.92</x:v>
      </x:c>
      <x:c r="K80" s="22" t="n">
        <x:v>17.21</x:v>
      </x:c>
      <x:c r="L80" s="22" t="n">
        <x:v>0.58</x:v>
      </x:c>
      <x:c r="M80" s="22" t="n">
        <x:v>3.9</x:v>
      </x:c>
      <x:c r="N80" s="22" t="n">
        <x:v>85.97</x:v>
      </x:c>
      <x:c r="O80" s="22" t="n">
        <x:v>13.972</x:v>
      </x:c>
      <x:c r="P80" s="20" t="str">
        <x:v>KPMG</x:v>
      </x:c>
      <x:c r="Q80" s="18" t="n">
        <x:v>0</x:v>
      </x:c>
      <x:c r="R80" s="18" t="n">
        <x:v>0</x:v>
      </x:c>
      <x:c r="S80" s="20" t="str">
        <x:v>p. 11; Tables 10(a)/(b)</x:v>
      </x:c>
    </x:row>
    <x:row r="81" ht="30" customHeight="1">
      <x:c r="A81" s="20" t="str">
        <x:v>FCMB</x:v>
      </x:c>
      <x:c r="B81" s="18" t="n">
        <x:v>2018</x:v>
      </x:c>
      <x:c r="C81" s="18" t="str">
        <x:v>Tier 2</x:v>
      </x:c>
      <x:c r="D81" s="22" t="n">
        <x:v>12355</x:v>
      </x:c>
      <x:c r="E81" s="22" t="n">
        <x:v>101385</x:v>
      </x:c>
      <x:c r="F81" s="22" t="n">
        <x:v>1391479</x:v>
      </x:c>
      <x:c r="G81" s="22" t="n">
        <x:v>616006</x:v>
      </x:c>
      <x:c r="H81" s="22" t="n">
        <x:v>48291</x:v>
      </x:c>
      <x:c r="I81" s="22" t="n">
        <x:v>13954</x:v>
      </x:c>
      <x:c r="J81" s="22" t="n">
        <x:v>5.9</x:v>
      </x:c>
      <x:c r="K81" s="22" t="n">
        <x:v>15.79</x:v>
      </x:c>
      <x:c r="L81" s="22" t="n">
        <x:v>0.89</x:v>
      </x:c>
      <x:c r="M81" s="22" t="n">
        <x:v>7.84</x:v>
      </x:c>
      <x:c r="N81" s="22" t="n">
        <x:v>88.21</x:v>
      </x:c>
      <x:c r="O81" s="22" t="n">
        <x:v>14.146</x:v>
      </x:c>
      <x:c r="P81" s="20" t="str">
        <x:v>KPMG</x:v>
      </x:c>
      <x:c r="Q81" s="18" t="n">
        <x:v>0</x:v>
      </x:c>
      <x:c r="R81" s="18" t="n">
        <x:v>1</x:v>
      </x:c>
      <x:c r="S81" s="20" t="str">
        <x:v>p. 11; Tables 10(a)/(b)</x:v>
      </x:c>
    </x:row>
    <x:row r="82" ht="30" customHeight="1">
      <x:c r="A82" s="20" t="str">
        <x:v>FCMB</x:v>
      </x:c>
      <x:c r="B82" s="18" t="n">
        <x:v>2019</x:v>
      </x:c>
      <x:c r="C82" s="18" t="str">
        <x:v>Tier 2</x:v>
      </x:c>
      <x:c r="D82" s="22" t="n">
        <x:v>13642</x:v>
      </x:c>
      <x:c r="E82" s="22" t="n">
        <x:v>94910</x:v>
      </x:c>
      <x:c r="F82" s="22" t="n">
        <x:v>1621454</x:v>
      </x:c>
      <x:c r="G82" s="22" t="n">
        <x:v>692974</x:v>
      </x:c>
      <x:c r="H82" s="22" t="n">
        <x:v>46747</x:v>
      </x:c>
      <x:c r="I82" s="22" t="n">
        <x:v>13406</x:v>
      </x:c>
      <x:c r="J82" s="22" t="n">
        <x:v>3.7</x:v>
      </x:c>
      <x:c r="K82" s="22" t="n">
        <x:v>17.16</x:v>
      </x:c>
      <x:c r="L82" s="22" t="n">
        <x:v>0.84</x:v>
      </x:c>
      <x:c r="M82" s="22" t="n">
        <x:v>6.75</x:v>
      </x:c>
      <x:c r="N82" s="22" t="n">
        <x:v>87.11</x:v>
      </x:c>
      <x:c r="O82" s="22" t="n">
        <x:v>14.299</x:v>
      </x:c>
      <x:c r="P82" s="20" t="str">
        <x:v>KPMG</x:v>
      </x:c>
      <x:c r="Q82" s="18" t="n">
        <x:v>0</x:v>
      </x:c>
      <x:c r="R82" s="18" t="n">
        <x:v>1</x:v>
      </x:c>
      <x:c r="S82" s="20" t="str">
        <x:v>p. 11; Tables 10(a)/(b)</x:v>
      </x:c>
    </x:row>
    <x:row r="83" ht="30" customHeight="1">
      <x:c r="A83" s="20" t="str">
        <x:v>FCMB</x:v>
      </x:c>
      <x:c r="B83" s="18" t="n">
        <x:v>2020</x:v>
      </x:c>
      <x:c r="C83" s="18" t="str">
        <x:v>Tier 2</x:v>
      </x:c>
      <x:c r="D83" s="22" t="n">
        <x:v>14510</x:v>
      </x:c>
      <x:c r="E83" s="22" t="n">
        <x:v>109885</x:v>
      </x:c>
      <x:c r="F83" s="22" t="n">
        <x:v>2014277</x:v>
      </x:c>
      <x:c r="G83" s="22" t="n">
        <x:v>801282</x:v>
      </x:c>
      <x:c r="H83" s="22" t="n">
        <x:v>56248</x:v>
      </x:c>
      <x:c r="I83" s="22" t="n">
        <x:v>20697</x:v>
      </x:c>
      <x:c r="J83" s="22" t="n">
        <x:v>3.3</x:v>
      </x:c>
      <x:c r="K83" s="22" t="n">
        <x:v>17.49</x:v>
      </x:c>
      <x:c r="L83" s="22" t="n">
        <x:v>0.72</x:v>
      </x:c>
      <x:c r="M83" s="22" t="n">
        <x:v>7.02</x:v>
      </x:c>
      <x:c r="N83" s="22" t="n">
        <x:v>89.83</x:v>
      </x:c>
      <x:c r="O83" s="22" t="n">
        <x:v>14.516</x:v>
      </x:c>
      <x:c r="P83" s="20" t="str">
        <x:v>Deloitte</x:v>
      </x:c>
      <x:c r="Q83" s="18" t="n">
        <x:v>0</x:v>
      </x:c>
      <x:c r="R83" s="18" t="n">
        <x:v>1</x:v>
      </x:c>
      <x:c r="S83" s="20" t="str">
        <x:v>p. 11; Tables 10(a)/(b)</x:v>
      </x:c>
    </x:row>
    <x:row r="84" ht="30" customHeight="1">
      <x:c r="A84" s="20" t="str">
        <x:v>FCMB</x:v>
      </x:c>
      <x:c r="B84" s="18" t="n">
        <x:v>2021</x:v>
      </x:c>
      <x:c r="C84" s="18" t="str">
        <x:v>Tier 2</x:v>
      </x:c>
      <x:c r="D84" s="22" t="n">
        <x:v>16176</x:v>
      </x:c>
      <x:c r="E84" s="22" t="n">
        <x:v>183785</x:v>
      </x:c>
      <x:c r="F84" s="22" t="n">
        <x:v>2434973</x:v>
      </x:c>
      <x:c r="G84" s="22" t="n">
        <x:v>1039831</x:v>
      </x:c>
      <x:c r="H84" s="22" t="n">
        <x:v>77924</x:v>
      </x:c>
      <x:c r="I84" s="22" t="n">
        <x:v>13870</x:v>
      </x:c>
      <x:c r="J84" s="22" t="n">
        <x:v>4.1</x:v>
      </x:c>
      <x:c r="K84" s="22" t="n">
        <x:v>14.89</x:v>
      </x:c>
      <x:c r="L84" s="22" t="n">
        <x:v>0.66</x:v>
      </x:c>
      <x:c r="M84" s="22" t="n">
        <x:v>7.49</x:v>
      </x:c>
      <x:c r="N84" s="22" t="n">
        <x:v>91.09</x:v>
      </x:c>
      <x:c r="O84" s="22" t="n">
        <x:v>14.705</x:v>
      </x:c>
      <x:c r="P84" s="20" t="str">
        <x:v>Deloitte</x:v>
      </x:c>
      <x:c r="Q84" s="18" t="n">
        <x:v>0</x:v>
      </x:c>
      <x:c r="R84" s="18" t="n">
        <x:v>1</x:v>
      </x:c>
      <x:c r="S84" s="20" t="str">
        <x:v>p. 11; Tables 10(a)/(b)</x:v>
      </x:c>
    </x:row>
    <x:row r="85" ht="30" customHeight="1">
      <x:c r="A85" s="20" t="str">
        <x:v>FCMB</x:v>
      </x:c>
      <x:c r="B85" s="18" t="n">
        <x:v>2022</x:v>
      </x:c>
      <x:c r="C85" s="18" t="str">
        <x:v>Tier 2</x:v>
      </x:c>
      <x:c r="D85" s="22" t="n">
        <x:v>24557</x:v>
      </x:c>
      <x:c r="E85" s="22" t="n">
        <x:v>246936</x:v>
      </x:c>
      <x:c r="F85" s="22" t="n">
        <x:v>2907400</x:v>
      </x:c>
      <x:c r="G85" s="22" t="n">
        <x:v>1166622</x:v>
      </x:c>
      <x:c r="H85" s="22" t="n">
        <x:v>86459</x:v>
      </x:c>
      <x:c r="I85" s="22" t="n">
        <x:v>23862</x:v>
      </x:c>
      <x:c r="J85" s="22" t="n">
        <x:v>6.6</x:v>
      </x:c>
      <x:c r="K85" s="22" t="n">
        <x:v>16.03</x:v>
      </x:c>
      <x:c r="L85" s="22" t="n">
        <x:v>0.84</x:v>
      </x:c>
      <x:c r="M85" s="22" t="n">
        <x:v>7.41</x:v>
      </x:c>
      <x:c r="N85" s="22" t="n">
        <x:v>91.57</x:v>
      </x:c>
      <x:c r="O85" s="22" t="n">
        <x:v>14.883</x:v>
      </x:c>
      <x:c r="P85" s="20" t="str">
        <x:v>Deloitte</x:v>
      </x:c>
      <x:c r="Q85" s="18" t="n">
        <x:v>0</x:v>
      </x:c>
      <x:c r="R85" s="18" t="n">
        <x:v>1</x:v>
      </x:c>
      <x:c r="S85" s="20" t="str">
        <x:v>p. 11; Tables 10(a)/(b)</x:v>
      </x:c>
    </x:row>
    <x:row r="86" ht="30" customHeight="1">
      <x:c r="A86" s="20" t="str">
        <x:v>Ecobank Nigeria</x:v>
      </x:c>
      <x:c r="B86" s="18" t="n">
        <x:v>2015</x:v>
      </x:c>
      <x:c r="C86" s="18" t="str">
        <x:v>Tier 2</x:v>
      </x:c>
      <x:c r="D86" s="22" t="n">
        <x:v>5756</x:v>
      </x:c>
      <x:c r="E86" s="22" t="n">
        <x:v>204210</x:v>
      </x:c>
      <x:c r="F86" s="22" t="n">
        <x:v>1160000</x:v>
      </x:c>
      <x:c r="G86" s="22" t="n">
        <x:v>730419</x:v>
      </x:c>
      <x:c r="H86" s="22" t="n">
        <x:v>38910</x:v>
      </x:c>
      <x:c r="I86" s="22" t="n">
        <x:v>45210</x:v>
      </x:c>
      <x:c r="J86" s="22" t="n">
        <x:v>8.2</x:v>
      </x:c>
      <x:c r="K86" s="22" t="n">
        <x:v>15</x:v>
      </x:c>
      <x:c r="L86" s="22" t="n">
        <x:v>0.5</x:v>
      </x:c>
      <x:c r="M86" s="22" t="n">
        <x:v>5.33</x:v>
      </x:c>
      <x:c r="N86" s="22" t="n">
        <x:v>90.2</x:v>
      </x:c>
      <x:c r="O86" s="22" t="n">
        <x:v>13.96</x:v>
      </x:c>
      <x:c r="P86" s="20" t="str">
        <x:v>Deloitte</x:v>
      </x:c>
      <x:c r="Q86" s="18" t="n">
        <x:v>0</x:v>
      </x:c>
      <x:c r="R86" s="18" t="n">
        <x:v>0</x:v>
      </x:c>
      <x:c r="S86" s="20" t="str">
        <x:v>p. 12; Tables 11(a)/(b)</x:v>
      </x:c>
    </x:row>
    <x:row r="87" ht="30" customHeight="1">
      <x:c r="A87" s="20" t="str">
        <x:v>Ecobank Nigeria</x:v>
      </x:c>
      <x:c r="B87" s="18" t="n">
        <x:v>2016</x:v>
      </x:c>
      <x:c r="C87" s="18" t="str">
        <x:v>Tier 2</x:v>
      </x:c>
      <x:c r="D87" s="22" t="n">
        <x:v>5780</x:v>
      </x:c>
      <x:c r="E87" s="22" t="n">
        <x:v>259584</x:v>
      </x:c>
      <x:c r="F87" s="22" t="n">
        <x:v>1808503</x:v>
      </x:c>
      <x:c r="G87" s="22" t="n">
        <x:v>869872</x:v>
      </x:c>
      <x:c r="H87" s="22" t="n">
        <x:v>116480</x:v>
      </x:c>
      <x:c r="I87" s="22" t="n">
        <x:v>82783</x:v>
      </x:c>
      <x:c r="J87" s="22" t="n">
        <x:v>9.1</x:v>
      </x:c>
      <x:c r="K87" s="22" t="n">
        <x:v>15</x:v>
      </x:c>
      <x:c r="L87" s="22" t="n">
        <x:v>0.32</x:v>
      </x:c>
      <x:c r="M87" s="22" t="n">
        <x:v>13.39</x:v>
      </x:c>
      <x:c r="N87" s="22" t="n">
        <x:v>93.5</x:v>
      </x:c>
      <x:c r="O87" s="22" t="n">
        <x:v>14.41</x:v>
      </x:c>
      <x:c r="P87" s="20" t="str">
        <x:v>Deloitte</x:v>
      </x:c>
      <x:c r="Q87" s="18" t="n">
        <x:v>0</x:v>
      </x:c>
      <x:c r="R87" s="18" t="n">
        <x:v>0</x:v>
      </x:c>
      <x:c r="S87" s="20" t="str">
        <x:v>p. 12; Tables 11(a)/(b)</x:v>
      </x:c>
    </x:row>
    <x:row r="88" ht="30" customHeight="1">
      <x:c r="A88" s="20" t="str">
        <x:v>Ecobank Nigeria</x:v>
      </x:c>
      <x:c r="B88" s="18" t="n">
        <x:v>2017</x:v>
      </x:c>
      <x:c r="C88" s="18" t="str">
        <x:v>Tier 2</x:v>
      </x:c>
      <x:c r="D88" s="22" t="n">
        <x:v>20204</x:v>
      </x:c>
      <x:c r="E88" s="22" t="n">
        <x:v>251061</x:v>
      </x:c>
      <x:c r="F88" s="22" t="n">
        <x:v>1829761</x:v>
      </x:c>
      <x:c r="G88" s="22" t="n">
        <x:v>831573</x:v>
      </x:c>
      <x:c r="H88" s="22" t="n">
        <x:v>120510</x:v>
      </x:c>
      <x:c r="I88" s="22" t="n">
        <x:v>59901</x:v>
      </x:c>
      <x:c r="J88" s="22" t="n">
        <x:v>14.5</x:v>
      </x:c>
      <x:c r="K88" s="22" t="n">
        <x:v>13.6</x:v>
      </x:c>
      <x:c r="L88" s="22" t="n">
        <x:v>1.1</x:v>
      </x:c>
      <x:c r="M88" s="22" t="n">
        <x:v>14.49</x:v>
      </x:c>
      <x:c r="N88" s="22" t="n">
        <x:v>94.1</x:v>
      </x:c>
      <x:c r="O88" s="22" t="n">
        <x:v>14.42</x:v>
      </x:c>
      <x:c r="P88" s="20" t="str">
        <x:v>Deloitte</x:v>
      </x:c>
      <x:c r="Q88" s="18" t="n">
        <x:v>0</x:v>
      </x:c>
      <x:c r="R88" s="18" t="n">
        <x:v>0</x:v>
      </x:c>
      <x:c r="S88" s="20" t="str">
        <x:v>p. 12; Tables 11(a)/(b)</x:v>
      </x:c>
    </x:row>
    <x:row r="89" ht="30" customHeight="1">
      <x:c r="A89" s="20" t="str">
        <x:v>Ecobank Nigeria</x:v>
      </x:c>
      <x:c r="B89" s="18" t="n">
        <x:v>2018</x:v>
      </x:c>
      <x:c r="C89" s="18" t="str">
        <x:v>Tier 2</x:v>
      </x:c>
      <x:c r="D89" s="22" t="n">
        <x:v>27540</x:v>
      </x:c>
      <x:c r="E89" s="22" t="n">
        <x:v>179820</x:v>
      </x:c>
      <x:c r="F89" s="22" t="n">
        <x:v>1661886</x:v>
      </x:c>
      <x:c r="G89" s="22" t="n">
        <x:v>691500</x:v>
      </x:c>
      <x:c r="H89" s="22" t="n">
        <x:v>102300</x:v>
      </x:c>
      <x:c r="I89" s="22" t="n">
        <x:v>24510</x:v>
      </x:c>
      <x:c r="J89" s="22" t="n">
        <x:v>13.7</x:v>
      </x:c>
      <x:c r="K89" s="22" t="n">
        <x:v>12.1</x:v>
      </x:c>
      <x:c r="L89" s="22" t="n">
        <x:v>1.66</x:v>
      </x:c>
      <x:c r="M89" s="22" t="n">
        <x:v>14.79</x:v>
      </x:c>
      <x:c r="N89" s="22" t="n">
        <x:v>91.2</x:v>
      </x:c>
      <x:c r="O89" s="22" t="n">
        <x:v>14.32</x:v>
      </x:c>
      <x:c r="P89" s="20" t="str">
        <x:v>Deloitte</x:v>
      </x:c>
      <x:c r="Q89" s="18" t="n">
        <x:v>0</x:v>
      </x:c>
      <x:c r="R89" s="18" t="n">
        <x:v>1</x:v>
      </x:c>
      <x:c r="S89" s="20" t="str">
        <x:v>p. 12; Tables 11(a)/(b)</x:v>
      </x:c>
    </x:row>
    <x:row r="90" ht="30" customHeight="1">
      <x:c r="A90" s="20" t="str">
        <x:v>Ecobank Nigeria</x:v>
      </x:c>
      <x:c r="B90" s="18" t="n">
        <x:v>2019</x:v>
      </x:c>
      <x:c r="C90" s="18" t="str">
        <x:v>Tier 2</x:v>
      </x:c>
      <x:c r="D90" s="22" t="n">
        <x:v>32410</x:v>
      </x:c>
      <x:c r="E90" s="22" t="n">
        <x:v>161550</x:v>
      </x:c>
      <x:c r="F90" s="22" t="n">
        <x:v>1832100</x:v>
      </x:c>
      <x:c r="G90" s="22" t="n">
        <x:v>765400</x:v>
      </x:c>
      <x:c r="H90" s="22" t="n">
        <x:v>115400</x:v>
      </x:c>
      <x:c r="I90" s="22" t="n">
        <x:v>14200</x:v>
      </x:c>
      <x:c r="J90" s="22" t="n">
        <x:v>23.9</x:v>
      </x:c>
      <x:c r="K90" s="22" t="n">
        <x:v>10.6</x:v>
      </x:c>
      <x:c r="L90" s="22" t="n">
        <x:v>1.77</x:v>
      </x:c>
      <x:c r="M90" s="22" t="n">
        <x:v>15.08</x:v>
      </x:c>
      <x:c r="N90" s="22" t="n">
        <x:v>92.5</x:v>
      </x:c>
      <x:c r="O90" s="22" t="n">
        <x:v>14.42</x:v>
      </x:c>
      <x:c r="P90" s="20" t="str">
        <x:v>Deloitte</x:v>
      </x:c>
      <x:c r="Q90" s="18" t="n">
        <x:v>0</x:v>
      </x:c>
      <x:c r="R90" s="18" t="n">
        <x:v>1</x:v>
      </x:c>
      <x:c r="S90" s="20" t="str">
        <x:v>p. 12; Tables 11(a)/(b)</x:v>
      </x:c>
    </x:row>
    <x:row r="91" ht="30" customHeight="1">
      <x:c r="A91" s="20" t="str">
        <x:v>Ecobank Nigeria</x:v>
      </x:c>
      <x:c r="B91" s="18" t="n">
        <x:v>2020</x:v>
      </x:c>
      <x:c r="C91" s="18" t="str">
        <x:v>Tier 2</x:v>
      </x:c>
      <x:c r="D91" s="22" t="n">
        <x:v>8087</x:v>
      </x:c>
      <x:c r="E91" s="22" t="n">
        <x:v>158750</x:v>
      </x:c>
      <x:c r="F91" s="22" t="n">
        <x:v>2186711</x:v>
      </x:c>
      <x:c r="G91" s="22" t="n">
        <x:v>993191</x:v>
      </x:c>
      <x:c r="H91" s="22" t="n">
        <x:v>111609</x:v>
      </x:c>
      <x:c r="I91" s="22" t="n">
        <x:v>9164</x:v>
      </x:c>
      <x:c r="J91" s="22" t="n">
        <x:v>19.86</x:v>
      </x:c>
      <x:c r="K91" s="22" t="n">
        <x:v>23.21</x:v>
      </x:c>
      <x:c r="L91" s="22" t="n">
        <x:v>0.37</x:v>
      </x:c>
      <x:c r="M91" s="22" t="n">
        <x:v>11.24</x:v>
      </x:c>
      <x:c r="N91" s="22" t="n">
        <x:v>86.34</x:v>
      </x:c>
      <x:c r="O91" s="22" t="n">
        <x:v>14.6</x:v>
      </x:c>
      <x:c r="P91" s="20" t="str">
        <x:v>Ernst &amp; Young</x:v>
      </x:c>
      <x:c r="Q91" s="18" t="n">
        <x:v>0</x:v>
      </x:c>
      <x:c r="R91" s="18" t="n">
        <x:v>1</x:v>
      </x:c>
      <x:c r="S91" s="20" t="str">
        <x:v>p. 12; Tables 11(a)/(b)</x:v>
      </x:c>
    </x:row>
    <x:row r="92" ht="30" customHeight="1">
      <x:c r="A92" s="20" t="str">
        <x:v>Ecobank Nigeria</x:v>
      </x:c>
      <x:c r="B92" s="18" t="n">
        <x:v>2021</x:v>
      </x:c>
      <x:c r="C92" s="18" t="str">
        <x:v>Tier 2</x:v>
      </x:c>
      <x:c r="D92" s="22" t="n">
        <x:v>9766</x:v>
      </x:c>
      <x:c r="E92" s="22" t="n">
        <x:v>164304</x:v>
      </x:c>
      <x:c r="F92" s="22" t="n">
        <x:v>2475079</x:v>
      </x:c>
      <x:c r="G92" s="22" t="n">
        <x:v>1113022</x:v>
      </x:c>
      <x:c r="H92" s="22" t="n">
        <x:v>97419</x:v>
      </x:c>
      <x:c r="I92" s="22" t="n">
        <x:v>7041</x:v>
      </x:c>
      <x:c r="J92" s="22" t="n">
        <x:v>16.35</x:v>
      </x:c>
      <x:c r="K92" s="22" t="n">
        <x:v>11.48</x:v>
      </x:c>
      <x:c r="L92" s="22" t="n">
        <x:v>0.39</x:v>
      </x:c>
      <x:c r="M92" s="22" t="n">
        <x:v>8.75</x:v>
      </x:c>
      <x:c r="N92" s="22" t="n">
        <x:v>88.74</x:v>
      </x:c>
      <x:c r="O92" s="22" t="n">
        <x:v>14.72</x:v>
      </x:c>
      <x:c r="P92" s="20" t="str">
        <x:v>Ernst &amp; Young</x:v>
      </x:c>
      <x:c r="Q92" s="18" t="n">
        <x:v>0</x:v>
      </x:c>
      <x:c r="R92" s="18" t="n">
        <x:v>1</x:v>
      </x:c>
      <x:c r="S92" s="20" t="str">
        <x:v>p. 12; Tables 11(a)/(b)</x:v>
      </x:c>
    </x:row>
    <x:row r="93" ht="30" customHeight="1">
      <x:c r="A93" s="20" t="str">
        <x:v>Ecobank Nigeria</x:v>
      </x:c>
      <x:c r="B93" s="18" t="n">
        <x:v>2022</x:v>
      </x:c>
      <x:c r="C93" s="18" t="str">
        <x:v>Tier 2</x:v>
      </x:c>
      <x:c r="D93" s="22" t="n">
        <x:v>10396</x:v>
      </x:c>
      <x:c r="E93" s="22" t="n">
        <x:v>211771</x:v>
      </x:c>
      <x:c r="F93" s="22" t="n">
        <x:v>2917689</x:v>
      </x:c>
      <x:c r="G93" s="22" t="n">
        <x:v>1190306</x:v>
      </x:c>
      <x:c r="H93" s="22" t="n">
        <x:v>62880</x:v>
      </x:c>
      <x:c r="I93" s="22" t="n">
        <x:v>12377</x:v>
      </x:c>
      <x:c r="J93" s="22" t="n">
        <x:v>6.9</x:v>
      </x:c>
      <x:c r="K93" s="22" t="n">
        <x:v>13.27</x:v>
      </x:c>
      <x:c r="L93" s="22" t="n">
        <x:v>0.36</x:v>
      </x:c>
      <x:c r="M93" s="22" t="n">
        <x:v>5.28</x:v>
      </x:c>
      <x:c r="N93" s="22" t="n">
        <x:v>89.9</x:v>
      </x:c>
      <x:c r="O93" s="22" t="n">
        <x:v>14.89</x:v>
      </x:c>
      <x:c r="P93" s="20" t="str">
        <x:v>Ernst &amp; Young</x:v>
      </x:c>
      <x:c r="Q93" s="18" t="n">
        <x:v>0</x:v>
      </x:c>
      <x:c r="R93" s="18" t="n">
        <x:v>1</x:v>
      </x:c>
      <x:c r="S93" s="20" t="str">
        <x:v>p. 12; Tables 11(a)/(b)</x:v>
      </x:c>
    </x:row>
    <x:row r="94" ht="30" customHeight="1">
      <x:c r="A94" s="20" t="str">
        <x:v>Unity</x:v>
      </x:c>
      <x:c r="B94" s="18" t="n">
        <x:v>2015</x:v>
      </x:c>
      <x:c r="C94" s="18" t="str">
        <x:v>Tier 2</x:v>
      </x:c>
      <x:c r="D94" s="22" t="n">
        <x:v>6255</x:v>
      </x:c>
      <x:c r="E94" s="22" t="n">
        <x:v>69663</x:v>
      </x:c>
      <x:c r="F94" s="22" t="n">
        <x:v>476586</x:v>
      </x:c>
      <x:c r="G94" s="22" t="n">
        <x:v>216221</x:v>
      </x:c>
      <x:c r="H94" s="22" t="n">
        <x:v>13450</x:v>
      </x:c>
      <x:c r="I94" s="22" t="n">
        <x:v>1800</x:v>
      </x:c>
      <x:c r="J94" s="22" t="n">
        <x:v>12</x:v>
      </x:c>
      <x:c r="K94" s="22" t="n">
        <x:v>16</x:v>
      </x:c>
      <x:c r="L94" s="22" t="n">
        <x:v>1.31</x:v>
      </x:c>
      <x:c r="M94" s="22" t="n">
        <x:v>6.22</x:v>
      </x:c>
      <x:c r="N94" s="22" t="n">
        <x:v>87.79</x:v>
      </x:c>
      <x:c r="O94" s="22" t="n">
        <x:v>13.07</x:v>
      </x:c>
      <x:c r="P94" s="20" t="str">
        <x:v>Ahmed Zakari &amp; Co</x:v>
      </x:c>
      <x:c r="Q94" s="18" t="n">
        <x:v>0</x:v>
      </x:c>
      <x:c r="R94" s="18" t="n">
        <x:v>0</x:v>
      </x:c>
      <x:c r="S94" s="20" t="str">
        <x:v>p. 13; Tables 12(a)/(b)</x:v>
      </x:c>
    </x:row>
    <x:row r="95" ht="30" customHeight="1">
      <x:c r="A95" s="20" t="str">
        <x:v>Unity</x:v>
      </x:c>
      <x:c r="B95" s="18" t="n">
        <x:v>2016</x:v>
      </x:c>
      <x:c r="C95" s="18" t="str">
        <x:v>Tier 2</x:v>
      </x:c>
      <x:c r="D95" s="22" t="n">
        <x:v>3200</x:v>
      </x:c>
      <x:c r="E95" s="22" t="n">
        <x:v>82026</x:v>
      </x:c>
      <x:c r="F95" s="22" t="n">
        <x:v>492021</x:v>
      </x:c>
      <x:c r="G95" s="22" t="n">
        <x:v>237996</x:v>
      </x:c>
      <x:c r="H95" s="22" t="n">
        <x:v>14650</x:v>
      </x:c>
      <x:c r="I95" s="22" t="n">
        <x:v>1200</x:v>
      </x:c>
      <x:c r="J95" s="22" t="n">
        <x:v>13</x:v>
      </x:c>
      <x:c r="K95" s="22" t="n">
        <x:v>17</x:v>
      </x:c>
      <x:c r="L95" s="22" t="n">
        <x:v>0.65</x:v>
      </x:c>
      <x:c r="M95" s="22" t="n">
        <x:v>6.16</x:v>
      </x:c>
      <x:c r="N95" s="22" t="n">
        <x:v>88.54</x:v>
      </x:c>
      <x:c r="O95" s="22" t="n">
        <x:v>13.11</x:v>
      </x:c>
      <x:c r="P95" s="20" t="str">
        <x:v>Ahmed Zakari &amp; Co</x:v>
      </x:c>
      <x:c r="Q95" s="18" t="n">
        <x:v>0</x:v>
      </x:c>
      <x:c r="R95" s="18" t="n">
        <x:v>0</x:v>
      </x:c>
      <x:c r="S95" s="20" t="str">
        <x:v>p. 13; Tables 12(a)/(b)</x:v>
      </x:c>
    </x:row>
    <x:row r="96" ht="30" customHeight="1">
      <x:c r="A96" s="20" t="str">
        <x:v>Unity</x:v>
      </x:c>
      <x:c r="B96" s="18" t="n">
        <x:v>2017</x:v>
      </x:c>
      <x:c r="C96" s="18" t="str">
        <x:v>Tier 2</x:v>
      </x:c>
      <x:c r="D96" s="22" t="n">
        <x:v>-14918</x:v>
      </x:c>
      <x:c r="E96" s="22" t="n">
        <x:v>89926</x:v>
      </x:c>
      <x:c r="F96" s="22" t="n">
        <x:v>156507</x:v>
      </x:c>
      <x:c r="G96" s="22" t="n">
        <x:v>9467</x:v>
      </x:c>
      <x:c r="H96" s="22" t="n">
        <x:v>509</x:v>
      </x:c>
      <x:c r="I96" s="22" t="n">
        <x:v>44255</x:v>
      </x:c>
      <x:c r="J96" s="22" t="n">
        <x:v>0</x:v>
      </x:c>
      <x:c r="K96" s="22" t="n">
        <x:v>-198.07</x:v>
      </x:c>
      <x:c r="L96" s="22" t="n">
        <x:v>-9.53</x:v>
      </x:c>
      <x:c r="M96" s="22" t="n">
        <x:v>5.38</x:v>
      </x:c>
      <x:c r="N96" s="22" t="n">
        <x:v>254.75</x:v>
      </x:c>
      <x:c r="O96" s="22" t="n">
        <x:v>11.96</x:v>
      </x:c>
      <x:c r="P96" s="20" t="str">
        <x:v>Ahmed Zakari &amp; Co</x:v>
      </x:c>
      <x:c r="Q96" s="18" t="n">
        <x:v>0</x:v>
      </x:c>
      <x:c r="R96" s="18" t="n">
        <x:v>0</x:v>
      </x:c>
      <x:c r="S96" s="20" t="str">
        <x:v>p. 13; Tables 12(a)/(b)</x:v>
      </x:c>
    </x:row>
    <x:row r="97" ht="30" customHeight="1">
      <x:c r="A97" s="20" t="str">
        <x:v>Unity</x:v>
      </x:c>
      <x:c r="B97" s="18" t="n">
        <x:v>2018</x:v>
      </x:c>
      <x:c r="C97" s="18" t="str">
        <x:v>Tier 2</x:v>
      </x:c>
      <x:c r="D97" s="22" t="n">
        <x:v>1269</x:v>
      </x:c>
      <x:c r="E97" s="22" t="n">
        <x:v>37325</x:v>
      </x:c>
      <x:c r="F97" s="22" t="n">
        <x:v>235976</x:v>
      </x:c>
      <x:c r="G97" s="22" t="n">
        <x:v>44402</x:v>
      </x:c>
      <x:c r="H97" s="22" t="n">
        <x:v>744</x:v>
      </x:c>
      <x:c r="I97" s="22" t="n">
        <x:v>161</x:v>
      </x:c>
      <x:c r="J97" s="22" t="n">
        <x:v>0</x:v>
      </x:c>
      <x:c r="K97" s="22" t="n">
        <x:v>-198.56</x:v>
      </x:c>
      <x:c r="L97" s="22" t="n">
        <x:v>0.54</x:v>
      </x:c>
      <x:c r="M97" s="22" t="n">
        <x:v>1.68</x:v>
      </x:c>
      <x:c r="N97" s="22" t="n">
        <x:v>203.27</x:v>
      </x:c>
      <x:c r="O97" s="22" t="n">
        <x:v>12.37</x:v>
      </x:c>
      <x:c r="P97" s="20" t="str">
        <x:v>Ahmed Zakari &amp; Co</x:v>
      </x:c>
      <x:c r="Q97" s="18" t="n">
        <x:v>0</x:v>
      </x:c>
      <x:c r="R97" s="18" t="n">
        <x:v>1</x:v>
      </x:c>
      <x:c r="S97" s="20" t="str">
        <x:v>p. 13; Tables 12(a)/(b)</x:v>
      </x:c>
    </x:row>
    <x:row r="98" ht="30" customHeight="1">
      <x:c r="A98" s="20" t="str">
        <x:v>Unity</x:v>
      </x:c>
      <x:c r="B98" s="18" t="n">
        <x:v>2019</x:v>
      </x:c>
      <x:c r="C98" s="18" t="str">
        <x:v>Tier 2</x:v>
      </x:c>
      <x:c r="D98" s="22" t="n">
        <x:v>3383</x:v>
      </x:c>
      <x:c r="E98" s="22" t="n">
        <x:v>44587</x:v>
      </x:c>
      <x:c r="F98" s="22" t="n">
        <x:v>293052</x:v>
      </x:c>
      <x:c r="G98" s="22" t="n">
        <x:v>106914</x:v>
      </x:c>
      <x:c r="H98" s="22" t="n">
        <x:v>14841</x:v>
      </x:c>
      <x:c r="I98" s="22"/>
      <x:c r="J98" s="22" t="n">
        <x:v>0.9</x:v>
      </x:c>
      <x:c r="K98" s="22" t="n">
        <x:v>-201.59</x:v>
      </x:c>
      <x:c r="L98" s="22" t="n">
        <x:v>1.15</x:v>
      </x:c>
      <x:c r="M98" s="22" t="n">
        <x:v>13.88</x:v>
      </x:c>
      <x:c r="N98" s="22" t="n">
        <x:v>195.16</x:v>
      </x:c>
      <x:c r="O98" s="22" t="n">
        <x:v>12.59</x:v>
      </x:c>
      <x:c r="P98" s="20" t="str">
        <x:v>KPMG</x:v>
      </x:c>
      <x:c r="Q98" s="18" t="n">
        <x:v>1</x:v>
      </x:c>
      <x:c r="R98" s="18" t="n">
        <x:v>1</x:v>
      </x:c>
      <x:c r="S98" s="20" t="str">
        <x:v>p. 13; Tables 12(a)/(b)</x:v>
      </x:c>
    </x:row>
    <x:row r="99" ht="30" customHeight="1">
      <x:c r="A99" s="20" t="str">
        <x:v>Unity</x:v>
      </x:c>
      <x:c r="B99" s="18" t="n">
        <x:v>2020</x:v>
      </x:c>
      <x:c r="C99" s="18" t="str">
        <x:v>Tier 2</x:v>
      </x:c>
      <x:c r="D99" s="22" t="n">
        <x:v>2086</x:v>
      </x:c>
      <x:c r="E99" s="22" t="n">
        <x:v>42709</x:v>
      </x:c>
      <x:c r="F99" s="22" t="n">
        <x:v>492020</x:v>
      </x:c>
      <x:c r="G99" s="22" t="n">
        <x:v>206206</x:v>
      </x:c>
      <x:c r="H99" s="22" t="n">
        <x:v>11909</x:v>
      </x:c>
      <x:c r="I99" s="22" t="n">
        <x:v>4127</x:v>
      </x:c>
      <x:c r="J99" s="22" t="n">
        <x:v>0.03</x:v>
      </x:c>
      <x:c r="K99" s="22" t="n">
        <x:v>-101.47</x:v>
      </x:c>
      <x:c r="L99" s="22" t="n">
        <x:v>0.42</x:v>
      </x:c>
      <x:c r="M99" s="22" t="n">
        <x:v>5.78</x:v>
      </x:c>
      <x:c r="N99" s="22" t="n">
        <x:v>155.98</x:v>
      </x:c>
      <x:c r="O99" s="22" t="n">
        <x:v>13.11</x:v>
      </x:c>
      <x:c r="P99" s="20" t="str">
        <x:v>KPMG</x:v>
      </x:c>
      <x:c r="Q99" s="18" t="n">
        <x:v>1</x:v>
      </x:c>
      <x:c r="R99" s="18" t="n">
        <x:v>1</x:v>
      </x:c>
      <x:c r="S99" s="20" t="str">
        <x:v>p. 13; Tables 12(a)/(b)</x:v>
      </x:c>
    </x:row>
    <x:row r="100" ht="30" customHeight="1">
      <x:c r="A100" s="20" t="str">
        <x:v>Unity</x:v>
      </x:c>
      <x:c r="B100" s="18" t="n">
        <x:v>2021</x:v>
      </x:c>
      <x:c r="C100" s="18" t="str">
        <x:v>Tier 2</x:v>
      </x:c>
      <x:c r="D100" s="22" t="n">
        <x:v>3173</x:v>
      </x:c>
      <x:c r="E100" s="22" t="n">
        <x:v>50284</x:v>
      </x:c>
      <x:c r="F100" s="22" t="n">
        <x:v>538869</x:v>
      </x:c>
      <x:c r="G100" s="22" t="n">
        <x:v>272469</x:v>
      </x:c>
      <x:c r="H100" s="22" t="n">
        <x:v>3199</x:v>
      </x:c>
      <x:c r="I100" s="22" t="n">
        <x:v>2564</x:v>
      </x:c>
      <x:c r="J100" s="22" t="n">
        <x:v>0.04</x:v>
      </x:c>
      <x:c r="K100" s="22" t="n">
        <x:v>-86.18</x:v>
      </x:c>
      <x:c r="L100" s="22" t="n">
        <x:v>0.59</x:v>
      </x:c>
      <x:c r="M100" s="22" t="n">
        <x:v>1.17</x:v>
      </x:c>
      <x:c r="N100" s="22" t="n">
        <x:v>151.25</x:v>
      </x:c>
      <x:c r="O100" s="22" t="n">
        <x:v>13.2</x:v>
      </x:c>
      <x:c r="P100" s="20" t="str">
        <x:v>KPMG</x:v>
      </x:c>
      <x:c r="Q100" s="18" t="n">
        <x:v>1</x:v>
      </x:c>
      <x:c r="R100" s="18" t="n">
        <x:v>1</x:v>
      </x:c>
      <x:c r="S100" s="20" t="str">
        <x:v>p. 13; Tables 12(a)/(b)</x:v>
      </x:c>
    </x:row>
    <x:row r="101" ht="30" customHeight="1">
      <x:c r="A101" s="20" t="str">
        <x:v>Unity</x:v>
      </x:c>
      <x:c r="B101" s="18" t="n">
        <x:v>2022</x:v>
      </x:c>
      <x:c r="C101" s="18" t="str">
        <x:v>Tier 2</x:v>
      </x:c>
      <x:c r="D101" s="22" t="n">
        <x:v>941</x:v>
      </x:c>
      <x:c r="E101" s="22" t="n">
        <x:v>57150</x:v>
      </x:c>
      <x:c r="F101" s="22" t="n">
        <x:v>510144</x:v>
      </x:c>
      <x:c r="G101" s="22" t="n">
        <x:v>292969</x:v>
      </x:c>
      <x:c r="H101" s="22" t="n">
        <x:v>3613</x:v>
      </x:c>
      <x:c r="I101" s="22" t="n">
        <x:v>1204</x:v>
      </x:c>
      <x:c r="J101" s="22" t="n">
        <x:v>3.62</x:v>
      </x:c>
      <x:c r="K101" s="22" t="n">
        <x:v>-89.69</x:v>
      </x:c>
      <x:c r="L101" s="22" t="n">
        <x:v>0.18</x:v>
      </x:c>
      <x:c r="M101" s="22" t="n">
        <x:v>1.23</x:v>
      </x:c>
      <x:c r="N101" s="22" t="n">
        <x:v>153.89</x:v>
      </x:c>
      <x:c r="O101" s="22" t="n">
        <x:v>13.14</x:v>
      </x:c>
      <x:c r="P101" s="20" t="str">
        <x:v>KPMG</x:v>
      </x:c>
      <x:c r="Q101" s="18" t="n">
        <x:v>1</x:v>
      </x:c>
      <x:c r="R101" s="18" t="n">
        <x:v>1</x:v>
      </x:c>
      <x:c r="S101" s="20" t="str">
        <x:v>p. 13; Tables 12(a)/(b)</x:v>
      </x:c>
    </x:row>
    <x:row r="102" ht="30" customHeight="1">
      <x:c r="A102" s="20" t="str">
        <x:v>Union</x:v>
      </x:c>
      <x:c r="B102" s="18" t="n">
        <x:v>2015</x:v>
      </x:c>
      <x:c r="C102" s="18" t="str">
        <x:v>Tier 2</x:v>
      </x:c>
      <x:c r="D102" s="22" t="n">
        <x:v>17721</x:v>
      </x:c>
      <x:c r="E102" s="22" t="n">
        <x:v>118366</x:v>
      </x:c>
      <x:c r="F102" s="22" t="n">
        <x:v>998137</x:v>
      </x:c>
      <x:c r="G102" s="22" t="n">
        <x:v>370919</x:v>
      </x:c>
      <x:c r="H102" s="22" t="n">
        <x:v>21965</x:v>
      </x:c>
      <x:c r="I102" s="22" t="n">
        <x:v>9176</x:v>
      </x:c>
      <x:c r="J102" s="22" t="n">
        <x:v>6.99</x:v>
      </x:c>
      <x:c r="K102" s="22" t="n">
        <x:v>15.3</x:v>
      </x:c>
      <x:c r="L102" s="22" t="n">
        <x:v>1.77</x:v>
      </x:c>
      <x:c r="M102" s="22" t="n">
        <x:v>2.47</x:v>
      </x:c>
      <x:c r="N102" s="22" t="n">
        <x:v>76.89</x:v>
      </x:c>
      <x:c r="O102" s="22" t="n">
        <x:v>13.814</x:v>
      </x:c>
      <x:c r="P102" s="20" t="str">
        <x:v>KPMG</x:v>
      </x:c>
      <x:c r="Q102" s="18" t="n">
        <x:v>0</x:v>
      </x:c>
      <x:c r="R102" s="18" t="n">
        <x:v>0</x:v>
      </x:c>
      <x:c r="S102" s="20" t="str">
        <x:v>p. 14; Tables 13(a)/(b)</x:v>
      </x:c>
    </x:row>
    <x:row r="103" ht="30" customHeight="1">
      <x:c r="A103" s="20" t="str">
        <x:v>Union</x:v>
      </x:c>
      <x:c r="B103" s="18" t="n">
        <x:v>2016</x:v>
      </x:c>
      <x:c r="C103" s="18" t="str">
        <x:v>Tier 2</x:v>
      </x:c>
      <x:c r="D103" s="22" t="n">
        <x:v>15885</x:v>
      </x:c>
      <x:c r="E103" s="22" t="n">
        <x:v>123455</x:v>
      </x:c>
      <x:c r="F103" s="22" t="n">
        <x:v>1123483</x:v>
      </x:c>
      <x:c r="G103" s="22" t="n">
        <x:v>518349</x:v>
      </x:c>
      <x:c r="H103" s="22" t="n">
        <x:v>28459</x:v>
      </x:c>
      <x:c r="I103" s="22" t="n">
        <x:v>15769</x:v>
      </x:c>
      <x:c r="J103" s="22" t="n">
        <x:v>7.14</x:v>
      </x:c>
      <x:c r="K103" s="22" t="n">
        <x:v>13.3</x:v>
      </x:c>
      <x:c r="L103" s="22" t="n">
        <x:v>1.41</x:v>
      </x:c>
      <x:c r="M103" s="22" t="n">
        <x:v>5.49</x:v>
      </x:c>
      <x:c r="N103" s="22" t="n">
        <x:v>77.63</x:v>
      </x:c>
      <x:c r="O103" s="22" t="n">
        <x:v>13.932</x:v>
      </x:c>
      <x:c r="P103" s="20" t="str">
        <x:v>KPMG</x:v>
      </x:c>
      <x:c r="Q103" s="18" t="n">
        <x:v>0</x:v>
      </x:c>
      <x:c r="R103" s="18" t="n">
        <x:v>0</x:v>
      </x:c>
      <x:c r="S103" s="20" t="str">
        <x:v>p. 14; Tables 13(a)/(b)</x:v>
      </x:c>
    </x:row>
    <x:row r="104" ht="30" customHeight="1">
      <x:c r="A104" s="20" t="str">
        <x:v>Union</x:v>
      </x:c>
      <x:c r="B104" s="18" t="n">
        <x:v>2017</x:v>
      </x:c>
      <x:c r="C104" s="18" t="str">
        <x:v>Tier 2</x:v>
      </x:c>
      <x:c r="D104" s="22" t="n">
        <x:v>12839</x:v>
      </x:c>
      <x:c r="E104" s="22" t="n">
        <x:v>157566</x:v>
      </x:c>
      <x:c r="F104" s="22" t="n">
        <x:v>1334921</x:v>
      </x:c>
      <x:c r="G104" s="22" t="n">
        <x:v>531807</x:v>
      </x:c>
      <x:c r="H104" s="22" t="n">
        <x:v>43252</x:v>
      </x:c>
      <x:c r="I104" s="22" t="n">
        <x:v>25478</x:v>
      </x:c>
      <x:c r="J104" s="22" t="n">
        <x:v>20.81</x:v>
      </x:c>
      <x:c r="K104" s="22" t="n">
        <x:v>17.8</x:v>
      </x:c>
      <x:c r="L104" s="22" t="n">
        <x:v>0.96</x:v>
      </x:c>
      <x:c r="M104" s="22" t="n">
        <x:v>4.79</x:v>
      </x:c>
      <x:c r="N104" s="22" t="n">
        <x:v>75.93</x:v>
      </x:c>
      <x:c r="O104" s="22" t="n">
        <x:v>14.104</x:v>
      </x:c>
      <x:c r="P104" s="20" t="str">
        <x:v>KPMG</x:v>
      </x:c>
      <x:c r="Q104" s="18" t="n">
        <x:v>0</x:v>
      </x:c>
      <x:c r="R104" s="18" t="n">
        <x:v>0</x:v>
      </x:c>
      <x:c r="S104" s="20" t="str">
        <x:v>p. 14; Tables 13(a)/(b)</x:v>
      </x:c>
    </x:row>
    <x:row r="105" ht="30" customHeight="1">
      <x:c r="A105" s="20" t="str">
        <x:v>Union</x:v>
      </x:c>
      <x:c r="B105" s="18" t="n">
        <x:v>2018</x:v>
      </x:c>
      <x:c r="C105" s="18" t="str">
        <x:v>Tier 2</x:v>
      </x:c>
      <x:c r="D105" s="22" t="n">
        <x:v>18438</x:v>
      </x:c>
      <x:c r="E105" s="22" t="n">
        <x:v>140066</x:v>
      </x:c>
      <x:c r="F105" s="22" t="n">
        <x:v>1324297</x:v>
      </x:c>
      <x:c r="G105" s="22" t="n">
        <x:v>473396</x:v>
      </x:c>
      <x:c r="H105" s="22" t="n">
        <x:v>45359</x:v>
      </x:c>
      <x:c r="I105" s="22" t="n">
        <x:v>-3515</x:v>
      </x:c>
      <x:c r="J105" s="22" t="n">
        <x:v>8.13</x:v>
      </x:c>
      <x:c r="K105" s="22" t="n">
        <x:v>16.4</x:v>
      </x:c>
      <x:c r="L105" s="22" t="n">
        <x:v>1.39</x:v>
      </x:c>
      <x:c r="M105" s="22" t="n">
        <x:v>9.58</x:v>
      </x:c>
      <x:c r="N105" s="22" t="n">
        <x:v>84.89</x:v>
      </x:c>
      <x:c r="O105" s="22" t="n">
        <x:v>14.097</x:v>
      </x:c>
      <x:c r="P105" s="20" t="str">
        <x:v>KPMG</x:v>
      </x:c>
      <x:c r="Q105" s="18" t="n">
        <x:v>0</x:v>
      </x:c>
      <x:c r="R105" s="18" t="n">
        <x:v>1</x:v>
      </x:c>
      <x:c r="S105" s="20" t="str">
        <x:v>p. 14; Tables 13(a)/(b)</x:v>
      </x:c>
    </x:row>
    <x:row r="106" ht="30" customHeight="1">
      <x:c r="A106" s="20" t="str">
        <x:v>Union</x:v>
      </x:c>
      <x:c r="B106" s="18" t="n">
        <x:v>2019</x:v>
      </x:c>
      <x:c r="C106" s="18" t="str">
        <x:v>Tier 2</x:v>
      </x:c>
      <x:c r="D106" s="22" t="n">
        <x:v>24375</x:v>
      </x:c>
      <x:c r="E106" s="22" t="n">
        <x:v>159861</x:v>
      </x:c>
      <x:c r="F106" s="22" t="n">
        <x:v>1711739</x:v>
      </x:c>
      <x:c r="G106" s="22" t="n">
        <x:v>595298</x:v>
      </x:c>
      <x:c r="H106" s="22" t="n">
        <x:v>44685</x:v>
      </x:c>
      <x:c r="I106" s="22" t="n">
        <x:v>504</x:v>
      </x:c>
      <x:c r="J106" s="22" t="n">
        <x:v>5.84</x:v>
      </x:c>
      <x:c r="K106" s="22" t="n">
        <x:v>19.73</x:v>
      </x:c>
      <x:c r="L106" s="22" t="n">
        <x:v>1.42</x:v>
      </x:c>
      <x:c r="M106" s="22" t="n">
        <x:v>7.51</x:v>
      </x:c>
      <x:c r="N106" s="22" t="n">
        <x:v>86.49</x:v>
      </x:c>
      <x:c r="O106" s="22" t="n">
        <x:v>14.354</x:v>
      </x:c>
      <x:c r="P106" s="20" t="str">
        <x:v>KPMG</x:v>
      </x:c>
      <x:c r="Q106" s="18" t="n">
        <x:v>0</x:v>
      </x:c>
      <x:c r="R106" s="18" t="n">
        <x:v>1</x:v>
      </x:c>
      <x:c r="S106" s="20" t="str">
        <x:v>p. 14; Tables 13(a)/(b)</x:v>
      </x:c>
    </x:row>
    <x:row r="107" ht="30" customHeight="1">
      <x:c r="A107" s="20" t="str">
        <x:v>Union</x:v>
      </x:c>
      <x:c r="B107" s="18" t="n">
        <x:v>2020</x:v>
      </x:c>
      <x:c r="C107" s="18" t="str">
        <x:v>Tier 2</x:v>
      </x:c>
      <x:c r="D107" s="22" t="n">
        <x:v>24653</x:v>
      </x:c>
      <x:c r="E107" s="22" t="n">
        <x:v>156885</x:v>
      </x:c>
      <x:c r="F107" s="22" t="n">
        <x:v>2073758</x:v>
      </x:c>
      <x:c r="G107" s="22" t="n">
        <x:v>736712</x:v>
      </x:c>
      <x:c r="H107" s="22" t="n">
        <x:v>43909</x:v>
      </x:c>
      <x:c r="I107" s="22" t="n">
        <x:v>-2559</x:v>
      </x:c>
      <x:c r="J107" s="22" t="n">
        <x:v>4</x:v>
      </x:c>
      <x:c r="K107" s="22" t="n">
        <x:v>17.46</x:v>
      </x:c>
      <x:c r="L107" s="22" t="n">
        <x:v>1.19</x:v>
      </x:c>
      <x:c r="M107" s="22" t="n">
        <x:v>5.96</x:v>
      </x:c>
      <x:c r="N107" s="22" t="n">
        <x:v>88.06</x:v>
      </x:c>
      <x:c r="O107" s="22" t="n">
        <x:v>14.544</x:v>
      </x:c>
      <x:c r="P107" s="20" t="str">
        <x:v>EY</x:v>
      </x:c>
      <x:c r="Q107" s="18" t="n">
        <x:v>0</x:v>
      </x:c>
      <x:c r="R107" s="18" t="n">
        <x:v>1</x:v>
      </x:c>
      <x:c r="S107" s="20" t="str">
        <x:v>p. 14; Tables 13(a)/(b)</x:v>
      </x:c>
    </x:row>
    <x:row r="108" ht="30" customHeight="1">
      <x:c r="A108" s="20" t="str">
        <x:v>Union</x:v>
      </x:c>
      <x:c r="B108" s="18" t="n">
        <x:v>2021</x:v>
      </x:c>
      <x:c r="C108" s="18" t="str">
        <x:v>Tier 2</x:v>
      </x:c>
      <x:c r="D108" s="22" t="n">
        <x:v>19180</x:v>
      </x:c>
      <x:c r="E108" s="22" t="n">
        <x:v>175006</x:v>
      </x:c>
      <x:c r="F108" s="22" t="n">
        <x:v>2567441</x:v>
      </x:c>
      <x:c r="G108" s="22" t="n">
        <x:v>868840</x:v>
      </x:c>
      <x:c r="H108" s="22" t="n">
        <x:v>41537</x:v>
      </x:c>
      <x:c r="I108" s="22" t="n">
        <x:v>34</x:v>
      </x:c>
      <x:c r="J108" s="22" t="n">
        <x:v>4.3</x:v>
      </x:c>
      <x:c r="K108" s="22" t="n">
        <x:v>14.61</x:v>
      </x:c>
      <x:c r="L108" s="22" t="n">
        <x:v>0.75</x:v>
      </x:c>
      <x:c r="M108" s="22" t="n">
        <x:v>4.78</x:v>
      </x:c>
      <x:c r="N108" s="22" t="n">
        <x:v>90.21</x:v>
      </x:c>
      <x:c r="O108" s="22" t="n">
        <x:v>14.759</x:v>
      </x:c>
      <x:c r="P108" s="20" t="str">
        <x:v>EY</x:v>
      </x:c>
      <x:c r="Q108" s="18" t="n">
        <x:v>0</x:v>
      </x:c>
      <x:c r="R108" s="18" t="n">
        <x:v>1</x:v>
      </x:c>
      <x:c r="S108" s="20" t="str">
        <x:v>p. 14; Tables 13(a)/(b)</x:v>
      </x:c>
    </x:row>
    <x:row r="109" ht="30" customHeight="1">
      <x:c r="A109" s="20" t="str">
        <x:v>Union</x:v>
      </x:c>
      <x:c r="B109" s="18" t="n">
        <x:v>2022</x:v>
      </x:c>
      <x:c r="C109" s="18" t="str">
        <x:v>Tier 2</x:v>
      </x:c>
      <x:c r="D109" s="22" t="n">
        <x:v>29009</x:v>
      </x:c>
      <x:c r="E109" s="22" t="n">
        <x:v>208171</x:v>
      </x:c>
      <x:c r="F109" s="22" t="n">
        <x:v>2793674</x:v>
      </x:c>
      <x:c r="G109" s="22" t="n">
        <x:v>1000903</x:v>
      </x:c>
      <x:c r="H109" s="22" t="n">
        <x:v>46628</x:v>
      </x:c>
      <x:c r="I109" s="22" t="n">
        <x:v>1749</x:v>
      </x:c>
      <x:c r="J109" s="22" t="n">
        <x:v>4.02</x:v>
      </x:c>
      <x:c r="K109" s="22" t="n">
        <x:v>14.42</x:v>
      </x:c>
      <x:c r="L109" s="22" t="n">
        <x:v>1.04</x:v>
      </x:c>
      <x:c r="M109" s="22" t="n">
        <x:v>4.65</x:v>
      </x:c>
      <x:c r="N109" s="22" t="n">
        <x:v>89.63</x:v>
      </x:c>
      <x:c r="O109" s="22" t="n">
        <x:v>14.843</x:v>
      </x:c>
      <x:c r="P109" s="20" t="str">
        <x:v>EY</x:v>
      </x:c>
      <x:c r="Q109" s="18" t="n">
        <x:v>0</x:v>
      </x:c>
      <x:c r="R109" s="18" t="n">
        <x:v>1</x:v>
      </x:c>
      <x:c r="S109" s="20" t="str">
        <x:v>p. 14; Tables 13(a)/(b)</x:v>
      </x:c>
    </x:row>
  </x:sheetData>
  <x:mergeCells>
    <x:mergeCell ref="A1:S1"/>
    <x:mergeCell ref="A2:S3"/>
  </x:mergeCells>
  <x:pageMargins left="0.7" right="0.7" top="0.75" bottom="0.75" header="0.3" footer="0.3"/>
  <x:tableParts count="1">
    <x:tablePart xmlns:r="http://schemas.openxmlformats.org/officeDocument/2006/relationships" r:id="R10edb05ec4de4139"/>
  </x:tableParts>
</x:worksheet>
</file>

<file path=xl/worksheets/sheet6.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8" hidden="0" customWidth="1"/>
    <x:col min="2" max="2" width="10" hidden="0" customWidth="1"/>
    <x:col min="3" max="3" width="23" hidden="0" customWidth="1"/>
    <x:col min="4" max="4" width="20" hidden="0" customWidth="1"/>
    <x:col min="5" max="5" width="18" hidden="0" customWidth="1"/>
    <x:col min="6" max="6" width="22" hidden="0" customWidth="1"/>
    <x:col min="7" max="7" width="40" hidden="0" customWidth="1"/>
    <x:col min="8" max="8" width="12" hidden="0" customWidth="1"/>
    <x:col min="9" max="9" width="24" hidden="0" customWidth="1"/>
    <x:col min="10" max="10" width="13" hidden="0" customWidth="1"/>
    <x:col min="11" max="11" width="13" hidden="0" customWidth="1"/>
    <x:col min="12" max="12" width="38" hidden="0" customWidth="1"/>
    <x:col min="13" max="13" width="35" hidden="0" customWidth="1"/>
    <x:col min="14" max="14" width="40" hidden="0" customWidth="1"/>
  </x:cols>
  <x:sheetData>
    <x:row r="1" ht="30" customHeight="1">
      <x:c r="A1" s="3" t="str">
        <x:v>NEW PRIMARY-SOURCE EVIDENCE | 41 MEASUREMENTS</x:v>
      </x:c>
      <x:c r="B1" s="3"/>
      <x:c r="C1" s="3"/>
      <x:c r="D1" s="3"/>
      <x:c r="E1" s="3"/>
      <x:c r="F1" s="3"/>
      <x:c r="G1" s="3"/>
      <x:c r="H1" s="3"/>
      <x:c r="I1" s="3"/>
      <x:c r="J1" s="3"/>
      <x:c r="K1" s="3"/>
      <x:c r="L1" s="3"/>
      <x:c r="M1" s="3"/>
      <x:c r="N1" s="3"/>
    </x:row>
    <x:row r="2" ht="25" customHeight="1">
      <x:c r="A2" s="8" t="str">
        <x:v>United Bank for Africa: 2016 Annual Report and Accounts. Bank columns only. Printed page numbers and 1-indexed PDF page numbers are both recorded. The original report is online; no full PDF archive is bundled.</x:v>
      </x:c>
      <x:c r="B2" s="8"/>
      <x:c r="C2" s="8"/>
      <x:c r="D2" s="8"/>
      <x:c r="E2" s="8"/>
      <x:c r="F2" s="8"/>
      <x:c r="G2" s="8"/>
      <x:c r="H2" s="8"/>
      <x:c r="I2" s="8"/>
      <x:c r="J2" s="8"/>
      <x:c r="K2" s="8"/>
      <x:c r="L2" s="8"/>
      <x:c r="M2" s="8"/>
      <x:c r="N2" s="8"/>
    </x:row>
    <x:row r="3" ht="20" customHeight="1">
      <x:c r="A3" s="8"/>
      <x:c r="B3" s="8"/>
      <x:c r="C3" s="8"/>
      <x:c r="D3" s="8"/>
      <x:c r="E3" s="8"/>
      <x:c r="F3" s="8"/>
      <x:c r="G3" s="8"/>
      <x:c r="H3" s="8"/>
      <x:c r="I3" s="8"/>
      <x:c r="J3" s="8"/>
      <x:c r="K3" s="8"/>
      <x:c r="L3" s="8"/>
      <x:c r="M3" s="8"/>
      <x:c r="N3" s="8"/>
    </x:row>
    <x:row r="5" ht="34" customHeight="1">
      <x:c r="A5" s="14" t="str">
        <x:v>bank</x:v>
      </x:c>
      <x:c r="B5" s="14" t="str">
        <x:v>year</x:v>
      </x:c>
      <x:c r="C5" s="14" t="str">
        <x:v>field</x:v>
      </x:c>
      <x:c r="D5" s="14" t="str">
        <x:v>value</x:v>
      </x:c>
      <x:c r="E5" s="14" t="str">
        <x:v>unit</x:v>
      </x:c>
      <x:c r="F5" s="14" t="str">
        <x:v>source_id</x:v>
      </x:c>
      <x:c r="G5" s="14" t="str">
        <x:v>source_url</x:v>
      </x:c>
      <x:c r="H5" s="14" t="str">
        <x:v>report_year</x:v>
      </x:c>
      <x:c r="I5" s="14" t="str">
        <x:v>scope</x:v>
      </x:c>
      <x:c r="J5" s="14" t="str">
        <x:v>printed_page</x:v>
      </x:c>
      <x:c r="K5" s="14" t="str">
        <x:v>pdf_page</x:v>
      </x:c>
      <x:c r="L5" s="14" t="str">
        <x:v>note</x:v>
      </x:c>
      <x:c r="M5" s="14" t="str">
        <x:v>source_status</x:v>
      </x:c>
      <x:c r="N5" s="14" t="str">
        <x:v>version</x:v>
      </x:c>
    </x:row>
    <x:row r="6" ht="52" customHeight="1">
      <x:c r="A6" s="18" t="str">
        <x:v>UBA</x:v>
      </x:c>
      <x:c r="B6" s="18" t="n">
        <x:v>2015</x:v>
      </x:c>
      <x:c r="C6" s="20" t="str">
        <x:v>pat</x:v>
      </x:c>
      <x:c r="D6" s="22" t="n">
        <x:v>47642</x:v>
      </x:c>
      <x:c r="E6" s="18" t="str">
        <x:v>NGN million</x:v>
      </x:c>
      <x:c r="F6" s="18" t="str">
        <x:v>UBA16_UPDATE</x:v>
      </x:c>
      <x:c r="G6" s="20" t="str">
        <x:v>https://www.ubagroup.com/wp-content/uploads/2018/08/UBA-Plc-2016-Annual-reports-and-Accounts_Low-Resolution.VAR_.pdf</x:v>
      </x:c>
      <x:c r="H6" s="18" t="n">
        <x:v>2016</x:v>
      </x:c>
      <x:c r="I6" s="20" t="str">
        <x:v>Standalone Bank</x:v>
      </x:c>
      <x:c r="J6" s="18" t="n">
        <x:v>74</x:v>
      </x:c>
      <x:c r="K6" s="18" t="n">
        <x:v>76</x:v>
      </x:c>
      <x:c r="L6" s="20" t="str">
        <x:v>Statement of comprehensive income</x:v>
      </x:c>
      <x:c r="M6" s="20" t="str">
        <x:v>Primary report page image checked</x:v>
      </x:c>
      <x:c r="N6" s="20" t="str">
        <x:v>Audited 2015 comparative in 2016 report</x:v>
      </x:c>
    </x:row>
    <x:row r="7" ht="52" customHeight="1">
      <x:c r="A7" s="18" t="str">
        <x:v>UBA</x:v>
      </x:c>
      <x:c r="B7" s="18" t="n">
        <x:v>2015</x:v>
      </x:c>
      <x:c r="C7" s="20" t="str">
        <x:v>gross_earnings</x:v>
      </x:c>
      <x:c r="D7" s="22" t="n">
        <x:v>247378</x:v>
      </x:c>
      <x:c r="E7" s="18" t="str">
        <x:v>NGN million</x:v>
      </x:c>
      <x:c r="F7" s="18" t="str">
        <x:v>UBA16_UPDATE</x:v>
      </x:c>
      <x:c r="G7" s="20" t="str">
        <x:v>https://www.ubagroup.com/wp-content/uploads/2018/08/UBA-Plc-2016-Annual-reports-and-Accounts_Low-Resolution.VAR_.pdf</x:v>
      </x:c>
      <x:c r="H7" s="18" t="n">
        <x:v>2016</x:v>
      </x:c>
      <x:c r="I7" s="20" t="str">
        <x:v>Standalone Bank</x:v>
      </x:c>
      <x:c r="J7" s="18" t="n">
        <x:v>74</x:v>
      </x:c>
      <x:c r="K7" s="18" t="n">
        <x:v>76</x:v>
      </x:c>
      <x:c r="L7" s="20" t="str">
        <x:v>Statement of comprehensive income</x:v>
      </x:c>
      <x:c r="M7" s="20" t="str">
        <x:v>Primary report page image checked</x:v>
      </x:c>
      <x:c r="N7" s="20" t="str">
        <x:v>Audited 2015 comparative in 2016 report</x:v>
      </x:c>
    </x:row>
    <x:row r="8" ht="52" customHeight="1">
      <x:c r="A8" s="18" t="str">
        <x:v>UBA</x:v>
      </x:c>
      <x:c r="B8" s="18" t="n">
        <x:v>2015</x:v>
      </x:c>
      <x:c r="C8" s="20" t="str">
        <x:v>pbt</x:v>
      </x:c>
      <x:c r="D8" s="22" t="n">
        <x:v>50735</x:v>
      </x:c>
      <x:c r="E8" s="18" t="str">
        <x:v>NGN million</x:v>
      </x:c>
      <x:c r="F8" s="18" t="str">
        <x:v>UBA16_UPDATE</x:v>
      </x:c>
      <x:c r="G8" s="20" t="str">
        <x:v>https://www.ubagroup.com/wp-content/uploads/2018/08/UBA-Plc-2016-Annual-reports-and-Accounts_Low-Resolution.VAR_.pdf</x:v>
      </x:c>
      <x:c r="H8" s="18" t="n">
        <x:v>2016</x:v>
      </x:c>
      <x:c r="I8" s="20" t="str">
        <x:v>Standalone Bank</x:v>
      </x:c>
      <x:c r="J8" s="18" t="n">
        <x:v>74</x:v>
      </x:c>
      <x:c r="K8" s="18" t="n">
        <x:v>76</x:v>
      </x:c>
      <x:c r="L8" s="20" t="str">
        <x:v>Statement of comprehensive income</x:v>
      </x:c>
      <x:c r="M8" s="20" t="str">
        <x:v>Primary report page image checked</x:v>
      </x:c>
      <x:c r="N8" s="20" t="str">
        <x:v>Audited 2015 comparative in 2016 report</x:v>
      </x:c>
    </x:row>
    <x:row r="9" ht="52" customHeight="1">
      <x:c r="A9" s="18" t="str">
        <x:v>UBA</x:v>
      </x:c>
      <x:c r="B9" s="18" t="n">
        <x:v>2015</x:v>
      </x:c>
      <x:c r="C9" s="20" t="str">
        <x:v>total_impairment</x:v>
      </x:c>
      <x:c r="D9" s="22" t="n">
        <x:v>3491</x:v>
      </x:c>
      <x:c r="E9" s="18" t="str">
        <x:v>NGN million</x:v>
      </x:c>
      <x:c r="F9" s="18" t="str">
        <x:v>UBA16_UPDATE</x:v>
      </x:c>
      <x:c r="G9" s="20" t="str">
        <x:v>https://www.ubagroup.com/wp-content/uploads/2018/08/UBA-Plc-2016-Annual-reports-and-Accounts_Low-Resolution.VAR_.pdf</x:v>
      </x:c>
      <x:c r="H9" s="18" t="n">
        <x:v>2016</x:v>
      </x:c>
      <x:c r="I9" s="20" t="str">
        <x:v>Standalone Bank</x:v>
      </x:c>
      <x:c r="J9" s="18" t="n">
        <x:v>74</x:v>
      </x:c>
      <x:c r="K9" s="18" t="n">
        <x:v>76</x:v>
      </x:c>
      <x:c r="L9" s="20" t="str">
        <x:v>Net impairment loss on loans and receivables</x:v>
      </x:c>
      <x:c r="M9" s="20" t="str">
        <x:v>Primary report page image checked</x:v>
      </x:c>
      <x:c r="N9" s="20" t="str">
        <x:v>Audited 2015 comparative in 2016 report</x:v>
      </x:c>
    </x:row>
    <x:row r="10" ht="52" customHeight="1">
      <x:c r="A10" s="18" t="str">
        <x:v>UBA</x:v>
      </x:c>
      <x:c r="B10" s="18" t="n">
        <x:v>2015</x:v>
      </x:c>
      <x:c r="C10" s="20" t="str">
        <x:v>assets</x:v>
      </x:c>
      <x:c r="D10" s="22" t="n">
        <x:v>2216337</x:v>
      </x:c>
      <x:c r="E10" s="18" t="str">
        <x:v>NGN million</x:v>
      </x:c>
      <x:c r="F10" s="18" t="str">
        <x:v>UBA16_UPDATE</x:v>
      </x:c>
      <x:c r="G10" s="20" t="str">
        <x:v>https://www.ubagroup.com/wp-content/uploads/2018/08/UBA-Plc-2016-Annual-reports-and-Accounts_Low-Resolution.VAR_.pdf</x:v>
      </x:c>
      <x:c r="H10" s="18" t="n">
        <x:v>2016</x:v>
      </x:c>
      <x:c r="I10" s="20" t="str">
        <x:v>Standalone Bank</x:v>
      </x:c>
      <x:c r="J10" s="18" t="n">
        <x:v>75</x:v>
      </x:c>
      <x:c r="K10" s="18" t="n">
        <x:v>77</x:v>
      </x:c>
      <x:c r="L10" s="20" t="str">
        <x:v>Statement of financial position</x:v>
      </x:c>
      <x:c r="M10" s="20" t="str">
        <x:v>Primary report page image checked</x:v>
      </x:c>
      <x:c r="N10" s="20" t="str">
        <x:v>Audited 2015 comparative in 2016 report</x:v>
      </x:c>
    </x:row>
    <x:row r="11" ht="52" customHeight="1">
      <x:c r="A11" s="18" t="str">
        <x:v>UBA</x:v>
      </x:c>
      <x:c r="B11" s="18" t="n">
        <x:v>2015</x:v>
      </x:c>
      <x:c r="C11" s="20" t="str">
        <x:v>liabilities</x:v>
      </x:c>
      <x:c r="D11" s="22" t="n">
        <x:v>1878106</x:v>
      </x:c>
      <x:c r="E11" s="18" t="str">
        <x:v>NGN million</x:v>
      </x:c>
      <x:c r="F11" s="18" t="str">
        <x:v>UBA16_UPDATE</x:v>
      </x:c>
      <x:c r="G11" s="20" t="str">
        <x:v>https://www.ubagroup.com/wp-content/uploads/2018/08/UBA-Plc-2016-Annual-reports-and-Accounts_Low-Resolution.VAR_.pdf</x:v>
      </x:c>
      <x:c r="H11" s="18" t="n">
        <x:v>2016</x:v>
      </x:c>
      <x:c r="I11" s="20" t="str">
        <x:v>Standalone Bank</x:v>
      </x:c>
      <x:c r="J11" s="18" t="n">
        <x:v>75</x:v>
      </x:c>
      <x:c r="K11" s="18" t="n">
        <x:v>77</x:v>
      </x:c>
      <x:c r="L11" s="20" t="str">
        <x:v>Statement of financial position</x:v>
      </x:c>
      <x:c r="M11" s="20" t="str">
        <x:v>Primary report page image checked</x:v>
      </x:c>
      <x:c r="N11" s="20" t="str">
        <x:v>Audited 2015 comparative in 2016 report</x:v>
      </x:c>
    </x:row>
    <x:row r="12" ht="52" customHeight="1">
      <x:c r="A12" s="18" t="str">
        <x:v>UBA</x:v>
      </x:c>
      <x:c r="B12" s="18" t="n">
        <x:v>2015</x:v>
      </x:c>
      <x:c r="C12" s="20" t="str">
        <x:v>equity</x:v>
      </x:c>
      <x:c r="D12" s="22" t="n">
        <x:v>338231</x:v>
      </x:c>
      <x:c r="E12" s="18" t="str">
        <x:v>NGN million</x:v>
      </x:c>
      <x:c r="F12" s="18" t="str">
        <x:v>UBA16_UPDATE</x:v>
      </x:c>
      <x:c r="G12" s="20" t="str">
        <x:v>https://www.ubagroup.com/wp-content/uploads/2018/08/UBA-Plc-2016-Annual-reports-and-Accounts_Low-Resolution.VAR_.pdf</x:v>
      </x:c>
      <x:c r="H12" s="18" t="n">
        <x:v>2016</x:v>
      </x:c>
      <x:c r="I12" s="20" t="str">
        <x:v>Standalone Bank</x:v>
      </x:c>
      <x:c r="J12" s="18" t="n">
        <x:v>75</x:v>
      </x:c>
      <x:c r="K12" s="18" t="n">
        <x:v>77</x:v>
      </x:c>
      <x:c r="L12" s="20" t="str">
        <x:v>Statement of financial position</x:v>
      </x:c>
      <x:c r="M12" s="20" t="str">
        <x:v>Primary report page image checked</x:v>
      </x:c>
      <x:c r="N12" s="20" t="str">
        <x:v>Audited 2015 comparative in 2016 report</x:v>
      </x:c>
    </x:row>
    <x:row r="13" ht="52" customHeight="1">
      <x:c r="A13" s="18" t="str">
        <x:v>UBA</x:v>
      </x:c>
      <x:c r="B13" s="18" t="n">
        <x:v>2015</x:v>
      </x:c>
      <x:c r="C13" s="20" t="str">
        <x:v>ocf</x:v>
      </x:c>
      <x:c r="D13" s="22" t="n">
        <x:v>58408</x:v>
      </x:c>
      <x:c r="E13" s="18" t="str">
        <x:v>NGN million</x:v>
      </x:c>
      <x:c r="F13" s="18" t="str">
        <x:v>UBA16_UPDATE</x:v>
      </x:c>
      <x:c r="G13" s="20" t="str">
        <x:v>https://www.ubagroup.com/wp-content/uploads/2018/08/UBA-Plc-2016-Annual-reports-and-Accounts_Low-Resolution.VAR_.pdf</x:v>
      </x:c>
      <x:c r="H13" s="18" t="n">
        <x:v>2016</x:v>
      </x:c>
      <x:c r="I13" s="20" t="str">
        <x:v>Standalone Bank</x:v>
      </x:c>
      <x:c r="J13" s="18" t="n">
        <x:v>78</x:v>
      </x:c>
      <x:c r="K13" s="18" t="n">
        <x:v>80</x:v>
      </x:c>
      <x:c r="L13" s="20" t="str">
        <x:v>Statement of cash flows</x:v>
      </x:c>
      <x:c r="M13" s="20" t="str">
        <x:v>Primary report page image checked</x:v>
      </x:c>
      <x:c r="N13" s="20" t="str">
        <x:v>Audited 2015 comparative in 2016 report</x:v>
      </x:c>
    </x:row>
    <x:row r="14" ht="52" customHeight="1">
      <x:c r="A14" s="18" t="str">
        <x:v>UBA</x:v>
      </x:c>
      <x:c r="B14" s="18" t="n">
        <x:v>2015</x:v>
      </x:c>
      <x:c r="C14" s="20" t="str">
        <x:v>regulatory_capital</x:v>
      </x:c>
      <x:c r="D14" s="22" t="n">
        <x:v>241091</x:v>
      </x:c>
      <x:c r="E14" s="18" t="str">
        <x:v>NGN million</x:v>
      </x:c>
      <x:c r="F14" s="18" t="str">
        <x:v>UBA16_UPDATE</x:v>
      </x:c>
      <x:c r="G14" s="20" t="str">
        <x:v>https://www.ubagroup.com/wp-content/uploads/2018/08/UBA-Plc-2016-Annual-reports-and-Accounts_Low-Resolution.VAR_.pdf</x:v>
      </x:c>
      <x:c r="H14" s="18" t="n">
        <x:v>2016</x:v>
      </x:c>
      <x:c r="I14" s="20" t="str">
        <x:v>Standalone Bank</x:v>
      </x:c>
      <x:c r="J14" s="18" t="n">
        <x:v>148</x:v>
      </x:c>
      <x:c r="K14" s="18" t="n">
        <x:v>150</x:v>
      </x:c>
      <x:c r="L14" s="20" t="str">
        <x:v>Note 5.2</x:v>
      </x:c>
      <x:c r="M14" s="20" t="str">
        <x:v>Primary report page image checked</x:v>
      </x:c>
      <x:c r="N14" s="20" t="str">
        <x:v>Audited 2015 comparative in 2016 report</x:v>
      </x:c>
    </x:row>
    <x:row r="15" ht="52" customHeight="1">
      <x:c r="A15" s="18" t="str">
        <x:v>UBA</x:v>
      </x:c>
      <x:c r="B15" s="18" t="n">
        <x:v>2015</x:v>
      </x:c>
      <x:c r="C15" s="20" t="str">
        <x:v>rwa</x:v>
      </x:c>
      <x:c r="D15" s="22" t="n">
        <x:v>1208372</x:v>
      </x:c>
      <x:c r="E15" s="18" t="str">
        <x:v>NGN million</x:v>
      </x:c>
      <x:c r="F15" s="18" t="str">
        <x:v>UBA16_UPDATE</x:v>
      </x:c>
      <x:c r="G15" s="20" t="str">
        <x:v>https://www.ubagroup.com/wp-content/uploads/2018/08/UBA-Plc-2016-Annual-reports-and-Accounts_Low-Resolution.VAR_.pdf</x:v>
      </x:c>
      <x:c r="H15" s="18" t="n">
        <x:v>2016</x:v>
      </x:c>
      <x:c r="I15" s="20" t="str">
        <x:v>Standalone Bank</x:v>
      </x:c>
      <x:c r="J15" s="18" t="n">
        <x:v>148</x:v>
      </x:c>
      <x:c r="K15" s="18" t="n">
        <x:v>150</x:v>
      </x:c>
      <x:c r="L15" s="20" t="str">
        <x:v>Note 5.2</x:v>
      </x:c>
      <x:c r="M15" s="20" t="str">
        <x:v>Primary report page image checked</x:v>
      </x:c>
      <x:c r="N15" s="20" t="str">
        <x:v>Audited 2015 comparative in 2016 report</x:v>
      </x:c>
    </x:row>
    <x:row r="16" ht="52" customHeight="1">
      <x:c r="A16" s="18" t="str">
        <x:v>UBA</x:v>
      </x:c>
      <x:c r="B16" s="18" t="n">
        <x:v>2015</x:v>
      </x:c>
      <x:c r="C16" s="20" t="str">
        <x:v>car</x:v>
      </x:c>
      <x:c r="D16" s="22" t="n">
        <x:v>20</x:v>
      </x:c>
      <x:c r="E16" s="18" t="str">
        <x:v>percent</x:v>
      </x:c>
      <x:c r="F16" s="18" t="str">
        <x:v>UBA16_UPDATE</x:v>
      </x:c>
      <x:c r="G16" s="20" t="str">
        <x:v>https://www.ubagroup.com/wp-content/uploads/2018/08/UBA-Plc-2016-Annual-reports-and-Accounts_Low-Resolution.VAR_.pdf</x:v>
      </x:c>
      <x:c r="H16" s="18" t="n">
        <x:v>2016</x:v>
      </x:c>
      <x:c r="I16" s="20" t="str">
        <x:v>Standalone Bank</x:v>
      </x:c>
      <x:c r="J16" s="18" t="n">
        <x:v>148</x:v>
      </x:c>
      <x:c r="K16" s="18" t="n">
        <x:v>150</x:v>
      </x:c>
      <x:c r="L16" s="20" t="str">
        <x:v>Note 5.2</x:v>
      </x:c>
      <x:c r="M16" s="20" t="str">
        <x:v>Primary report page image checked</x:v>
      </x:c>
      <x:c r="N16" s="20" t="str">
        <x:v>Audited 2015 comparative in 2016 report</x:v>
      </x:c>
    </x:row>
    <x:row r="17" ht="52" customHeight="1">
      <x:c r="A17" s="18" t="str">
        <x:v>UBA</x:v>
      </x:c>
      <x:c r="B17" s="18" t="n">
        <x:v>2015</x:v>
      </x:c>
      <x:c r="C17" s="20" t="str">
        <x:v>liquidity</x:v>
      </x:c>
      <x:c r="D17" s="22" t="n">
        <x:v>52.57</x:v>
      </x:c>
      <x:c r="E17" s="18" t="str">
        <x:v>percent</x:v>
      </x:c>
      <x:c r="F17" s="18" t="str">
        <x:v>UBA16_UPDATE</x:v>
      </x:c>
      <x:c r="G17" s="20" t="str">
        <x:v>https://www.ubagroup.com/wp-content/uploads/2018/08/UBA-Plc-2016-Annual-reports-and-Accounts_Low-Resolution.VAR_.pdf</x:v>
      </x:c>
      <x:c r="H17" s="18" t="n">
        <x:v>2016</x:v>
      </x:c>
      <x:c r="I17" s="20" t="str">
        <x:v>Standalone Bank</x:v>
      </x:c>
      <x:c r="J17" s="18" t="n">
        <x:v>128</x:v>
      </x:c>
      <x:c r="K17" s="18" t="n">
        <x:v>130</x:v>
      </x:c>
      <x:c r="L17" s="20" t="str">
        <x:v>Note 4.3(b)</x:v>
      </x:c>
      <x:c r="M17" s="20" t="str">
        <x:v>Primary report page image checked</x:v>
      </x:c>
      <x:c r="N17" s="20" t="str">
        <x:v>Audited 2015 comparative in 2016 report</x:v>
      </x:c>
    </x:row>
    <x:row r="18" ht="52" customHeight="1">
      <x:c r="A18" s="18" t="str">
        <x:v>UBA</x:v>
      </x:c>
      <x:c r="B18" s="18" t="n">
        <x:v>2015</x:v>
      </x:c>
      <x:c r="C18" s="20" t="str">
        <x:v>liquidity_average</x:v>
      </x:c>
      <x:c r="D18" s="22" t="n">
        <x:v>42.61</x:v>
      </x:c>
      <x:c r="E18" s="18" t="str">
        <x:v>percent</x:v>
      </x:c>
      <x:c r="F18" s="18" t="str">
        <x:v>UBA16_UPDATE</x:v>
      </x:c>
      <x:c r="G18" s="20" t="str">
        <x:v>https://www.ubagroup.com/wp-content/uploads/2018/08/UBA-Plc-2016-Annual-reports-and-Accounts_Low-Resolution.VAR_.pdf</x:v>
      </x:c>
      <x:c r="H18" s="18" t="n">
        <x:v>2016</x:v>
      </x:c>
      <x:c r="I18" s="20" t="str">
        <x:v>Standalone Bank</x:v>
      </x:c>
      <x:c r="J18" s="18" t="n">
        <x:v>128</x:v>
      </x:c>
      <x:c r="K18" s="18" t="n">
        <x:v>130</x:v>
      </x:c>
      <x:c r="L18" s="20" t="str">
        <x:v>Note 4.3(b)</x:v>
      </x:c>
      <x:c r="M18" s="20" t="str">
        <x:v>Primary report page image checked</x:v>
      </x:c>
      <x:c r="N18" s="20" t="str">
        <x:v>Audited 2015 comparative in 2016 report</x:v>
      </x:c>
    </x:row>
    <x:row r="19" ht="52" customHeight="1">
      <x:c r="A19" s="18" t="str">
        <x:v>UBA</x:v>
      </x:c>
      <x:c r="B19" s="18" t="n">
        <x:v>2015</x:v>
      </x:c>
      <x:c r="C19" s="20" t="str">
        <x:v>liquidity_max</x:v>
      </x:c>
      <x:c r="D19" s="22" t="n">
        <x:v>52.57</x:v>
      </x:c>
      <x:c r="E19" s="18" t="str">
        <x:v>percent</x:v>
      </x:c>
      <x:c r="F19" s="18" t="str">
        <x:v>UBA16_UPDATE</x:v>
      </x:c>
      <x:c r="G19" s="20" t="str">
        <x:v>https://www.ubagroup.com/wp-content/uploads/2018/08/UBA-Plc-2016-Annual-reports-and-Accounts_Low-Resolution.VAR_.pdf</x:v>
      </x:c>
      <x:c r="H19" s="18" t="n">
        <x:v>2016</x:v>
      </x:c>
      <x:c r="I19" s="20" t="str">
        <x:v>Standalone Bank</x:v>
      </x:c>
      <x:c r="J19" s="18" t="n">
        <x:v>128</x:v>
      </x:c>
      <x:c r="K19" s="18" t="n">
        <x:v>130</x:v>
      </x:c>
      <x:c r="L19" s="20" t="str">
        <x:v>Note 4.3(b)</x:v>
      </x:c>
      <x:c r="M19" s="20" t="str">
        <x:v>Primary report page image checked</x:v>
      </x:c>
      <x:c r="N19" s="20" t="str">
        <x:v>Audited 2015 comparative in 2016 report</x:v>
      </x:c>
    </x:row>
    <x:row r="20" ht="52" customHeight="1">
      <x:c r="A20" s="18" t="str">
        <x:v>UBA</x:v>
      </x:c>
      <x:c r="B20" s="18" t="n">
        <x:v>2015</x:v>
      </x:c>
      <x:c r="C20" s="20" t="str">
        <x:v>liquidity_min</x:v>
      </x:c>
      <x:c r="D20" s="22" t="n">
        <x:v>35.7</x:v>
      </x:c>
      <x:c r="E20" s="18" t="str">
        <x:v>percent</x:v>
      </x:c>
      <x:c r="F20" s="18" t="str">
        <x:v>UBA16_UPDATE</x:v>
      </x:c>
      <x:c r="G20" s="20" t="str">
        <x:v>https://www.ubagroup.com/wp-content/uploads/2018/08/UBA-Plc-2016-Annual-reports-and-Accounts_Low-Resolution.VAR_.pdf</x:v>
      </x:c>
      <x:c r="H20" s="18" t="n">
        <x:v>2016</x:v>
      </x:c>
      <x:c r="I20" s="20" t="str">
        <x:v>Standalone Bank</x:v>
      </x:c>
      <x:c r="J20" s="18" t="n">
        <x:v>128</x:v>
      </x:c>
      <x:c r="K20" s="18" t="n">
        <x:v>130</x:v>
      </x:c>
      <x:c r="L20" s="20" t="str">
        <x:v>Note 4.3(b)</x:v>
      </x:c>
      <x:c r="M20" s="20" t="str">
        <x:v>Primary report page image checked</x:v>
      </x:c>
      <x:c r="N20" s="20" t="str">
        <x:v>Audited 2015 comparative in 2016 report</x:v>
      </x:c>
    </x:row>
    <x:row r="21" ht="52" customHeight="1">
      <x:c r="A21" s="18" t="str">
        <x:v>UBA</x:v>
      </x:c>
      <x:c r="B21" s="18" t="n">
        <x:v>2015</x:v>
      </x:c>
      <x:c r="C21" s="20" t="str">
        <x:v>gross_loans</x:v>
      </x:c>
      <x:c r="D21" s="22" t="n">
        <x:v>835737</x:v>
      </x:c>
      <x:c r="E21" s="18" t="str">
        <x:v>NGN million</x:v>
      </x:c>
      <x:c r="F21" s="18" t="str">
        <x:v>UBA16_UPDATE</x:v>
      </x:c>
      <x:c r="G21" s="20" t="str">
        <x:v>https://www.ubagroup.com/wp-content/uploads/2018/08/UBA-Plc-2016-Annual-reports-and-Accounts_Low-Resolution.VAR_.pdf</x:v>
      </x:c>
      <x:c r="H21" s="18" t="n">
        <x:v>2016</x:v>
      </x:c>
      <x:c r="I21" s="20" t="str">
        <x:v>Standalone Bank</x:v>
      </x:c>
      <x:c r="J21" s="18" t="n">
        <x:v>170</x:v>
      </x:c>
      <x:c r="K21" s="18" t="n">
        <x:v>172</x:v>
      </x:c>
      <x:c r="L21" s="20" t="str">
        <x:v>Note 25(b), Bank</x:v>
      </x:c>
      <x:c r="M21" s="20" t="str">
        <x:v>Primary report page image checked</x:v>
      </x:c>
      <x:c r="N21" s="20" t="str">
        <x:v>Audited 2015 comparative in 2016 report</x:v>
      </x:c>
    </x:row>
    <x:row r="22" ht="52" customHeight="1">
      <x:c r="A22" s="18" t="str">
        <x:v>UBA</x:v>
      </x:c>
      <x:c r="B22" s="18" t="n">
        <x:v>2015</x:v>
      </x:c>
      <x:c r="C22" s="20" t="str">
        <x:v>loan_allowance</x:v>
      </x:c>
      <x:c r="D22" s="22" t="n">
        <x:v>13043</x:v>
      </x:c>
      <x:c r="E22" s="18" t="str">
        <x:v>NGN million</x:v>
      </x:c>
      <x:c r="F22" s="18" t="str">
        <x:v>UBA16_UPDATE</x:v>
      </x:c>
      <x:c r="G22" s="20" t="str">
        <x:v>https://www.ubagroup.com/wp-content/uploads/2018/08/UBA-Plc-2016-Annual-reports-and-Accounts_Low-Resolution.VAR_.pdf</x:v>
      </x:c>
      <x:c r="H22" s="18" t="n">
        <x:v>2016</x:v>
      </x:c>
      <x:c r="I22" s="20" t="str">
        <x:v>Standalone Bank</x:v>
      </x:c>
      <x:c r="J22" s="18" t="n">
        <x:v>170</x:v>
      </x:c>
      <x:c r="K22" s="18" t="n">
        <x:v>172</x:v>
      </x:c>
      <x:c r="L22" s="20" t="str">
        <x:v>Note 25(b), Bank</x:v>
      </x:c>
      <x:c r="M22" s="20" t="str">
        <x:v>Primary report page image checked</x:v>
      </x:c>
      <x:c r="N22" s="20" t="str">
        <x:v>Audited 2015 comparative in 2016 report</x:v>
      </x:c>
    </x:row>
    <x:row r="23" ht="52" customHeight="1">
      <x:c r="A23" s="18" t="str">
        <x:v>UBA</x:v>
      </x:c>
      <x:c r="B23" s="18" t="n">
        <x:v>2015</x:v>
      </x:c>
      <x:c r="C23" s="20" t="str">
        <x:v>specific_allowance</x:v>
      </x:c>
      <x:c r="D23" s="22" t="n">
        <x:v>6031</x:v>
      </x:c>
      <x:c r="E23" s="18" t="str">
        <x:v>NGN million</x:v>
      </x:c>
      <x:c r="F23" s="18" t="str">
        <x:v>UBA16_UPDATE</x:v>
      </x:c>
      <x:c r="G23" s="20" t="str">
        <x:v>https://www.ubagroup.com/wp-content/uploads/2018/08/UBA-Plc-2016-Annual-reports-and-Accounts_Low-Resolution.VAR_.pdf</x:v>
      </x:c>
      <x:c r="H23" s="18" t="n">
        <x:v>2016</x:v>
      </x:c>
      <x:c r="I23" s="20" t="str">
        <x:v>Standalone Bank</x:v>
      </x:c>
      <x:c r="J23" s="18" t="n">
        <x:v>170</x:v>
      </x:c>
      <x:c r="K23" s="18" t="n">
        <x:v>172</x:v>
      </x:c>
      <x:c r="L23" s="20" t="str">
        <x:v>Note 25(b), Bank</x:v>
      </x:c>
      <x:c r="M23" s="20" t="str">
        <x:v>Primary report page image checked</x:v>
      </x:c>
      <x:c r="N23" s="20" t="str">
        <x:v>Audited 2015 comparative in 2016 report</x:v>
      </x:c>
    </x:row>
    <x:row r="24" ht="52" customHeight="1">
      <x:c r="A24" s="18" t="str">
        <x:v>UBA</x:v>
      </x:c>
      <x:c r="B24" s="18" t="n">
        <x:v>2015</x:v>
      </x:c>
      <x:c r="C24" s="20" t="str">
        <x:v>collective_allowance</x:v>
      </x:c>
      <x:c r="D24" s="22" t="n">
        <x:v>7012</x:v>
      </x:c>
      <x:c r="E24" s="18" t="str">
        <x:v>NGN million</x:v>
      </x:c>
      <x:c r="F24" s="18" t="str">
        <x:v>UBA16_UPDATE</x:v>
      </x:c>
      <x:c r="G24" s="20" t="str">
        <x:v>https://www.ubagroup.com/wp-content/uploads/2018/08/UBA-Plc-2016-Annual-reports-and-Accounts_Low-Resolution.VAR_.pdf</x:v>
      </x:c>
      <x:c r="H24" s="18" t="n">
        <x:v>2016</x:v>
      </x:c>
      <x:c r="I24" s="20" t="str">
        <x:v>Standalone Bank</x:v>
      </x:c>
      <x:c r="J24" s="18" t="n">
        <x:v>170</x:v>
      </x:c>
      <x:c r="K24" s="18" t="n">
        <x:v>172</x:v>
      </x:c>
      <x:c r="L24" s="20" t="str">
        <x:v>Note 25(b), Bank</x:v>
      </x:c>
      <x:c r="M24" s="20" t="str">
        <x:v>Primary report page image checked</x:v>
      </x:c>
      <x:c r="N24" s="20" t="str">
        <x:v>Audited 2015 comparative in 2016 report</x:v>
      </x:c>
    </x:row>
    <x:row r="25" ht="52" customHeight="1">
      <x:c r="A25" s="18" t="str">
        <x:v>UBA</x:v>
      </x:c>
      <x:c r="B25" s="18" t="n">
        <x:v>2015</x:v>
      </x:c>
      <x:c r="C25" s="20" t="str">
        <x:v>net_loans</x:v>
      </x:c>
      <x:c r="D25" s="22" t="n">
        <x:v>822694</x:v>
      </x:c>
      <x:c r="E25" s="18" t="str">
        <x:v>NGN million</x:v>
      </x:c>
      <x:c r="F25" s="18" t="str">
        <x:v>UBA16_UPDATE</x:v>
      </x:c>
      <x:c r="G25" s="20" t="str">
        <x:v>https://www.ubagroup.com/wp-content/uploads/2018/08/UBA-Plc-2016-Annual-reports-and-Accounts_Low-Resolution.VAR_.pdf</x:v>
      </x:c>
      <x:c r="H25" s="18" t="n">
        <x:v>2016</x:v>
      </x:c>
      <x:c r="I25" s="20" t="str">
        <x:v>Standalone Bank</x:v>
      </x:c>
      <x:c r="J25" s="18" t="n">
        <x:v>170</x:v>
      </x:c>
      <x:c r="K25" s="18" t="n">
        <x:v>172</x:v>
      </x:c>
      <x:c r="L25" s="20" t="str">
        <x:v>Note 25(b), Bank</x:v>
      </x:c>
      <x:c r="M25" s="20" t="str">
        <x:v>Primary report page image checked</x:v>
      </x:c>
      <x:c r="N25" s="20" t="str">
        <x:v>Audited 2015 comparative in 2016 report</x:v>
      </x:c>
    </x:row>
    <x:row r="26" ht="52" customHeight="1">
      <x:c r="A26" s="18" t="str">
        <x:v>UBA</x:v>
      </x:c>
      <x:c r="B26" s="18" t="n">
        <x:v>2016</x:v>
      </x:c>
      <x:c r="C26" s="20" t="str">
        <x:v>pat</x:v>
      </x:c>
      <x:c r="D26" s="22" t="n">
        <x:v>47541</x:v>
      </x:c>
      <x:c r="E26" s="18" t="str">
        <x:v>NGN million</x:v>
      </x:c>
      <x:c r="F26" s="18" t="str">
        <x:v>UBA16_UPDATE</x:v>
      </x:c>
      <x:c r="G26" s="20" t="str">
        <x:v>https://www.ubagroup.com/wp-content/uploads/2018/08/UBA-Plc-2016-Annual-reports-and-Accounts_Low-Resolution.VAR_.pdf</x:v>
      </x:c>
      <x:c r="H26" s="18" t="n">
        <x:v>2016</x:v>
      </x:c>
      <x:c r="I26" s="20" t="str">
        <x:v>Standalone Bank</x:v>
      </x:c>
      <x:c r="J26" s="18" t="n">
        <x:v>74</x:v>
      </x:c>
      <x:c r="K26" s="18" t="n">
        <x:v>76</x:v>
      </x:c>
      <x:c r="L26" s="20" t="str">
        <x:v>Statement of comprehensive income</x:v>
      </x:c>
      <x:c r="M26" s="20" t="str">
        <x:v>Primary report page image checked</x:v>
      </x:c>
      <x:c r="N26" s="20" t="str">
        <x:v>Current year</x:v>
      </x:c>
    </x:row>
    <x:row r="27" ht="52" customHeight="1">
      <x:c r="A27" s="18" t="str">
        <x:v>UBA</x:v>
      </x:c>
      <x:c r="B27" s="18" t="n">
        <x:v>2016</x:v>
      </x:c>
      <x:c r="C27" s="20" t="str">
        <x:v>gross_earnings</x:v>
      </x:c>
      <x:c r="D27" s="22" t="n">
        <x:v>269895</x:v>
      </x:c>
      <x:c r="E27" s="18" t="str">
        <x:v>NGN million</x:v>
      </x:c>
      <x:c r="F27" s="18" t="str">
        <x:v>UBA16_UPDATE</x:v>
      </x:c>
      <x:c r="G27" s="20" t="str">
        <x:v>https://www.ubagroup.com/wp-content/uploads/2018/08/UBA-Plc-2016-Annual-reports-and-Accounts_Low-Resolution.VAR_.pdf</x:v>
      </x:c>
      <x:c r="H27" s="18" t="n">
        <x:v>2016</x:v>
      </x:c>
      <x:c r="I27" s="20" t="str">
        <x:v>Standalone Bank</x:v>
      </x:c>
      <x:c r="J27" s="18" t="n">
        <x:v>74</x:v>
      </x:c>
      <x:c r="K27" s="18" t="n">
        <x:v>76</x:v>
      </x:c>
      <x:c r="L27" s="20" t="str">
        <x:v>Statement of comprehensive income</x:v>
      </x:c>
      <x:c r="M27" s="20" t="str">
        <x:v>Primary report page image checked</x:v>
      </x:c>
      <x:c r="N27" s="20" t="str">
        <x:v>Current year</x:v>
      </x:c>
    </x:row>
    <x:row r="28" ht="52" customHeight="1">
      <x:c r="A28" s="18" t="str">
        <x:v>UBA</x:v>
      </x:c>
      <x:c r="B28" s="18" t="n">
        <x:v>2016</x:v>
      </x:c>
      <x:c r="C28" s="20" t="str">
        <x:v>pbt</x:v>
      </x:c>
      <x:c r="D28" s="22" t="n">
        <x:v>57649</x:v>
      </x:c>
      <x:c r="E28" s="18" t="str">
        <x:v>NGN million</x:v>
      </x:c>
      <x:c r="F28" s="18" t="str">
        <x:v>UBA16_UPDATE</x:v>
      </x:c>
      <x:c r="G28" s="20" t="str">
        <x:v>https://www.ubagroup.com/wp-content/uploads/2018/08/UBA-Plc-2016-Annual-reports-and-Accounts_Low-Resolution.VAR_.pdf</x:v>
      </x:c>
      <x:c r="H28" s="18" t="n">
        <x:v>2016</x:v>
      </x:c>
      <x:c r="I28" s="20" t="str">
        <x:v>Standalone Bank</x:v>
      </x:c>
      <x:c r="J28" s="18" t="n">
        <x:v>74</x:v>
      </x:c>
      <x:c r="K28" s="18" t="n">
        <x:v>76</x:v>
      </x:c>
      <x:c r="L28" s="20" t="str">
        <x:v>Statement of comprehensive income</x:v>
      </x:c>
      <x:c r="M28" s="20" t="str">
        <x:v>Primary report page image checked</x:v>
      </x:c>
      <x:c r="N28" s="20" t="str">
        <x:v>Current year</x:v>
      </x:c>
    </x:row>
    <x:row r="29" ht="52" customHeight="1">
      <x:c r="A29" s="18" t="str">
        <x:v>UBA</x:v>
      </x:c>
      <x:c r="B29" s="18" t="n">
        <x:v>2016</x:v>
      </x:c>
      <x:c r="C29" s="20" t="str">
        <x:v>total_impairment</x:v>
      </x:c>
      <x:c r="D29" s="22" t="n">
        <x:v>25521</x:v>
      </x:c>
      <x:c r="E29" s="18" t="str">
        <x:v>NGN million</x:v>
      </x:c>
      <x:c r="F29" s="18" t="str">
        <x:v>UBA16_UPDATE</x:v>
      </x:c>
      <x:c r="G29" s="20" t="str">
        <x:v>https://www.ubagroup.com/wp-content/uploads/2018/08/UBA-Plc-2016-Annual-reports-and-Accounts_Low-Resolution.VAR_.pdf</x:v>
      </x:c>
      <x:c r="H29" s="18" t="n">
        <x:v>2016</x:v>
      </x:c>
      <x:c r="I29" s="20" t="str">
        <x:v>Standalone Bank</x:v>
      </x:c>
      <x:c r="J29" s="18" t="n">
        <x:v>74</x:v>
      </x:c>
      <x:c r="K29" s="18" t="n">
        <x:v>76</x:v>
      </x:c>
      <x:c r="L29" s="20" t="str">
        <x:v>Net impairment loss on loans and receivables</x:v>
      </x:c>
      <x:c r="M29" s="20" t="str">
        <x:v>Primary report page image checked</x:v>
      </x:c>
      <x:c r="N29" s="20" t="str">
        <x:v>Current year</x:v>
      </x:c>
    </x:row>
    <x:row r="30" ht="52" customHeight="1">
      <x:c r="A30" s="18" t="str">
        <x:v>UBA</x:v>
      </x:c>
      <x:c r="B30" s="18" t="n">
        <x:v>2016</x:v>
      </x:c>
      <x:c r="C30" s="20" t="str">
        <x:v>assets</x:v>
      </x:c>
      <x:c r="D30" s="22" t="n">
        <x:v>2539585</x:v>
      </x:c>
      <x:c r="E30" s="18" t="str">
        <x:v>NGN million</x:v>
      </x:c>
      <x:c r="F30" s="18" t="str">
        <x:v>UBA16_UPDATE</x:v>
      </x:c>
      <x:c r="G30" s="20" t="str">
        <x:v>https://www.ubagroup.com/wp-content/uploads/2018/08/UBA-Plc-2016-Annual-reports-and-Accounts_Low-Resolution.VAR_.pdf</x:v>
      </x:c>
      <x:c r="H30" s="18" t="n">
        <x:v>2016</x:v>
      </x:c>
      <x:c r="I30" s="20" t="str">
        <x:v>Standalone Bank</x:v>
      </x:c>
      <x:c r="J30" s="18" t="n">
        <x:v>75</x:v>
      </x:c>
      <x:c r="K30" s="18" t="n">
        <x:v>77</x:v>
      </x:c>
      <x:c r="L30" s="20" t="str">
        <x:v>Statement of financial position</x:v>
      </x:c>
      <x:c r="M30" s="20" t="str">
        <x:v>Primary report page image checked</x:v>
      </x:c>
      <x:c r="N30" s="20" t="str">
        <x:v>Current year</x:v>
      </x:c>
    </x:row>
    <x:row r="31" ht="52" customHeight="1">
      <x:c r="A31" s="18" t="str">
        <x:v>UBA</x:v>
      </x:c>
      <x:c r="B31" s="18" t="n">
        <x:v>2016</x:v>
      </x:c>
      <x:c r="C31" s="20" t="str">
        <x:v>liabilities</x:v>
      </x:c>
      <x:c r="D31" s="22" t="n">
        <x:v>2148685</x:v>
      </x:c>
      <x:c r="E31" s="18" t="str">
        <x:v>NGN million</x:v>
      </x:c>
      <x:c r="F31" s="18" t="str">
        <x:v>UBA16_UPDATE</x:v>
      </x:c>
      <x:c r="G31" s="20" t="str">
        <x:v>https://www.ubagroup.com/wp-content/uploads/2018/08/UBA-Plc-2016-Annual-reports-and-Accounts_Low-Resolution.VAR_.pdf</x:v>
      </x:c>
      <x:c r="H31" s="18" t="n">
        <x:v>2016</x:v>
      </x:c>
      <x:c r="I31" s="20" t="str">
        <x:v>Standalone Bank</x:v>
      </x:c>
      <x:c r="J31" s="18" t="n">
        <x:v>75</x:v>
      </x:c>
      <x:c r="K31" s="18" t="n">
        <x:v>77</x:v>
      </x:c>
      <x:c r="L31" s="20" t="str">
        <x:v>Statement of financial position</x:v>
      </x:c>
      <x:c r="M31" s="20" t="str">
        <x:v>Primary report page image checked</x:v>
      </x:c>
      <x:c r="N31" s="20" t="str">
        <x:v>Current year</x:v>
      </x:c>
    </x:row>
    <x:row r="32" ht="52" customHeight="1">
      <x:c r="A32" s="18" t="str">
        <x:v>UBA</x:v>
      </x:c>
      <x:c r="B32" s="18" t="n">
        <x:v>2016</x:v>
      </x:c>
      <x:c r="C32" s="20" t="str">
        <x:v>equity</x:v>
      </x:c>
      <x:c r="D32" s="22" t="n">
        <x:v>390900</x:v>
      </x:c>
      <x:c r="E32" s="18" t="str">
        <x:v>NGN million</x:v>
      </x:c>
      <x:c r="F32" s="18" t="str">
        <x:v>UBA16_UPDATE</x:v>
      </x:c>
      <x:c r="G32" s="20" t="str">
        <x:v>https://www.ubagroup.com/wp-content/uploads/2018/08/UBA-Plc-2016-Annual-reports-and-Accounts_Low-Resolution.VAR_.pdf</x:v>
      </x:c>
      <x:c r="H32" s="18" t="n">
        <x:v>2016</x:v>
      </x:c>
      <x:c r="I32" s="20" t="str">
        <x:v>Standalone Bank</x:v>
      </x:c>
      <x:c r="J32" s="18" t="n">
        <x:v>75</x:v>
      </x:c>
      <x:c r="K32" s="18" t="n">
        <x:v>77</x:v>
      </x:c>
      <x:c r="L32" s="20" t="str">
        <x:v>Statement of financial position</x:v>
      </x:c>
      <x:c r="M32" s="20" t="str">
        <x:v>Primary report page image checked</x:v>
      </x:c>
      <x:c r="N32" s="20" t="str">
        <x:v>Current year</x:v>
      </x:c>
    </x:row>
    <x:row r="33" ht="52" customHeight="1">
      <x:c r="A33" s="18" t="str">
        <x:v>UBA</x:v>
      </x:c>
      <x:c r="B33" s="18" t="n">
        <x:v>2016</x:v>
      </x:c>
      <x:c r="C33" s="20" t="str">
        <x:v>ocf</x:v>
      </x:c>
      <x:c r="D33" s="22" t="n">
        <x:v>-213392</x:v>
      </x:c>
      <x:c r="E33" s="18" t="str">
        <x:v>NGN million</x:v>
      </x:c>
      <x:c r="F33" s="18" t="str">
        <x:v>UBA16_UPDATE</x:v>
      </x:c>
      <x:c r="G33" s="20" t="str">
        <x:v>https://www.ubagroup.com/wp-content/uploads/2018/08/UBA-Plc-2016-Annual-reports-and-Accounts_Low-Resolution.VAR_.pdf</x:v>
      </x:c>
      <x:c r="H33" s="18" t="n">
        <x:v>2016</x:v>
      </x:c>
      <x:c r="I33" s="20" t="str">
        <x:v>Standalone Bank</x:v>
      </x:c>
      <x:c r="J33" s="18" t="n">
        <x:v>78</x:v>
      </x:c>
      <x:c r="K33" s="18" t="n">
        <x:v>80</x:v>
      </x:c>
      <x:c r="L33" s="20" t="str">
        <x:v>Statement of cash flows</x:v>
      </x:c>
      <x:c r="M33" s="20" t="str">
        <x:v>Primary report page image checked</x:v>
      </x:c>
      <x:c r="N33" s="20" t="str">
        <x:v>Current year</x:v>
      </x:c>
    </x:row>
    <x:row r="34" ht="52" customHeight="1">
      <x:c r="A34" s="18" t="str">
        <x:v>UBA</x:v>
      </x:c>
      <x:c r="B34" s="18" t="n">
        <x:v>2016</x:v>
      </x:c>
      <x:c r="C34" s="20" t="str">
        <x:v>regulatory_capital</x:v>
      </x:c>
      <x:c r="D34" s="22" t="n">
        <x:v>262423</x:v>
      </x:c>
      <x:c r="E34" s="18" t="str">
        <x:v>NGN million</x:v>
      </x:c>
      <x:c r="F34" s="18" t="str">
        <x:v>UBA16_UPDATE</x:v>
      </x:c>
      <x:c r="G34" s="20" t="str">
        <x:v>https://www.ubagroup.com/wp-content/uploads/2018/08/UBA-Plc-2016-Annual-reports-and-Accounts_Low-Resolution.VAR_.pdf</x:v>
      </x:c>
      <x:c r="H34" s="18" t="n">
        <x:v>2016</x:v>
      </x:c>
      <x:c r="I34" s="20" t="str">
        <x:v>Standalone Bank</x:v>
      </x:c>
      <x:c r="J34" s="18" t="n">
        <x:v>148</x:v>
      </x:c>
      <x:c r="K34" s="18" t="n">
        <x:v>150</x:v>
      </x:c>
      <x:c r="L34" s="20" t="str">
        <x:v>Note 5.2</x:v>
      </x:c>
      <x:c r="M34" s="20" t="str">
        <x:v>Primary report page image checked</x:v>
      </x:c>
      <x:c r="N34" s="20" t="str">
        <x:v>Current year</x:v>
      </x:c>
    </x:row>
    <x:row r="35" ht="52" customHeight="1">
      <x:c r="A35" s="18" t="str">
        <x:v>UBA</x:v>
      </x:c>
      <x:c r="B35" s="18" t="n">
        <x:v>2016</x:v>
      </x:c>
      <x:c r="C35" s="20" t="str">
        <x:v>rwa</x:v>
      </x:c>
      <x:c r="D35" s="22" t="n">
        <x:v>1331901</x:v>
      </x:c>
      <x:c r="E35" s="18" t="str">
        <x:v>NGN million</x:v>
      </x:c>
      <x:c r="F35" s="18" t="str">
        <x:v>UBA16_UPDATE</x:v>
      </x:c>
      <x:c r="G35" s="20" t="str">
        <x:v>https://www.ubagroup.com/wp-content/uploads/2018/08/UBA-Plc-2016-Annual-reports-and-Accounts_Low-Resolution.VAR_.pdf</x:v>
      </x:c>
      <x:c r="H35" s="18" t="n">
        <x:v>2016</x:v>
      </x:c>
      <x:c r="I35" s="20" t="str">
        <x:v>Standalone Bank</x:v>
      </x:c>
      <x:c r="J35" s="18" t="n">
        <x:v>148</x:v>
      </x:c>
      <x:c r="K35" s="18" t="n">
        <x:v>150</x:v>
      </x:c>
      <x:c r="L35" s="20" t="str">
        <x:v>Note 5.2</x:v>
      </x:c>
      <x:c r="M35" s="20" t="str">
        <x:v>Primary report page image checked</x:v>
      </x:c>
      <x:c r="N35" s="20" t="str">
        <x:v>Current year</x:v>
      </x:c>
    </x:row>
    <x:row r="36" ht="52" customHeight="1">
      <x:c r="A36" s="18" t="str">
        <x:v>UBA</x:v>
      </x:c>
      <x:c r="B36" s="18" t="n">
        <x:v>2016</x:v>
      </x:c>
      <x:c r="C36" s="20" t="str">
        <x:v>car</x:v>
      </x:c>
      <x:c r="D36" s="22" t="n">
        <x:v>20</x:v>
      </x:c>
      <x:c r="E36" s="18" t="str">
        <x:v>percent</x:v>
      </x:c>
      <x:c r="F36" s="18" t="str">
        <x:v>UBA16_UPDATE</x:v>
      </x:c>
      <x:c r="G36" s="20" t="str">
        <x:v>https://www.ubagroup.com/wp-content/uploads/2018/08/UBA-Plc-2016-Annual-reports-and-Accounts_Low-Resolution.VAR_.pdf</x:v>
      </x:c>
      <x:c r="H36" s="18" t="n">
        <x:v>2016</x:v>
      </x:c>
      <x:c r="I36" s="20" t="str">
        <x:v>Standalone Bank</x:v>
      </x:c>
      <x:c r="J36" s="18" t="n">
        <x:v>148</x:v>
      </x:c>
      <x:c r="K36" s="18" t="n">
        <x:v>150</x:v>
      </x:c>
      <x:c r="L36" s="20" t="str">
        <x:v>Note 5.2</x:v>
      </x:c>
      <x:c r="M36" s="20" t="str">
        <x:v>Primary report page image checked</x:v>
      </x:c>
      <x:c r="N36" s="20" t="str">
        <x:v>Current year</x:v>
      </x:c>
    </x:row>
    <x:row r="37" ht="52" customHeight="1">
      <x:c r="A37" s="18" t="str">
        <x:v>UBA</x:v>
      </x:c>
      <x:c r="B37" s="18" t="n">
        <x:v>2016</x:v>
      </x:c>
      <x:c r="C37" s="20" t="str">
        <x:v>car_minimum</x:v>
      </x:c>
      <x:c r="D37" s="22" t="n">
        <x:v>15</x:v>
      </x:c>
      <x:c r="E37" s="18" t="str">
        <x:v>percent</x:v>
      </x:c>
      <x:c r="F37" s="18" t="str">
        <x:v>UBA16_UPDATE</x:v>
      </x:c>
      <x:c r="G37" s="20" t="str">
        <x:v>https://www.ubagroup.com/wp-content/uploads/2018/08/UBA-Plc-2016-Annual-reports-and-Accounts_Low-Resolution.VAR_.pdf</x:v>
      </x:c>
      <x:c r="H37" s="18" t="n">
        <x:v>2016</x:v>
      </x:c>
      <x:c r="I37" s="20" t="str">
        <x:v>Standalone Bank</x:v>
      </x:c>
      <x:c r="J37" s="18" t="n">
        <x:v>147</x:v>
      </x:c>
      <x:c r="K37" s="18" t="n">
        <x:v>149</x:v>
      </x:c>
      <x:c r="L37" s="20" t="str">
        <x:v>Note 5.2</x:v>
      </x:c>
      <x:c r="M37" s="20" t="str">
        <x:v>Primary report page image checked</x:v>
      </x:c>
      <x:c r="N37" s="20" t="str">
        <x:v>Current year</x:v>
      </x:c>
    </x:row>
    <x:row r="38" ht="52" customHeight="1">
      <x:c r="A38" s="18" t="str">
        <x:v>UBA</x:v>
      </x:c>
      <x:c r="B38" s="18" t="n">
        <x:v>2016</x:v>
      </x:c>
      <x:c r="C38" s="20" t="str">
        <x:v>liquidity</x:v>
      </x:c>
      <x:c r="D38" s="22" t="n">
        <x:v>38.57</x:v>
      </x:c>
      <x:c r="E38" s="18" t="str">
        <x:v>percent</x:v>
      </x:c>
      <x:c r="F38" s="18" t="str">
        <x:v>UBA16_UPDATE</x:v>
      </x:c>
      <x:c r="G38" s="20" t="str">
        <x:v>https://www.ubagroup.com/wp-content/uploads/2018/08/UBA-Plc-2016-Annual-reports-and-Accounts_Low-Resolution.VAR_.pdf</x:v>
      </x:c>
      <x:c r="H38" s="18" t="n">
        <x:v>2016</x:v>
      </x:c>
      <x:c r="I38" s="20" t="str">
        <x:v>Standalone Bank</x:v>
      </x:c>
      <x:c r="J38" s="18" t="n">
        <x:v>128</x:v>
      </x:c>
      <x:c r="K38" s="18" t="n">
        <x:v>130</x:v>
      </x:c>
      <x:c r="L38" s="20" t="str">
        <x:v>Note 4.3(b)</x:v>
      </x:c>
      <x:c r="M38" s="20" t="str">
        <x:v>Primary report page image checked</x:v>
      </x:c>
      <x:c r="N38" s="20" t="str">
        <x:v>Current year</x:v>
      </x:c>
    </x:row>
    <x:row r="39" ht="52" customHeight="1">
      <x:c r="A39" s="18" t="str">
        <x:v>UBA</x:v>
      </x:c>
      <x:c r="B39" s="18" t="n">
        <x:v>2016</x:v>
      </x:c>
      <x:c r="C39" s="20" t="str">
        <x:v>liquidity_average</x:v>
      </x:c>
      <x:c r="D39" s="22" t="n">
        <x:v>41.97</x:v>
      </x:c>
      <x:c r="E39" s="18" t="str">
        <x:v>percent</x:v>
      </x:c>
      <x:c r="F39" s="18" t="str">
        <x:v>UBA16_UPDATE</x:v>
      </x:c>
      <x:c r="G39" s="20" t="str">
        <x:v>https://www.ubagroup.com/wp-content/uploads/2018/08/UBA-Plc-2016-Annual-reports-and-Accounts_Low-Resolution.VAR_.pdf</x:v>
      </x:c>
      <x:c r="H39" s="18" t="n">
        <x:v>2016</x:v>
      </x:c>
      <x:c r="I39" s="20" t="str">
        <x:v>Standalone Bank</x:v>
      </x:c>
      <x:c r="J39" s="18" t="n">
        <x:v>128</x:v>
      </x:c>
      <x:c r="K39" s="18" t="n">
        <x:v>130</x:v>
      </x:c>
      <x:c r="L39" s="20" t="str">
        <x:v>Note 4.3(b)</x:v>
      </x:c>
      <x:c r="M39" s="20" t="str">
        <x:v>Primary report page image checked</x:v>
      </x:c>
      <x:c r="N39" s="20" t="str">
        <x:v>Current year</x:v>
      </x:c>
    </x:row>
    <x:row r="40" ht="52" customHeight="1">
      <x:c r="A40" s="18" t="str">
        <x:v>UBA</x:v>
      </x:c>
      <x:c r="B40" s="18" t="n">
        <x:v>2016</x:v>
      </x:c>
      <x:c r="C40" s="20" t="str">
        <x:v>liquidity_max</x:v>
      </x:c>
      <x:c r="D40" s="22" t="n">
        <x:v>46.72</x:v>
      </x:c>
      <x:c r="E40" s="18" t="str">
        <x:v>percent</x:v>
      </x:c>
      <x:c r="F40" s="18" t="str">
        <x:v>UBA16_UPDATE</x:v>
      </x:c>
      <x:c r="G40" s="20" t="str">
        <x:v>https://www.ubagroup.com/wp-content/uploads/2018/08/UBA-Plc-2016-Annual-reports-and-Accounts_Low-Resolution.VAR_.pdf</x:v>
      </x:c>
      <x:c r="H40" s="18" t="n">
        <x:v>2016</x:v>
      </x:c>
      <x:c r="I40" s="20" t="str">
        <x:v>Standalone Bank</x:v>
      </x:c>
      <x:c r="J40" s="18" t="n">
        <x:v>128</x:v>
      </x:c>
      <x:c r="K40" s="18" t="n">
        <x:v>130</x:v>
      </x:c>
      <x:c r="L40" s="20" t="str">
        <x:v>Note 4.3(b)</x:v>
      </x:c>
      <x:c r="M40" s="20" t="str">
        <x:v>Primary report page image checked</x:v>
      </x:c>
      <x:c r="N40" s="20" t="str">
        <x:v>Current year</x:v>
      </x:c>
    </x:row>
    <x:row r="41" ht="52" customHeight="1">
      <x:c r="A41" s="18" t="str">
        <x:v>UBA</x:v>
      </x:c>
      <x:c r="B41" s="18" t="n">
        <x:v>2016</x:v>
      </x:c>
      <x:c r="C41" s="20" t="str">
        <x:v>liquidity_min</x:v>
      </x:c>
      <x:c r="D41" s="22" t="n">
        <x:v>35.52</x:v>
      </x:c>
      <x:c r="E41" s="18" t="str">
        <x:v>percent</x:v>
      </x:c>
      <x:c r="F41" s="18" t="str">
        <x:v>UBA16_UPDATE</x:v>
      </x:c>
      <x:c r="G41" s="20" t="str">
        <x:v>https://www.ubagroup.com/wp-content/uploads/2018/08/UBA-Plc-2016-Annual-reports-and-Accounts_Low-Resolution.VAR_.pdf</x:v>
      </x:c>
      <x:c r="H41" s="18" t="n">
        <x:v>2016</x:v>
      </x:c>
      <x:c r="I41" s="20" t="str">
        <x:v>Standalone Bank</x:v>
      </x:c>
      <x:c r="J41" s="18" t="n">
        <x:v>128</x:v>
      </x:c>
      <x:c r="K41" s="18" t="n">
        <x:v>130</x:v>
      </x:c>
      <x:c r="L41" s="20" t="str">
        <x:v>Note 4.3(b)</x:v>
      </x:c>
      <x:c r="M41" s="20" t="str">
        <x:v>Primary report page image checked</x:v>
      </x:c>
      <x:c r="N41" s="20" t="str">
        <x:v>Current year</x:v>
      </x:c>
    </x:row>
    <x:row r="42" ht="52" customHeight="1">
      <x:c r="A42" s="18" t="str">
        <x:v>UBA</x:v>
      </x:c>
      <x:c r="B42" s="18" t="n">
        <x:v>2016</x:v>
      </x:c>
      <x:c r="C42" s="20" t="str">
        <x:v>gross_loans</x:v>
      </x:c>
      <x:c r="D42" s="22" t="n">
        <x:v>1120096</x:v>
      </x:c>
      <x:c r="E42" s="18" t="str">
        <x:v>NGN million</x:v>
      </x:c>
      <x:c r="F42" s="18" t="str">
        <x:v>UBA16_UPDATE</x:v>
      </x:c>
      <x:c r="G42" s="20" t="str">
        <x:v>https://www.ubagroup.com/wp-content/uploads/2018/08/UBA-Plc-2016-Annual-reports-and-Accounts_Low-Resolution.VAR_.pdf</x:v>
      </x:c>
      <x:c r="H42" s="18" t="n">
        <x:v>2016</x:v>
      </x:c>
      <x:c r="I42" s="20" t="str">
        <x:v>Standalone Bank</x:v>
      </x:c>
      <x:c r="J42" s="18" t="n">
        <x:v>169</x:v>
      </x:c>
      <x:c r="K42" s="18" t="n">
        <x:v>171</x:v>
      </x:c>
      <x:c r="L42" s="20" t="str">
        <x:v>Note 25(a), Bank</x:v>
      </x:c>
      <x:c r="M42" s="20" t="str">
        <x:v>Primary report page image checked</x:v>
      </x:c>
      <x:c r="N42" s="20" t="str">
        <x:v>Current year</x:v>
      </x:c>
    </x:row>
    <x:row r="43" ht="52" customHeight="1">
      <x:c r="A43" s="18" t="str">
        <x:v>UBA</x:v>
      </x:c>
      <x:c r="B43" s="18" t="n">
        <x:v>2016</x:v>
      </x:c>
      <x:c r="C43" s="20" t="str">
        <x:v>loan_allowance</x:v>
      </x:c>
      <x:c r="D43" s="22" t="n">
        <x:v>29741</x:v>
      </x:c>
      <x:c r="E43" s="18" t="str">
        <x:v>NGN million</x:v>
      </x:c>
      <x:c r="F43" s="18" t="str">
        <x:v>UBA16_UPDATE</x:v>
      </x:c>
      <x:c r="G43" s="20" t="str">
        <x:v>https://www.ubagroup.com/wp-content/uploads/2018/08/UBA-Plc-2016-Annual-reports-and-Accounts_Low-Resolution.VAR_.pdf</x:v>
      </x:c>
      <x:c r="H43" s="18" t="n">
        <x:v>2016</x:v>
      </x:c>
      <x:c r="I43" s="20" t="str">
        <x:v>Standalone Bank</x:v>
      </x:c>
      <x:c r="J43" s="18" t="n">
        <x:v>169</x:v>
      </x:c>
      <x:c r="K43" s="18" t="n">
        <x:v>171</x:v>
      </x:c>
      <x:c r="L43" s="20" t="str">
        <x:v>Note 25(a), Bank</x:v>
      </x:c>
      <x:c r="M43" s="20" t="str">
        <x:v>Primary report page image checked</x:v>
      </x:c>
      <x:c r="N43" s="20" t="str">
        <x:v>Current year</x:v>
      </x:c>
    </x:row>
    <x:row r="44" ht="52" customHeight="1">
      <x:c r="A44" s="18" t="str">
        <x:v>UBA</x:v>
      </x:c>
      <x:c r="B44" s="18" t="n">
        <x:v>2016</x:v>
      </x:c>
      <x:c r="C44" s="20" t="str">
        <x:v>specific_allowance</x:v>
      </x:c>
      <x:c r="D44" s="22" t="n">
        <x:v>17107</x:v>
      </x:c>
      <x:c r="E44" s="18" t="str">
        <x:v>NGN million</x:v>
      </x:c>
      <x:c r="F44" s="18" t="str">
        <x:v>UBA16_UPDATE</x:v>
      </x:c>
      <x:c r="G44" s="20" t="str">
        <x:v>https://www.ubagroup.com/wp-content/uploads/2018/08/UBA-Plc-2016-Annual-reports-and-Accounts_Low-Resolution.VAR_.pdf</x:v>
      </x:c>
      <x:c r="H44" s="18" t="n">
        <x:v>2016</x:v>
      </x:c>
      <x:c r="I44" s="20" t="str">
        <x:v>Standalone Bank</x:v>
      </x:c>
      <x:c r="J44" s="18" t="n">
        <x:v>169</x:v>
      </x:c>
      <x:c r="K44" s="18" t="n">
        <x:v>171</x:v>
      </x:c>
      <x:c r="L44" s="20" t="str">
        <x:v>Note 25(a), Bank</x:v>
      </x:c>
      <x:c r="M44" s="20" t="str">
        <x:v>Primary report page image checked</x:v>
      </x:c>
      <x:c r="N44" s="20" t="str">
        <x:v>Current year</x:v>
      </x:c>
    </x:row>
    <x:row r="45" ht="52" customHeight="1">
      <x:c r="A45" s="18" t="str">
        <x:v>UBA</x:v>
      </x:c>
      <x:c r="B45" s="18" t="n">
        <x:v>2016</x:v>
      </x:c>
      <x:c r="C45" s="20" t="str">
        <x:v>collective_allowance</x:v>
      </x:c>
      <x:c r="D45" s="22" t="n">
        <x:v>12634</x:v>
      </x:c>
      <x:c r="E45" s="18" t="str">
        <x:v>NGN million</x:v>
      </x:c>
      <x:c r="F45" s="18" t="str">
        <x:v>UBA16_UPDATE</x:v>
      </x:c>
      <x:c r="G45" s="20" t="str">
        <x:v>https://www.ubagroup.com/wp-content/uploads/2018/08/UBA-Plc-2016-Annual-reports-and-Accounts_Low-Resolution.VAR_.pdf</x:v>
      </x:c>
      <x:c r="H45" s="18" t="n">
        <x:v>2016</x:v>
      </x:c>
      <x:c r="I45" s="20" t="str">
        <x:v>Standalone Bank</x:v>
      </x:c>
      <x:c r="J45" s="18" t="n">
        <x:v>169</x:v>
      </x:c>
      <x:c r="K45" s="18" t="n">
        <x:v>171</x:v>
      </x:c>
      <x:c r="L45" s="20" t="str">
        <x:v>Note 25(a), Bank</x:v>
      </x:c>
      <x:c r="M45" s="20" t="str">
        <x:v>Primary report page image checked</x:v>
      </x:c>
      <x:c r="N45" s="20" t="str">
        <x:v>Current year</x:v>
      </x:c>
    </x:row>
    <x:row r="46" ht="52" customHeight="1">
      <x:c r="A46" s="18" t="str">
        <x:v>UBA</x:v>
      </x:c>
      <x:c r="B46" s="18" t="n">
        <x:v>2016</x:v>
      </x:c>
      <x:c r="C46" s="20" t="str">
        <x:v>net_loans</x:v>
      </x:c>
      <x:c r="D46" s="22" t="n">
        <x:v>1090355</x:v>
      </x:c>
      <x:c r="E46" s="18" t="str">
        <x:v>NGN million</x:v>
      </x:c>
      <x:c r="F46" s="18" t="str">
        <x:v>UBA16_UPDATE</x:v>
      </x:c>
      <x:c r="G46" s="20" t="str">
        <x:v>https://www.ubagroup.com/wp-content/uploads/2018/08/UBA-Plc-2016-Annual-reports-and-Accounts_Low-Resolution.VAR_.pdf</x:v>
      </x:c>
      <x:c r="H46" s="18" t="n">
        <x:v>2016</x:v>
      </x:c>
      <x:c r="I46" s="20" t="str">
        <x:v>Standalone Bank</x:v>
      </x:c>
      <x:c r="J46" s="18" t="n">
        <x:v>169</x:v>
      </x:c>
      <x:c r="K46" s="18" t="n">
        <x:v>171</x:v>
      </x:c>
      <x:c r="L46" s="20" t="str">
        <x:v>Note 25(a), Bank</x:v>
      </x:c>
      <x:c r="M46" s="20" t="str">
        <x:v>Primary report page image checked</x:v>
      </x:c>
      <x:c r="N46" s="20" t="str">
        <x:v>Current year</x:v>
      </x:c>
    </x:row>
  </x:sheetData>
  <x:mergeCells>
    <x:mergeCell ref="A1:N1"/>
    <x:mergeCell ref="A2:N3"/>
  </x:mergeCells>
  <x:pageMargins left="0.7" right="0.7" top="0.75" bottom="0.75" header="0.3" footer="0.3"/>
  <x:tableParts count="1">
    <x:tablePart xmlns:r="http://schemas.openxmlformats.org/officeDocument/2006/relationships" r:id="Rb14efdbbc0a14e5d"/>
  </x:tableParts>
</x:worksheet>
</file>

<file path=xl/worksheets/sheet7.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9" hidden="0" customWidth="1"/>
    <x:col min="2" max="2" width="21" hidden="0" customWidth="1"/>
    <x:col min="3" max="3" width="10" hidden="0" customWidth="1"/>
    <x:col min="4" max="4" width="24" hidden="0" customWidth="1"/>
    <x:col min="5" max="5" width="22" hidden="0" customWidth="1"/>
    <x:col min="6" max="6" width="22" hidden="0" customWidth="1"/>
    <x:col min="7" max="7" width="22" hidden="0" customWidth="1"/>
    <x:col min="8" max="8" width="40" hidden="0" customWidth="1"/>
    <x:col min="9" max="9" width="40" hidden="0" customWidth="1"/>
    <x:col min="10" max="10" width="40" hidden="0" customWidth="1"/>
  </x:cols>
  <x:sheetData>
    <x:row r="1" ht="30" customHeight="1">
      <x:c r="A1" s="3" t="str">
        <x:v>CURRENT UPLOADS AGAINST SELECTED VALUES</x:v>
      </x:c>
      <x:c r="B1" s="3"/>
      <x:c r="C1" s="3"/>
      <x:c r="D1" s="3"/>
      <x:c r="E1" s="3"/>
      <x:c r="F1" s="3"/>
      <x:c r="G1" s="3"/>
      <x:c r="H1" s="3"/>
      <x:c r="I1" s="3"/>
      <x:c r="J1" s="3"/>
    </x:row>
    <x:row r="2" ht="25" customHeight="1">
      <x:c r="A2" s="8" t="str">
        <x:v>Differences may reflect reporting scope, original/restated presentation, a denominator definition or rounding. Existing selected values are retained unless a documented primary-source decision replaces them. Blank in selected column means unverified at field level, not zero.</x:v>
      </x:c>
      <x:c r="B2" s="8"/>
      <x:c r="C2" s="8"/>
      <x:c r="D2" s="8"/>
      <x:c r="E2" s="8"/>
      <x:c r="F2" s="8"/>
      <x:c r="G2" s="8"/>
      <x:c r="H2" s="8"/>
      <x:c r="I2" s="8"/>
      <x:c r="J2" s="8"/>
    </x:row>
    <x:row r="3" ht="20" customHeight="1">
      <x:c r="A3" s="8"/>
      <x:c r="B3" s="8"/>
      <x:c r="C3" s="8"/>
      <x:c r="D3" s="8"/>
      <x:c r="E3" s="8"/>
      <x:c r="F3" s="8"/>
      <x:c r="G3" s="8"/>
      <x:c r="H3" s="8"/>
      <x:c r="I3" s="8"/>
      <x:c r="J3" s="8"/>
    </x:row>
    <x:row r="5" ht="34" customHeight="1">
      <x:c r="A5" s="14" t="str">
        <x:v>Upload</x:v>
      </x:c>
      <x:c r="B5" s="14" t="str">
        <x:v>Bank</x:v>
      </x:c>
      <x:c r="C5" s="14" t="str">
        <x:v>Year</x:v>
      </x:c>
      <x:c r="D5" s="14" t="str">
        <x:v>Variable</x:v>
      </x:c>
      <x:c r="E5" s="14" t="str">
        <x:v>Uploaded value</x:v>
      </x:c>
      <x:c r="F5" s="14" t="str">
        <x:v>Selected value</x:v>
      </x:c>
      <x:c r="G5" s="14" t="str">
        <x:v>Selected minus uploaded</x:v>
      </x:c>
      <x:c r="H5" s="14" t="str">
        <x:v>Decision / classification</x:v>
      </x:c>
      <x:c r="I5" s="14" t="str">
        <x:v>Selected source URL</x:v>
      </x:c>
      <x:c r="J5" s="14" t="str">
        <x:v>Reporting-version note</x:v>
      </x:c>
    </x:row>
    <x:row r="6" ht="52" customHeight="1">
      <x:c r="A6" s="18" t="str">
        <x:v>Uploaded CSV</x:v>
      </x:c>
      <x:c r="B6" s="18" t="str">
        <x:v>Zenith</x:v>
      </x:c>
      <x:c r="C6" s="18" t="n">
        <x:v>2015</x:v>
      </x:c>
      <x:c r="D6" s="20" t="str">
        <x:v>pat</x:v>
      </x:c>
      <x:c r="E6" s="22" t="n">
        <x:v>98784</x:v>
      </x:c>
      <x:c r="F6" s="22" t="n">
        <x:v>98784</x:v>
      </x:c>
      <x:c r="G6" s="22" t="n">
        <x:f>IF(COUNT(E6,F6)=2,F6-E6,"")</x:f>
        <x:v>0</x:v>
      </x:c>
      <x:c r="H6" s="20" t="str">
        <x:v>Exact agreement</x:v>
      </x:c>
      <x:c r="I6" s="20" t="str">
        <x:v>https://www.annualreports.com/HostedData/AnnualReportArchive/z/LSE_ZENB_2015.pdf</x:v>
      </x:c>
      <x:c r="J6" s="20" t="str">
        <x:v>Prior source-selection policy retained; original evidence preserved in accompanying pack.</x:v>
      </x:c>
    </x:row>
    <x:row r="7" ht="52" customHeight="1">
      <x:c r="A7" s="18" t="str">
        <x:v>Uploaded CSV</x:v>
      </x:c>
      <x:c r="B7" s="18" t="str">
        <x:v>Zenith</x:v>
      </x:c>
      <x:c r="C7" s="18" t="n">
        <x:v>2015</x:v>
      </x:c>
      <x:c r="D7" s="20" t="str">
        <x:v>gross_earnings</x:v>
      </x:c>
      <x:c r="E7" s="22" t="n">
        <x:v>396653</x:v>
      </x:c>
      <x:c r="F7" s="22"/>
      <x:c r="G7" s="22" t="str">
        <x:f>IF(COUNT(E7,F7)=2,F7-E7,"")</x:f>
      </x:c>
      <x:c r="H7" s="20" t="str">
        <x:v>Candidate retained outside selected field</x:v>
      </x:c>
      <x:c r="I7" s="20" t="str">
        <x:v>https://www.annualreports.com/HostedData/AnnualReportArchive/z/LSE_ZENB_2015.pdf</x:v>
      </x:c>
      <x:c r="J7" s="20" t="str">
        <x:v>Prior source-selection policy retained; original evidence preserved in accompanying pack.</x:v>
      </x:c>
    </x:row>
    <x:row r="8" ht="52" customHeight="1">
      <x:c r="A8" s="18" t="str">
        <x:v>Uploaded CSV</x:v>
      </x:c>
      <x:c r="B8" s="18" t="str">
        <x:v>Zenith</x:v>
      </x:c>
      <x:c r="C8" s="18" t="n">
        <x:v>2015</x:v>
      </x:c>
      <x:c r="D8" s="20" t="str">
        <x:v>assets</x:v>
      </x:c>
      <x:c r="E8" s="22" t="n">
        <x:v>3750327</x:v>
      </x:c>
      <x:c r="F8" s="22" t="n">
        <x:v>3750327</x:v>
      </x:c>
      <x:c r="G8" s="22" t="n">
        <x:f>IF(COUNT(E8,F8)=2,F8-E8,"")</x:f>
        <x:v>0</x:v>
      </x:c>
      <x:c r="H8" s="20" t="str">
        <x:v>Exact agreement</x:v>
      </x:c>
      <x:c r="I8" s="20" t="str">
        <x:v>https://www.annualreports.com/HostedData/AnnualReportArchive/z/LSE_ZENB_2015.pdf</x:v>
      </x:c>
      <x:c r="J8" s="20" t="str">
        <x:v>Prior source-selection policy retained; original evidence preserved in accompanying pack.</x:v>
      </x:c>
    </x:row>
    <x:row r="9" ht="52" customHeight="1">
      <x:c r="A9" s="18" t="str">
        <x:v>Uploaded CSV</x:v>
      </x:c>
      <x:c r="B9" s="18" t="str">
        <x:v>Zenith</x:v>
      </x:c>
      <x:c r="C9" s="18" t="n">
        <x:v>2015</x:v>
      </x:c>
      <x:c r="D9" s="20" t="str">
        <x:v>gross_loans</x:v>
      </x:c>
      <x:c r="E9" s="22" t="n">
        <x:v>1849225</x:v>
      </x:c>
      <x:c r="F9" s="22" t="n">
        <x:v>1884941</x:v>
      </x:c>
      <x:c r="G9" s="22" t="n">
        <x:f>IF(COUNT(E9,F9)=2,F9-E9,"")</x:f>
        <x:v>35716</x:v>
      </x:c>
      <x:c r="H9" s="20" t="str">
        <x:v>Difference: retain selected source / definition</x:v>
      </x:c>
      <x:c r="I9" s="20" t="str">
        <x:v>https://www.annualreports.com/HostedData/AnnualReportArchive/z/LSE_ZENB_2015.pdf</x:v>
      </x:c>
      <x:c r="J9" s="20" t="str">
        <x:v>Prior source-selection policy retained; original evidence preserved in accompanying pack.</x:v>
      </x:c>
    </x:row>
    <x:row r="10" ht="52" customHeight="1">
      <x:c r="A10" s="18" t="str">
        <x:v>Uploaded CSV</x:v>
      </x:c>
      <x:c r="B10" s="18" t="str">
        <x:v>Zenith</x:v>
      </x:c>
      <x:c r="C10" s="18" t="n">
        <x:v>2015</x:v>
      </x:c>
      <x:c r="D10" s="20" t="str">
        <x:v>loan_allowance</x:v>
      </x:c>
      <x:c r="E10" s="22" t="n">
        <x:v>49433</x:v>
      </x:c>
      <x:c r="F10" s="22" t="n">
        <x:v>35716</x:v>
      </x:c>
      <x:c r="G10" s="22" t="n">
        <x:f>IF(COUNT(E10,F10)=2,F10-E10,"")</x:f>
        <x:v>-13717</x:v>
      </x:c>
      <x:c r="H10" s="20" t="str">
        <x:v>Difference: retain selected source / definition</x:v>
      </x:c>
      <x:c r="I10" s="20" t="str">
        <x:v>https://www.annualreports.com/HostedData/AnnualReportArchive/z/LSE_ZENB_2015.pdf</x:v>
      </x:c>
      <x:c r="J10" s="20" t="str">
        <x:v>Prior source-selection policy retained; original evidence preserved in accompanying pack.</x:v>
      </x:c>
    </x:row>
    <x:row r="11" ht="52" customHeight="1">
      <x:c r="A11" s="18" t="str">
        <x:v>Uploaded CSV</x:v>
      </x:c>
      <x:c r="B11" s="18" t="str">
        <x:v>Zenith</x:v>
      </x:c>
      <x:c r="C11" s="18" t="n">
        <x:v>2015</x:v>
      </x:c>
      <x:c r="D11" s="20" t="str">
        <x:v>total_impairment</x:v>
      </x:c>
      <x:c r="E11" s="22" t="n">
        <x:v>11091</x:v>
      </x:c>
      <x:c r="F11" s="22" t="n">
        <x:v>11091</x:v>
      </x:c>
      <x:c r="G11" s="22" t="n">
        <x:f>IF(COUNT(E11,F11)=2,F11-E11,"")</x:f>
        <x:v>0</x:v>
      </x:c>
      <x:c r="H11" s="20" t="str">
        <x:v>Exact agreement</x:v>
      </x:c>
      <x:c r="I11" s="20" t="str">
        <x:v>https://www.annualreports.com/HostedData/AnnualReportArchive/z/LSE_ZENB_2015.pdf</x:v>
      </x:c>
      <x:c r="J11" s="20" t="str">
        <x:v>Prior source-selection policy retained; original evidence preserved in accompanying pack.</x:v>
      </x:c>
    </x:row>
    <x:row r="12" ht="52" customHeight="1">
      <x:c r="A12" s="18" t="str">
        <x:v>Uploaded CSV</x:v>
      </x:c>
      <x:c r="B12" s="18" t="str">
        <x:v>Zenith</x:v>
      </x:c>
      <x:c r="C12" s="18" t="n">
        <x:v>2015</x:v>
      </x:c>
      <x:c r="D12" s="20" t="str">
        <x:v>car</x:v>
      </x:c>
      <x:c r="E12" s="22" t="n">
        <x:v>21</x:v>
      </x:c>
      <x:c r="F12" s="22" t="n">
        <x:v>20</x:v>
      </x:c>
      <x:c r="G12" s="22" t="n">
        <x:f>IF(COUNT(E12,F12)=2,F12-E12,"")</x:f>
        <x:v>-1</x:v>
      </x:c>
      <x:c r="H12" s="20" t="str">
        <x:v>Difference: retain selected source / definition</x:v>
      </x:c>
      <x:c r="I12" s="20" t="str">
        <x:v>https://www.annualreports.com/HostedData/AnnualReportArchive/z/LSE_ZENB_2015.pdf</x:v>
      </x:c>
      <x:c r="J12" s="20" t="str">
        <x:v>Prior source-selection policy retained; original evidence preserved in accompanying pack.</x:v>
      </x:c>
    </x:row>
    <x:row r="13" ht="52" customHeight="1">
      <x:c r="A13" s="18" t="str">
        <x:v>Uploaded CSV</x:v>
      </x:c>
      <x:c r="B13" s="18" t="str">
        <x:v>Zenith</x:v>
      </x:c>
      <x:c r="C13" s="18" t="n">
        <x:v>2015</x:v>
      </x:c>
      <x:c r="D13" s="20" t="str">
        <x:v>npl_reported</x:v>
      </x:c>
      <x:c r="E13" s="22" t="n">
        <x:v>2.1</x:v>
      </x:c>
      <x:c r="F13" s="22"/>
      <x:c r="G13" s="22" t="str">
        <x:f>IF(COUNT(E13,F13)=2,F13-E13,"")</x:f>
      </x:c>
      <x:c r="H13" s="20" t="str">
        <x:v>Candidate retained outside selected field</x:v>
      </x:c>
      <x:c r="I13" s="20" t="str">
        <x:v>https://www.annualreports.com/HostedData/AnnualReportArchive/z/LSE_ZENB_2015.pdf</x:v>
      </x:c>
      <x:c r="J13" s="20" t="str">
        <x:v>Prior source-selection policy retained; original evidence preserved in accompanying pack.</x:v>
      </x:c>
    </x:row>
    <x:row r="14" ht="52" customHeight="1">
      <x:c r="A14" s="18" t="str">
        <x:v>Uploaded CSV</x:v>
      </x:c>
      <x:c r="B14" s="18" t="str">
        <x:v>Zenith</x:v>
      </x:c>
      <x:c r="C14" s="18" t="n">
        <x:v>2015</x:v>
      </x:c>
      <x:c r="D14" s="20" t="str">
        <x:v>gcu</x:v>
      </x:c>
      <x:c r="E14" s="22" t="n">
        <x:v>0</x:v>
      </x:c>
      <x:c r="F14" s="22"/>
      <x:c r="G14" s="22" t="str">
        <x:f>IF(COUNT(E14,F14)=2,F14-E14,"")</x:f>
      </x:c>
      <x:c r="H14" s="20" t="str">
        <x:v>Candidate retained outside selected field</x:v>
      </x:c>
      <x:c r="I14" s="20" t="str">
        <x:v>https://www.annualreports.com/HostedData/AnnualReportArchive/z/LSE_ZENB_2015.pdf</x:v>
      </x:c>
      <x:c r="J14" s="20" t="str">
        <x:v>Prior source-selection policy retained; original evidence preserved in accompanying pack.</x:v>
      </x:c>
    </x:row>
    <x:row r="15" ht="52" customHeight="1">
      <x:c r="A15" s="18" t="str">
        <x:v>Uploaded CSV</x:v>
      </x:c>
      <x:c r="B15" s="18" t="str">
        <x:v>Zenith</x:v>
      </x:c>
      <x:c r="C15" s="18" t="n">
        <x:v>2021</x:v>
      </x:c>
      <x:c r="D15" s="20" t="str">
        <x:v>pat</x:v>
      </x:c>
      <x:c r="E15" s="22" t="n">
        <x:v>233133</x:v>
      </x:c>
      <x:c r="F15" s="22" t="n">
        <x:v>233133</x:v>
      </x:c>
      <x:c r="G15" s="22" t="n">
        <x:f>IF(COUNT(E15,F15)=2,F15-E15,"")</x:f>
        <x:v>0</x:v>
      </x:c>
      <x:c r="H15" s="20" t="str">
        <x:v>Exact agreement</x:v>
      </x:c>
      <x:c r="I15" s="20" t="str">
        <x:v>https://www.annualreports.com/HostedData/AnnualReportArchive/z/LSE_ZENB_2022.pdf</x:v>
      </x:c>
      <x:c r="J15" s="20" t="str">
        <x:v>Prior source-selection policy retained; original evidence preserved in accompanying pack.</x:v>
      </x:c>
    </x:row>
    <x:row r="16" ht="52" customHeight="1">
      <x:c r="A16" s="18" t="str">
        <x:v>Uploaded CSV</x:v>
      </x:c>
      <x:c r="B16" s="18" t="str">
        <x:v>Zenith</x:v>
      </x:c>
      <x:c r="C16" s="18" t="n">
        <x:v>2021</x:v>
      </x:c>
      <x:c r="D16" s="20" t="str">
        <x:v>gross_earnings</x:v>
      </x:c>
      <x:c r="E16" s="22" t="n">
        <x:v>677283</x:v>
      </x:c>
      <x:c r="F16" s="22"/>
      <x:c r="G16" s="22" t="str">
        <x:f>IF(COUNT(E16,F16)=2,F16-E16,"")</x:f>
      </x:c>
      <x:c r="H16" s="20" t="str">
        <x:v>Candidate retained outside selected field</x:v>
      </x:c>
      <x:c r="I16" s="20" t="str">
        <x:v>https://www.annualreports.com/HostedData/AnnualReportArchive/z/LSE_ZENB_2022.pdf</x:v>
      </x:c>
      <x:c r="J16" s="20" t="str">
        <x:v>Prior source-selection policy retained; original evidence preserved in accompanying pack.</x:v>
      </x:c>
    </x:row>
    <x:row r="17" ht="52" customHeight="1">
      <x:c r="A17" s="18" t="str">
        <x:v>Uploaded CSV</x:v>
      </x:c>
      <x:c r="B17" s="18" t="str">
        <x:v>Zenith</x:v>
      </x:c>
      <x:c r="C17" s="18" t="n">
        <x:v>2021</x:v>
      </x:c>
      <x:c r="D17" s="20" t="str">
        <x:v>assets</x:v>
      </x:c>
      <x:c r="E17" s="22" t="n">
        <x:v>7872292</x:v>
      </x:c>
      <x:c r="F17" s="22" t="n">
        <x:v>7872292</x:v>
      </x:c>
      <x:c r="G17" s="22" t="n">
        <x:f>IF(COUNT(E17,F17)=2,F17-E17,"")</x:f>
        <x:v>0</x:v>
      </x:c>
      <x:c r="H17" s="20" t="str">
        <x:v>Exact agreement</x:v>
      </x:c>
      <x:c r="I17" s="20" t="str">
        <x:v>https://www.annualreports.com/HostedData/AnnualReportArchive/z/LSE_ZENB_2022.pdf</x:v>
      </x:c>
      <x:c r="J17" s="20" t="str">
        <x:v>Prior source-selection policy retained; original evidence preserved in accompanying pack.</x:v>
      </x:c>
    </x:row>
    <x:row r="18" ht="52" customHeight="1">
      <x:c r="A18" s="18" t="str">
        <x:v>Uploaded CSV</x:v>
      </x:c>
      <x:c r="B18" s="18" t="str">
        <x:v>Zenith</x:v>
      </x:c>
      <x:c r="C18" s="18" t="n">
        <x:v>2021</x:v>
      </x:c>
      <x:c r="D18" s="20" t="str">
        <x:v>gross_loans</x:v>
      </x:c>
      <x:c r="E18" s="22" t="n">
        <x:v>3099452</x:v>
      </x:c>
      <x:c r="F18" s="22" t="n">
        <x:v>3237973</x:v>
      </x:c>
      <x:c r="G18" s="22" t="n">
        <x:f>IF(COUNT(E18,F18)=2,F18-E18,"")</x:f>
        <x:v>138521</x:v>
      </x:c>
      <x:c r="H18" s="20" t="str">
        <x:v>Difference: retain selected source / definition</x:v>
      </x:c>
      <x:c r="I18" s="20" t="str">
        <x:v>https://www.annualreports.com/HostedData/AnnualReportArchive/z/LSE_ZENB_2022.pdf</x:v>
      </x:c>
      <x:c r="J18" s="20" t="str">
        <x:v>Prior source-selection policy retained; original evidence preserved in accompanying pack.</x:v>
      </x:c>
    </x:row>
    <x:row r="19" ht="52" customHeight="1">
      <x:c r="A19" s="18" t="str">
        <x:v>Uploaded CSV</x:v>
      </x:c>
      <x:c r="B19" s="18" t="str">
        <x:v>Zenith</x:v>
      </x:c>
      <x:c r="C19" s="18" t="n">
        <x:v>2021</x:v>
      </x:c>
      <x:c r="D19" s="20" t="str">
        <x:v>loan_allowance</x:v>
      </x:c>
      <x:c r="E19" s="22" t="n">
        <x:v>184456</x:v>
      </x:c>
      <x:c r="F19" s="22" t="n">
        <x:v>138521</x:v>
      </x:c>
      <x:c r="G19" s="22" t="n">
        <x:f>IF(COUNT(E19,F19)=2,F19-E19,"")</x:f>
        <x:v>-45935</x:v>
      </x:c>
      <x:c r="H19" s="20" t="str">
        <x:v>Difference: retain selected source / definition</x:v>
      </x:c>
      <x:c r="I19" s="20" t="str">
        <x:v>https://www.annualreports.com/HostedData/AnnualReportArchive/z/LSE_ZENB_2022.pdf</x:v>
      </x:c>
      <x:c r="J19" s="20" t="str">
        <x:v>Prior source-selection policy retained; original evidence preserved in accompanying pack.</x:v>
      </x:c>
    </x:row>
    <x:row r="20" ht="52" customHeight="1">
      <x:c r="A20" s="18" t="str">
        <x:v>Uploaded CSV</x:v>
      </x:c>
      <x:c r="B20" s="18" t="str">
        <x:v>Zenith</x:v>
      </x:c>
      <x:c r="C20" s="18" t="n">
        <x:v>2021</x:v>
      </x:c>
      <x:c r="D20" s="20" t="str">
        <x:v>total_impairment</x:v>
      </x:c>
      <x:c r="E20" s="22" t="n">
        <x:v>56175</x:v>
      </x:c>
      <x:c r="F20" s="22" t="n">
        <x:v>56175</x:v>
      </x:c>
      <x:c r="G20" s="22" t="n">
        <x:f>IF(COUNT(E20,F20)=2,F20-E20,"")</x:f>
        <x:v>0</x:v>
      </x:c>
      <x:c r="H20" s="20" t="str">
        <x:v>Exact agreement</x:v>
      </x:c>
      <x:c r="I20" s="20" t="str">
        <x:v>https://www.annualreports.com/HostedData/AnnualReportArchive/z/LSE_ZENB_2022.pdf</x:v>
      </x:c>
      <x:c r="J20" s="20" t="str">
        <x:v>Prior source-selection policy retained; original evidence preserved in accompanying pack.</x:v>
      </x:c>
    </x:row>
    <x:row r="21" ht="52" customHeight="1">
      <x:c r="A21" s="18" t="str">
        <x:v>Uploaded CSV</x:v>
      </x:c>
      <x:c r="B21" s="18" t="str">
        <x:v>Zenith</x:v>
      </x:c>
      <x:c r="C21" s="18" t="n">
        <x:v>2021</x:v>
      </x:c>
      <x:c r="D21" s="20" t="str">
        <x:v>car</x:v>
      </x:c>
      <x:c r="E21" s="22" t="n">
        <x:v>19.8</x:v>
      </x:c>
      <x:c r="F21" s="22" t="n">
        <x:v>20</x:v>
      </x:c>
      <x:c r="G21" s="22" t="n">
        <x:f>IF(COUNT(E21,F21)=2,F21-E21,"")</x:f>
        <x:v>0.1999999999999993</x:v>
      </x:c>
      <x:c r="H21" s="20" t="str">
        <x:v>Difference: retain selected source / definition</x:v>
      </x:c>
      <x:c r="I21" s="20" t="str">
        <x:v>https://www.annualreports.com/HostedData/AnnualReportArchive/z/LSE_ZENB_2022.pdf</x:v>
      </x:c>
      <x:c r="J21" s="20" t="str">
        <x:v>Prior source-selection policy retained; original evidence preserved in accompanying pack.</x:v>
      </x:c>
    </x:row>
    <x:row r="22" ht="52" customHeight="1">
      <x:c r="A22" s="18" t="str">
        <x:v>Uploaded CSV</x:v>
      </x:c>
      <x:c r="B22" s="18" t="str">
        <x:v>Zenith</x:v>
      </x:c>
      <x:c r="C22" s="18" t="n">
        <x:v>2021</x:v>
      </x:c>
      <x:c r="D22" s="20" t="str">
        <x:v>npl_reported</x:v>
      </x:c>
      <x:c r="E22" s="22" t="n">
        <x:v>4.19</x:v>
      </x:c>
      <x:c r="F22" s="22"/>
      <x:c r="G22" s="22" t="str">
        <x:f>IF(COUNT(E22,F22)=2,F22-E22,"")</x:f>
      </x:c>
      <x:c r="H22" s="20" t="str">
        <x:v>Candidate retained outside selected field</x:v>
      </x:c>
      <x:c r="I22" s="20" t="str">
        <x:v>https://www.annualreports.com/HostedData/AnnualReportArchive/z/LSE_ZENB_2022.pdf</x:v>
      </x:c>
      <x:c r="J22" s="20" t="str">
        <x:v>Prior source-selection policy retained; original evidence preserved in accompanying pack.</x:v>
      </x:c>
    </x:row>
    <x:row r="23" ht="52" customHeight="1">
      <x:c r="A23" s="18" t="str">
        <x:v>Uploaded CSV</x:v>
      </x:c>
      <x:c r="B23" s="18" t="str">
        <x:v>Zenith</x:v>
      </x:c>
      <x:c r="C23" s="18" t="n">
        <x:v>2021</x:v>
      </x:c>
      <x:c r="D23" s="20" t="str">
        <x:v>gcu</x:v>
      </x:c>
      <x:c r="E23" s="22" t="n">
        <x:v>0</x:v>
      </x:c>
      <x:c r="F23" s="22"/>
      <x:c r="G23" s="22" t="str">
        <x:f>IF(COUNT(E23,F23)=2,F23-E23,"")</x:f>
      </x:c>
      <x:c r="H23" s="20" t="str">
        <x:v>Candidate retained outside selected field</x:v>
      </x:c>
      <x:c r="I23" s="20" t="str">
        <x:v>https://www.annualreports.com/HostedData/AnnualReportArchive/z/LSE_ZENB_2022.pdf</x:v>
      </x:c>
      <x:c r="J23" s="20" t="str">
        <x:v>Prior source-selection policy retained; original evidence preserved in accompanying pack.</x:v>
      </x:c>
    </x:row>
    <x:row r="24" ht="52" customHeight="1">
      <x:c r="A24" s="18" t="str">
        <x:v>Uploaded CSV</x:v>
      </x:c>
      <x:c r="B24" s="18" t="str">
        <x:v>Zenith</x:v>
      </x:c>
      <x:c r="C24" s="18" t="n">
        <x:v>2022</x:v>
      </x:c>
      <x:c r="D24" s="20" t="str">
        <x:v>pat</x:v>
      </x:c>
      <x:c r="E24" s="22" t="n">
        <x:v>234593</x:v>
      </x:c>
      <x:c r="F24" s="22" t="n">
        <x:v>234593</x:v>
      </x:c>
      <x:c r="G24" s="22" t="n">
        <x:f>IF(COUNT(E24,F24)=2,F24-E24,"")</x:f>
        <x:v>0</x:v>
      </x:c>
      <x:c r="H24" s="20" t="str">
        <x:v>Exact agreement</x:v>
      </x:c>
      <x:c r="I24" s="20" t="str">
        <x:v>https://www.annualreports.com/HostedData/AnnualReportArchive/z/LSE_ZENB_2022.pdf</x:v>
      </x:c>
      <x:c r="J24" s="20" t="str">
        <x:v>Prior source-selection policy retained; original evidence preserved in accompanying pack.</x:v>
      </x:c>
    </x:row>
    <x:row r="25" ht="52" customHeight="1">
      <x:c r="A25" s="18" t="str">
        <x:v>Uploaded CSV</x:v>
      </x:c>
      <x:c r="B25" s="18" t="str">
        <x:v>Zenith</x:v>
      </x:c>
      <x:c r="C25" s="18" t="n">
        <x:v>2022</x:v>
      </x:c>
      <x:c r="D25" s="20" t="str">
        <x:v>gross_earnings</x:v>
      </x:c>
      <x:c r="E25" s="22" t="n">
        <x:v>833087</x:v>
      </x:c>
      <x:c r="F25" s="22"/>
      <x:c r="G25" s="22" t="str">
        <x:f>IF(COUNT(E25,F25)=2,F25-E25,"")</x:f>
      </x:c>
      <x:c r="H25" s="20" t="str">
        <x:v>Candidate retained outside selected field</x:v>
      </x:c>
      <x:c r="I25" s="20" t="str">
        <x:v>https://www.annualreports.com/HostedData/AnnualReportArchive/z/LSE_ZENB_2022.pdf</x:v>
      </x:c>
      <x:c r="J25" s="20" t="str">
        <x:v>Prior source-selection policy retained; original evidence preserved in accompanying pack.</x:v>
      </x:c>
    </x:row>
    <x:row r="26" ht="52" customHeight="1">
      <x:c r="A26" s="18" t="str">
        <x:v>Uploaded CSV</x:v>
      </x:c>
      <x:c r="B26" s="18" t="str">
        <x:v>Zenith</x:v>
      </x:c>
      <x:c r="C26" s="18" t="n">
        <x:v>2022</x:v>
      </x:c>
      <x:c r="D26" s="20" t="str">
        <x:v>assets</x:v>
      </x:c>
      <x:c r="E26" s="22" t="n">
        <x:v>10570678</x:v>
      </x:c>
      <x:c r="F26" s="22" t="n">
        <x:v>10570678</x:v>
      </x:c>
      <x:c r="G26" s="22" t="n">
        <x:f>IF(COUNT(E26,F26)=2,F26-E26,"")</x:f>
        <x:v>0</x:v>
      </x:c>
      <x:c r="H26" s="20" t="str">
        <x:v>Exact agreement</x:v>
      </x:c>
      <x:c r="I26" s="20" t="str">
        <x:v>https://www.annualreports.com/HostedData/AnnualReportArchive/z/LSE_ZENB_2022.pdf</x:v>
      </x:c>
      <x:c r="J26" s="20" t="str">
        <x:v>Prior source-selection policy retained; original evidence preserved in accompanying pack.</x:v>
      </x:c>
    </x:row>
    <x:row r="27" ht="52" customHeight="1">
      <x:c r="A27" s="18" t="str">
        <x:v>Uploaded CSV</x:v>
      </x:c>
      <x:c r="B27" s="18" t="str">
        <x:v>Zenith</x:v>
      </x:c>
      <x:c r="C27" s="18" t="n">
        <x:v>2022</x:v>
      </x:c>
      <x:c r="D27" s="20" t="str">
        <x:v>gross_loans</x:v>
      </x:c>
      <x:c r="E27" s="22" t="n">
        <x:v>3838805</x:v>
      </x:c>
      <x:c r="F27" s="22" t="n">
        <x:v>3838805</x:v>
      </x:c>
      <x:c r="G27" s="22" t="n">
        <x:f>IF(COUNT(E27,F27)=2,F27-E27,"")</x:f>
        <x:v>0</x:v>
      </x:c>
      <x:c r="H27" s="20" t="str">
        <x:v>Exact agreement</x:v>
      </x:c>
      <x:c r="I27" s="20" t="str">
        <x:v>https://www.annualreports.com/HostedData/AnnualReportArchive/z/LSE_ZENB_2022.pdf</x:v>
      </x:c>
      <x:c r="J27" s="20" t="str">
        <x:v>Prior source-selection policy retained; original evidence preserved in accompanying pack.</x:v>
      </x:c>
    </x:row>
    <x:row r="28" ht="52" customHeight="1">
      <x:c r="A28" s="18" t="str">
        <x:v>Uploaded CSV</x:v>
      </x:c>
      <x:c r="B28" s="18" t="str">
        <x:v>Zenith</x:v>
      </x:c>
      <x:c r="C28" s="18" t="n">
        <x:v>2022</x:v>
      </x:c>
      <x:c r="D28" s="20" t="str">
        <x:v>loan_allowance</x:v>
      </x:c>
      <x:c r="E28" s="22" t="n">
        <x:v>231245</x:v>
      </x:c>
      <x:c r="F28" s="22" t="n">
        <x:v>103129</x:v>
      </x:c>
      <x:c r="G28" s="22" t="n">
        <x:f>IF(COUNT(E28,F28)=2,F28-E28,"")</x:f>
        <x:v>-128116</x:v>
      </x:c>
      <x:c r="H28" s="20" t="str">
        <x:v>Difference: retain selected source / definition</x:v>
      </x:c>
      <x:c r="I28" s="20" t="str">
        <x:v>https://www.annualreports.com/HostedData/AnnualReportArchive/z/LSE_ZENB_2022.pdf</x:v>
      </x:c>
      <x:c r="J28" s="20" t="str">
        <x:v>Prior source-selection policy retained; original evidence preserved in accompanying pack.</x:v>
      </x:c>
    </x:row>
    <x:row r="29" ht="52" customHeight="1">
      <x:c r="A29" s="18" t="str">
        <x:v>Uploaded CSV</x:v>
      </x:c>
      <x:c r="B29" s="18" t="str">
        <x:v>Zenith</x:v>
      </x:c>
      <x:c r="C29" s="18" t="n">
        <x:v>2022</x:v>
      </x:c>
      <x:c r="D29" s="20" t="str">
        <x:v>total_impairment</x:v>
      </x:c>
      <x:c r="E29" s="22" t="n">
        <x:v>61896</x:v>
      </x:c>
      <x:c r="F29" s="22" t="n">
        <x:v>61896</x:v>
      </x:c>
      <x:c r="G29" s="22" t="n">
        <x:f>IF(COUNT(E29,F29)=2,F29-E29,"")</x:f>
        <x:v>0</x:v>
      </x:c>
      <x:c r="H29" s="20" t="str">
        <x:v>Exact agreement</x:v>
      </x:c>
      <x:c r="I29" s="20" t="str">
        <x:v>https://www.annualreports.com/HostedData/AnnualReportArchive/z/LSE_ZENB_2022.pdf</x:v>
      </x:c>
      <x:c r="J29" s="20" t="str">
        <x:v>Prior source-selection policy retained; original evidence preserved in accompanying pack.</x:v>
      </x:c>
    </x:row>
    <x:row r="30" ht="52" customHeight="1">
      <x:c r="A30" s="18" t="str">
        <x:v>Uploaded CSV</x:v>
      </x:c>
      <x:c r="B30" s="18" t="str">
        <x:v>Zenith</x:v>
      </x:c>
      <x:c r="C30" s="18" t="n">
        <x:v>2022</x:v>
      </x:c>
      <x:c r="D30" s="20" t="str">
        <x:v>car</x:v>
      </x:c>
      <x:c r="E30" s="22" t="n">
        <x:v>19.3</x:v>
      </x:c>
      <x:c r="F30" s="22" t="n">
        <x:v>19</x:v>
      </x:c>
      <x:c r="G30" s="22" t="n">
        <x:f>IF(COUNT(E30,F30)=2,F30-E30,"")</x:f>
        <x:v>-0.3000000000000007</x:v>
      </x:c>
      <x:c r="H30" s="20" t="str">
        <x:v>Difference: retain selected source / definition</x:v>
      </x:c>
      <x:c r="I30" s="20" t="str">
        <x:v>https://www.annualreports.com/HostedData/AnnualReportArchive/z/LSE_ZENB_2022.pdf</x:v>
      </x:c>
      <x:c r="J30" s="20" t="str">
        <x:v>Prior source-selection policy retained; original evidence preserved in accompanying pack.</x:v>
      </x:c>
    </x:row>
    <x:row r="31" ht="52" customHeight="1">
      <x:c r="A31" s="18" t="str">
        <x:v>Uploaded CSV</x:v>
      </x:c>
      <x:c r="B31" s="18" t="str">
        <x:v>Zenith</x:v>
      </x:c>
      <x:c r="C31" s="18" t="n">
        <x:v>2022</x:v>
      </x:c>
      <x:c r="D31" s="20" t="str">
        <x:v>npl_reported</x:v>
      </x:c>
      <x:c r="E31" s="22" t="n">
        <x:v>4.3</x:v>
      </x:c>
      <x:c r="F31" s="22"/>
      <x:c r="G31" s="22" t="str">
        <x:f>IF(COUNT(E31,F31)=2,F31-E31,"")</x:f>
      </x:c>
      <x:c r="H31" s="20" t="str">
        <x:v>Candidate retained outside selected field</x:v>
      </x:c>
      <x:c r="I31" s="20" t="str">
        <x:v>https://www.annualreports.com/HostedData/AnnualReportArchive/z/LSE_ZENB_2022.pdf</x:v>
      </x:c>
      <x:c r="J31" s="20" t="str">
        <x:v>Prior source-selection policy retained; original evidence preserved in accompanying pack.</x:v>
      </x:c>
    </x:row>
    <x:row r="32" ht="52" customHeight="1">
      <x:c r="A32" s="18" t="str">
        <x:v>Uploaded CSV</x:v>
      </x:c>
      <x:c r="B32" s="18" t="str">
        <x:v>Zenith</x:v>
      </x:c>
      <x:c r="C32" s="18" t="n">
        <x:v>2022</x:v>
      </x:c>
      <x:c r="D32" s="20" t="str">
        <x:v>gcu</x:v>
      </x:c>
      <x:c r="E32" s="22" t="n">
        <x:v>0</x:v>
      </x:c>
      <x:c r="F32" s="22"/>
      <x:c r="G32" s="22" t="str">
        <x:f>IF(COUNT(E32,F32)=2,F32-E32,"")</x:f>
      </x:c>
      <x:c r="H32" s="20" t="str">
        <x:v>Candidate retained outside selected field</x:v>
      </x:c>
      <x:c r="I32" s="20" t="str">
        <x:v>https://www.annualreports.com/HostedData/AnnualReportArchive/z/LSE_ZENB_2022.pdf</x:v>
      </x:c>
      <x:c r="J32" s="20" t="str">
        <x:v>Prior source-selection policy retained; original evidence preserved in accompanying pack.</x:v>
      </x:c>
    </x:row>
    <x:row r="33" ht="52" customHeight="1">
      <x:c r="A33" s="18" t="str">
        <x:v>Uploaded CSV</x:v>
      </x:c>
      <x:c r="B33" s="18" t="str">
        <x:v>UBA</x:v>
      </x:c>
      <x:c r="C33" s="18" t="n">
        <x:v>2015</x:v>
      </x:c>
      <x:c r="D33" s="20" t="str">
        <x:v>pat</x:v>
      </x:c>
      <x:c r="E33" s="22" t="n">
        <x:v>47642</x:v>
      </x:c>
      <x:c r="F33" s="22" t="n">
        <x:v>47642</x:v>
      </x:c>
      <x:c r="G33" s="22" t="n">
        <x:f>IF(COUNT(E33,F33)=2,F33-E33,"")</x:f>
        <x:v>0</x:v>
      </x:c>
      <x:c r="H33" s="20" t="str">
        <x:v>Exact agreement</x:v>
      </x:c>
      <x:c r="I33" s="20" t="str">
        <x:v>https://www.ubagroup.com/wp-content/uploads/2018/08/UBA-Plc-2016-Annual-reports-and-Accounts_Low-Resolution.VAR_.pdf</x:v>
      </x:c>
      <x:c r="J33" s="20" t="str">
        <x:v>2016 report 2015 comparative Bank columns; opening assets retained from the prior selected 2014 statement.</x:v>
      </x:c>
    </x:row>
    <x:row r="34" ht="52" customHeight="1">
      <x:c r="A34" s="18" t="str">
        <x:v>Uploaded CSV</x:v>
      </x:c>
      <x:c r="B34" s="18" t="str">
        <x:v>UBA</x:v>
      </x:c>
      <x:c r="C34" s="18" t="n">
        <x:v>2015</x:v>
      </x:c>
      <x:c r="D34" s="20" t="str">
        <x:v>gross_earnings</x:v>
      </x:c>
      <x:c r="E34" s="22" t="n">
        <x:v>247378</x:v>
      </x:c>
      <x:c r="F34" s="22" t="n">
        <x:v>247378</x:v>
      </x:c>
      <x:c r="G34" s="22" t="n">
        <x:f>IF(COUNT(E34,F34)=2,F34-E34,"")</x:f>
        <x:v>0</x:v>
      </x:c>
      <x:c r="H34" s="20" t="str">
        <x:v>Exact agreement</x:v>
      </x:c>
      <x:c r="I34" s="20" t="str">
        <x:v>https://www.ubagroup.com/wp-content/uploads/2018/08/UBA-Plc-2016-Annual-reports-and-Accounts_Low-Resolution.VAR_.pdf</x:v>
      </x:c>
      <x:c r="J34" s="20" t="str">
        <x:v>2016 report 2015 comparative Bank columns; opening assets retained from the prior selected 2014 statement.</x:v>
      </x:c>
    </x:row>
    <x:row r="35" ht="52" customHeight="1">
      <x:c r="A35" s="18" t="str">
        <x:v>Uploaded CSV</x:v>
      </x:c>
      <x:c r="B35" s="18" t="str">
        <x:v>UBA</x:v>
      </x:c>
      <x:c r="C35" s="18" t="n">
        <x:v>2015</x:v>
      </x:c>
      <x:c r="D35" s="20" t="str">
        <x:v>assets</x:v>
      </x:c>
      <x:c r="E35" s="22" t="n">
        <x:v>2216337</x:v>
      </x:c>
      <x:c r="F35" s="22" t="n">
        <x:v>2216337</x:v>
      </x:c>
      <x:c r="G35" s="22" t="n">
        <x:f>IF(COUNT(E35,F35)=2,F35-E35,"")</x:f>
        <x:v>0</x:v>
      </x:c>
      <x:c r="H35" s="20" t="str">
        <x:v>Exact agreement</x:v>
      </x:c>
      <x:c r="I35" s="20" t="str">
        <x:v>https://www.ubagroup.com/wp-content/uploads/2018/08/UBA-Plc-2016-Annual-reports-and-Accounts_Low-Resolution.VAR_.pdf</x:v>
      </x:c>
      <x:c r="J35" s="20" t="str">
        <x:v>2016 report 2015 comparative Bank columns; opening assets retained from the prior selected 2014 statement.</x:v>
      </x:c>
    </x:row>
    <x:row r="36" ht="52" customHeight="1">
      <x:c r="A36" s="18" t="str">
        <x:v>Uploaded CSV</x:v>
      </x:c>
      <x:c r="B36" s="18" t="str">
        <x:v>UBA</x:v>
      </x:c>
      <x:c r="C36" s="18" t="n">
        <x:v>2015</x:v>
      </x:c>
      <x:c r="D36" s="20" t="str">
        <x:v>gross_loans</x:v>
      </x:c>
      <x:c r="E36" s="22" t="n">
        <x:v>835737</x:v>
      </x:c>
      <x:c r="F36" s="22" t="n">
        <x:v>835737</x:v>
      </x:c>
      <x:c r="G36" s="22" t="n">
        <x:f>IF(COUNT(E36,F36)=2,F36-E36,"")</x:f>
        <x:v>0</x:v>
      </x:c>
      <x:c r="H36" s="20" t="str">
        <x:v>Exact agreement</x:v>
      </x:c>
      <x:c r="I36" s="20" t="str">
        <x:v>https://www.ubagroup.com/wp-content/uploads/2018/08/UBA-Plc-2016-Annual-reports-and-Accounts_Low-Resolution.VAR_.pdf</x:v>
      </x:c>
      <x:c r="J36" s="20" t="str">
        <x:v>2016 report 2015 comparative Bank columns; opening assets retained from the prior selected 2014 statement.</x:v>
      </x:c>
    </x:row>
    <x:row r="37" ht="52" customHeight="1">
      <x:c r="A37" s="18" t="str">
        <x:v>Uploaded CSV</x:v>
      </x:c>
      <x:c r="B37" s="18" t="str">
        <x:v>UBA</x:v>
      </x:c>
      <x:c r="C37" s="18" t="n">
        <x:v>2015</x:v>
      </x:c>
      <x:c r="D37" s="20" t="str">
        <x:v>loan_allowance</x:v>
      </x:c>
      <x:c r="E37" s="22" t="n">
        <x:v>14104</x:v>
      </x:c>
      <x:c r="F37" s="22" t="n">
        <x:v>13043</x:v>
      </x:c>
      <x:c r="G37" s="22" t="n">
        <x:f>IF(COUNT(E37,F37)=2,F37-E37,"")</x:f>
        <x:v>-1061</x:v>
      </x:c>
      <x:c r="H37" s="20" t="str">
        <x:v>Difference: retain selected source / definition</x:v>
      </x:c>
      <x:c r="I37" s="20" t="str">
        <x:v>https://www.ubagroup.com/wp-content/uploads/2018/08/UBA-Plc-2016-Annual-reports-and-Accounts_Low-Resolution.VAR_.pdf</x:v>
      </x:c>
      <x:c r="J37" s="20" t="str">
        <x:v>2016 report 2015 comparative Bank columns; opening assets retained from the prior selected 2014 statement.</x:v>
      </x:c>
    </x:row>
    <x:row r="38" ht="52" customHeight="1">
      <x:c r="A38" s="18" t="str">
        <x:v>Uploaded CSV</x:v>
      </x:c>
      <x:c r="B38" s="18" t="str">
        <x:v>UBA</x:v>
      </x:c>
      <x:c r="C38" s="18" t="n">
        <x:v>2015</x:v>
      </x:c>
      <x:c r="D38" s="20" t="str">
        <x:v>total_impairment</x:v>
      </x:c>
      <x:c r="E38" s="22" t="n">
        <x:v>3491</x:v>
      </x:c>
      <x:c r="F38" s="22" t="n">
        <x:v>3491</x:v>
      </x:c>
      <x:c r="G38" s="22" t="n">
        <x:f>IF(COUNT(E38,F38)=2,F38-E38,"")</x:f>
        <x:v>0</x:v>
      </x:c>
      <x:c r="H38" s="20" t="str">
        <x:v>Exact agreement</x:v>
      </x:c>
      <x:c r="I38" s="20" t="str">
        <x:v>https://www.ubagroup.com/wp-content/uploads/2018/08/UBA-Plc-2016-Annual-reports-and-Accounts_Low-Resolution.VAR_.pdf</x:v>
      </x:c>
      <x:c r="J38" s="20" t="str">
        <x:v>2016 report 2015 comparative Bank columns; opening assets retained from the prior selected 2014 statement.</x:v>
      </x:c>
    </x:row>
    <x:row r="39" ht="52" customHeight="1">
      <x:c r="A39" s="18" t="str">
        <x:v>Uploaded CSV</x:v>
      </x:c>
      <x:c r="B39" s="18" t="str">
        <x:v>UBA</x:v>
      </x:c>
      <x:c r="C39" s="18" t="n">
        <x:v>2015</x:v>
      </x:c>
      <x:c r="D39" s="20" t="str">
        <x:v>car</x:v>
      </x:c>
      <x:c r="E39" s="22" t="n">
        <x:v>20</x:v>
      </x:c>
      <x:c r="F39" s="22" t="n">
        <x:v>20</x:v>
      </x:c>
      <x:c r="G39" s="22" t="n">
        <x:f>IF(COUNT(E39,F39)=2,F39-E39,"")</x:f>
        <x:v>0</x:v>
      </x:c>
      <x:c r="H39" s="20" t="str">
        <x:v>Exact agreement</x:v>
      </x:c>
      <x:c r="I39" s="20" t="str">
        <x:v>https://www.ubagroup.com/wp-content/uploads/2018/08/UBA-Plc-2016-Annual-reports-and-Accounts_Low-Resolution.VAR_.pdf</x:v>
      </x:c>
      <x:c r="J39" s="20" t="str">
        <x:v>2016 report 2015 comparative Bank columns; opening assets retained from the prior selected 2014 statement.</x:v>
      </x:c>
    </x:row>
    <x:row r="40" ht="52" customHeight="1">
      <x:c r="A40" s="18" t="str">
        <x:v>Uploaded CSV</x:v>
      </x:c>
      <x:c r="B40" s="18" t="str">
        <x:v>UBA</x:v>
      </x:c>
      <x:c r="C40" s="18" t="n">
        <x:v>2015</x:v>
      </x:c>
      <x:c r="D40" s="20" t="str">
        <x:v>npl_reported</x:v>
      </x:c>
      <x:c r="E40" s="22" t="n">
        <x:v>0.91</x:v>
      </x:c>
      <x:c r="F40" s="22"/>
      <x:c r="G40" s="22" t="str">
        <x:f>IF(COUNT(E40,F40)=2,F40-E40,"")</x:f>
      </x:c>
      <x:c r="H40" s="20" t="str">
        <x:v>Candidate retained outside selected field</x:v>
      </x:c>
      <x:c r="I40" s="20" t="str">
        <x:v>https://www.ubagroup.com/wp-content/uploads/2018/08/UBA-Plc-2016-Annual-reports-and-Accounts_Low-Resolution.VAR_.pdf</x:v>
      </x:c>
      <x:c r="J40" s="20" t="str">
        <x:v>2016 report 2015 comparative Bank columns; opening assets retained from the prior selected 2014 statement.</x:v>
      </x:c>
    </x:row>
    <x:row r="41" ht="52" customHeight="1">
      <x:c r="A41" s="18" t="str">
        <x:v>Uploaded CSV</x:v>
      </x:c>
      <x:c r="B41" s="18" t="str">
        <x:v>UBA</x:v>
      </x:c>
      <x:c r="C41" s="18" t="n">
        <x:v>2015</x:v>
      </x:c>
      <x:c r="D41" s="20" t="str">
        <x:v>gcu</x:v>
      </x:c>
      <x:c r="E41" s="22" t="n">
        <x:v>0</x:v>
      </x:c>
      <x:c r="F41" s="22"/>
      <x:c r="G41" s="22" t="str">
        <x:f>IF(COUNT(E41,F41)=2,F41-E41,"")</x:f>
      </x:c>
      <x:c r="H41" s="20" t="str">
        <x:v>Candidate retained outside selected field</x:v>
      </x:c>
      <x:c r="I41" s="20" t="str">
        <x:v>https://www.ubagroup.com/wp-content/uploads/2018/08/UBA-Plc-2016-Annual-reports-and-Accounts_Low-Resolution.VAR_.pdf</x:v>
      </x:c>
      <x:c r="J41" s="20" t="str">
        <x:v>2016 report 2015 comparative Bank columns; opening assets retained from the prior selected 2014 statement.</x:v>
      </x:c>
    </x:row>
    <x:row r="42" ht="52" customHeight="1">
      <x:c r="A42" s="18" t="str">
        <x:v>Uploaded CSV</x:v>
      </x:c>
      <x:c r="B42" s="18" t="str">
        <x:v>UBA</x:v>
      </x:c>
      <x:c r="C42" s="18" t="n">
        <x:v>2016</x:v>
      </x:c>
      <x:c r="D42" s="20" t="str">
        <x:v>pat</x:v>
      </x:c>
      <x:c r="E42" s="22" t="n">
        <x:v>47541</x:v>
      </x:c>
      <x:c r="F42" s="22" t="n">
        <x:v>47541</x:v>
      </x:c>
      <x:c r="G42" s="22" t="n">
        <x:f>IF(COUNT(E42,F42)=2,F42-E42,"")</x:f>
        <x:v>0</x:v>
      </x:c>
      <x:c r="H42" s="20" t="str">
        <x:v>Exact agreement</x:v>
      </x:c>
      <x:c r="I42" s="20" t="str">
        <x:v>https://www.ubagroup.com/wp-content/uploads/2018/08/UBA-Plc-2016-Annual-reports-and-Accounts_Low-Resolution.VAR_.pdf</x:v>
      </x:c>
      <x:c r="J42" s="20" t="str">
        <x:v>2016 report current-year Bank columns.</x:v>
      </x:c>
    </x:row>
    <x:row r="43" ht="52" customHeight="1">
      <x:c r="A43" s="18" t="str">
        <x:v>Uploaded CSV</x:v>
      </x:c>
      <x:c r="B43" s="18" t="str">
        <x:v>UBA</x:v>
      </x:c>
      <x:c r="C43" s="18" t="n">
        <x:v>2016</x:v>
      </x:c>
      <x:c r="D43" s="20" t="str">
        <x:v>gross_earnings</x:v>
      </x:c>
      <x:c r="E43" s="22" t="n">
        <x:v>269895</x:v>
      </x:c>
      <x:c r="F43" s="22" t="n">
        <x:v>269895</x:v>
      </x:c>
      <x:c r="G43" s="22" t="n">
        <x:f>IF(COUNT(E43,F43)=2,F43-E43,"")</x:f>
        <x:v>0</x:v>
      </x:c>
      <x:c r="H43" s="20" t="str">
        <x:v>Exact agreement</x:v>
      </x:c>
      <x:c r="I43" s="20" t="str">
        <x:v>https://www.ubagroup.com/wp-content/uploads/2018/08/UBA-Plc-2016-Annual-reports-and-Accounts_Low-Resolution.VAR_.pdf</x:v>
      </x:c>
      <x:c r="J43" s="20" t="str">
        <x:v>2016 report current-year Bank columns.</x:v>
      </x:c>
    </x:row>
    <x:row r="44" ht="52" customHeight="1">
      <x:c r="A44" s="18" t="str">
        <x:v>Uploaded CSV</x:v>
      </x:c>
      <x:c r="B44" s="18" t="str">
        <x:v>UBA</x:v>
      </x:c>
      <x:c r="C44" s="18" t="n">
        <x:v>2016</x:v>
      </x:c>
      <x:c r="D44" s="20" t="str">
        <x:v>assets</x:v>
      </x:c>
      <x:c r="E44" s="22" t="n">
        <x:v>2539585</x:v>
      </x:c>
      <x:c r="F44" s="22" t="n">
        <x:v>2539585</x:v>
      </x:c>
      <x:c r="G44" s="22" t="n">
        <x:f>IF(COUNT(E44,F44)=2,F44-E44,"")</x:f>
        <x:v>0</x:v>
      </x:c>
      <x:c r="H44" s="20" t="str">
        <x:v>Exact agreement</x:v>
      </x:c>
      <x:c r="I44" s="20" t="str">
        <x:v>https://www.ubagroup.com/wp-content/uploads/2018/08/UBA-Plc-2016-Annual-reports-and-Accounts_Low-Resolution.VAR_.pdf</x:v>
      </x:c>
      <x:c r="J44" s="20" t="str">
        <x:v>2016 report current-year Bank columns.</x:v>
      </x:c>
    </x:row>
    <x:row r="45" ht="52" customHeight="1">
      <x:c r="A45" s="18" t="str">
        <x:v>Uploaded CSV</x:v>
      </x:c>
      <x:c r="B45" s="18" t="str">
        <x:v>UBA</x:v>
      </x:c>
      <x:c r="C45" s="18" t="n">
        <x:v>2016</x:v>
      </x:c>
      <x:c r="D45" s="20" t="str">
        <x:v>gross_loans</x:v>
      </x:c>
      <x:c r="E45" s="22" t="n">
        <x:v>1120096</x:v>
      </x:c>
      <x:c r="F45" s="22" t="n">
        <x:v>1120096</x:v>
      </x:c>
      <x:c r="G45" s="22" t="n">
        <x:f>IF(COUNT(E45,F45)=2,F45-E45,"")</x:f>
        <x:v>0</x:v>
      </x:c>
      <x:c r="H45" s="20" t="str">
        <x:v>Exact agreement</x:v>
      </x:c>
      <x:c r="I45" s="20" t="str">
        <x:v>https://www.ubagroup.com/wp-content/uploads/2018/08/UBA-Plc-2016-Annual-reports-and-Accounts_Low-Resolution.VAR_.pdf</x:v>
      </x:c>
      <x:c r="J45" s="20" t="str">
        <x:v>2016 report current-year Bank columns.</x:v>
      </x:c>
    </x:row>
    <x:row r="46" ht="52" customHeight="1">
      <x:c r="A46" s="18" t="str">
        <x:v>Uploaded CSV</x:v>
      </x:c>
      <x:c r="B46" s="18" t="str">
        <x:v>UBA</x:v>
      </x:c>
      <x:c r="C46" s="18" t="n">
        <x:v>2016</x:v>
      </x:c>
      <x:c r="D46" s="20" t="str">
        <x:v>loan_allowance</x:v>
      </x:c>
      <x:c r="E46" s="22" t="n">
        <x:v>32295</x:v>
      </x:c>
      <x:c r="F46" s="22" t="n">
        <x:v>29741</x:v>
      </x:c>
      <x:c r="G46" s="22" t="n">
        <x:f>IF(COUNT(E46,F46)=2,F46-E46,"")</x:f>
        <x:v>-2554</x:v>
      </x:c>
      <x:c r="H46" s="20" t="str">
        <x:v>Difference: retain selected source / definition</x:v>
      </x:c>
      <x:c r="I46" s="20" t="str">
        <x:v>https://www.ubagroup.com/wp-content/uploads/2018/08/UBA-Plc-2016-Annual-reports-and-Accounts_Low-Resolution.VAR_.pdf</x:v>
      </x:c>
      <x:c r="J46" s="20" t="str">
        <x:v>2016 report current-year Bank columns.</x:v>
      </x:c>
    </x:row>
    <x:row r="47" ht="52" customHeight="1">
      <x:c r="A47" s="18" t="str">
        <x:v>Uploaded CSV</x:v>
      </x:c>
      <x:c r="B47" s="18" t="str">
        <x:v>UBA</x:v>
      </x:c>
      <x:c r="C47" s="18" t="n">
        <x:v>2016</x:v>
      </x:c>
      <x:c r="D47" s="20" t="str">
        <x:v>total_impairment</x:v>
      </x:c>
      <x:c r="E47" s="22" t="n">
        <x:v>25521</x:v>
      </x:c>
      <x:c r="F47" s="22" t="n">
        <x:v>25521</x:v>
      </x:c>
      <x:c r="G47" s="22" t="n">
        <x:f>IF(COUNT(E47,F47)=2,F47-E47,"")</x:f>
        <x:v>0</x:v>
      </x:c>
      <x:c r="H47" s="20" t="str">
        <x:v>Exact agreement</x:v>
      </x:c>
      <x:c r="I47" s="20" t="str">
        <x:v>https://www.ubagroup.com/wp-content/uploads/2018/08/UBA-Plc-2016-Annual-reports-and-Accounts_Low-Resolution.VAR_.pdf</x:v>
      </x:c>
      <x:c r="J47" s="20" t="str">
        <x:v>2016 report current-year Bank columns.</x:v>
      </x:c>
    </x:row>
    <x:row r="48" ht="52" customHeight="1">
      <x:c r="A48" s="18" t="str">
        <x:v>Uploaded CSV</x:v>
      </x:c>
      <x:c r="B48" s="18" t="str">
        <x:v>UBA</x:v>
      </x:c>
      <x:c r="C48" s="18" t="n">
        <x:v>2016</x:v>
      </x:c>
      <x:c r="D48" s="20" t="str">
        <x:v>car</x:v>
      </x:c>
      <x:c r="E48" s="22" t="n">
        <x:v>20</x:v>
      </x:c>
      <x:c r="F48" s="22" t="n">
        <x:v>20</x:v>
      </x:c>
      <x:c r="G48" s="22" t="n">
        <x:f>IF(COUNT(E48,F48)=2,F48-E48,"")</x:f>
        <x:v>0</x:v>
      </x:c>
      <x:c r="H48" s="20" t="str">
        <x:v>Exact agreement</x:v>
      </x:c>
      <x:c r="I48" s="20" t="str">
        <x:v>https://www.ubagroup.com/wp-content/uploads/2018/08/UBA-Plc-2016-Annual-reports-and-Accounts_Low-Resolution.VAR_.pdf</x:v>
      </x:c>
      <x:c r="J48" s="20" t="str">
        <x:v>2016 report current-year Bank columns.</x:v>
      </x:c>
    </x:row>
    <x:row r="49" ht="52" customHeight="1">
      <x:c r="A49" s="18" t="str">
        <x:v>Uploaded CSV</x:v>
      </x:c>
      <x:c r="B49" s="18" t="str">
        <x:v>UBA</x:v>
      </x:c>
      <x:c r="C49" s="18" t="n">
        <x:v>2016</x:v>
      </x:c>
      <x:c r="D49" s="20" t="str">
        <x:v>npl_reported</x:v>
      </x:c>
      <x:c r="E49" s="22" t="n">
        <x:v>5.1</x:v>
      </x:c>
      <x:c r="F49" s="22"/>
      <x:c r="G49" s="22" t="str">
        <x:f>IF(COUNT(E49,F49)=2,F49-E49,"")</x:f>
      </x:c>
      <x:c r="H49" s="20" t="str">
        <x:v>Candidate retained outside selected field</x:v>
      </x:c>
      <x:c r="I49" s="20" t="str">
        <x:v>https://www.ubagroup.com/wp-content/uploads/2018/08/UBA-Plc-2016-Annual-reports-and-Accounts_Low-Resolution.VAR_.pdf</x:v>
      </x:c>
      <x:c r="J49" s="20" t="str">
        <x:v>2016 report current-year Bank columns.</x:v>
      </x:c>
    </x:row>
    <x:row r="50" ht="52" customHeight="1">
      <x:c r="A50" s="18" t="str">
        <x:v>Uploaded CSV</x:v>
      </x:c>
      <x:c r="B50" s="18" t="str">
        <x:v>UBA</x:v>
      </x:c>
      <x:c r="C50" s="18" t="n">
        <x:v>2016</x:v>
      </x:c>
      <x:c r="D50" s="20" t="str">
        <x:v>gcu</x:v>
      </x:c>
      <x:c r="E50" s="22" t="n">
        <x:v>0</x:v>
      </x:c>
      <x:c r="F50" s="22"/>
      <x:c r="G50" s="22" t="str">
        <x:f>IF(COUNT(E50,F50)=2,F50-E50,"")</x:f>
      </x:c>
      <x:c r="H50" s="20" t="str">
        <x:v>Candidate retained outside selected field</x:v>
      </x:c>
      <x:c r="I50" s="20" t="str">
        <x:v>https://www.ubagroup.com/wp-content/uploads/2018/08/UBA-Plc-2016-Annual-reports-and-Accounts_Low-Resolution.VAR_.pdf</x:v>
      </x:c>
      <x:c r="J50" s="20" t="str">
        <x:v>2016 report current-year Bank columns.</x:v>
      </x:c>
    </x:row>
    <x:row r="51" ht="52" customHeight="1">
      <x:c r="A51" s="18" t="str">
        <x:v>Uploaded CSV</x:v>
      </x:c>
      <x:c r="B51" s="18" t="str">
        <x:v>UBA</x:v>
      </x:c>
      <x:c r="C51" s="18" t="n">
        <x:v>2017</x:v>
      </x:c>
      <x:c r="D51" s="20" t="str">
        <x:v>pat</x:v>
      </x:c>
      <x:c r="E51" s="22" t="n">
        <x:v>41396</x:v>
      </x:c>
      <x:c r="F51" s="22" t="n">
        <x:v>41396</x:v>
      </x:c>
      <x:c r="G51" s="22" t="n">
        <x:f>IF(COUNT(E51,F51)=2,F51-E51,"")</x:f>
        <x:v>0</x:v>
      </x:c>
      <x:c r="H51" s="20" t="str">
        <x:v>Exact agreement</x:v>
      </x:c>
      <x:c r="I51" s="20" t="str">
        <x:v>https://www.ubagroup.com/wp-content/uploads/2019/09/UBA-Plc-2018-Annual-Report-and-Acocunts.pdf</x:v>
      </x:c>
      <x:c r="J51" s="20" t="str">
        <x:v>Prior source-selection policy retained; original evidence preserved in accompanying pack.</x:v>
      </x:c>
    </x:row>
    <x:row r="52" ht="52" customHeight="1">
      <x:c r="A52" s="18" t="str">
        <x:v>Uploaded CSV</x:v>
      </x:c>
      <x:c r="B52" s="18" t="str">
        <x:v>UBA</x:v>
      </x:c>
      <x:c r="C52" s="18" t="n">
        <x:v>2017</x:v>
      </x:c>
      <x:c r="D52" s="20" t="str">
        <x:v>gross_earnings</x:v>
      </x:c>
      <x:c r="E52" s="22" t="n">
        <x:v>316263</x:v>
      </x:c>
      <x:c r="F52" s="22"/>
      <x:c r="G52" s="22" t="str">
        <x:f>IF(COUNT(E52,F52)=2,F52-E52,"")</x:f>
      </x:c>
      <x:c r="H52" s="20" t="str">
        <x:v>Candidate retained outside selected field</x:v>
      </x:c>
      <x:c r="I52" s="20" t="str">
        <x:v>https://www.ubagroup.com/wp-content/uploads/2019/09/UBA-Plc-2018-Annual-Report-and-Acocunts.pdf</x:v>
      </x:c>
      <x:c r="J52" s="20" t="str">
        <x:v>Prior source-selection policy retained; original evidence preserved in accompanying pack.</x:v>
      </x:c>
    </x:row>
    <x:row r="53" ht="52" customHeight="1">
      <x:c r="A53" s="18" t="str">
        <x:v>Uploaded CSV</x:v>
      </x:c>
      <x:c r="B53" s="18" t="str">
        <x:v>UBA</x:v>
      </x:c>
      <x:c r="C53" s="18" t="n">
        <x:v>2017</x:v>
      </x:c>
      <x:c r="D53" s="20" t="str">
        <x:v>assets</x:v>
      </x:c>
      <x:c r="E53" s="22" t="n">
        <x:v>2931826</x:v>
      </x:c>
      <x:c r="F53" s="22" t="n">
        <x:v>2931826</x:v>
      </x:c>
      <x:c r="G53" s="22" t="n">
        <x:f>IF(COUNT(E53,F53)=2,F53-E53,"")</x:f>
        <x:v>0</x:v>
      </x:c>
      <x:c r="H53" s="20" t="str">
        <x:v>Exact agreement</x:v>
      </x:c>
      <x:c r="I53" s="20" t="str">
        <x:v>https://www.ubagroup.com/wp-content/uploads/2019/09/UBA-Plc-2018-Annual-Report-and-Acocunts.pdf</x:v>
      </x:c>
      <x:c r="J53" s="20" t="str">
        <x:v>Prior source-selection policy retained; original evidence preserved in accompanying pack.</x:v>
      </x:c>
    </x:row>
    <x:row r="54" ht="52" customHeight="1">
      <x:c r="A54" s="18" t="str">
        <x:v>Uploaded CSV</x:v>
      </x:c>
      <x:c r="B54" s="18" t="str">
        <x:v>UBA</x:v>
      </x:c>
      <x:c r="C54" s="18" t="n">
        <x:v>2017</x:v>
      </x:c>
      <x:c r="D54" s="20" t="str">
        <x:v>gross_loans</x:v>
      </x:c>
      <x:c r="E54" s="22" t="n">
        <x:v>1204426</x:v>
      </x:c>
      <x:c r="F54" s="22" t="n">
        <x:v>1204426</x:v>
      </x:c>
      <x:c r="G54" s="22" t="n">
        <x:f>IF(COUNT(E54,F54)=2,F54-E54,"")</x:f>
        <x:v>0</x:v>
      </x:c>
      <x:c r="H54" s="20" t="str">
        <x:v>Exact agreement</x:v>
      </x:c>
      <x:c r="I54" s="20" t="str">
        <x:v>https://www.ubagroup.com/wp-content/uploads/2019/09/UBA-Plc-2018-Annual-Report-and-Acocunts.pdf</x:v>
      </x:c>
      <x:c r="J54" s="20" t="str">
        <x:v>Prior source-selection policy retained; original evidence preserved in accompanying pack.</x:v>
      </x:c>
    </x:row>
    <x:row r="55" ht="52" customHeight="1">
      <x:c r="A55" s="18" t="str">
        <x:v>Uploaded CSV</x:v>
      </x:c>
      <x:c r="B55" s="18" t="str">
        <x:v>UBA</x:v>
      </x:c>
      <x:c r="C55" s="18" t="n">
        <x:v>2017</x:v>
      </x:c>
      <x:c r="D55" s="20" t="str">
        <x:v>loan_allowance</x:v>
      </x:c>
      <x:c r="E55" s="22" t="n">
        <x:v>31212</x:v>
      </x:c>
      <x:c r="F55" s="22" t="n">
        <x:v>31212</x:v>
      </x:c>
      <x:c r="G55" s="22" t="n">
        <x:f>IF(COUNT(E55,F55)=2,F55-E55,"")</x:f>
        <x:v>0</x:v>
      </x:c>
      <x:c r="H55" s="20" t="str">
        <x:v>Exact agreement</x:v>
      </x:c>
      <x:c r="I55" s="20" t="str">
        <x:v>https://www.ubagroup.com/wp-content/uploads/2019/09/UBA-Plc-2018-Annual-Report-and-Acocunts.pdf</x:v>
      </x:c>
      <x:c r="J55" s="20" t="str">
        <x:v>Prior source-selection policy retained; original evidence preserved in accompanying pack.</x:v>
      </x:c>
    </x:row>
    <x:row r="56" ht="52" customHeight="1">
      <x:c r="A56" s="18" t="str">
        <x:v>Uploaded CSV</x:v>
      </x:c>
      <x:c r="B56" s="18" t="str">
        <x:v>UBA</x:v>
      </x:c>
      <x:c r="C56" s="18" t="n">
        <x:v>2017</x:v>
      </x:c>
      <x:c r="D56" s="20" t="str">
        <x:v>total_impairment</x:v>
      </x:c>
      <x:c r="E56" s="22" t="n">
        <x:v>30433</x:v>
      </x:c>
      <x:c r="F56" s="22" t="n">
        <x:v>30433</x:v>
      </x:c>
      <x:c r="G56" s="22" t="n">
        <x:f>IF(COUNT(E56,F56)=2,F56-E56,"")</x:f>
        <x:v>0</x:v>
      </x:c>
      <x:c r="H56" s="20" t="str">
        <x:v>Exact agreement</x:v>
      </x:c>
      <x:c r="I56" s="20" t="str">
        <x:v>https://www.ubagroup.com/wp-content/uploads/2019/09/UBA-Plc-2018-Annual-Report-and-Acocunts.pdf</x:v>
      </x:c>
      <x:c r="J56" s="20" t="str">
        <x:v>Prior source-selection policy retained; original evidence preserved in accompanying pack.</x:v>
      </x:c>
    </x:row>
    <x:row r="57" ht="52" customHeight="1">
      <x:c r="A57" s="18" t="str">
        <x:v>Uploaded CSV</x:v>
      </x:c>
      <x:c r="B57" s="18" t="str">
        <x:v>UBA</x:v>
      </x:c>
      <x:c r="C57" s="18" t="n">
        <x:v>2017</x:v>
      </x:c>
      <x:c r="D57" s="20" t="str">
        <x:v>car</x:v>
      </x:c>
      <x:c r="E57" s="22" t="n">
        <x:v>20</x:v>
      </x:c>
      <x:c r="F57" s="22" t="n">
        <x:v>20</x:v>
      </x:c>
      <x:c r="G57" s="22" t="n">
        <x:f>IF(COUNT(E57,F57)=2,F57-E57,"")</x:f>
        <x:v>0</x:v>
      </x:c>
      <x:c r="H57" s="20" t="str">
        <x:v>Exact agreement</x:v>
      </x:c>
      <x:c r="I57" s="20" t="str">
        <x:v>https://www.ubagroup.com/wp-content/uploads/2019/09/UBA-Plc-2018-Annual-Report-and-Acocunts.pdf</x:v>
      </x:c>
      <x:c r="J57" s="20" t="str">
        <x:v>Prior source-selection policy retained; original evidence preserved in accompanying pack.</x:v>
      </x:c>
    </x:row>
    <x:row r="58" ht="52" customHeight="1">
      <x:c r="A58" s="18" t="str">
        <x:v>Uploaded CSV</x:v>
      </x:c>
      <x:c r="B58" s="18" t="str">
        <x:v>UBA</x:v>
      </x:c>
      <x:c r="C58" s="18" t="n">
        <x:v>2017</x:v>
      </x:c>
      <x:c r="D58" s="20" t="str">
        <x:v>npl_reported</x:v>
      </x:c>
      <x:c r="E58" s="22" t="n">
        <x:v>3.7</x:v>
      </x:c>
      <x:c r="F58" s="22"/>
      <x:c r="G58" s="22" t="str">
        <x:f>IF(COUNT(E58,F58)=2,F58-E58,"")</x:f>
      </x:c>
      <x:c r="H58" s="20" t="str">
        <x:v>Candidate retained outside selected field</x:v>
      </x:c>
      <x:c r="I58" s="20" t="str">
        <x:v>https://www.ubagroup.com/wp-content/uploads/2019/09/UBA-Plc-2018-Annual-Report-and-Acocunts.pdf</x:v>
      </x:c>
      <x:c r="J58" s="20" t="str">
        <x:v>Prior source-selection policy retained; original evidence preserved in accompanying pack.</x:v>
      </x:c>
    </x:row>
    <x:row r="59" ht="52" customHeight="1">
      <x:c r="A59" s="18" t="str">
        <x:v>Uploaded CSV</x:v>
      </x:c>
      <x:c r="B59" s="18" t="str">
        <x:v>UBA</x:v>
      </x:c>
      <x:c r="C59" s="18" t="n">
        <x:v>2017</x:v>
      </x:c>
      <x:c r="D59" s="20" t="str">
        <x:v>gcu</x:v>
      </x:c>
      <x:c r="E59" s="22" t="n">
        <x:v>0</x:v>
      </x:c>
      <x:c r="F59" s="22"/>
      <x:c r="G59" s="22" t="str">
        <x:f>IF(COUNT(E59,F59)=2,F59-E59,"")</x:f>
      </x:c>
      <x:c r="H59" s="20" t="str">
        <x:v>Candidate retained outside selected field</x:v>
      </x:c>
      <x:c r="I59" s="20" t="str">
        <x:v>https://www.ubagroup.com/wp-content/uploads/2019/09/UBA-Plc-2018-Annual-Report-and-Acocunts.pdf</x:v>
      </x:c>
      <x:c r="J59" s="20" t="str">
        <x:v>Prior source-selection policy retained; original evidence preserved in accompanying pack.</x:v>
      </x:c>
    </x:row>
    <x:row r="60" ht="52" customHeight="1">
      <x:c r="A60" s="18" t="str">
        <x:v>Uploaded CSV</x:v>
      </x:c>
      <x:c r="B60" s="18" t="str">
        <x:v>UBA</x:v>
      </x:c>
      <x:c r="C60" s="18" t="n">
        <x:v>2018</x:v>
      </x:c>
      <x:c r="D60" s="20" t="str">
        <x:v>pat</x:v>
      </x:c>
      <x:c r="E60" s="22" t="n">
        <x:v>41047</x:v>
      </x:c>
      <x:c r="F60" s="22" t="n">
        <x:v>41047</x:v>
      </x:c>
      <x:c r="G60" s="22" t="n">
        <x:f>IF(COUNT(E60,F60)=2,F60-E60,"")</x:f>
        <x:v>0</x:v>
      </x:c>
      <x:c r="H60" s="20" t="str">
        <x:v>Exact agreement</x:v>
      </x:c>
      <x:c r="I60" s="20" t="str">
        <x:v>https://www.ubagroup.com/wp-content/uploads/2019/09/UBA-Plc-2018-Annual-Report-and-Acocunts.pdf</x:v>
      </x:c>
      <x:c r="J60" s="20" t="str">
        <x:v>Prior source-selection policy retained; original evidence preserved in accompanying pack.</x:v>
      </x:c>
    </x:row>
    <x:row r="61" ht="52" customHeight="1">
      <x:c r="A61" s="18" t="str">
        <x:v>Uploaded CSV</x:v>
      </x:c>
      <x:c r="B61" s="18" t="str">
        <x:v>UBA</x:v>
      </x:c>
      <x:c r="C61" s="18" t="n">
        <x:v>2018</x:v>
      </x:c>
      <x:c r="D61" s="20" t="str">
        <x:v>gross_earnings</x:v>
      </x:c>
      <x:c r="E61" s="22" t="n">
        <x:v>341504</x:v>
      </x:c>
      <x:c r="F61" s="22"/>
      <x:c r="G61" s="22" t="str">
        <x:f>IF(COUNT(E61,F61)=2,F61-E61,"")</x:f>
      </x:c>
      <x:c r="H61" s="20" t="str">
        <x:v>Candidate retained outside selected field</x:v>
      </x:c>
      <x:c r="I61" s="20" t="str">
        <x:v>https://www.ubagroup.com/wp-content/uploads/2019/09/UBA-Plc-2018-Annual-Report-and-Acocunts.pdf</x:v>
      </x:c>
      <x:c r="J61" s="20" t="str">
        <x:v>Prior source-selection policy retained; original evidence preserved in accompanying pack.</x:v>
      </x:c>
    </x:row>
    <x:row r="62" ht="52" customHeight="1">
      <x:c r="A62" s="18" t="str">
        <x:v>Uploaded CSV</x:v>
      </x:c>
      <x:c r="B62" s="18" t="str">
        <x:v>UBA</x:v>
      </x:c>
      <x:c r="C62" s="18" t="n">
        <x:v>2018</x:v>
      </x:c>
      <x:c r="D62" s="20" t="str">
        <x:v>assets</x:v>
      </x:c>
      <x:c r="E62" s="22" t="n">
        <x:v>3591305</x:v>
      </x:c>
      <x:c r="F62" s="22" t="n">
        <x:v>3591305</x:v>
      </x:c>
      <x:c r="G62" s="22" t="n">
        <x:f>IF(COUNT(E62,F62)=2,F62-E62,"")</x:f>
        <x:v>0</x:v>
      </x:c>
      <x:c r="H62" s="20" t="str">
        <x:v>Exact agreement</x:v>
      </x:c>
      <x:c r="I62" s="20" t="str">
        <x:v>https://www.ubagroup.com/wp-content/uploads/2019/09/UBA-Plc-2018-Annual-Report-and-Acocunts.pdf</x:v>
      </x:c>
      <x:c r="J62" s="20" t="str">
        <x:v>Prior source-selection policy retained; original evidence preserved in accompanying pack.</x:v>
      </x:c>
    </x:row>
    <x:row r="63" ht="52" customHeight="1">
      <x:c r="A63" s="18" t="str">
        <x:v>Uploaded CSV</x:v>
      </x:c>
      <x:c r="B63" s="18" t="str">
        <x:v>UBA</x:v>
      </x:c>
      <x:c r="C63" s="18" t="n">
        <x:v>2018</x:v>
      </x:c>
      <x:c r="D63" s="20" t="str">
        <x:v>gross_loans</x:v>
      </x:c>
      <x:c r="E63" s="22" t="n">
        <x:v>1274112</x:v>
      </x:c>
      <x:c r="F63" s="22" t="n">
        <x:v>1274112</x:v>
      </x:c>
      <x:c r="G63" s="22" t="n">
        <x:f>IF(COUNT(E63,F63)=2,F63-E63,"")</x:f>
        <x:v>0</x:v>
      </x:c>
      <x:c r="H63" s="20" t="str">
        <x:v>Exact agreement</x:v>
      </x:c>
      <x:c r="I63" s="20" t="str">
        <x:v>https://www.ubagroup.com/wp-content/uploads/2019/09/UBA-Plc-2018-Annual-Report-and-Acocunts.pdf</x:v>
      </x:c>
      <x:c r="J63" s="20" t="str">
        <x:v>Prior source-selection policy retained; original evidence preserved in accompanying pack.</x:v>
      </x:c>
    </x:row>
    <x:row r="64" ht="52" customHeight="1">
      <x:c r="A64" s="18" t="str">
        <x:v>Uploaded CSV</x:v>
      </x:c>
      <x:c r="B64" s="18" t="str">
        <x:v>UBA</x:v>
      </x:c>
      <x:c r="C64" s="18" t="n">
        <x:v>2018</x:v>
      </x:c>
      <x:c r="D64" s="20" t="str">
        <x:v>loan_allowance</x:v>
      </x:c>
      <x:c r="E64" s="22" t="n">
        <x:v>60311</x:v>
      </x:c>
      <x:c r="F64" s="22" t="n">
        <x:v>60311</x:v>
      </x:c>
      <x:c r="G64" s="22" t="n">
        <x:f>IF(COUNT(E64,F64)=2,F64-E64,"")</x:f>
        <x:v>0</x:v>
      </x:c>
      <x:c r="H64" s="20" t="str">
        <x:v>Exact agreement</x:v>
      </x:c>
      <x:c r="I64" s="20" t="str">
        <x:v>https://www.ubagroup.com/wp-content/uploads/2019/09/UBA-Plc-2018-Annual-Report-and-Acocunts.pdf</x:v>
      </x:c>
      <x:c r="J64" s="20" t="str">
        <x:v>Prior source-selection policy retained; original evidence preserved in accompanying pack.</x:v>
      </x:c>
    </x:row>
    <x:row r="65" ht="52" customHeight="1">
      <x:c r="A65" s="18" t="str">
        <x:v>Uploaded CSV</x:v>
      </x:c>
      <x:c r="B65" s="18" t="str">
        <x:v>UBA</x:v>
      </x:c>
      <x:c r="C65" s="18" t="n">
        <x:v>2018</x:v>
      </x:c>
      <x:c r="D65" s="20" t="str">
        <x:v>total_impairment</x:v>
      </x:c>
      <x:c r="E65" s="22" t="n">
        <x:v>4257</x:v>
      </x:c>
      <x:c r="F65" s="22" t="n">
        <x:v>4257</x:v>
      </x:c>
      <x:c r="G65" s="22" t="n">
        <x:f>IF(COUNT(E65,F65)=2,F65-E65,"")</x:f>
        <x:v>0</x:v>
      </x:c>
      <x:c r="H65" s="20" t="str">
        <x:v>Exact agreement</x:v>
      </x:c>
      <x:c r="I65" s="20" t="str">
        <x:v>https://www.ubagroup.com/wp-content/uploads/2019/09/UBA-Plc-2018-Annual-Report-and-Acocunts.pdf</x:v>
      </x:c>
      <x:c r="J65" s="20" t="str">
        <x:v>Prior source-selection policy retained; original evidence preserved in accompanying pack.</x:v>
      </x:c>
    </x:row>
    <x:row r="66" ht="52" customHeight="1">
      <x:c r="A66" s="18" t="str">
        <x:v>Uploaded CSV</x:v>
      </x:c>
      <x:c r="B66" s="18" t="str">
        <x:v>UBA</x:v>
      </x:c>
      <x:c r="C66" s="18" t="n">
        <x:v>2018</x:v>
      </x:c>
      <x:c r="D66" s="20" t="str">
        <x:v>car</x:v>
      </x:c>
      <x:c r="E66" s="22" t="n">
        <x:v>20</x:v>
      </x:c>
      <x:c r="F66" s="22" t="n">
        <x:v>20</x:v>
      </x:c>
      <x:c r="G66" s="22" t="n">
        <x:f>IF(COUNT(E66,F66)=2,F66-E66,"")</x:f>
        <x:v>0</x:v>
      </x:c>
      <x:c r="H66" s="20" t="str">
        <x:v>Exact agreement</x:v>
      </x:c>
      <x:c r="I66" s="20" t="str">
        <x:v>https://www.ubagroup.com/wp-content/uploads/2019/09/UBA-Plc-2018-Annual-Report-and-Acocunts.pdf</x:v>
      </x:c>
      <x:c r="J66" s="20" t="str">
        <x:v>Prior source-selection policy retained; original evidence preserved in accompanying pack.</x:v>
      </x:c>
    </x:row>
    <x:row r="67" ht="52" customHeight="1">
      <x:c r="A67" s="18" t="str">
        <x:v>Uploaded CSV</x:v>
      </x:c>
      <x:c r="B67" s="18" t="str">
        <x:v>UBA</x:v>
      </x:c>
      <x:c r="C67" s="18" t="n">
        <x:v>2018</x:v>
      </x:c>
      <x:c r="D67" s="20" t="str">
        <x:v>npl_reported</x:v>
      </x:c>
      <x:c r="E67" s="22" t="n">
        <x:v>4.2</x:v>
      </x:c>
      <x:c r="F67" s="22"/>
      <x:c r="G67" s="22" t="str">
        <x:f>IF(COUNT(E67,F67)=2,F67-E67,"")</x:f>
      </x:c>
      <x:c r="H67" s="20" t="str">
        <x:v>Candidate retained outside selected field</x:v>
      </x:c>
      <x:c r="I67" s="20" t="str">
        <x:v>https://www.ubagroup.com/wp-content/uploads/2019/09/UBA-Plc-2018-Annual-Report-and-Acocunts.pdf</x:v>
      </x:c>
      <x:c r="J67" s="20" t="str">
        <x:v>Prior source-selection policy retained; original evidence preserved in accompanying pack.</x:v>
      </x:c>
    </x:row>
    <x:row r="68" ht="52" customHeight="1">
      <x:c r="A68" s="18" t="str">
        <x:v>Uploaded CSV</x:v>
      </x:c>
      <x:c r="B68" s="18" t="str">
        <x:v>UBA</x:v>
      </x:c>
      <x:c r="C68" s="18" t="n">
        <x:v>2018</x:v>
      </x:c>
      <x:c r="D68" s="20" t="str">
        <x:v>gcu</x:v>
      </x:c>
      <x:c r="E68" s="22" t="n">
        <x:v>0</x:v>
      </x:c>
      <x:c r="F68" s="22"/>
      <x:c r="G68" s="22" t="str">
        <x:f>IF(COUNT(E68,F68)=2,F68-E68,"")</x:f>
      </x:c>
      <x:c r="H68" s="20" t="str">
        <x:v>Candidate retained outside selected field</x:v>
      </x:c>
      <x:c r="I68" s="20" t="str">
        <x:v>https://www.ubagroup.com/wp-content/uploads/2019/09/UBA-Plc-2018-Annual-Report-and-Acocunts.pdf</x:v>
      </x:c>
      <x:c r="J68" s="20" t="str">
        <x:v>Prior source-selection policy retained; original evidence preserved in accompanying pack.</x:v>
      </x:c>
    </x:row>
    <x:row r="69" ht="52" customHeight="1">
      <x:c r="A69" s="18" t="str">
        <x:v>Uploaded CSV</x:v>
      </x:c>
      <x:c r="B69" s="18" t="str">
        <x:v>UBA</x:v>
      </x:c>
      <x:c r="C69" s="18" t="n">
        <x:v>2019</x:v>
      </x:c>
      <x:c r="D69" s="20" t="str">
        <x:v>pat</x:v>
      </x:c>
      <x:c r="E69" s="22" t="n">
        <x:v>62750</x:v>
      </x:c>
      <x:c r="F69" s="22" t="n">
        <x:v>62750</x:v>
      </x:c>
      <x:c r="G69" s="22" t="n">
        <x:f>IF(COUNT(E69,F69)=2,F69-E69,"")</x:f>
        <x:v>0</x:v>
      </x:c>
      <x:c r="H69" s="20" t="str">
        <x:v>Exact agreement</x:v>
      </x:c>
      <x:c r="I69" s="20" t="str">
        <x:v>https://www.ubagroup.com/wp-content/uploads/2021/03/UBA-Plc-2020-Annual-Report-and-Accounts.pdf</x:v>
      </x:c>
      <x:c r="J69" s="20" t="str">
        <x:v>Prior source-selection policy retained; original evidence preserved in accompanying pack.</x:v>
      </x:c>
    </x:row>
    <x:row r="70" ht="52" customHeight="1">
      <x:c r="A70" s="18" t="str">
        <x:v>Uploaded CSV</x:v>
      </x:c>
      <x:c r="B70" s="18" t="str">
        <x:v>UBA</x:v>
      </x:c>
      <x:c r="C70" s="18" t="n">
        <x:v>2019</x:v>
      </x:c>
      <x:c r="D70" s="20" t="str">
        <x:v>gross_earnings</x:v>
      </x:c>
      <x:c r="E70" s="22" t="n">
        <x:v>412624</x:v>
      </x:c>
      <x:c r="F70" s="22"/>
      <x:c r="G70" s="22" t="str">
        <x:f>IF(COUNT(E70,F70)=2,F70-E70,"")</x:f>
      </x:c>
      <x:c r="H70" s="20" t="str">
        <x:v>Candidate retained outside selected field</x:v>
      </x:c>
      <x:c r="I70" s="20" t="str">
        <x:v>https://www.ubagroup.com/wp-content/uploads/2021/03/UBA-Plc-2020-Annual-Report-and-Accounts.pdf</x:v>
      </x:c>
      <x:c r="J70" s="20" t="str">
        <x:v>Prior source-selection policy retained; original evidence preserved in accompanying pack.</x:v>
      </x:c>
    </x:row>
    <x:row r="71" ht="52" customHeight="1">
      <x:c r="A71" s="18" t="str">
        <x:v>Uploaded CSV</x:v>
      </x:c>
      <x:c r="B71" s="18" t="str">
        <x:v>UBA</x:v>
      </x:c>
      <x:c r="C71" s="18" t="n">
        <x:v>2019</x:v>
      </x:c>
      <x:c r="D71" s="20" t="str">
        <x:v>assets</x:v>
      </x:c>
      <x:c r="E71" s="22" t="n">
        <x:v>4136493</x:v>
      </x:c>
      <x:c r="F71" s="22" t="n">
        <x:v>4136493</x:v>
      </x:c>
      <x:c r="G71" s="22" t="n">
        <x:f>IF(COUNT(E71,F71)=2,F71-E71,"")</x:f>
        <x:v>0</x:v>
      </x:c>
      <x:c r="H71" s="20" t="str">
        <x:v>Exact agreement</x:v>
      </x:c>
      <x:c r="I71" s="20" t="str">
        <x:v>https://www.ubagroup.com/wp-content/uploads/2021/03/UBA-Plc-2020-Annual-Report-and-Accounts.pdf</x:v>
      </x:c>
      <x:c r="J71" s="20" t="str">
        <x:v>Prior source-selection policy retained; original evidence preserved in accompanying pack.</x:v>
      </x:c>
    </x:row>
    <x:row r="72" ht="52" customHeight="1">
      <x:c r="A72" s="18" t="str">
        <x:v>Uploaded CSV</x:v>
      </x:c>
      <x:c r="B72" s="18" t="str">
        <x:v>UBA</x:v>
      </x:c>
      <x:c r="C72" s="18" t="n">
        <x:v>2019</x:v>
      </x:c>
      <x:c r="D72" s="20" t="str">
        <x:v>gross_loans</x:v>
      </x:c>
      <x:c r="E72" s="22" t="n">
        <x:v>1557358</x:v>
      </x:c>
      <x:c r="F72" s="22" t="n">
        <x:v>1557358</x:v>
      </x:c>
      <x:c r="G72" s="22" t="n">
        <x:f>IF(COUNT(E72,F72)=2,F72-E72,"")</x:f>
        <x:v>0</x:v>
      </x:c>
      <x:c r="H72" s="20" t="str">
        <x:v>Exact agreement</x:v>
      </x:c>
      <x:c r="I72" s="20" t="str">
        <x:v>https://www.ubagroup.com/wp-content/uploads/2021/03/UBA-Plc-2020-Annual-Report-and-Accounts.pdf</x:v>
      </x:c>
      <x:c r="J72" s="20" t="str">
        <x:v>Prior source-selection policy retained; original evidence preserved in accompanying pack.</x:v>
      </x:c>
    </x:row>
    <x:row r="73" ht="52" customHeight="1">
      <x:c r="A73" s="18" t="str">
        <x:v>Uploaded CSV</x:v>
      </x:c>
      <x:c r="B73" s="18" t="str">
        <x:v>UBA</x:v>
      </x:c>
      <x:c r="C73" s="18" t="n">
        <x:v>2019</x:v>
      </x:c>
      <x:c r="D73" s="20" t="str">
        <x:v>loan_allowance</x:v>
      </x:c>
      <x:c r="E73" s="22" t="n">
        <x:v>53978</x:v>
      </x:c>
      <x:c r="F73" s="22" t="n">
        <x:v>53978</x:v>
      </x:c>
      <x:c r="G73" s="22" t="n">
        <x:f>IF(COUNT(E73,F73)=2,F73-E73,"")</x:f>
        <x:v>0</x:v>
      </x:c>
      <x:c r="H73" s="20" t="str">
        <x:v>Exact agreement</x:v>
      </x:c>
      <x:c r="I73" s="20" t="str">
        <x:v>https://www.ubagroup.com/wp-content/uploads/2021/03/UBA-Plc-2020-Annual-Report-and-Accounts.pdf</x:v>
      </x:c>
      <x:c r="J73" s="20" t="str">
        <x:v>Prior source-selection policy retained; original evidence preserved in accompanying pack.</x:v>
      </x:c>
    </x:row>
    <x:row r="74" ht="52" customHeight="1">
      <x:c r="A74" s="18" t="str">
        <x:v>Uploaded CSV</x:v>
      </x:c>
      <x:c r="B74" s="18" t="str">
        <x:v>UBA</x:v>
      </x:c>
      <x:c r="C74" s="18" t="n">
        <x:v>2019</x:v>
      </x:c>
      <x:c r="D74" s="20" t="str">
        <x:v>total_impairment</x:v>
      </x:c>
      <x:c r="E74" s="22" t="n">
        <x:v>16369</x:v>
      </x:c>
      <x:c r="F74" s="22" t="n">
        <x:v>16369</x:v>
      </x:c>
      <x:c r="G74" s="22" t="n">
        <x:f>IF(COUNT(E74,F74)=2,F74-E74,"")</x:f>
        <x:v>0</x:v>
      </x:c>
      <x:c r="H74" s="20" t="str">
        <x:v>Exact agreement</x:v>
      </x:c>
      <x:c r="I74" s="20" t="str">
        <x:v>https://www.ubagroup.com/wp-content/uploads/2021/03/UBA-Plc-2020-Annual-Report-and-Accounts.pdf</x:v>
      </x:c>
      <x:c r="J74" s="20" t="str">
        <x:v>Prior source-selection policy retained; original evidence preserved in accompanying pack.</x:v>
      </x:c>
    </x:row>
    <x:row r="75" ht="52" customHeight="1">
      <x:c r="A75" s="18" t="str">
        <x:v>Uploaded CSV</x:v>
      </x:c>
      <x:c r="B75" s="18" t="str">
        <x:v>UBA</x:v>
      </x:c>
      <x:c r="C75" s="18" t="n">
        <x:v>2019</x:v>
      </x:c>
      <x:c r="D75" s="20" t="str">
        <x:v>car</x:v>
      </x:c>
      <x:c r="E75" s="22" t="n">
        <x:v>20.39</x:v>
      </x:c>
      <x:c r="F75" s="22" t="n">
        <x:v>22</x:v>
      </x:c>
      <x:c r="G75" s="22" t="n">
        <x:f>IF(COUNT(E75,F75)=2,F75-E75,"")</x:f>
        <x:v>1.6099999999999994</x:v>
      </x:c>
      <x:c r="H75" s="20" t="str">
        <x:v>Difference: retain selected source / definition</x:v>
      </x:c>
      <x:c r="I75" s="20" t="str">
        <x:v>https://www.ubagroup.com/wp-content/uploads/2021/03/UBA-Plc-2020-Annual-Report-and-Accounts.pdf</x:v>
      </x:c>
      <x:c r="J75" s="20" t="str">
        <x:v>Prior source-selection policy retained; original evidence preserved in accompanying pack.</x:v>
      </x:c>
    </x:row>
    <x:row r="76" ht="52" customHeight="1">
      <x:c r="A76" s="18" t="str">
        <x:v>Uploaded CSV</x:v>
      </x:c>
      <x:c r="B76" s="18" t="str">
        <x:v>UBA</x:v>
      </x:c>
      <x:c r="C76" s="18" t="n">
        <x:v>2019</x:v>
      </x:c>
      <x:c r="D76" s="20" t="str">
        <x:v>npl_reported</x:v>
      </x:c>
      <x:c r="E76" s="22" t="n">
        <x:v>2.87</x:v>
      </x:c>
      <x:c r="F76" s="22"/>
      <x:c r="G76" s="22" t="str">
        <x:f>IF(COUNT(E76,F76)=2,F76-E76,"")</x:f>
      </x:c>
      <x:c r="H76" s="20" t="str">
        <x:v>Candidate retained outside selected field</x:v>
      </x:c>
      <x:c r="I76" s="20" t="str">
        <x:v>https://www.ubagroup.com/wp-content/uploads/2021/03/UBA-Plc-2020-Annual-Report-and-Accounts.pdf</x:v>
      </x:c>
      <x:c r="J76" s="20" t="str">
        <x:v>Prior source-selection policy retained; original evidence preserved in accompanying pack.</x:v>
      </x:c>
    </x:row>
    <x:row r="77" ht="52" customHeight="1">
      <x:c r="A77" s="18" t="str">
        <x:v>Uploaded CSV</x:v>
      </x:c>
      <x:c r="B77" s="18" t="str">
        <x:v>UBA</x:v>
      </x:c>
      <x:c r="C77" s="18" t="n">
        <x:v>2019</x:v>
      </x:c>
      <x:c r="D77" s="20" t="str">
        <x:v>gcu</x:v>
      </x:c>
      <x:c r="E77" s="22" t="n">
        <x:v>0</x:v>
      </x:c>
      <x:c r="F77" s="22"/>
      <x:c r="G77" s="22" t="str">
        <x:f>IF(COUNT(E77,F77)=2,F77-E77,"")</x:f>
      </x:c>
      <x:c r="H77" s="20" t="str">
        <x:v>Candidate retained outside selected field</x:v>
      </x:c>
      <x:c r="I77" s="20" t="str">
        <x:v>https://www.ubagroup.com/wp-content/uploads/2021/03/UBA-Plc-2020-Annual-Report-and-Accounts.pdf</x:v>
      </x:c>
      <x:c r="J77" s="20" t="str">
        <x:v>Prior source-selection policy retained; original evidence preserved in accompanying pack.</x:v>
      </x:c>
    </x:row>
    <x:row r="78" ht="52" customHeight="1">
      <x:c r="A78" s="18" t="str">
        <x:v>Uploaded CSV</x:v>
      </x:c>
      <x:c r="B78" s="18" t="str">
        <x:v>UBA</x:v>
      </x:c>
      <x:c r="C78" s="18" t="n">
        <x:v>2020</x:v>
      </x:c>
      <x:c r="D78" s="20" t="str">
        <x:v>pat</x:v>
      </x:c>
      <x:c r="E78" s="22" t="n">
        <x:v>56911</x:v>
      </x:c>
      <x:c r="F78" s="22" t="n">
        <x:v>56911</x:v>
      </x:c>
      <x:c r="G78" s="22" t="n">
        <x:f>IF(COUNT(E78,F78)=2,F78-E78,"")</x:f>
        <x:v>0</x:v>
      </x:c>
      <x:c r="H78" s="20" t="str">
        <x:v>Exact agreement</x:v>
      </x:c>
      <x:c r="I78" s="20" t="str">
        <x:v>https://www.ubagroup.com/wp-content/uploads/2021/03/UBA-Plc-2020-Annual-Report-and-Accounts.pdf</x:v>
      </x:c>
      <x:c r="J78" s="20" t="str">
        <x:v>Prior source-selection policy retained; original evidence preserved in accompanying pack.</x:v>
      </x:c>
    </x:row>
    <x:row r="79" ht="52" customHeight="1">
      <x:c r="A79" s="18" t="str">
        <x:v>Uploaded CSV</x:v>
      </x:c>
      <x:c r="B79" s="18" t="str">
        <x:v>UBA</x:v>
      </x:c>
      <x:c r="C79" s="18" t="n">
        <x:v>2020</x:v>
      </x:c>
      <x:c r="D79" s="20" t="str">
        <x:v>gross_earnings</x:v>
      </x:c>
      <x:c r="E79" s="22" t="n">
        <x:v>381476</x:v>
      </x:c>
      <x:c r="F79" s="22"/>
      <x:c r="G79" s="22" t="str">
        <x:f>IF(COUNT(E79,F79)=2,F79-E79,"")</x:f>
      </x:c>
      <x:c r="H79" s="20" t="str">
        <x:v>Candidate retained outside selected field</x:v>
      </x:c>
      <x:c r="I79" s="20" t="str">
        <x:v>https://www.ubagroup.com/wp-content/uploads/2021/03/UBA-Plc-2020-Annual-Report-and-Accounts.pdf</x:v>
      </x:c>
      <x:c r="J79" s="20" t="str">
        <x:v>Prior source-selection policy retained; original evidence preserved in accompanying pack.</x:v>
      </x:c>
    </x:row>
    <x:row r="80" ht="52" customHeight="1">
      <x:c r="A80" s="18" t="str">
        <x:v>Uploaded CSV</x:v>
      </x:c>
      <x:c r="B80" s="18" t="str">
        <x:v>UBA</x:v>
      </x:c>
      <x:c r="C80" s="18" t="n">
        <x:v>2020</x:v>
      </x:c>
      <x:c r="D80" s="20" t="str">
        <x:v>assets</x:v>
      </x:c>
      <x:c r="E80" s="22" t="n">
        <x:v>5207833</x:v>
      </x:c>
      <x:c r="F80" s="22" t="n">
        <x:v>5207833</x:v>
      </x:c>
      <x:c r="G80" s="22" t="n">
        <x:f>IF(COUNT(E80,F80)=2,F80-E80,"")</x:f>
        <x:v>0</x:v>
      </x:c>
      <x:c r="H80" s="20" t="str">
        <x:v>Exact agreement</x:v>
      </x:c>
      <x:c r="I80" s="20" t="str">
        <x:v>https://www.ubagroup.com/wp-content/uploads/2021/03/UBA-Plc-2020-Annual-Report-and-Accounts.pdf</x:v>
      </x:c>
      <x:c r="J80" s="20" t="str">
        <x:v>Prior source-selection policy retained; original evidence preserved in accompanying pack.</x:v>
      </x:c>
    </x:row>
    <x:row r="81" ht="52" customHeight="1">
      <x:c r="A81" s="18" t="str">
        <x:v>Uploaded CSV</x:v>
      </x:c>
      <x:c r="B81" s="18" t="str">
        <x:v>UBA</x:v>
      </x:c>
      <x:c r="C81" s="18" t="n">
        <x:v>2020</x:v>
      </x:c>
      <x:c r="D81" s="20" t="str">
        <x:v>gross_loans</x:v>
      </x:c>
      <x:c r="E81" s="22" t="n">
        <x:v>1874858</x:v>
      </x:c>
      <x:c r="F81" s="22" t="n">
        <x:v>1874858</x:v>
      </x:c>
      <x:c r="G81" s="22" t="n">
        <x:f>IF(COUNT(E81,F81)=2,F81-E81,"")</x:f>
        <x:v>0</x:v>
      </x:c>
      <x:c r="H81" s="20" t="str">
        <x:v>Exact agreement</x:v>
      </x:c>
      <x:c r="I81" s="20" t="str">
        <x:v>https://www.ubagroup.com/wp-content/uploads/2021/03/UBA-Plc-2020-Annual-Report-and-Accounts.pdf</x:v>
      </x:c>
      <x:c r="J81" s="20" t="str">
        <x:v>Prior source-selection policy retained; original evidence preserved in accompanying pack.</x:v>
      </x:c>
    </x:row>
    <x:row r="82" ht="52" customHeight="1">
      <x:c r="A82" s="18" t="str">
        <x:v>Uploaded CSV</x:v>
      </x:c>
      <x:c r="B82" s="18" t="str">
        <x:v>UBA</x:v>
      </x:c>
      <x:c r="C82" s="18" t="n">
        <x:v>2020</x:v>
      </x:c>
      <x:c r="D82" s="20" t="str">
        <x:v>loan_allowance</x:v>
      </x:c>
      <x:c r="E82" s="22" t="n">
        <x:v>62322</x:v>
      </x:c>
      <x:c r="F82" s="22" t="n">
        <x:v>62322</x:v>
      </x:c>
      <x:c r="G82" s="22" t="n">
        <x:f>IF(COUNT(E82,F82)=2,F82-E82,"")</x:f>
        <x:v>0</x:v>
      </x:c>
      <x:c r="H82" s="20" t="str">
        <x:v>Exact agreement</x:v>
      </x:c>
      <x:c r="I82" s="20" t="str">
        <x:v>https://www.ubagroup.com/wp-content/uploads/2021/03/UBA-Plc-2020-Annual-Report-and-Accounts.pdf</x:v>
      </x:c>
      <x:c r="J82" s="20" t="str">
        <x:v>Prior source-selection policy retained; original evidence preserved in accompanying pack.</x:v>
      </x:c>
    </x:row>
    <x:row r="83" ht="52" customHeight="1">
      <x:c r="A83" s="18" t="str">
        <x:v>Uploaded CSV</x:v>
      </x:c>
      <x:c r="B83" s="18" t="str">
        <x:v>UBA</x:v>
      </x:c>
      <x:c r="C83" s="18" t="n">
        <x:v>2020</x:v>
      </x:c>
      <x:c r="D83" s="20" t="str">
        <x:v>total_impairment</x:v>
      </x:c>
      <x:c r="E83" s="22" t="n">
        <x:v>21864</x:v>
      </x:c>
      <x:c r="F83" s="22" t="n">
        <x:v>21864</x:v>
      </x:c>
      <x:c r="G83" s="22" t="n">
        <x:f>IF(COUNT(E83,F83)=2,F83-E83,"")</x:f>
        <x:v>0</x:v>
      </x:c>
      <x:c r="H83" s="20" t="str">
        <x:v>Exact agreement</x:v>
      </x:c>
      <x:c r="I83" s="20" t="str">
        <x:v>https://www.ubagroup.com/wp-content/uploads/2021/03/UBA-Plc-2020-Annual-Report-and-Accounts.pdf</x:v>
      </x:c>
      <x:c r="J83" s="20" t="str">
        <x:v>Prior source-selection policy retained; original evidence preserved in accompanying pack.</x:v>
      </x:c>
    </x:row>
    <x:row r="84" ht="52" customHeight="1">
      <x:c r="A84" s="18" t="str">
        <x:v>Uploaded CSV</x:v>
      </x:c>
      <x:c r="B84" s="18" t="str">
        <x:v>UBA</x:v>
      </x:c>
      <x:c r="C84" s="18" t="n">
        <x:v>2020</x:v>
      </x:c>
      <x:c r="D84" s="20" t="str">
        <x:v>car</x:v>
      </x:c>
      <x:c r="E84" s="22" t="n">
        <x:v>19.7</x:v>
      </x:c>
      <x:c r="F84" s="22" t="n">
        <x:v>20</x:v>
      </x:c>
      <x:c r="G84" s="22" t="n">
        <x:f>IF(COUNT(E84,F84)=2,F84-E84,"")</x:f>
        <x:v>0.3000000000000007</x:v>
      </x:c>
      <x:c r="H84" s="20" t="str">
        <x:v>Difference: retain selected source / definition</x:v>
      </x:c>
      <x:c r="I84" s="20" t="str">
        <x:v>https://www.ubagroup.com/wp-content/uploads/2021/03/UBA-Plc-2020-Annual-Report-and-Accounts.pdf</x:v>
      </x:c>
      <x:c r="J84" s="20" t="str">
        <x:v>Prior source-selection policy retained; original evidence preserved in accompanying pack.</x:v>
      </x:c>
    </x:row>
    <x:row r="85" ht="52" customHeight="1">
      <x:c r="A85" s="18" t="str">
        <x:v>Uploaded CSV</x:v>
      </x:c>
      <x:c r="B85" s="18" t="str">
        <x:v>UBA</x:v>
      </x:c>
      <x:c r="C85" s="18" t="n">
        <x:v>2020</x:v>
      </x:c>
      <x:c r="D85" s="20" t="str">
        <x:v>npl_reported</x:v>
      </x:c>
      <x:c r="E85" s="22" t="n">
        <x:v>2.2</x:v>
      </x:c>
      <x:c r="F85" s="22"/>
      <x:c r="G85" s="22" t="str">
        <x:f>IF(COUNT(E85,F85)=2,F85-E85,"")</x:f>
      </x:c>
      <x:c r="H85" s="20" t="str">
        <x:v>Candidate retained outside selected field</x:v>
      </x:c>
      <x:c r="I85" s="20" t="str">
        <x:v>https://www.ubagroup.com/wp-content/uploads/2021/03/UBA-Plc-2020-Annual-Report-and-Accounts.pdf</x:v>
      </x:c>
      <x:c r="J85" s="20" t="str">
        <x:v>Prior source-selection policy retained; original evidence preserved in accompanying pack.</x:v>
      </x:c>
    </x:row>
    <x:row r="86" ht="52" customHeight="1">
      <x:c r="A86" s="18" t="str">
        <x:v>Uploaded CSV</x:v>
      </x:c>
      <x:c r="B86" s="18" t="str">
        <x:v>UBA</x:v>
      </x:c>
      <x:c r="C86" s="18" t="n">
        <x:v>2020</x:v>
      </x:c>
      <x:c r="D86" s="20" t="str">
        <x:v>gcu</x:v>
      </x:c>
      <x:c r="E86" s="22" t="n">
        <x:v>0</x:v>
      </x:c>
      <x:c r="F86" s="22"/>
      <x:c r="G86" s="22" t="str">
        <x:f>IF(COUNT(E86,F86)=2,F86-E86,"")</x:f>
      </x:c>
      <x:c r="H86" s="20" t="str">
        <x:v>Candidate retained outside selected field</x:v>
      </x:c>
      <x:c r="I86" s="20" t="str">
        <x:v>https://www.ubagroup.com/wp-content/uploads/2021/03/UBA-Plc-2020-Annual-Report-and-Accounts.pdf</x:v>
      </x:c>
      <x:c r="J86" s="20" t="str">
        <x:v>Prior source-selection policy retained; original evidence preserved in accompanying pack.</x:v>
      </x:c>
    </x:row>
    <x:row r="87" ht="52" customHeight="1">
      <x:c r="A87" s="18" t="str">
        <x:v>Uploaded CSV</x:v>
      </x:c>
      <x:c r="B87" s="18" t="str">
        <x:v>UBA</x:v>
      </x:c>
      <x:c r="C87" s="18" t="n">
        <x:v>2021</x:v>
      </x:c>
      <x:c r="D87" s="20" t="str">
        <x:v>pat</x:v>
      </x:c>
      <x:c r="E87" s="22" t="n">
        <x:v>58669</x:v>
      </x:c>
      <x:c r="F87" s="22" t="n">
        <x:v>58669</x:v>
      </x:c>
      <x:c r="G87" s="22" t="n">
        <x:f>IF(COUNT(E87,F87)=2,F87-E87,"")</x:f>
        <x:v>0</x:v>
      </x:c>
      <x:c r="H87" s="20" t="str">
        <x:v>Exact agreement</x:v>
      </x:c>
      <x:c r="I87" s="20" t="str">
        <x:v>https://doclib.ngxgroup.com/Financial_NewsDocs/37990_UNITED_BANK_FOR_AFRICA_PLC-_QUARTER_5_-_FINANCIAL_STATEMENT_FOR_2022_FINANCIAL_STATEMENTS_MARCH_2023.pdf</x:v>
      </x:c>
      <x:c r="J87" s="20" t="str">
        <x:v>Prior source-selection policy retained; original evidence preserved in accompanying pack.</x:v>
      </x:c>
    </x:row>
    <x:row r="88" ht="52" customHeight="1">
      <x:c r="A88" s="18" t="str">
        <x:v>Uploaded CSV</x:v>
      </x:c>
      <x:c r="B88" s="18" t="str">
        <x:v>UBA</x:v>
      </x:c>
      <x:c r="C88" s="18" t="n">
        <x:v>2021</x:v>
      </x:c>
      <x:c r="D88" s="20" t="str">
        <x:v>gross_earnings</x:v>
      </x:c>
      <x:c r="E88" s="22" t="n">
        <x:v>381493</x:v>
      </x:c>
      <x:c r="F88" s="22"/>
      <x:c r="G88" s="22" t="str">
        <x:f>IF(COUNT(E88,F88)=2,F88-E88,"")</x:f>
      </x:c>
      <x:c r="H88" s="20" t="str">
        <x:v>Candidate retained outside selected field</x:v>
      </x:c>
      <x:c r="I88" s="20" t="str">
        <x:v>https://doclib.ngxgroup.com/Financial_NewsDocs/37990_UNITED_BANK_FOR_AFRICA_PLC-_QUARTER_5_-_FINANCIAL_STATEMENT_FOR_2022_FINANCIAL_STATEMENTS_MARCH_2023.pdf</x:v>
      </x:c>
      <x:c r="J88" s="20" t="str">
        <x:v>Prior source-selection policy retained; original evidence preserved in accompanying pack.</x:v>
      </x:c>
    </x:row>
    <x:row r="89" ht="52" customHeight="1">
      <x:c r="A89" s="18" t="str">
        <x:v>Uploaded CSV</x:v>
      </x:c>
      <x:c r="B89" s="18" t="str">
        <x:v>UBA</x:v>
      </x:c>
      <x:c r="C89" s="18" t="n">
        <x:v>2021</x:v>
      </x:c>
      <x:c r="D89" s="20" t="str">
        <x:v>assets</x:v>
      </x:c>
      <x:c r="E89" s="22" t="n">
        <x:v>5574976</x:v>
      </x:c>
      <x:c r="F89" s="22" t="n">
        <x:v>5574976</x:v>
      </x:c>
      <x:c r="G89" s="22" t="n">
        <x:f>IF(COUNT(E89,F89)=2,F89-E89,"")</x:f>
        <x:v>0</x:v>
      </x:c>
      <x:c r="H89" s="20" t="str">
        <x:v>Exact agreement</x:v>
      </x:c>
      <x:c r="I89" s="20" t="str">
        <x:v>https://doclib.ngxgroup.com/Financial_NewsDocs/37990_UNITED_BANK_FOR_AFRICA_PLC-_QUARTER_5_-_FINANCIAL_STATEMENT_FOR_2022_FINANCIAL_STATEMENTS_MARCH_2023.pdf</x:v>
      </x:c>
      <x:c r="J89" s="20" t="str">
        <x:v>Prior source-selection policy retained; original evidence preserved in accompanying pack.</x:v>
      </x:c>
    </x:row>
    <x:row r="90" ht="52" customHeight="1">
      <x:c r="A90" s="18" t="str">
        <x:v>Uploaded CSV</x:v>
      </x:c>
      <x:c r="B90" s="18" t="str">
        <x:v>UBA</x:v>
      </x:c>
      <x:c r="C90" s="18" t="n">
        <x:v>2021</x:v>
      </x:c>
      <x:c r="D90" s="20" t="str">
        <x:v>gross_loans</x:v>
      </x:c>
      <x:c r="E90" s="22" t="n">
        <x:v>1913403</x:v>
      </x:c>
      <x:c r="F90" s="22" t="n">
        <x:v>1913403</x:v>
      </x:c>
      <x:c r="G90" s="22" t="n">
        <x:f>IF(COUNT(E90,F90)=2,F90-E90,"")</x:f>
        <x:v>0</x:v>
      </x:c>
      <x:c r="H90" s="20" t="str">
        <x:v>Exact agreement</x:v>
      </x:c>
      <x:c r="I90" s="20" t="str">
        <x:v>https://doclib.ngxgroup.com/Financial_NewsDocs/37990_UNITED_BANK_FOR_AFRICA_PLC-_QUARTER_5_-_FINANCIAL_STATEMENT_FOR_2022_FINANCIAL_STATEMENTS_MARCH_2023.pdf</x:v>
      </x:c>
      <x:c r="J90" s="20" t="str">
        <x:v>Prior source-selection policy retained; original evidence preserved in accompanying pack.</x:v>
      </x:c>
    </x:row>
    <x:row r="91" ht="52" customHeight="1">
      <x:c r="A91" s="18" t="str">
        <x:v>Uploaded CSV</x:v>
      </x:c>
      <x:c r="B91" s="18" t="str">
        <x:v>UBA</x:v>
      </x:c>
      <x:c r="C91" s="18" t="n">
        <x:v>2021</x:v>
      </x:c>
      <x:c r="D91" s="20" t="str">
        <x:v>loan_allowance</x:v>
      </x:c>
      <x:c r="E91" s="22" t="n">
        <x:v>65301</x:v>
      </x:c>
      <x:c r="F91" s="22" t="n">
        <x:v>65301</x:v>
      </x:c>
      <x:c r="G91" s="22" t="n">
        <x:f>IF(COUNT(E91,F91)=2,F91-E91,"")</x:f>
        <x:v>0</x:v>
      </x:c>
      <x:c r="H91" s="20" t="str">
        <x:v>Exact agreement</x:v>
      </x:c>
      <x:c r="I91" s="20" t="str">
        <x:v>https://doclib.ngxgroup.com/Financial_NewsDocs/37990_UNITED_BANK_FOR_AFRICA_PLC-_QUARTER_5_-_FINANCIAL_STATEMENT_FOR_2022_FINANCIAL_STATEMENTS_MARCH_2023.pdf</x:v>
      </x:c>
      <x:c r="J91" s="20" t="str">
        <x:v>Prior source-selection policy retained; original evidence preserved in accompanying pack.</x:v>
      </x:c>
    </x:row>
    <x:row r="92" ht="52" customHeight="1">
      <x:c r="A92" s="18" t="str">
        <x:v>Uploaded CSV</x:v>
      </x:c>
      <x:c r="B92" s="18" t="str">
        <x:v>UBA</x:v>
      </x:c>
      <x:c r="C92" s="18" t="n">
        <x:v>2021</x:v>
      </x:c>
      <x:c r="D92" s="20" t="str">
        <x:v>total_impairment</x:v>
      </x:c>
      <x:c r="E92" s="22" t="n">
        <x:v>9749</x:v>
      </x:c>
      <x:c r="F92" s="22" t="n">
        <x:v>9749</x:v>
      </x:c>
      <x:c r="G92" s="22" t="n">
        <x:f>IF(COUNT(E92,F92)=2,F92-E92,"")</x:f>
        <x:v>0</x:v>
      </x:c>
      <x:c r="H92" s="20" t="str">
        <x:v>Exact agreement</x:v>
      </x:c>
      <x:c r="I92" s="20" t="str">
        <x:v>https://doclib.ngxgroup.com/Financial_NewsDocs/37990_UNITED_BANK_FOR_AFRICA_PLC-_QUARTER_5_-_FINANCIAL_STATEMENT_FOR_2022_FINANCIAL_STATEMENTS_MARCH_2023.pdf</x:v>
      </x:c>
      <x:c r="J92" s="20" t="str">
        <x:v>Prior source-selection policy retained; original evidence preserved in accompanying pack.</x:v>
      </x:c>
    </x:row>
    <x:row r="93" ht="52" customHeight="1">
      <x:c r="A93" s="18" t="str">
        <x:v>Uploaded CSV</x:v>
      </x:c>
      <x:c r="B93" s="18" t="str">
        <x:v>UBA</x:v>
      </x:c>
      <x:c r="C93" s="18" t="n">
        <x:v>2021</x:v>
      </x:c>
      <x:c r="D93" s="20" t="str">
        <x:v>car</x:v>
      </x:c>
      <x:c r="E93" s="22" t="n">
        <x:v>21.8</x:v>
      </x:c>
      <x:c r="F93" s="22" t="n">
        <x:v>21.8</x:v>
      </x:c>
      <x:c r="G93" s="22" t="n">
        <x:f>IF(COUNT(E93,F93)=2,F93-E93,"")</x:f>
        <x:v>0</x:v>
      </x:c>
      <x:c r="H93" s="20" t="str">
        <x:v>Exact agreement</x:v>
      </x:c>
      <x:c r="I93" s="20" t="str">
        <x:v>https://doclib.ngxgroup.com/Financial_NewsDocs/37990_UNITED_BANK_FOR_AFRICA_PLC-_QUARTER_5_-_FINANCIAL_STATEMENT_FOR_2022_FINANCIAL_STATEMENTS_MARCH_2023.pdf</x:v>
      </x:c>
      <x:c r="J93" s="20" t="str">
        <x:v>Prior source-selection policy retained; original evidence preserved in accompanying pack.</x:v>
      </x:c>
    </x:row>
    <x:row r="94" ht="52" customHeight="1">
      <x:c r="A94" s="18" t="str">
        <x:v>Uploaded CSV</x:v>
      </x:c>
      <x:c r="B94" s="18" t="str">
        <x:v>UBA</x:v>
      </x:c>
      <x:c r="C94" s="18" t="n">
        <x:v>2021</x:v>
      </x:c>
      <x:c r="D94" s="20" t="str">
        <x:v>npl_reported</x:v>
      </x:c>
      <x:c r="E94" s="22" t="n">
        <x:v>3.2</x:v>
      </x:c>
      <x:c r="F94" s="22"/>
      <x:c r="G94" s="22" t="str">
        <x:f>IF(COUNT(E94,F94)=2,F94-E94,"")</x:f>
      </x:c>
      <x:c r="H94" s="20" t="str">
        <x:v>Candidate retained outside selected field</x:v>
      </x:c>
      <x:c r="I94" s="20" t="str">
        <x:v>https://doclib.ngxgroup.com/Financial_NewsDocs/37990_UNITED_BANK_FOR_AFRICA_PLC-_QUARTER_5_-_FINANCIAL_STATEMENT_FOR_2022_FINANCIAL_STATEMENTS_MARCH_2023.pdf</x:v>
      </x:c>
      <x:c r="J94" s="20" t="str">
        <x:v>Prior source-selection policy retained; original evidence preserved in accompanying pack.</x:v>
      </x:c>
    </x:row>
    <x:row r="95" ht="52" customHeight="1">
      <x:c r="A95" s="18" t="str">
        <x:v>Uploaded CSV</x:v>
      </x:c>
      <x:c r="B95" s="18" t="str">
        <x:v>UBA</x:v>
      </x:c>
      <x:c r="C95" s="18" t="n">
        <x:v>2021</x:v>
      </x:c>
      <x:c r="D95" s="20" t="str">
        <x:v>gcu</x:v>
      </x:c>
      <x:c r="E95" s="22" t="n">
        <x:v>0</x:v>
      </x:c>
      <x:c r="F95" s="22"/>
      <x:c r="G95" s="22" t="str">
        <x:f>IF(COUNT(E95,F95)=2,F95-E95,"")</x:f>
      </x:c>
      <x:c r="H95" s="20" t="str">
        <x:v>Candidate retained outside selected field</x:v>
      </x:c>
      <x:c r="I95" s="20" t="str">
        <x:v>https://doclib.ngxgroup.com/Financial_NewsDocs/37990_UNITED_BANK_FOR_AFRICA_PLC-_QUARTER_5_-_FINANCIAL_STATEMENT_FOR_2022_FINANCIAL_STATEMENTS_MARCH_2023.pdf</x:v>
      </x:c>
      <x:c r="J95" s="20" t="str">
        <x:v>Prior source-selection policy retained; original evidence preserved in accompanying pack.</x:v>
      </x:c>
    </x:row>
    <x:row r="96" ht="52" customHeight="1">
      <x:c r="A96" s="18" t="str">
        <x:v>Uploaded CSV</x:v>
      </x:c>
      <x:c r="B96" s="18" t="str">
        <x:v>UBA</x:v>
      </x:c>
      <x:c r="C96" s="18" t="n">
        <x:v>2022</x:v>
      </x:c>
      <x:c r="D96" s="20" t="str">
        <x:v>pat</x:v>
      </x:c>
      <x:c r="E96" s="22" t="n">
        <x:v>133696</x:v>
      </x:c>
      <x:c r="F96" s="22" t="n">
        <x:v>133696</x:v>
      </x:c>
      <x:c r="G96" s="22" t="n">
        <x:f>IF(COUNT(E96,F96)=2,F96-E96,"")</x:f>
        <x:v>0</x:v>
      </x:c>
      <x:c r="H96" s="20" t="str">
        <x:v>Exact agreement</x:v>
      </x:c>
      <x:c r="I96" s="20" t="str">
        <x:v>https://doclib.ngxgroup.com/Financial_NewsDocs/37990_UNITED_BANK_FOR_AFRICA_PLC-_QUARTER_5_-_FINANCIAL_STATEMENT_FOR_2022_FINANCIAL_STATEMENTS_MARCH_2023.pdf</x:v>
      </x:c>
      <x:c r="J96" s="20" t="str">
        <x:v>Prior source-selection policy retained; original evidence preserved in accompanying pack.</x:v>
      </x:c>
    </x:row>
    <x:row r="97" ht="52" customHeight="1">
      <x:c r="A97" s="18" t="str">
        <x:v>Uploaded CSV</x:v>
      </x:c>
      <x:c r="B97" s="18" t="str">
        <x:v>UBA</x:v>
      </x:c>
      <x:c r="C97" s="18" t="n">
        <x:v>2022</x:v>
      </x:c>
      <x:c r="D97" s="20" t="str">
        <x:v>gross_earnings</x:v>
      </x:c>
      <x:c r="E97" s="22" t="n">
        <x:v>564555</x:v>
      </x:c>
      <x:c r="F97" s="22"/>
      <x:c r="G97" s="22" t="str">
        <x:f>IF(COUNT(E97,F97)=2,F97-E97,"")</x:f>
      </x:c>
      <x:c r="H97" s="20" t="str">
        <x:v>Candidate retained outside selected field</x:v>
      </x:c>
      <x:c r="I97" s="20" t="str">
        <x:v>https://doclib.ngxgroup.com/Financial_NewsDocs/37990_UNITED_BANK_FOR_AFRICA_PLC-_QUARTER_5_-_FINANCIAL_STATEMENT_FOR_2022_FINANCIAL_STATEMENTS_MARCH_2023.pdf</x:v>
      </x:c>
      <x:c r="J97" s="20" t="str">
        <x:v>Prior source-selection policy retained; original evidence preserved in accompanying pack.</x:v>
      </x:c>
    </x:row>
    <x:row r="98" ht="52" customHeight="1">
      <x:c r="A98" s="18" t="str">
        <x:v>Uploaded CSV</x:v>
      </x:c>
      <x:c r="B98" s="18" t="str">
        <x:v>UBA</x:v>
      </x:c>
      <x:c r="C98" s="18" t="n">
        <x:v>2022</x:v>
      </x:c>
      <x:c r="D98" s="20" t="str">
        <x:v>assets</x:v>
      </x:c>
      <x:c r="E98" s="22" t="n">
        <x:v>7361044</x:v>
      </x:c>
      <x:c r="F98" s="22" t="n">
        <x:v>7361044</x:v>
      </x:c>
      <x:c r="G98" s="22" t="n">
        <x:f>IF(COUNT(E98,F98)=2,F98-E98,"")</x:f>
        <x:v>0</x:v>
      </x:c>
      <x:c r="H98" s="20" t="str">
        <x:v>Exact agreement</x:v>
      </x:c>
      <x:c r="I98" s="20" t="str">
        <x:v>https://doclib.ngxgroup.com/Financial_NewsDocs/37990_UNITED_BANK_FOR_AFRICA_PLC-_QUARTER_5_-_FINANCIAL_STATEMENT_FOR_2022_FINANCIAL_STATEMENTS_MARCH_2023.pdf</x:v>
      </x:c>
      <x:c r="J98" s="20" t="str">
        <x:v>Prior source-selection policy retained; original evidence preserved in accompanying pack.</x:v>
      </x:c>
    </x:row>
    <x:row r="99" ht="52" customHeight="1">
      <x:c r="A99" s="18" t="str">
        <x:v>Uploaded CSV</x:v>
      </x:c>
      <x:c r="B99" s="18" t="str">
        <x:v>UBA</x:v>
      </x:c>
      <x:c r="C99" s="18" t="n">
        <x:v>2022</x:v>
      </x:c>
      <x:c r="D99" s="20" t="str">
        <x:v>gross_loans</x:v>
      </x:c>
      <x:c r="E99" s="22" t="n">
        <x:v>2174779</x:v>
      </x:c>
      <x:c r="F99" s="22" t="n">
        <x:v>2174779</x:v>
      </x:c>
      <x:c r="G99" s="22" t="n">
        <x:f>IF(COUNT(E99,F99)=2,F99-E99,"")</x:f>
        <x:v>0</x:v>
      </x:c>
      <x:c r="H99" s="20" t="str">
        <x:v>Exact agreement</x:v>
      </x:c>
      <x:c r="I99" s="20" t="str">
        <x:v>https://doclib.ngxgroup.com/Financial_NewsDocs/37990_UNITED_BANK_FOR_AFRICA_PLC-_QUARTER_5_-_FINANCIAL_STATEMENT_FOR_2022_FINANCIAL_STATEMENTS_MARCH_2023.pdf</x:v>
      </x:c>
      <x:c r="J99" s="20" t="str">
        <x:v>Prior source-selection policy retained; original evidence preserved in accompanying pack.</x:v>
      </x:c>
    </x:row>
    <x:row r="100" ht="52" customHeight="1">
      <x:c r="A100" s="18" t="str">
        <x:v>Uploaded CSV</x:v>
      </x:c>
      <x:c r="B100" s="18" t="str">
        <x:v>UBA</x:v>
      </x:c>
      <x:c r="C100" s="18" t="n">
        <x:v>2022</x:v>
      </x:c>
      <x:c r="D100" s="20" t="str">
        <x:v>loan_allowance</x:v>
      </x:c>
      <x:c r="E100" s="22" t="n">
        <x:v>51682</x:v>
      </x:c>
      <x:c r="F100" s="22" t="n">
        <x:v>51682</x:v>
      </x:c>
      <x:c r="G100" s="22" t="n">
        <x:f>IF(COUNT(E100,F100)=2,F100-E100,"")</x:f>
        <x:v>0</x:v>
      </x:c>
      <x:c r="H100" s="20" t="str">
        <x:v>Exact agreement</x:v>
      </x:c>
      <x:c r="I100" s="20" t="str">
        <x:v>https://doclib.ngxgroup.com/Financial_NewsDocs/37990_UNITED_BANK_FOR_AFRICA_PLC-_QUARTER_5_-_FINANCIAL_STATEMENT_FOR_2022_FINANCIAL_STATEMENTS_MARCH_2023.pdf</x:v>
      </x:c>
      <x:c r="J100" s="20" t="str">
        <x:v>Prior source-selection policy retained; original evidence preserved in accompanying pack.</x:v>
      </x:c>
    </x:row>
    <x:row r="101" ht="52" customHeight="1">
      <x:c r="A101" s="18" t="str">
        <x:v>Uploaded CSV</x:v>
      </x:c>
      <x:c r="B101" s="18" t="str">
        <x:v>UBA</x:v>
      </x:c>
      <x:c r="C101" s="18" t="n">
        <x:v>2022</x:v>
      </x:c>
      <x:c r="D101" s="20" t="str">
        <x:v>total_impairment</x:v>
      </x:c>
      <x:c r="E101" s="22" t="n">
        <x:v>10565</x:v>
      </x:c>
      <x:c r="F101" s="22" t="n">
        <x:v>10565</x:v>
      </x:c>
      <x:c r="G101" s="22" t="n">
        <x:f>IF(COUNT(E101,F101)=2,F101-E101,"")</x:f>
        <x:v>0</x:v>
      </x:c>
      <x:c r="H101" s="20" t="str">
        <x:v>Exact agreement</x:v>
      </x:c>
      <x:c r="I101" s="20" t="str">
        <x:v>https://doclib.ngxgroup.com/Financial_NewsDocs/37990_UNITED_BANK_FOR_AFRICA_PLC-_QUARTER_5_-_FINANCIAL_STATEMENT_FOR_2022_FINANCIAL_STATEMENTS_MARCH_2023.pdf</x:v>
      </x:c>
      <x:c r="J101" s="20" t="str">
        <x:v>Prior source-selection policy retained; original evidence preserved in accompanying pack.</x:v>
      </x:c>
    </x:row>
    <x:row r="102" ht="52" customHeight="1">
      <x:c r="A102" s="18" t="str">
        <x:v>Uploaded CSV</x:v>
      </x:c>
      <x:c r="B102" s="18" t="str">
        <x:v>UBA</x:v>
      </x:c>
      <x:c r="C102" s="18" t="n">
        <x:v>2022</x:v>
      </x:c>
      <x:c r="D102" s="20" t="str">
        <x:v>car</x:v>
      </x:c>
      <x:c r="E102" s="22" t="n">
        <x:v>21.9</x:v>
      </x:c>
      <x:c r="F102" s="22" t="n">
        <x:v>21.9</x:v>
      </x:c>
      <x:c r="G102" s="22" t="n">
        <x:f>IF(COUNT(E102,F102)=2,F102-E102,"")</x:f>
        <x:v>0</x:v>
      </x:c>
      <x:c r="H102" s="20" t="str">
        <x:v>Exact agreement</x:v>
      </x:c>
      <x:c r="I102" s="20" t="str">
        <x:v>https://doclib.ngxgroup.com/Financial_NewsDocs/37990_UNITED_BANK_FOR_AFRICA_PLC-_QUARTER_5_-_FINANCIAL_STATEMENT_FOR_2022_FINANCIAL_STATEMENTS_MARCH_2023.pdf</x:v>
      </x:c>
      <x:c r="J102" s="20" t="str">
        <x:v>Prior source-selection policy retained; original evidence preserved in accompanying pack.</x:v>
      </x:c>
    </x:row>
    <x:row r="103" ht="52" customHeight="1">
      <x:c r="A103" s="18" t="str">
        <x:v>Uploaded CSV</x:v>
      </x:c>
      <x:c r="B103" s="18" t="str">
        <x:v>UBA</x:v>
      </x:c>
      <x:c r="C103" s="18" t="n">
        <x:v>2022</x:v>
      </x:c>
      <x:c r="D103" s="20" t="str">
        <x:v>npl_reported</x:v>
      </x:c>
      <x:c r="E103" s="22" t="n">
        <x:v>3.1</x:v>
      </x:c>
      <x:c r="F103" s="22"/>
      <x:c r="G103" s="22" t="str">
        <x:f>IF(COUNT(E103,F103)=2,F103-E103,"")</x:f>
      </x:c>
      <x:c r="H103" s="20" t="str">
        <x:v>Candidate retained outside selected field</x:v>
      </x:c>
      <x:c r="I103" s="20" t="str">
        <x:v>https://doclib.ngxgroup.com/Financial_NewsDocs/37990_UNITED_BANK_FOR_AFRICA_PLC-_QUARTER_5_-_FINANCIAL_STATEMENT_FOR_2022_FINANCIAL_STATEMENTS_MARCH_2023.pdf</x:v>
      </x:c>
      <x:c r="J103" s="20" t="str">
        <x:v>Prior source-selection policy retained; original evidence preserved in accompanying pack.</x:v>
      </x:c>
    </x:row>
    <x:row r="104" ht="52" customHeight="1">
      <x:c r="A104" s="18" t="str">
        <x:v>Uploaded CSV</x:v>
      </x:c>
      <x:c r="B104" s="18" t="str">
        <x:v>UBA</x:v>
      </x:c>
      <x:c r="C104" s="18" t="n">
        <x:v>2022</x:v>
      </x:c>
      <x:c r="D104" s="20" t="str">
        <x:v>gcu</x:v>
      </x:c>
      <x:c r="E104" s="22" t="n">
        <x:v>0</x:v>
      </x:c>
      <x:c r="F104" s="22"/>
      <x:c r="G104" s="22" t="str">
        <x:f>IF(COUNT(E104,F104)=2,F104-E104,"")</x:f>
      </x:c>
      <x:c r="H104" s="20" t="str">
        <x:v>Candidate retained outside selected field</x:v>
      </x:c>
      <x:c r="I104" s="20" t="str">
        <x:v>https://doclib.ngxgroup.com/Financial_NewsDocs/37990_UNITED_BANK_FOR_AFRICA_PLC-_QUARTER_5_-_FINANCIAL_STATEMENT_FOR_2022_FINANCIAL_STATEMENTS_MARCH_2023.pdf</x:v>
      </x:c>
      <x:c r="J104" s="20" t="str">
        <x:v>Prior source-selection policy retained; original evidence preserved in accompanying pack.</x:v>
      </x:c>
    </x:row>
    <x:row r="105" ht="52" customHeight="1">
      <x:c r="A105" s="18" t="str">
        <x:v>Uploaded CSV</x:v>
      </x:c>
      <x:c r="B105" s="18" t="str">
        <x:v>Fidelity</x:v>
      </x:c>
      <x:c r="C105" s="18" t="n">
        <x:v>2018</x:v>
      </x:c>
      <x:c r="D105" s="20" t="str">
        <x:v>pat</x:v>
      </x:c>
      <x:c r="E105" s="22" t="n">
        <x:v>22926</x:v>
      </x:c>
      <x:c r="F105" s="22" t="n">
        <x:v>22926</x:v>
      </x:c>
      <x:c r="G105" s="22" t="n">
        <x:f>IF(COUNT(E105,F105)=2,F105-E105,"")</x:f>
        <x:v>0</x:v>
      </x:c>
      <x:c r="H105" s="20" t="str">
        <x:v>Exact agreement</x:v>
      </x:c>
      <x:c r="I105" s="20" t="str">
        <x:v>https://www.fidelitybank.ng/documents/2019%20Annual%20report%20Final%20Web%20Version.pdf</x:v>
      </x:c>
      <x:c r="J105" s="20" t="str">
        <x:v>Prior source-selection policy retained; original evidence preserved in accompanying pack.</x:v>
      </x:c>
    </x:row>
    <x:row r="106" ht="52" customHeight="1">
      <x:c r="A106" s="18" t="str">
        <x:v>Uploaded CSV</x:v>
      </x:c>
      <x:c r="B106" s="18" t="str">
        <x:v>Fidelity</x:v>
      </x:c>
      <x:c r="C106" s="18" t="n">
        <x:v>2018</x:v>
      </x:c>
      <x:c r="D106" s="20" t="str">
        <x:v>gross_earnings</x:v>
      </x:c>
      <x:c r="E106" s="22" t="n">
        <x:v>188873</x:v>
      </x:c>
      <x:c r="F106" s="22"/>
      <x:c r="G106" s="22" t="str">
        <x:f>IF(COUNT(E106,F106)=2,F106-E106,"")</x:f>
      </x:c>
      <x:c r="H106" s="20" t="str">
        <x:v>Candidate retained outside selected field</x:v>
      </x:c>
      <x:c r="I106" s="20" t="str">
        <x:v>https://www.fidelitybank.ng/documents/2019%20Annual%20report%20Final%20Web%20Version.pdf</x:v>
      </x:c>
      <x:c r="J106" s="20" t="str">
        <x:v>Prior source-selection policy retained; original evidence preserved in accompanying pack.</x:v>
      </x:c>
    </x:row>
    <x:row r="107" ht="52" customHeight="1">
      <x:c r="A107" s="18" t="str">
        <x:v>Uploaded CSV</x:v>
      </x:c>
      <x:c r="B107" s="18" t="str">
        <x:v>Fidelity</x:v>
      </x:c>
      <x:c r="C107" s="18" t="n">
        <x:v>2018</x:v>
      </x:c>
      <x:c r="D107" s="20" t="str">
        <x:v>assets</x:v>
      </x:c>
      <x:c r="E107" s="22" t="n">
        <x:v>1719883</x:v>
      </x:c>
      <x:c r="F107" s="22" t="n">
        <x:v>1719883</x:v>
      </x:c>
      <x:c r="G107" s="22" t="n">
        <x:f>IF(COUNT(E107,F107)=2,F107-E107,"")</x:f>
        <x:v>0</x:v>
      </x:c>
      <x:c r="H107" s="20" t="str">
        <x:v>Exact agreement</x:v>
      </x:c>
      <x:c r="I107" s="20" t="str">
        <x:v>https://www.fidelitybank.ng/documents/2019%20Annual%20report%20Final%20Web%20Version.pdf</x:v>
      </x:c>
      <x:c r="J107" s="20" t="str">
        <x:v>Prior source-selection policy retained; original evidence preserved in accompanying pack.</x:v>
      </x:c>
    </x:row>
    <x:row r="108" ht="52" customHeight="1">
      <x:c r="A108" s="18" t="str">
        <x:v>Uploaded CSV</x:v>
      </x:c>
      <x:c r="B108" s="18" t="str">
        <x:v>Fidelity</x:v>
      </x:c>
      <x:c r="C108" s="18" t="n">
        <x:v>2018</x:v>
      </x:c>
      <x:c r="D108" s="20" t="str">
        <x:v>gross_loans</x:v>
      </x:c>
      <x:c r="E108" s="22" t="n">
        <x:v>906623</x:v>
      </x:c>
      <x:c r="F108" s="22"/>
      <x:c r="G108" s="22" t="str">
        <x:f>IF(COUNT(E108,F108)=2,F108-E108,"")</x:f>
      </x:c>
      <x:c r="H108" s="20" t="str">
        <x:v>Candidate retained outside selected field</x:v>
      </x:c>
      <x:c r="I108" s="20" t="str">
        <x:v>https://www.fidelitybank.ng/documents/2019%20Annual%20report%20Final%20Web%20Version.pdf</x:v>
      </x:c>
      <x:c r="J108" s="20" t="str">
        <x:v>Prior source-selection policy retained; original evidence preserved in accompanying pack.</x:v>
      </x:c>
    </x:row>
    <x:row r="109" ht="52" customHeight="1">
      <x:c r="A109" s="18" t="str">
        <x:v>Uploaded CSV</x:v>
      </x:c>
      <x:c r="B109" s="18" t="str">
        <x:v>Fidelity</x:v>
      </x:c>
      <x:c r="C109" s="18" t="n">
        <x:v>2018</x:v>
      </x:c>
      <x:c r="D109" s="20" t="str">
        <x:v>loan_allowance</x:v>
      </x:c>
      <x:c r="E109" s="22" t="n">
        <x:v>56743</x:v>
      </x:c>
      <x:c r="F109" s="22"/>
      <x:c r="G109" s="22" t="str">
        <x:f>IF(COUNT(E109,F109)=2,F109-E109,"")</x:f>
      </x:c>
      <x:c r="H109" s="20" t="str">
        <x:v>Candidate retained outside selected field</x:v>
      </x:c>
      <x:c r="I109" s="20" t="str">
        <x:v>https://www.fidelitybank.ng/documents/2019%20Annual%20report%20Final%20Web%20Version.pdf</x:v>
      </x:c>
      <x:c r="J109" s="20" t="str">
        <x:v>Prior source-selection policy retained; original evidence preserved in accompanying pack.</x:v>
      </x:c>
    </x:row>
    <x:row r="110" ht="52" customHeight="1">
      <x:c r="A110" s="18" t="str">
        <x:v>Uploaded CSV</x:v>
      </x:c>
      <x:c r="B110" s="18" t="str">
        <x:v>Fidelity</x:v>
      </x:c>
      <x:c r="C110" s="18" t="n">
        <x:v>2018</x:v>
      </x:c>
      <x:c r="D110" s="20" t="str">
        <x:v>total_impairment</x:v>
      </x:c>
      <x:c r="E110" s="22" t="n">
        <x:v>4215</x:v>
      </x:c>
      <x:c r="F110" s="22" t="n">
        <x:v>4215</x:v>
      </x:c>
      <x:c r="G110" s="22" t="n">
        <x:f>IF(COUNT(E110,F110)=2,F110-E110,"")</x:f>
        <x:v>0</x:v>
      </x:c>
      <x:c r="H110" s="20" t="str">
        <x:v>Exact agreement</x:v>
      </x:c>
      <x:c r="I110" s="20" t="str">
        <x:v>https://www.fidelitybank.ng/documents/2019%20Annual%20report%20Final%20Web%20Version.pdf</x:v>
      </x:c>
      <x:c r="J110" s="20" t="str">
        <x:v>Prior source-selection policy retained; original evidence preserved in accompanying pack.</x:v>
      </x:c>
    </x:row>
    <x:row r="111" ht="52" customHeight="1">
      <x:c r="A111" s="18" t="str">
        <x:v>Uploaded CSV</x:v>
      </x:c>
      <x:c r="B111" s="18" t="str">
        <x:v>Fidelity</x:v>
      </x:c>
      <x:c r="C111" s="18" t="n">
        <x:v>2018</x:v>
      </x:c>
      <x:c r="D111" s="20" t="str">
        <x:v>car</x:v>
      </x:c>
      <x:c r="E111" s="22" t="n">
        <x:v>16.7</x:v>
      </x:c>
      <x:c r="F111" s="22"/>
      <x:c r="G111" s="22" t="str">
        <x:f>IF(COUNT(E111,F111)=2,F111-E111,"")</x:f>
      </x:c>
      <x:c r="H111" s="20" t="str">
        <x:v>Candidate retained outside selected field</x:v>
      </x:c>
      <x:c r="I111" s="20" t="str">
        <x:v>https://www.fidelitybank.ng/documents/2019%20Annual%20report%20Final%20Web%20Version.pdf</x:v>
      </x:c>
      <x:c r="J111" s="20" t="str">
        <x:v>Prior source-selection policy retained; original evidence preserved in accompanying pack.</x:v>
      </x:c>
    </x:row>
    <x:row r="112" ht="52" customHeight="1">
      <x:c r="A112" s="18" t="str">
        <x:v>Uploaded CSV</x:v>
      </x:c>
      <x:c r="B112" s="18" t="str">
        <x:v>Fidelity</x:v>
      </x:c>
      <x:c r="C112" s="18" t="n">
        <x:v>2018</x:v>
      </x:c>
      <x:c r="D112" s="20" t="str">
        <x:v>npl_reported</x:v>
      </x:c>
      <x:c r="E112" s="22" t="n">
        <x:v>5.7</x:v>
      </x:c>
      <x:c r="F112" s="22"/>
      <x:c r="G112" s="22" t="str">
        <x:f>IF(COUNT(E112,F112)=2,F112-E112,"")</x:f>
      </x:c>
      <x:c r="H112" s="20" t="str">
        <x:v>Candidate retained outside selected field</x:v>
      </x:c>
      <x:c r="I112" s="20" t="str">
        <x:v>https://www.fidelitybank.ng/documents/2019%20Annual%20report%20Final%20Web%20Version.pdf</x:v>
      </x:c>
      <x:c r="J112" s="20" t="str">
        <x:v>Prior source-selection policy retained; original evidence preserved in accompanying pack.</x:v>
      </x:c>
    </x:row>
    <x:row r="113" ht="52" customHeight="1">
      <x:c r="A113" s="18" t="str">
        <x:v>Uploaded CSV</x:v>
      </x:c>
      <x:c r="B113" s="18" t="str">
        <x:v>Fidelity</x:v>
      </x:c>
      <x:c r="C113" s="18" t="n">
        <x:v>2018</x:v>
      </x:c>
      <x:c r="D113" s="20" t="str">
        <x:v>gcu</x:v>
      </x:c>
      <x:c r="E113" s="22" t="n">
        <x:v>0</x:v>
      </x:c>
      <x:c r="F113" s="22"/>
      <x:c r="G113" s="22" t="str">
        <x:f>IF(COUNT(E113,F113)=2,F113-E113,"")</x:f>
      </x:c>
      <x:c r="H113" s="20" t="str">
        <x:v>Candidate retained outside selected field</x:v>
      </x:c>
      <x:c r="I113" s="20" t="str">
        <x:v>https://www.fidelitybank.ng/documents/2019%20Annual%20report%20Final%20Web%20Version.pdf</x:v>
      </x:c>
      <x:c r="J113" s="20" t="str">
        <x:v>Prior source-selection policy retained; original evidence preserved in accompanying pack.</x:v>
      </x:c>
    </x:row>
    <x:row r="114" ht="52" customHeight="1">
      <x:c r="A114" s="18" t="str">
        <x:v>Uploaded CSV</x:v>
      </x:c>
      <x:c r="B114" s="18" t="str">
        <x:v>Fidelity</x:v>
      </x:c>
      <x:c r="C114" s="18" t="n">
        <x:v>2019</x:v>
      </x:c>
      <x:c r="D114" s="20" t="str">
        <x:v>pat</x:v>
      </x:c>
      <x:c r="E114" s="22" t="n">
        <x:v>28425</x:v>
      </x:c>
      <x:c r="F114" s="22" t="n">
        <x:v>28425</x:v>
      </x:c>
      <x:c r="G114" s="22" t="n">
        <x:f>IF(COUNT(E114,F114)=2,F114-E114,"")</x:f>
        <x:v>0</x:v>
      </x:c>
      <x:c r="H114" s="20" t="str">
        <x:v>Exact agreement</x:v>
      </x:c>
      <x:c r="I114" s="20" t="str">
        <x:v>https://www.fidelitybank.ng/documents/2019%20Annual%20report%20Final%20Web%20Version.pdf</x:v>
      </x:c>
      <x:c r="J114" s="20" t="str">
        <x:v>Prior source-selection policy retained; original evidence preserved in accompanying pack.</x:v>
      </x:c>
    </x:row>
    <x:row r="115" ht="52" customHeight="1">
      <x:c r="A115" s="18" t="str">
        <x:v>Uploaded CSV</x:v>
      </x:c>
      <x:c r="B115" s="18" t="str">
        <x:v>Fidelity</x:v>
      </x:c>
      <x:c r="C115" s="18" t="n">
        <x:v>2019</x:v>
      </x:c>
      <x:c r="D115" s="20" t="str">
        <x:v>gross_earnings</x:v>
      </x:c>
      <x:c r="E115" s="22" t="n">
        <x:v>218011</x:v>
      </x:c>
      <x:c r="F115" s="22"/>
      <x:c r="G115" s="22" t="str">
        <x:f>IF(COUNT(E115,F115)=2,F115-E115,"")</x:f>
      </x:c>
      <x:c r="H115" s="20" t="str">
        <x:v>Candidate retained outside selected field</x:v>
      </x:c>
      <x:c r="I115" s="20" t="str">
        <x:v>https://www.fidelitybank.ng/documents/2019%20Annual%20report%20Final%20Web%20Version.pdf</x:v>
      </x:c>
      <x:c r="J115" s="20" t="str">
        <x:v>Prior source-selection policy retained; original evidence preserved in accompanying pack.</x:v>
      </x:c>
    </x:row>
    <x:row r="116" ht="52" customHeight="1">
      <x:c r="A116" s="18" t="str">
        <x:v>Uploaded CSV</x:v>
      </x:c>
      <x:c r="B116" s="18" t="str">
        <x:v>Fidelity</x:v>
      </x:c>
      <x:c r="C116" s="18" t="n">
        <x:v>2019</x:v>
      </x:c>
      <x:c r="D116" s="20" t="str">
        <x:v>assets</x:v>
      </x:c>
      <x:c r="E116" s="22" t="n">
        <x:v>2114037</x:v>
      </x:c>
      <x:c r="F116" s="22" t="n">
        <x:v>2114037</x:v>
      </x:c>
      <x:c r="G116" s="22" t="n">
        <x:f>IF(COUNT(E116,F116)=2,F116-E116,"")</x:f>
        <x:v>0</x:v>
      </x:c>
      <x:c r="H116" s="20" t="str">
        <x:v>Exact agreement</x:v>
      </x:c>
      <x:c r="I116" s="20" t="str">
        <x:v>https://www.fidelitybank.ng/documents/2019%20Annual%20report%20Final%20Web%20Version.pdf</x:v>
      </x:c>
      <x:c r="J116" s="20" t="str">
        <x:v>Prior source-selection policy retained; original evidence preserved in accompanying pack.</x:v>
      </x:c>
    </x:row>
    <x:row r="117" ht="52" customHeight="1">
      <x:c r="A117" s="18" t="str">
        <x:v>Uploaded CSV</x:v>
      </x:c>
      <x:c r="B117" s="18" t="str">
        <x:v>Fidelity</x:v>
      </x:c>
      <x:c r="C117" s="18" t="n">
        <x:v>2019</x:v>
      </x:c>
      <x:c r="D117" s="20" t="str">
        <x:v>gross_loans</x:v>
      </x:c>
      <x:c r="E117" s="22" t="n">
        <x:v>1178389</x:v>
      </x:c>
      <x:c r="F117" s="22"/>
      <x:c r="G117" s="22" t="str">
        <x:f>IF(COUNT(E117,F117)=2,F117-E117,"")</x:f>
      </x:c>
      <x:c r="H117" s="20" t="str">
        <x:v>Candidate retained outside selected field</x:v>
      </x:c>
      <x:c r="I117" s="20" t="str">
        <x:v>https://www.fidelitybank.ng/documents/2019%20Annual%20report%20Final%20Web%20Version.pdf</x:v>
      </x:c>
      <x:c r="J117" s="20" t="str">
        <x:v>Prior source-selection policy retained; original evidence preserved in accompanying pack.</x:v>
      </x:c>
    </x:row>
    <x:row r="118" ht="52" customHeight="1">
      <x:c r="A118" s="18" t="str">
        <x:v>Uploaded CSV</x:v>
      </x:c>
      <x:c r="B118" s="18" t="str">
        <x:v>Fidelity</x:v>
      </x:c>
      <x:c r="C118" s="18" t="n">
        <x:v>2019</x:v>
      </x:c>
      <x:c r="D118" s="20" t="str">
        <x:v>loan_allowance</x:v>
      </x:c>
      <x:c r="E118" s="22" t="n">
        <x:v>51415</x:v>
      </x:c>
      <x:c r="F118" s="22"/>
      <x:c r="G118" s="22" t="str">
        <x:f>IF(COUNT(E118,F118)=2,F118-E118,"")</x:f>
      </x:c>
      <x:c r="H118" s="20" t="str">
        <x:v>Candidate retained outside selected field</x:v>
      </x:c>
      <x:c r="I118" s="20" t="str">
        <x:v>https://www.fidelitybank.ng/documents/2019%20Annual%20report%20Final%20Web%20Version.pdf</x:v>
      </x:c>
      <x:c r="J118" s="20" t="str">
        <x:v>Prior source-selection policy retained; original evidence preserved in accompanying pack.</x:v>
      </x:c>
    </x:row>
    <x:row r="119" ht="52" customHeight="1">
      <x:c r="A119" s="18" t="str">
        <x:v>Uploaded CSV</x:v>
      </x:c>
      <x:c r="B119" s="18" t="str">
        <x:v>Fidelity</x:v>
      </x:c>
      <x:c r="C119" s="18" t="n">
        <x:v>2019</x:v>
      </x:c>
      <x:c r="D119" s="20" t="str">
        <x:v>total_impairment</x:v>
      </x:c>
      <x:c r="E119" s="22" t="n">
        <x:v>-5292</x:v>
      </x:c>
      <x:c r="F119" s="22" t="n">
        <x:v>-5292</x:v>
      </x:c>
      <x:c r="G119" s="22" t="n">
        <x:f>IF(COUNT(E119,F119)=2,F119-E119,"")</x:f>
        <x:v>0</x:v>
      </x:c>
      <x:c r="H119" s="20" t="str">
        <x:v>Exact agreement</x:v>
      </x:c>
      <x:c r="I119" s="20" t="str">
        <x:v>https://www.fidelitybank.ng/documents/2019%20Annual%20report%20Final%20Web%20Version.pdf</x:v>
      </x:c>
      <x:c r="J119" s="20" t="str">
        <x:v>Prior source-selection policy retained; original evidence preserved in accompanying pack.</x:v>
      </x:c>
    </x:row>
    <x:row r="120" ht="52" customHeight="1">
      <x:c r="A120" s="18" t="str">
        <x:v>Uploaded CSV</x:v>
      </x:c>
      <x:c r="B120" s="18" t="str">
        <x:v>Fidelity</x:v>
      </x:c>
      <x:c r="C120" s="18" t="n">
        <x:v>2019</x:v>
      </x:c>
      <x:c r="D120" s="20" t="str">
        <x:v>car</x:v>
      </x:c>
      <x:c r="E120" s="22" t="n">
        <x:v>18.3</x:v>
      </x:c>
      <x:c r="F120" s="22"/>
      <x:c r="G120" s="22" t="str">
        <x:f>IF(COUNT(E120,F120)=2,F120-E120,"")</x:f>
      </x:c>
      <x:c r="H120" s="20" t="str">
        <x:v>Candidate retained outside selected field</x:v>
      </x:c>
      <x:c r="I120" s="20" t="str">
        <x:v>https://www.fidelitybank.ng/documents/2019%20Annual%20report%20Final%20Web%20Version.pdf</x:v>
      </x:c>
      <x:c r="J120" s="20" t="str">
        <x:v>Prior source-selection policy retained; original evidence preserved in accompanying pack.</x:v>
      </x:c>
    </x:row>
    <x:row r="121" ht="52" customHeight="1">
      <x:c r="A121" s="18" t="str">
        <x:v>Uploaded CSV</x:v>
      </x:c>
      <x:c r="B121" s="18" t="str">
        <x:v>Fidelity</x:v>
      </x:c>
      <x:c r="C121" s="18" t="n">
        <x:v>2019</x:v>
      </x:c>
      <x:c r="D121" s="20" t="str">
        <x:v>npl_reported</x:v>
      </x:c>
      <x:c r="E121" s="22" t="n">
        <x:v>3.3</x:v>
      </x:c>
      <x:c r="F121" s="22"/>
      <x:c r="G121" s="22" t="str">
        <x:f>IF(COUNT(E121,F121)=2,F121-E121,"")</x:f>
      </x:c>
      <x:c r="H121" s="20" t="str">
        <x:v>Candidate retained outside selected field</x:v>
      </x:c>
      <x:c r="I121" s="20" t="str">
        <x:v>https://www.fidelitybank.ng/documents/2019%20Annual%20report%20Final%20Web%20Version.pdf</x:v>
      </x:c>
      <x:c r="J121" s="20" t="str">
        <x:v>Prior source-selection policy retained; original evidence preserved in accompanying pack.</x:v>
      </x:c>
    </x:row>
    <x:row r="122" ht="52" customHeight="1">
      <x:c r="A122" s="18" t="str">
        <x:v>Uploaded CSV</x:v>
      </x:c>
      <x:c r="B122" s="18" t="str">
        <x:v>Fidelity</x:v>
      </x:c>
      <x:c r="C122" s="18" t="n">
        <x:v>2019</x:v>
      </x:c>
      <x:c r="D122" s="20" t="str">
        <x:v>gcu</x:v>
      </x:c>
      <x:c r="E122" s="22" t="n">
        <x:v>0</x:v>
      </x:c>
      <x:c r="F122" s="22"/>
      <x:c r="G122" s="22" t="str">
        <x:f>IF(COUNT(E122,F122)=2,F122-E122,"")</x:f>
      </x:c>
      <x:c r="H122" s="20" t="str">
        <x:v>Candidate retained outside selected field</x:v>
      </x:c>
      <x:c r="I122" s="20" t="str">
        <x:v>https://www.fidelitybank.ng/documents/2019%20Annual%20report%20Final%20Web%20Version.pdf</x:v>
      </x:c>
      <x:c r="J122" s="20" t="str">
        <x:v>Prior source-selection policy retained; original evidence preserved in accompanying pack.</x:v>
      </x:c>
    </x:row>
    <x:row r="123" ht="52" customHeight="1">
      <x:c r="A123" s="18" t="str">
        <x:v>Uploaded CSV</x:v>
      </x:c>
      <x:c r="B123" s="18" t="str">
        <x:v>Sterling</x:v>
      </x:c>
      <x:c r="C123" s="18" t="n">
        <x:v>2018</x:v>
      </x:c>
      <x:c r="D123" s="20" t="str">
        <x:v>pat</x:v>
      </x:c>
      <x:c r="E123" s="22" t="n">
        <x:v>9218</x:v>
      </x:c>
      <x:c r="F123" s="22" t="n">
        <x:v>9468</x:v>
      </x:c>
      <x:c r="G123" s="22" t="n">
        <x:f>IF(COUNT(E123,F123)=2,F123-E123,"")</x:f>
        <x:v>250</x:v>
      </x:c>
      <x:c r="H123" s="20" t="str">
        <x:v>Difference: retain selected source / definition</x:v>
      </x:c>
      <x:c r="I123" s="20" t="str">
        <x:v>https://sterling.ng/wp-content/uploads/2020/03/FY-%E2%80%93-2019-Audited-Financials.pdf</x:v>
      </x:c>
      <x:c r="J123" s="20" t="str">
        <x:v>Prior source-selection policy retained; original evidence preserved in accompanying pack.</x:v>
      </x:c>
    </x:row>
    <x:row r="124" ht="52" customHeight="1">
      <x:c r="A124" s="18" t="str">
        <x:v>Uploaded CSV</x:v>
      </x:c>
      <x:c r="B124" s="18" t="str">
        <x:v>Sterling</x:v>
      </x:c>
      <x:c r="C124" s="18" t="n">
        <x:v>2018</x:v>
      </x:c>
      <x:c r="D124" s="20" t="str">
        <x:v>gross_earnings</x:v>
      </x:c>
      <x:c r="E124" s="22" t="n">
        <x:v>152164</x:v>
      </x:c>
      <x:c r="F124" s="22"/>
      <x:c r="G124" s="22" t="str">
        <x:f>IF(COUNT(E124,F124)=2,F124-E124,"")</x:f>
      </x:c>
      <x:c r="H124" s="20" t="str">
        <x:v>Candidate retained outside selected field</x:v>
      </x:c>
      <x:c r="I124" s="20" t="str">
        <x:v>https://sterling.ng/wp-content/uploads/2020/03/FY-%E2%80%93-2019-Audited-Financials.pdf</x:v>
      </x:c>
      <x:c r="J124" s="20" t="str">
        <x:v>Prior source-selection policy retained; original evidence preserved in accompanying pack.</x:v>
      </x:c>
    </x:row>
    <x:row r="125" ht="52" customHeight="1">
      <x:c r="A125" s="18" t="str">
        <x:v>Uploaded CSV</x:v>
      </x:c>
      <x:c r="B125" s="18" t="str">
        <x:v>Sterling</x:v>
      </x:c>
      <x:c r="C125" s="18" t="n">
        <x:v>2018</x:v>
      </x:c>
      <x:c r="D125" s="20" t="str">
        <x:v>assets</x:v>
      </x:c>
      <x:c r="E125" s="22" t="n">
        <x:v>1102921</x:v>
      </x:c>
      <x:c r="F125" s="22" t="n">
        <x:v>1085876</x:v>
      </x:c>
      <x:c r="G125" s="22" t="n">
        <x:f>IF(COUNT(E125,F125)=2,F125-E125,"")</x:f>
        <x:v>-17045</x:v>
      </x:c>
      <x:c r="H125" s="20" t="str">
        <x:v>Difference: retain selected source / definition</x:v>
      </x:c>
      <x:c r="I125" s="20" t="str">
        <x:v>https://sterling.ng/wp-content/uploads/2020/03/FY-%E2%80%93-2019-Audited-Financials.pdf</x:v>
      </x:c>
      <x:c r="J125" s="20" t="str">
        <x:v>Prior source-selection policy retained; original evidence preserved in accompanying pack.</x:v>
      </x:c>
    </x:row>
    <x:row r="126" ht="52" customHeight="1">
      <x:c r="A126" s="18" t="str">
        <x:v>Uploaded CSV</x:v>
      </x:c>
      <x:c r="B126" s="18" t="str">
        <x:v>Sterling</x:v>
      </x:c>
      <x:c r="C126" s="18" t="n">
        <x:v>2018</x:v>
      </x:c>
      <x:c r="D126" s="20" t="str">
        <x:v>gross_loans</x:v>
      </x:c>
      <x:c r="E126" s="22" t="n">
        <x:v>646734</x:v>
      </x:c>
      <x:c r="F126" s="22" t="n">
        <x:v>640678</x:v>
      </x:c>
      <x:c r="G126" s="22" t="n">
        <x:f>IF(COUNT(E126,F126)=2,F126-E126,"")</x:f>
        <x:v>-6056</x:v>
      </x:c>
      <x:c r="H126" s="20" t="str">
        <x:v>Difference: retain selected source / definition</x:v>
      </x:c>
      <x:c r="I126" s="20" t="str">
        <x:v>https://sterling.ng/wp-content/uploads/2020/03/FY-%E2%80%93-2019-Audited-Financials.pdf</x:v>
      </x:c>
      <x:c r="J126" s="20" t="str">
        <x:v>Prior source-selection policy retained; original evidence preserved in accompanying pack.</x:v>
      </x:c>
    </x:row>
    <x:row r="127" ht="52" customHeight="1">
      <x:c r="A127" s="18" t="str">
        <x:v>Uploaded CSV</x:v>
      </x:c>
      <x:c r="B127" s="18" t="str">
        <x:v>Sterling</x:v>
      </x:c>
      <x:c r="C127" s="18" t="n">
        <x:v>2018</x:v>
      </x:c>
      <x:c r="D127" s="20" t="str">
        <x:v>loan_allowance</x:v>
      </x:c>
      <x:c r="E127" s="22" t="n">
        <x:v>25717</x:v>
      </x:c>
      <x:c r="F127" s="22" t="n">
        <x:v>19661</x:v>
      </x:c>
      <x:c r="G127" s="22" t="n">
        <x:f>IF(COUNT(E127,F127)=2,F127-E127,"")</x:f>
        <x:v>-6056</x:v>
      </x:c>
      <x:c r="H127" s="20" t="str">
        <x:v>Difference: retain selected source / definition</x:v>
      </x:c>
      <x:c r="I127" s="20" t="str">
        <x:v>https://sterling.ng/wp-content/uploads/2020/03/FY-%E2%80%93-2019-Audited-Financials.pdf</x:v>
      </x:c>
      <x:c r="J127" s="20" t="str">
        <x:v>Prior source-selection policy retained; original evidence preserved in accompanying pack.</x:v>
      </x:c>
    </x:row>
    <x:row r="128" ht="52" customHeight="1">
      <x:c r="A128" s="18" t="str">
        <x:v>Uploaded CSV</x:v>
      </x:c>
      <x:c r="B128" s="18" t="str">
        <x:v>Sterling</x:v>
      </x:c>
      <x:c r="C128" s="18" t="n">
        <x:v>2018</x:v>
      </x:c>
      <x:c r="D128" s="20" t="str">
        <x:v>total_impairment</x:v>
      </x:c>
      <x:c r="E128" s="22" t="n">
        <x:v>-5843</x:v>
      </x:c>
      <x:c r="F128" s="22" t="n">
        <x:v>5832</x:v>
      </x:c>
      <x:c r="G128" s="22" t="n">
        <x:f>IF(COUNT(E128,F128)=2,F128-E128,"")</x:f>
        <x:v>11675</x:v>
      </x:c>
      <x:c r="H128" s="20" t="str">
        <x:v>Difference: retain selected source / definition</x:v>
      </x:c>
      <x:c r="I128" s="20" t="str">
        <x:v>https://sterling.ng/wp-content/uploads/2020/03/FY-%E2%80%93-2019-Audited-Financials.pdf</x:v>
      </x:c>
      <x:c r="J128" s="20" t="str">
        <x:v>Prior source-selection policy retained; original evidence preserved in accompanying pack.</x:v>
      </x:c>
    </x:row>
    <x:row r="129" ht="52" customHeight="1">
      <x:c r="A129" s="18" t="str">
        <x:v>Uploaded CSV</x:v>
      </x:c>
      <x:c r="B129" s="18" t="str">
        <x:v>Sterling</x:v>
      </x:c>
      <x:c r="C129" s="18" t="n">
        <x:v>2018</x:v>
      </x:c>
      <x:c r="D129" s="20" t="str">
        <x:v>car</x:v>
      </x:c>
      <x:c r="E129" s="22" t="n">
        <x:v>13.4</x:v>
      </x:c>
      <x:c r="F129" s="22" t="n">
        <x:v>12.86</x:v>
      </x:c>
      <x:c r="G129" s="22" t="n">
        <x:f>IF(COUNT(E129,F129)=2,F129-E129,"")</x:f>
        <x:v>-0.5400000000000009</x:v>
      </x:c>
      <x:c r="H129" s="20" t="str">
        <x:v>Difference: retain selected source / definition</x:v>
      </x:c>
      <x:c r="I129" s="20" t="str">
        <x:v>https://sterling.ng/wp-content/uploads/2020/03/FY-%E2%80%93-2019-Audited-Financials.pdf</x:v>
      </x:c>
      <x:c r="J129" s="20" t="str">
        <x:v>Prior source-selection policy retained; original evidence preserved in accompanying pack.</x:v>
      </x:c>
    </x:row>
    <x:row r="130" ht="52" customHeight="1">
      <x:c r="A130" s="18" t="str">
        <x:v>Uploaded CSV</x:v>
      </x:c>
      <x:c r="B130" s="18" t="str">
        <x:v>Sterling</x:v>
      </x:c>
      <x:c r="C130" s="18" t="n">
        <x:v>2018</x:v>
      </x:c>
      <x:c r="D130" s="20" t="str">
        <x:v>npl_reported</x:v>
      </x:c>
      <x:c r="E130" s="22" t="n">
        <x:v>8.7</x:v>
      </x:c>
      <x:c r="F130" s="22"/>
      <x:c r="G130" s="22" t="str">
        <x:f>IF(COUNT(E130,F130)=2,F130-E130,"")</x:f>
      </x:c>
      <x:c r="H130" s="20" t="str">
        <x:v>Candidate retained outside selected field</x:v>
      </x:c>
      <x:c r="I130" s="20" t="str">
        <x:v>https://sterling.ng/wp-content/uploads/2020/03/FY-%E2%80%93-2019-Audited-Financials.pdf</x:v>
      </x:c>
      <x:c r="J130" s="20" t="str">
        <x:v>Prior source-selection policy retained; original evidence preserved in accompanying pack.</x:v>
      </x:c>
    </x:row>
    <x:row r="131" ht="52" customHeight="1">
      <x:c r="A131" s="18" t="str">
        <x:v>Uploaded CSV</x:v>
      </x:c>
      <x:c r="B131" s="18" t="str">
        <x:v>Sterling</x:v>
      </x:c>
      <x:c r="C131" s="18" t="n">
        <x:v>2018</x:v>
      </x:c>
      <x:c r="D131" s="20" t="str">
        <x:v>gcu</x:v>
      </x:c>
      <x:c r="E131" s="22" t="n">
        <x:v>0</x:v>
      </x:c>
      <x:c r="F131" s="22"/>
      <x:c r="G131" s="22" t="str">
        <x:f>IF(COUNT(E131,F131)=2,F131-E131,"")</x:f>
      </x:c>
      <x:c r="H131" s="20" t="str">
        <x:v>Candidate retained outside selected field</x:v>
      </x:c>
      <x:c r="I131" s="20" t="str">
        <x:v>https://sterling.ng/wp-content/uploads/2020/03/FY-%E2%80%93-2019-Audited-Financials.pdf</x:v>
      </x:c>
      <x:c r="J131" s="20" t="str">
        <x:v>Prior source-selection policy retained; original evidence preserved in accompanying pack.</x:v>
      </x:c>
    </x:row>
    <x:row r="132" ht="52" customHeight="1">
      <x:c r="A132" s="18" t="str">
        <x:v>Uploaded CSV</x:v>
      </x:c>
      <x:c r="B132" s="18" t="str">
        <x:v>Sterling</x:v>
      </x:c>
      <x:c r="C132" s="18" t="n">
        <x:v>2019</x:v>
      </x:c>
      <x:c r="D132" s="20" t="str">
        <x:v>pat</x:v>
      </x:c>
      <x:c r="E132" s="22" t="n">
        <x:v>10163</x:v>
      </x:c>
      <x:c r="F132" s="22" t="n">
        <x:v>10163</x:v>
      </x:c>
      <x:c r="G132" s="22" t="n">
        <x:f>IF(COUNT(E132,F132)=2,F132-E132,"")</x:f>
        <x:v>0</x:v>
      </x:c>
      <x:c r="H132" s="20" t="str">
        <x:v>Exact agreement</x:v>
      </x:c>
      <x:c r="I132" s="20" t="str">
        <x:v>https://sterling.ng/wp-content/uploads/2020/03/FY-%E2%80%93-2019-Audited-Financials.pdf</x:v>
      </x:c>
      <x:c r="J132" s="20" t="str">
        <x:v>Prior source-selection policy retained; original evidence preserved in accompanying pack.</x:v>
      </x:c>
    </x:row>
    <x:row r="133" ht="52" customHeight="1">
      <x:c r="A133" s="18" t="str">
        <x:v>Uploaded CSV</x:v>
      </x:c>
      <x:c r="B133" s="18" t="str">
        <x:v>Sterling</x:v>
      </x:c>
      <x:c r="C133" s="18" t="n">
        <x:v>2019</x:v>
      </x:c>
      <x:c r="D133" s="20" t="str">
        <x:v>gross_earnings</x:v>
      </x:c>
      <x:c r="E133" s="22" t="n">
        <x:v>147439</x:v>
      </x:c>
      <x:c r="F133" s="22"/>
      <x:c r="G133" s="22" t="str">
        <x:f>IF(COUNT(E133,F133)=2,F133-E133,"")</x:f>
      </x:c>
      <x:c r="H133" s="20" t="str">
        <x:v>Candidate retained outside selected field</x:v>
      </x:c>
      <x:c r="I133" s="20" t="str">
        <x:v>https://sterling.ng/wp-content/uploads/2020/03/FY-%E2%80%93-2019-Audited-Financials.pdf</x:v>
      </x:c>
      <x:c r="J133" s="20" t="str">
        <x:v>Prior source-selection policy retained; original evidence preserved in accompanying pack.</x:v>
      </x:c>
    </x:row>
    <x:row r="134" ht="52" customHeight="1">
      <x:c r="A134" s="18" t="str">
        <x:v>Uploaded CSV</x:v>
      </x:c>
      <x:c r="B134" s="18" t="str">
        <x:v>Sterling</x:v>
      </x:c>
      <x:c r="C134" s="18" t="n">
        <x:v>2019</x:v>
      </x:c>
      <x:c r="D134" s="20" t="str">
        <x:v>assets</x:v>
      </x:c>
      <x:c r="E134" s="22" t="n">
        <x:v>1165509</x:v>
      </x:c>
      <x:c r="F134" s="22" t="n">
        <x:v>1165509</x:v>
      </x:c>
      <x:c r="G134" s="22" t="n">
        <x:f>IF(COUNT(E134,F134)=2,F134-E134,"")</x:f>
        <x:v>0</x:v>
      </x:c>
      <x:c r="H134" s="20" t="str">
        <x:v>Exact agreement</x:v>
      </x:c>
      <x:c r="I134" s="20" t="str">
        <x:v>https://sterling.ng/wp-content/uploads/2020/03/FY-%E2%80%93-2019-Audited-Financials.pdf</x:v>
      </x:c>
      <x:c r="J134" s="20" t="str">
        <x:v>Prior source-selection policy retained; original evidence preserved in accompanying pack.</x:v>
      </x:c>
    </x:row>
    <x:row r="135" ht="52" customHeight="1">
      <x:c r="A135" s="18" t="str">
        <x:v>Uploaded CSV</x:v>
      </x:c>
      <x:c r="B135" s="18" t="str">
        <x:v>Sterling</x:v>
      </x:c>
      <x:c r="C135" s="18" t="n">
        <x:v>2019</x:v>
      </x:c>
      <x:c r="D135" s="20" t="str">
        <x:v>gross_loans</x:v>
      </x:c>
      <x:c r="E135" s="22" t="n">
        <x:v>631698</x:v>
      </x:c>
      <x:c r="F135" s="22" t="n">
        <x:v>631698</x:v>
      </x:c>
      <x:c r="G135" s="22" t="n">
        <x:f>IF(COUNT(E135,F135)=2,F135-E135,"")</x:f>
        <x:v>0</x:v>
      </x:c>
      <x:c r="H135" s="20" t="str">
        <x:v>Exact agreement</x:v>
      </x:c>
      <x:c r="I135" s="20" t="str">
        <x:v>https://sterling.ng/wp-content/uploads/2020/03/FY-%E2%80%93-2019-Audited-Financials.pdf</x:v>
      </x:c>
      <x:c r="J135" s="20" t="str">
        <x:v>Prior source-selection policy retained; original evidence preserved in accompanying pack.</x:v>
      </x:c>
    </x:row>
    <x:row r="136" ht="52" customHeight="1">
      <x:c r="A136" s="18" t="str">
        <x:v>Uploaded CSV</x:v>
      </x:c>
      <x:c r="B136" s="18" t="str">
        <x:v>Sterling</x:v>
      </x:c>
      <x:c r="C136" s="18" t="n">
        <x:v>2019</x:v>
      </x:c>
      <x:c r="D136" s="20" t="str">
        <x:v>loan_allowance</x:v>
      </x:c>
      <x:c r="E136" s="22" t="n">
        <x:v>12966</x:v>
      </x:c>
      <x:c r="F136" s="22" t="n">
        <x:v>12966</x:v>
      </x:c>
      <x:c r="G136" s="22" t="n">
        <x:f>IF(COUNT(E136,F136)=2,F136-E136,"")</x:f>
        <x:v>0</x:v>
      </x:c>
      <x:c r="H136" s="20" t="str">
        <x:v>Exact agreement</x:v>
      </x:c>
      <x:c r="I136" s="20" t="str">
        <x:v>https://sterling.ng/wp-content/uploads/2020/03/FY-%E2%80%93-2019-Audited-Financials.pdf</x:v>
      </x:c>
      <x:c r="J136" s="20" t="str">
        <x:v>Prior source-selection policy retained; original evidence preserved in accompanying pack.</x:v>
      </x:c>
    </x:row>
    <x:row r="137" ht="52" customHeight="1">
      <x:c r="A137" s="18" t="str">
        <x:v>Uploaded CSV</x:v>
      </x:c>
      <x:c r="B137" s="18" t="str">
        <x:v>Sterling</x:v>
      </x:c>
      <x:c r="C137" s="18" t="n">
        <x:v>2019</x:v>
      </x:c>
      <x:c r="D137" s="20" t="str">
        <x:v>total_impairment</x:v>
      </x:c>
      <x:c r="E137" s="22" t="n">
        <x:v>5842</x:v>
      </x:c>
      <x:c r="F137" s="22" t="n">
        <x:v>5842</x:v>
      </x:c>
      <x:c r="G137" s="22" t="n">
        <x:f>IF(COUNT(E137,F137)=2,F137-E137,"")</x:f>
        <x:v>0</x:v>
      </x:c>
      <x:c r="H137" s="20" t="str">
        <x:v>Exact agreement</x:v>
      </x:c>
      <x:c r="I137" s="20" t="str">
        <x:v>https://sterling.ng/wp-content/uploads/2020/03/FY-%E2%80%93-2019-Audited-Financials.pdf</x:v>
      </x:c>
      <x:c r="J137" s="20" t="str">
        <x:v>Prior source-selection policy retained; original evidence preserved in accompanying pack.</x:v>
      </x:c>
    </x:row>
    <x:row r="138" ht="52" customHeight="1">
      <x:c r="A138" s="18" t="str">
        <x:v>Uploaded CSV</x:v>
      </x:c>
      <x:c r="B138" s="18" t="str">
        <x:v>Sterling</x:v>
      </x:c>
      <x:c r="C138" s="18" t="n">
        <x:v>2019</x:v>
      </x:c>
      <x:c r="D138" s="20" t="str">
        <x:v>car</x:v>
      </x:c>
      <x:c r="E138" s="22" t="n">
        <x:v>14.7</x:v>
      </x:c>
      <x:c r="F138" s="22" t="n">
        <x:v>14.7</x:v>
      </x:c>
      <x:c r="G138" s="22" t="n">
        <x:f>IF(COUNT(E138,F138)=2,F138-E138,"")</x:f>
        <x:v>0</x:v>
      </x:c>
      <x:c r="H138" s="20" t="str">
        <x:v>Exact agreement</x:v>
      </x:c>
      <x:c r="I138" s="20" t="str">
        <x:v>https://sterling.ng/wp-content/uploads/2020/03/FY-%E2%80%93-2019-Audited-Financials.pdf</x:v>
      </x:c>
      <x:c r="J138" s="20" t="str">
        <x:v>Prior source-selection policy retained; original evidence preserved in accompanying pack.</x:v>
      </x:c>
    </x:row>
    <x:row r="139" ht="52" customHeight="1">
      <x:c r="A139" s="18" t="str">
        <x:v>Uploaded CSV</x:v>
      </x:c>
      <x:c r="B139" s="18" t="str">
        <x:v>Sterling</x:v>
      </x:c>
      <x:c r="C139" s="18" t="n">
        <x:v>2019</x:v>
      </x:c>
      <x:c r="D139" s="20" t="str">
        <x:v>npl_reported</x:v>
      </x:c>
      <x:c r="E139" s="22" t="n">
        <x:v>2.2</x:v>
      </x:c>
      <x:c r="F139" s="22"/>
      <x:c r="G139" s="22" t="str">
        <x:f>IF(COUNT(E139,F139)=2,F139-E139,"")</x:f>
      </x:c>
      <x:c r="H139" s="20" t="str">
        <x:v>Candidate retained outside selected field</x:v>
      </x:c>
      <x:c r="I139" s="20" t="str">
        <x:v>https://sterling.ng/wp-content/uploads/2020/03/FY-%E2%80%93-2019-Audited-Financials.pdf</x:v>
      </x:c>
      <x:c r="J139" s="20" t="str">
        <x:v>Prior source-selection policy retained; original evidence preserved in accompanying pack.</x:v>
      </x:c>
    </x:row>
    <x:row r="140" ht="52" customHeight="1">
      <x:c r="A140" s="18" t="str">
        <x:v>Uploaded CSV</x:v>
      </x:c>
      <x:c r="B140" s="18" t="str">
        <x:v>Sterling</x:v>
      </x:c>
      <x:c r="C140" s="18" t="n">
        <x:v>2019</x:v>
      </x:c>
      <x:c r="D140" s="20" t="str">
        <x:v>gcu</x:v>
      </x:c>
      <x:c r="E140" s="22" t="n">
        <x:v>0</x:v>
      </x:c>
      <x:c r="F140" s="22"/>
      <x:c r="G140" s="22" t="str">
        <x:f>IF(COUNT(E140,F140)=2,F140-E140,"")</x:f>
      </x:c>
      <x:c r="H140" s="20" t="str">
        <x:v>Candidate retained outside selected field</x:v>
      </x:c>
      <x:c r="I140" s="20" t="str">
        <x:v>https://sterling.ng/wp-content/uploads/2020/03/FY-%E2%80%93-2019-Audited-Financials.pdf</x:v>
      </x:c>
      <x:c r="J140" s="20" t="str">
        <x:v>Prior source-selection policy retained; original evidence preserved in accompanying pack.</x:v>
      </x:c>
    </x:row>
    <x:row r="141" ht="52" customHeight="1">
      <x:c r="A141" s="18" t="str">
        <x:v>Uploaded CSV</x:v>
      </x:c>
      <x:c r="B141" s="18" t="str">
        <x:v>Wema</x:v>
      </x:c>
      <x:c r="C141" s="18" t="n">
        <x:v>2015</x:v>
      </x:c>
      <x:c r="D141" s="20" t="str">
        <x:v>pat</x:v>
      </x:c>
      <x:c r="E141" s="22" t="n">
        <x:v>2273.21</x:v>
      </x:c>
      <x:c r="F141" s="22" t="n">
        <x:v>2273.205</x:v>
      </x:c>
      <x:c r="G141" s="22" t="n">
        <x:f>IF(COUNT(E141,F141)=2,F141-E141,"")</x:f>
        <x:v>-0.005000000000109139</x:v>
      </x:c>
      <x:c r="H141" s="20" t="str">
        <x:v>Rounding / presentation precision</x:v>
      </x:c>
      <x:c r="I141" s="20" t="str">
        <x:v>https://greenwichregistrars.com/wp-content/uploads/2021/06/Wema-Bank-2015-Report.pdf | https://greenwichregistrars.com/wp-content/uploads/2021/06/Wema-Bank-2016-Report.pdf</x:v>
      </x:c>
      <x:c r="J141" s="20" t="str">
        <x:v>Prior source-selection policy retained; original evidence preserved in accompanying pack.</x:v>
      </x:c>
    </x:row>
    <x:row r="142" ht="52" customHeight="1">
      <x:c r="A142" s="18" t="str">
        <x:v>Uploaded CSV</x:v>
      </x:c>
      <x:c r="B142" s="18" t="str">
        <x:v>Wema</x:v>
      </x:c>
      <x:c r="C142" s="18" t="n">
        <x:v>2015</x:v>
      </x:c>
      <x:c r="D142" s="20" t="str">
        <x:v>gross_earnings</x:v>
      </x:c>
      <x:c r="E142" s="22" t="n">
        <x:v>45869.44</x:v>
      </x:c>
      <x:c r="F142" s="22"/>
      <x:c r="G142" s="22" t="str">
        <x:f>IF(COUNT(E142,F142)=2,F142-E142,"")</x:f>
      </x:c>
      <x:c r="H142" s="20" t="str">
        <x:v>Candidate retained outside selected field</x:v>
      </x:c>
      <x:c r="I142" s="20" t="str">
        <x:v>https://greenwichregistrars.com/wp-content/uploads/2021/06/Wema-Bank-2015-Report.pdf | https://greenwichregistrars.com/wp-content/uploads/2021/06/Wema-Bank-2016-Report.pdf</x:v>
      </x:c>
      <x:c r="J142" s="20" t="str">
        <x:v>Prior source-selection policy retained; original evidence preserved in accompanying pack.</x:v>
      </x:c>
    </x:row>
    <x:row r="143" ht="52" customHeight="1">
      <x:c r="A143" s="18" t="str">
        <x:v>Uploaded CSV</x:v>
      </x:c>
      <x:c r="B143" s="18" t="str">
        <x:v>Wema</x:v>
      </x:c>
      <x:c r="C143" s="18" t="n">
        <x:v>2015</x:v>
      </x:c>
      <x:c r="D143" s="20" t="str">
        <x:v>assets</x:v>
      </x:c>
      <x:c r="E143" s="22" t="n">
        <x:v>396743.31</x:v>
      </x:c>
      <x:c r="F143" s="22" t="n">
        <x:v>396743.314</x:v>
      </x:c>
      <x:c r="G143" s="22" t="n">
        <x:f>IF(COUNT(E143,F143)=2,F143-E143,"")</x:f>
        <x:v>0.0040000000153668225</x:v>
      </x:c>
      <x:c r="H143" s="20" t="str">
        <x:v>Rounding / presentation precision</x:v>
      </x:c>
      <x:c r="I143" s="20" t="str">
        <x:v>https://greenwichregistrars.com/wp-content/uploads/2021/06/Wema-Bank-2015-Report.pdf | https://greenwichregistrars.com/wp-content/uploads/2021/06/Wema-Bank-2016-Report.pdf</x:v>
      </x:c>
      <x:c r="J143" s="20" t="str">
        <x:v>Prior source-selection policy retained; original evidence preserved in accompanying pack.</x:v>
      </x:c>
    </x:row>
    <x:row r="144" ht="52" customHeight="1">
      <x:c r="A144" s="18" t="str">
        <x:v>Uploaded CSV</x:v>
      </x:c>
      <x:c r="B144" s="18" t="str">
        <x:v>Wema</x:v>
      </x:c>
      <x:c r="C144" s="18" t="n">
        <x:v>2015</x:v>
      </x:c>
      <x:c r="D144" s="20" t="str">
        <x:v>gross_loans</x:v>
      </x:c>
      <x:c r="E144" s="22" t="n">
        <x:v>188022.92</x:v>
      </x:c>
      <x:c r="F144" s="22" t="n">
        <x:v>188022.922</x:v>
      </x:c>
      <x:c r="G144" s="22" t="n">
        <x:f>IF(COUNT(E144,F144)=2,F144-E144,"")</x:f>
        <x:v>0.001999999978579581</x:v>
      </x:c>
      <x:c r="H144" s="20" t="str">
        <x:v>Rounding / presentation precision</x:v>
      </x:c>
      <x:c r="I144" s="20" t="str">
        <x:v>https://greenwichregistrars.com/wp-content/uploads/2021/06/Wema-Bank-2015-Report.pdf | https://greenwichregistrars.com/wp-content/uploads/2021/06/Wema-Bank-2016-Report.pdf</x:v>
      </x:c>
      <x:c r="J144" s="20" t="str">
        <x:v>Prior source-selection policy retained; original evidence preserved in accompanying pack.</x:v>
      </x:c>
    </x:row>
    <x:row r="145" ht="52" customHeight="1">
      <x:c r="A145" s="18" t="str">
        <x:v>Uploaded CSV</x:v>
      </x:c>
      <x:c r="B145" s="18" t="str">
        <x:v>Wema</x:v>
      </x:c>
      <x:c r="C145" s="18" t="n">
        <x:v>2015</x:v>
      </x:c>
      <x:c r="D145" s="20" t="str">
        <x:v>loan_allowance</x:v>
      </x:c>
      <x:c r="E145" s="22" t="n">
        <x:v>2426.33</x:v>
      </x:c>
      <x:c r="F145" s="22" t="n">
        <x:v>2426.332</x:v>
      </x:c>
      <x:c r="G145" s="22" t="n">
        <x:f>IF(COUNT(E145,F145)=2,F145-E145,"")</x:f>
        <x:v>0.0019999999999527063</x:v>
      </x:c>
      <x:c r="H145" s="20" t="str">
        <x:v>Rounding / presentation precision</x:v>
      </x:c>
      <x:c r="I145" s="20" t="str">
        <x:v>https://greenwichregistrars.com/wp-content/uploads/2021/06/Wema-Bank-2015-Report.pdf | https://greenwichregistrars.com/wp-content/uploads/2021/06/Wema-Bank-2016-Report.pdf</x:v>
      </x:c>
      <x:c r="J145" s="20" t="str">
        <x:v>Prior source-selection policy retained; original evidence preserved in accompanying pack.</x:v>
      </x:c>
    </x:row>
    <x:row r="146" ht="52" customHeight="1">
      <x:c r="A146" s="18" t="str">
        <x:v>Uploaded CSV</x:v>
      </x:c>
      <x:c r="B146" s="18" t="str">
        <x:v>Wema</x:v>
      </x:c>
      <x:c r="C146" s="18" t="n">
        <x:v>2015</x:v>
      </x:c>
      <x:c r="D146" s="20" t="str">
        <x:v>total_impairment</x:v>
      </x:c>
      <x:c r="E146" s="22" t="n">
        <x:v>-77.64</x:v>
      </x:c>
      <x:c r="F146" s="22" t="n">
        <x:v>-77.64</x:v>
      </x:c>
      <x:c r="G146" s="22" t="n">
        <x:f>IF(COUNT(E146,F146)=2,F146-E146,"")</x:f>
        <x:v>0</x:v>
      </x:c>
      <x:c r="H146" s="20" t="str">
        <x:v>Exact agreement</x:v>
      </x:c>
      <x:c r="I146" s="20" t="str">
        <x:v>https://greenwichregistrars.com/wp-content/uploads/2021/06/Wema-Bank-2015-Report.pdf | https://greenwichregistrars.com/wp-content/uploads/2021/06/Wema-Bank-2016-Report.pdf</x:v>
      </x:c>
      <x:c r="J146" s="20" t="str">
        <x:v>Prior source-selection policy retained; original evidence preserved in accompanying pack.</x:v>
      </x:c>
    </x:row>
    <x:row r="147" ht="52" customHeight="1">
      <x:c r="A147" s="18" t="str">
        <x:v>Uploaded CSV</x:v>
      </x:c>
      <x:c r="B147" s="18" t="str">
        <x:v>Wema</x:v>
      </x:c>
      <x:c r="C147" s="18" t="n">
        <x:v>2015</x:v>
      </x:c>
      <x:c r="D147" s="20" t="str">
        <x:v>car</x:v>
      </x:c>
      <x:c r="E147" s="22" t="n">
        <x:v>15.1</x:v>
      </x:c>
      <x:c r="F147" s="22" t="n">
        <x:v>15.09</x:v>
      </x:c>
      <x:c r="G147" s="22" t="n">
        <x:f>IF(COUNT(E147,F147)=2,F147-E147,"")</x:f>
        <x:v>-0.009999999999999787</x:v>
      </x:c>
      <x:c r="H147" s="20" t="str">
        <x:v>Difference: retain selected source / definition</x:v>
      </x:c>
      <x:c r="I147" s="20" t="str">
        <x:v>https://greenwichregistrars.com/wp-content/uploads/2021/06/Wema-Bank-2015-Report.pdf | https://greenwichregistrars.com/wp-content/uploads/2021/06/Wema-Bank-2016-Report.pdf</x:v>
      </x:c>
      <x:c r="J147" s="20" t="str">
        <x:v>Prior source-selection policy retained; original evidence preserved in accompanying pack.</x:v>
      </x:c>
    </x:row>
    <x:row r="148" ht="52" customHeight="1">
      <x:c r="A148" s="18" t="str">
        <x:v>Uploaded CSV</x:v>
      </x:c>
      <x:c r="B148" s="18" t="str">
        <x:v>Wema</x:v>
      </x:c>
      <x:c r="C148" s="18" t="n">
        <x:v>2015</x:v>
      </x:c>
      <x:c r="D148" s="20" t="str">
        <x:v>npl_reported</x:v>
      </x:c>
      <x:c r="E148" s="22" t="n">
        <x:v>2.67</x:v>
      </x:c>
      <x:c r="F148" s="22" t="n">
        <x:v>2.67</x:v>
      </x:c>
      <x:c r="G148" s="22" t="n">
        <x:f>IF(COUNT(E148,F148)=2,F148-E148,"")</x:f>
        <x:v>0</x:v>
      </x:c>
      <x:c r="H148" s="20" t="str">
        <x:v>Exact agreement</x:v>
      </x:c>
      <x:c r="I148" s="20" t="str">
        <x:v>https://greenwichregistrars.com/wp-content/uploads/2021/06/Wema-Bank-2015-Report.pdf | https://greenwichregistrars.com/wp-content/uploads/2021/06/Wema-Bank-2016-Report.pdf</x:v>
      </x:c>
      <x:c r="J148" s="20" t="str">
        <x:v>Prior source-selection policy retained; original evidence preserved in accompanying pack.</x:v>
      </x:c>
    </x:row>
    <x:row r="149" ht="52" customHeight="1">
      <x:c r="A149" s="18" t="str">
        <x:v>Uploaded CSV</x:v>
      </x:c>
      <x:c r="B149" s="18" t="str">
        <x:v>Wema</x:v>
      </x:c>
      <x:c r="C149" s="18" t="n">
        <x:v>2015</x:v>
      </x:c>
      <x:c r="D149" s="20" t="str">
        <x:v>gcu</x:v>
      </x:c>
      <x:c r="E149" s="22" t="n">
        <x:v>0</x:v>
      </x:c>
      <x:c r="F149" s="22"/>
      <x:c r="G149" s="22" t="str">
        <x:f>IF(COUNT(E149,F149)=2,F149-E149,"")</x:f>
      </x:c>
      <x:c r="H149" s="20" t="str">
        <x:v>Candidate retained outside selected field</x:v>
      </x:c>
      <x:c r="I149" s="20" t="str">
        <x:v>https://greenwichregistrars.com/wp-content/uploads/2021/06/Wema-Bank-2015-Report.pdf | https://greenwichregistrars.com/wp-content/uploads/2021/06/Wema-Bank-2016-Report.pdf</x:v>
      </x:c>
      <x:c r="J149" s="20" t="str">
        <x:v>Prior source-selection policy retained; original evidence preserved in accompanying pack.</x:v>
      </x:c>
    </x:row>
    <x:row r="150" ht="52" customHeight="1">
      <x:c r="A150" s="18" t="str">
        <x:v>Uploaded CSV</x:v>
      </x:c>
      <x:c r="B150" s="18" t="str">
        <x:v>Wema</x:v>
      </x:c>
      <x:c r="C150" s="18" t="n">
        <x:v>2016</x:v>
      </x:c>
      <x:c r="D150" s="20" t="str">
        <x:v>pat</x:v>
      </x:c>
      <x:c r="E150" s="22" t="n">
        <x:v>2591.8</x:v>
      </x:c>
      <x:c r="F150" s="22" t="n">
        <x:v>2591.8</x:v>
      </x:c>
      <x:c r="G150" s="22" t="n">
        <x:f>IF(COUNT(E150,F150)=2,F150-E150,"")</x:f>
        <x:v>0</x:v>
      </x:c>
      <x:c r="H150" s="20" t="str">
        <x:v>Exact agreement</x:v>
      </x:c>
      <x:c r="I150" s="20" t="str">
        <x:v>https://greenwichregistrars.com/wp-content/uploads/2021/06/Wema-Bank-2016-Report.pdf</x:v>
      </x:c>
      <x:c r="J150" s="20" t="str">
        <x:v>Prior source-selection policy retained; original evidence preserved in accompanying pack.</x:v>
      </x:c>
    </x:row>
    <x:row r="151" ht="52" customHeight="1">
      <x:c r="A151" s="18" t="str">
        <x:v>Uploaded CSV</x:v>
      </x:c>
      <x:c r="B151" s="18" t="str">
        <x:v>Wema</x:v>
      </x:c>
      <x:c r="C151" s="18" t="n">
        <x:v>2016</x:v>
      </x:c>
      <x:c r="D151" s="20" t="str">
        <x:v>gross_earnings</x:v>
      </x:c>
      <x:c r="E151" s="22" t="n">
        <x:v>53834.41</x:v>
      </x:c>
      <x:c r="F151" s="22"/>
      <x:c r="G151" s="22" t="str">
        <x:f>IF(COUNT(E151,F151)=2,F151-E151,"")</x:f>
      </x:c>
      <x:c r="H151" s="20" t="str">
        <x:v>Candidate retained outside selected field</x:v>
      </x:c>
      <x:c r="I151" s="20" t="str">
        <x:v>https://greenwichregistrars.com/wp-content/uploads/2021/06/Wema-Bank-2016-Report.pdf</x:v>
      </x:c>
      <x:c r="J151" s="20" t="str">
        <x:v>Prior source-selection policy retained; original evidence preserved in accompanying pack.</x:v>
      </x:c>
    </x:row>
    <x:row r="152" ht="52" customHeight="1">
      <x:c r="A152" s="18" t="str">
        <x:v>Uploaded CSV</x:v>
      </x:c>
      <x:c r="B152" s="18" t="str">
        <x:v>Wema</x:v>
      </x:c>
      <x:c r="C152" s="18" t="n">
        <x:v>2016</x:v>
      </x:c>
      <x:c r="D152" s="20" t="str">
        <x:v>assets</x:v>
      </x:c>
      <x:c r="E152" s="22" t="n">
        <x:v>421221.04</x:v>
      </x:c>
      <x:c r="F152" s="22" t="n">
        <x:v>421221.036</x:v>
      </x:c>
      <x:c r="G152" s="22" t="n">
        <x:f>IF(COUNT(E152,F152)=2,F152-E152,"")</x:f>
        <x:v>-0.003999999957159162</x:v>
      </x:c>
      <x:c r="H152" s="20" t="str">
        <x:v>Rounding / presentation precision</x:v>
      </x:c>
      <x:c r="I152" s="20" t="str">
        <x:v>https://greenwichregistrars.com/wp-content/uploads/2021/06/Wema-Bank-2016-Report.pdf</x:v>
      </x:c>
      <x:c r="J152" s="20" t="str">
        <x:v>Prior source-selection policy retained; original evidence preserved in accompanying pack.</x:v>
      </x:c>
    </x:row>
    <x:row r="153" ht="52" customHeight="1">
      <x:c r="A153" s="18" t="str">
        <x:v>Uploaded CSV</x:v>
      </x:c>
      <x:c r="B153" s="18" t="str">
        <x:v>Wema</x:v>
      </x:c>
      <x:c r="C153" s="18" t="n">
        <x:v>2016</x:v>
      </x:c>
      <x:c r="D153" s="20" t="str">
        <x:v>gross_loans</x:v>
      </x:c>
      <x:c r="E153" s="22" t="n">
        <x:v>229840.98</x:v>
      </x:c>
      <x:c r="F153" s="22"/>
      <x:c r="G153" s="22" t="str">
        <x:f>IF(COUNT(E153,F153)=2,F153-E153,"")</x:f>
      </x:c>
      <x:c r="H153" s="20" t="str">
        <x:v>Candidate retained outside selected field</x:v>
      </x:c>
      <x:c r="I153" s="20" t="str">
        <x:v>https://greenwichregistrars.com/wp-content/uploads/2021/06/Wema-Bank-2016-Report.pdf</x:v>
      </x:c>
      <x:c r="J153" s="20" t="str">
        <x:v>Prior source-selection policy retained; original evidence preserved in accompanying pack.</x:v>
      </x:c>
    </x:row>
    <x:row r="154" ht="52" customHeight="1">
      <x:c r="A154" s="18" t="str">
        <x:v>Uploaded CSV</x:v>
      </x:c>
      <x:c r="B154" s="18" t="str">
        <x:v>Wema</x:v>
      </x:c>
      <x:c r="C154" s="18" t="n">
        <x:v>2016</x:v>
      </x:c>
      <x:c r="D154" s="20" t="str">
        <x:v>loan_allowance</x:v>
      </x:c>
      <x:c r="E154" s="22" t="n">
        <x:v>2832.43</x:v>
      </x:c>
      <x:c r="F154" s="22"/>
      <x:c r="G154" s="22" t="str">
        <x:f>IF(COUNT(E154,F154)=2,F154-E154,"")</x:f>
      </x:c>
      <x:c r="H154" s="20" t="str">
        <x:v>Candidate retained outside selected field</x:v>
      </x:c>
      <x:c r="I154" s="20" t="str">
        <x:v>https://greenwichregistrars.com/wp-content/uploads/2021/06/Wema-Bank-2016-Report.pdf</x:v>
      </x:c>
      <x:c r="J154" s="20" t="str">
        <x:v>Prior source-selection policy retained; original evidence preserved in accompanying pack.</x:v>
      </x:c>
    </x:row>
    <x:row r="155" ht="52" customHeight="1">
      <x:c r="A155" s="18" t="str">
        <x:v>Uploaded CSV</x:v>
      </x:c>
      <x:c r="B155" s="18" t="str">
        <x:v>Wema</x:v>
      </x:c>
      <x:c r="C155" s="18" t="n">
        <x:v>2016</x:v>
      </x:c>
      <x:c r="D155" s="20" t="str">
        <x:v>total_impairment</x:v>
      </x:c>
      <x:c r="E155" s="22" t="n">
        <x:v>412.4</x:v>
      </x:c>
      <x:c r="F155" s="22" t="n">
        <x:v>412.401</x:v>
      </x:c>
      <x:c r="G155" s="22" t="n">
        <x:f>IF(COUNT(E155,F155)=2,F155-E155,"")</x:f>
        <x:v>0.0010000000000331966</x:v>
      </x:c>
      <x:c r="H155" s="20" t="str">
        <x:v>Rounding / presentation precision</x:v>
      </x:c>
      <x:c r="I155" s="20" t="str">
        <x:v>https://greenwichregistrars.com/wp-content/uploads/2021/06/Wema-Bank-2016-Report.pdf</x:v>
      </x:c>
      <x:c r="J155" s="20" t="str">
        <x:v>Prior source-selection policy retained; original evidence preserved in accompanying pack.</x:v>
      </x:c>
    </x:row>
    <x:row r="156" ht="52" customHeight="1">
      <x:c r="A156" s="18" t="str">
        <x:v>Uploaded CSV</x:v>
      </x:c>
      <x:c r="B156" s="18" t="str">
        <x:v>Wema</x:v>
      </x:c>
      <x:c r="C156" s="18" t="n">
        <x:v>2016</x:v>
      </x:c>
      <x:c r="D156" s="20" t="str">
        <x:v>car</x:v>
      </x:c>
      <x:c r="E156" s="22" t="n">
        <x:v>11.07</x:v>
      </x:c>
      <x:c r="F156" s="22"/>
      <x:c r="G156" s="22" t="str">
        <x:f>IF(COUNT(E156,F156)=2,F156-E156,"")</x:f>
      </x:c>
      <x:c r="H156" s="20" t="str">
        <x:v>Candidate retained outside selected field</x:v>
      </x:c>
      <x:c r="I156" s="20" t="str">
        <x:v>https://greenwichregistrars.com/wp-content/uploads/2021/06/Wema-Bank-2016-Report.pdf</x:v>
      </x:c>
      <x:c r="J156" s="20" t="str">
        <x:v>Prior source-selection policy retained; original evidence preserved in accompanying pack.</x:v>
      </x:c>
    </x:row>
    <x:row r="157" ht="52" customHeight="1">
      <x:c r="A157" s="18" t="str">
        <x:v>Uploaded CSV</x:v>
      </x:c>
      <x:c r="B157" s="18" t="str">
        <x:v>Wema</x:v>
      </x:c>
      <x:c r="C157" s="18" t="n">
        <x:v>2016</x:v>
      </x:c>
      <x:c r="D157" s="20" t="str">
        <x:v>npl_reported</x:v>
      </x:c>
      <x:c r="E157" s="22" t="n">
        <x:v>5.07</x:v>
      </x:c>
      <x:c r="F157" s="22"/>
      <x:c r="G157" s="22" t="str">
        <x:f>IF(COUNT(E157,F157)=2,F157-E157,"")</x:f>
      </x:c>
      <x:c r="H157" s="20" t="str">
        <x:v>Candidate retained outside selected field</x:v>
      </x:c>
      <x:c r="I157" s="20" t="str">
        <x:v>https://greenwichregistrars.com/wp-content/uploads/2021/06/Wema-Bank-2016-Report.pdf</x:v>
      </x:c>
      <x:c r="J157" s="20" t="str">
        <x:v>Prior source-selection policy retained; original evidence preserved in accompanying pack.</x:v>
      </x:c>
    </x:row>
    <x:row r="158" ht="52" customHeight="1">
      <x:c r="A158" s="18" t="str">
        <x:v>Uploaded CSV</x:v>
      </x:c>
      <x:c r="B158" s="18" t="str">
        <x:v>Wema</x:v>
      </x:c>
      <x:c r="C158" s="18" t="n">
        <x:v>2016</x:v>
      </x:c>
      <x:c r="D158" s="20" t="str">
        <x:v>gcu</x:v>
      </x:c>
      <x:c r="E158" s="22" t="n">
        <x:v>0</x:v>
      </x:c>
      <x:c r="F158" s="22"/>
      <x:c r="G158" s="22" t="str">
        <x:f>IF(COUNT(E158,F158)=2,F158-E158,"")</x:f>
      </x:c>
      <x:c r="H158" s="20" t="str">
        <x:v>Candidate retained outside selected field</x:v>
      </x:c>
      <x:c r="I158" s="20" t="str">
        <x:v>https://greenwichregistrars.com/wp-content/uploads/2021/06/Wema-Bank-2016-Report.pdf</x:v>
      </x:c>
      <x:c r="J158" s="20" t="str">
        <x:v>Prior source-selection policy retained; original evidence preserved in accompanying pack.</x:v>
      </x:c>
    </x:row>
    <x:row r="159" ht="52" customHeight="1">
      <x:c r="A159" s="18" t="str">
        <x:v>Uploaded CSV</x:v>
      </x:c>
      <x:c r="B159" s="18" t="str">
        <x:v>Wema</x:v>
      </x:c>
      <x:c r="C159" s="18" t="n">
        <x:v>2017</x:v>
      </x:c>
      <x:c r="D159" s="20" t="str">
        <x:v>pat</x:v>
      </x:c>
      <x:c r="E159" s="22" t="n">
        <x:v>2301.16</x:v>
      </x:c>
      <x:c r="F159" s="22" t="n">
        <x:v>2301.158</x:v>
      </x:c>
      <x:c r="G159" s="22" t="n">
        <x:f>IF(COUNT(E159,F159)=2,F159-E159,"")</x:f>
        <x:v>-0.0019999999999527063</x:v>
      </x:c>
      <x:c r="H159" s="20" t="str">
        <x:v>Rounding / presentation precision</x:v>
      </x:c>
      <x:c r="I159" s="20" t="str">
        <x:v>https://arthursteven.com/reports/market/WEMA_BANK_PLC._FINANCIAL_STATEMENTS_MARCH_2019.pdf</x:v>
      </x:c>
      <x:c r="J159" s="20" t="str">
        <x:v>Prior source-selection policy retained; original evidence preserved in accompanying pack.</x:v>
      </x:c>
    </x:row>
    <x:row r="160" ht="52" customHeight="1">
      <x:c r="A160" s="18" t="str">
        <x:v>Uploaded CSV</x:v>
      </x:c>
      <x:c r="B160" s="18" t="str">
        <x:v>Wema</x:v>
      </x:c>
      <x:c r="C160" s="18" t="n">
        <x:v>2017</x:v>
      </x:c>
      <x:c r="D160" s="20" t="str">
        <x:v>gross_earnings</x:v>
      </x:c>
      <x:c r="E160" s="22" t="n">
        <x:v>64858.37</x:v>
      </x:c>
      <x:c r="F160" s="22"/>
      <x:c r="G160" s="22" t="str">
        <x:f>IF(COUNT(E160,F160)=2,F160-E160,"")</x:f>
      </x:c>
      <x:c r="H160" s="20" t="str">
        <x:v>Candidate retained outside selected field</x:v>
      </x:c>
      <x:c r="I160" s="20" t="str">
        <x:v>https://arthursteven.com/reports/market/WEMA_BANK_PLC._FINANCIAL_STATEMENTS_MARCH_2019.pdf</x:v>
      </x:c>
      <x:c r="J160" s="20" t="str">
        <x:v>Prior source-selection policy retained; original evidence preserved in accompanying pack.</x:v>
      </x:c>
    </x:row>
    <x:row r="161" ht="52" customHeight="1">
      <x:c r="A161" s="18" t="str">
        <x:v>Uploaded CSV</x:v>
      </x:c>
      <x:c r="B161" s="18" t="str">
        <x:v>Wema</x:v>
      </x:c>
      <x:c r="C161" s="18" t="n">
        <x:v>2017</x:v>
      </x:c>
      <x:c r="D161" s="20" t="str">
        <x:v>assets</x:v>
      </x:c>
      <x:c r="E161" s="22" t="n">
        <x:v>385388.3</x:v>
      </x:c>
      <x:c r="F161" s="22" t="n">
        <x:v>384779.809</x:v>
      </x:c>
      <x:c r="G161" s="22" t="n">
        <x:f>IF(COUNT(E161,F161)=2,F161-E161,"")</x:f>
        <x:v>-608.49099999998</x:v>
      </x:c>
      <x:c r="H161" s="20" t="str">
        <x:v>Difference: retain selected source / definition</x:v>
      </x:c>
      <x:c r="I161" s="20" t="str">
        <x:v>https://arthursteven.com/reports/market/WEMA_BANK_PLC._FINANCIAL_STATEMENTS_MARCH_2019.pdf</x:v>
      </x:c>
      <x:c r="J161" s="20" t="str">
        <x:v>Prior source-selection policy retained; original evidence preserved in accompanying pack.</x:v>
      </x:c>
    </x:row>
    <x:row r="162" ht="52" customHeight="1">
      <x:c r="A162" s="18" t="str">
        <x:v>Uploaded CSV</x:v>
      </x:c>
      <x:c r="B162" s="18" t="str">
        <x:v>Wema</x:v>
      </x:c>
      <x:c r="C162" s="18" t="n">
        <x:v>2017</x:v>
      </x:c>
      <x:c r="D162" s="20" t="str">
        <x:v>gross_loans</x:v>
      </x:c>
      <x:c r="E162" s="22" t="n">
        <x:v>220076.03</x:v>
      </x:c>
      <x:c r="F162" s="22" t="n">
        <x:v>220076.031</x:v>
      </x:c>
      <x:c r="G162" s="22" t="n">
        <x:f>IF(COUNT(E162,F162)=2,F162-E162,"")</x:f>
        <x:v>0.0009999999892897904</x:v>
      </x:c>
      <x:c r="H162" s="20" t="str">
        <x:v>Rounding / presentation precision</x:v>
      </x:c>
      <x:c r="I162" s="20" t="str">
        <x:v>https://arthursteven.com/reports/market/WEMA_BANK_PLC._FINANCIAL_STATEMENTS_MARCH_2019.pdf</x:v>
      </x:c>
      <x:c r="J162" s="20" t="str">
        <x:v>Prior source-selection policy retained; original evidence preserved in accompanying pack.</x:v>
      </x:c>
    </x:row>
    <x:row r="163" ht="52" customHeight="1">
      <x:c r="A163" s="18" t="str">
        <x:v>Uploaded CSV</x:v>
      </x:c>
      <x:c r="B163" s="18" t="str">
        <x:v>Wema</x:v>
      </x:c>
      <x:c r="C163" s="18" t="n">
        <x:v>2017</x:v>
      </x:c>
      <x:c r="D163" s="20" t="str">
        <x:v>loan_allowance</x:v>
      </x:c>
      <x:c r="E163" s="22" t="n">
        <x:v>4236</x:v>
      </x:c>
      <x:c r="F163" s="22" t="n">
        <x:v>4236.001</x:v>
      </x:c>
      <x:c r="G163" s="22" t="n">
        <x:f>IF(COUNT(E163,F163)=2,F163-E163,"")</x:f>
        <x:v>0.0010000000002037268</x:v>
      </x:c>
      <x:c r="H163" s="20" t="str">
        <x:v>Rounding / presentation precision</x:v>
      </x:c>
      <x:c r="I163" s="20" t="str">
        <x:v>https://arthursteven.com/reports/market/WEMA_BANK_PLC._FINANCIAL_STATEMENTS_MARCH_2019.pdf</x:v>
      </x:c>
      <x:c r="J163" s="20" t="str">
        <x:v>Prior source-selection policy retained; original evidence preserved in accompanying pack.</x:v>
      </x:c>
    </x:row>
    <x:row r="164" ht="52" customHeight="1">
      <x:c r="A164" s="18" t="str">
        <x:v>Uploaded CSV</x:v>
      </x:c>
      <x:c r="B164" s="18" t="str">
        <x:v>Wema</x:v>
      </x:c>
      <x:c r="C164" s="18" t="n">
        <x:v>2017</x:v>
      </x:c>
      <x:c r="D164" s="20" t="str">
        <x:v>total_impairment</x:v>
      </x:c>
      <x:c r="E164" s="22" t="n">
        <x:v>2179.8</x:v>
      </x:c>
      <x:c r="F164" s="22" t="n">
        <x:v>2179.798</x:v>
      </x:c>
      <x:c r="G164" s="22" t="n">
        <x:f>IF(COUNT(E164,F164)=2,F164-E164,"")</x:f>
        <x:v>-0.0020000000004074536</x:v>
      </x:c>
      <x:c r="H164" s="20" t="str">
        <x:v>Rounding / presentation precision</x:v>
      </x:c>
      <x:c r="I164" s="20" t="str">
        <x:v>https://arthursteven.com/reports/market/WEMA_BANK_PLC._FINANCIAL_STATEMENTS_MARCH_2019.pdf</x:v>
      </x:c>
      <x:c r="J164" s="20" t="str">
        <x:v>Prior source-selection policy retained; original evidence preserved in accompanying pack.</x:v>
      </x:c>
    </x:row>
    <x:row r="165" ht="52" customHeight="1">
      <x:c r="A165" s="18" t="str">
        <x:v>Uploaded CSV</x:v>
      </x:c>
      <x:c r="B165" s="18" t="str">
        <x:v>Wema</x:v>
      </x:c>
      <x:c r="C165" s="18" t="n">
        <x:v>2017</x:v>
      </x:c>
      <x:c r="D165" s="20" t="str">
        <x:v>car</x:v>
      </x:c>
      <x:c r="E165" s="22" t="n">
        <x:v>14.32</x:v>
      </x:c>
      <x:c r="F165" s="22" t="n">
        <x:v>14.32</x:v>
      </x:c>
      <x:c r="G165" s="22" t="n">
        <x:f>IF(COUNT(E165,F165)=2,F165-E165,"")</x:f>
        <x:v>0</x:v>
      </x:c>
      <x:c r="H165" s="20" t="str">
        <x:v>Exact agreement</x:v>
      </x:c>
      <x:c r="I165" s="20" t="str">
        <x:v>https://arthursteven.com/reports/market/WEMA_BANK_PLC._FINANCIAL_STATEMENTS_MARCH_2019.pdf</x:v>
      </x:c>
      <x:c r="J165" s="20" t="str">
        <x:v>Prior source-selection policy retained; original evidence preserved in accompanying pack.</x:v>
      </x:c>
    </x:row>
    <x:row r="166" ht="52" customHeight="1">
      <x:c r="A166" s="18" t="str">
        <x:v>Uploaded CSV</x:v>
      </x:c>
      <x:c r="B166" s="18" t="str">
        <x:v>Wema</x:v>
      </x:c>
      <x:c r="C166" s="18" t="n">
        <x:v>2017</x:v>
      </x:c>
      <x:c r="D166" s="20" t="str">
        <x:v>npl_reported</x:v>
      </x:c>
      <x:c r="E166" s="22" t="n">
        <x:v>3.52</x:v>
      </x:c>
      <x:c r="F166" s="22" t="n">
        <x:v>3.52</x:v>
      </x:c>
      <x:c r="G166" s="22" t="n">
        <x:f>IF(COUNT(E166,F166)=2,F166-E166,"")</x:f>
        <x:v>0</x:v>
      </x:c>
      <x:c r="H166" s="20" t="str">
        <x:v>Exact agreement</x:v>
      </x:c>
      <x:c r="I166" s="20" t="str">
        <x:v>https://arthursteven.com/reports/market/WEMA_BANK_PLC._FINANCIAL_STATEMENTS_MARCH_2019.pdf</x:v>
      </x:c>
      <x:c r="J166" s="20" t="str">
        <x:v>Prior source-selection policy retained; original evidence preserved in accompanying pack.</x:v>
      </x:c>
    </x:row>
    <x:row r="167" ht="52" customHeight="1">
      <x:c r="A167" s="18" t="str">
        <x:v>Uploaded CSV</x:v>
      </x:c>
      <x:c r="B167" s="18" t="str">
        <x:v>Wema</x:v>
      </x:c>
      <x:c r="C167" s="18" t="n">
        <x:v>2017</x:v>
      </x:c>
      <x:c r="D167" s="20" t="str">
        <x:v>gcu</x:v>
      </x:c>
      <x:c r="E167" s="22" t="n">
        <x:v>0</x:v>
      </x:c>
      <x:c r="F167" s="22"/>
      <x:c r="G167" s="22" t="str">
        <x:f>IF(COUNT(E167,F167)=2,F167-E167,"")</x:f>
      </x:c>
      <x:c r="H167" s="20" t="str">
        <x:v>Candidate retained outside selected field</x:v>
      </x:c>
      <x:c r="I167" s="20" t="str">
        <x:v>https://arthursteven.com/reports/market/WEMA_BANK_PLC._FINANCIAL_STATEMENTS_MARCH_2019.pdf</x:v>
      </x:c>
      <x:c r="J167" s="20" t="str">
        <x:v>Prior source-selection policy retained; original evidence preserved in accompanying pack.</x:v>
      </x:c>
    </x:row>
    <x:row r="168" ht="52" customHeight="1">
      <x:c r="A168" s="18" t="str">
        <x:v>Uploaded CSV</x:v>
      </x:c>
      <x:c r="B168" s="18" t="str">
        <x:v>Wema</x:v>
      </x:c>
      <x:c r="C168" s="18" t="n">
        <x:v>2018</x:v>
      </x:c>
      <x:c r="D168" s="20" t="str">
        <x:v>pat</x:v>
      </x:c>
      <x:c r="E168" s="22"/>
      <x:c r="F168" s="22" t="n">
        <x:v>3359.259</x:v>
      </x:c>
      <x:c r="G168" s="22" t="str">
        <x:f>IF(COUNT(E168,F168)=2,F168-E168,"")</x:f>
      </x:c>
      <x:c r="H168" s="20" t="str">
        <x:v>Selected source fills uploaded blank</x:v>
      </x:c>
      <x:c r="I168" s="20" t="str">
        <x:v>https://arthursteven.com/reports/market/WEMA_BANK_PLC._FINANCIAL_STATEMENTS_MARCH_2019.pdf</x:v>
      </x:c>
      <x:c r="J168" s="20" t="str">
        <x:v>Prior source-selection policy retained; original evidence preserved in accompanying pack.</x:v>
      </x:c>
    </x:row>
    <x:row r="169" ht="52" customHeight="1">
      <x:c r="A169" s="18" t="str">
        <x:v>Uploaded CSV</x:v>
      </x:c>
      <x:c r="B169" s="18" t="str">
        <x:v>Wema</x:v>
      </x:c>
      <x:c r="C169" s="18" t="n">
        <x:v>2018</x:v>
      </x:c>
      <x:c r="D169" s="20" t="str">
        <x:v>assets</x:v>
      </x:c>
      <x:c r="E169" s="22"/>
      <x:c r="F169" s="22" t="n">
        <x:v>477915.742</x:v>
      </x:c>
      <x:c r="G169" s="22" t="str">
        <x:f>IF(COUNT(E169,F169)=2,F169-E169,"")</x:f>
      </x:c>
      <x:c r="H169" s="20" t="str">
        <x:v>Selected source fills uploaded blank</x:v>
      </x:c>
      <x:c r="I169" s="20" t="str">
        <x:v>https://arthursteven.com/reports/market/WEMA_BANK_PLC._FINANCIAL_STATEMENTS_MARCH_2019.pdf</x:v>
      </x:c>
      <x:c r="J169" s="20" t="str">
        <x:v>Prior source-selection policy retained; original evidence preserved in accompanying pack.</x:v>
      </x:c>
    </x:row>
    <x:row r="170" ht="52" customHeight="1">
      <x:c r="A170" s="18" t="str">
        <x:v>Uploaded CSV</x:v>
      </x:c>
      <x:c r="B170" s="18" t="str">
        <x:v>Wema</x:v>
      </x:c>
      <x:c r="C170" s="18" t="n">
        <x:v>2018</x:v>
      </x:c>
      <x:c r="D170" s="20" t="str">
        <x:v>gross_loans</x:v>
      </x:c>
      <x:c r="E170" s="22"/>
      <x:c r="F170" s="22" t="n">
        <x:v>261583.723</x:v>
      </x:c>
      <x:c r="G170" s="22" t="str">
        <x:f>IF(COUNT(E170,F170)=2,F170-E170,"")</x:f>
      </x:c>
      <x:c r="H170" s="20" t="str">
        <x:v>Selected source fills uploaded blank</x:v>
      </x:c>
      <x:c r="I170" s="20" t="str">
        <x:v>https://arthursteven.com/reports/market/WEMA_BANK_PLC._FINANCIAL_STATEMENTS_MARCH_2019.pdf</x:v>
      </x:c>
      <x:c r="J170" s="20" t="str">
        <x:v>Prior source-selection policy retained; original evidence preserved in accompanying pack.</x:v>
      </x:c>
    </x:row>
    <x:row r="171" ht="52" customHeight="1">
      <x:c r="A171" s="18" t="str">
        <x:v>Uploaded CSV</x:v>
      </x:c>
      <x:c r="B171" s="18" t="str">
        <x:v>Wema</x:v>
      </x:c>
      <x:c r="C171" s="18" t="n">
        <x:v>2018</x:v>
      </x:c>
      <x:c r="D171" s="20" t="str">
        <x:v>loan_allowance</x:v>
      </x:c>
      <x:c r="E171" s="22"/>
      <x:c r="F171" s="22" t="n">
        <x:v>9394.11</x:v>
      </x:c>
      <x:c r="G171" s="22" t="str">
        <x:f>IF(COUNT(E171,F171)=2,F171-E171,"")</x:f>
      </x:c>
      <x:c r="H171" s="20" t="str">
        <x:v>Selected source fills uploaded blank</x:v>
      </x:c>
      <x:c r="I171" s="20" t="str">
        <x:v>https://arthursteven.com/reports/market/WEMA_BANK_PLC._FINANCIAL_STATEMENTS_MARCH_2019.pdf</x:v>
      </x:c>
      <x:c r="J171" s="20" t="str">
        <x:v>Prior source-selection policy retained; original evidence preserved in accompanying pack.</x:v>
      </x:c>
    </x:row>
    <x:row r="172" ht="52" customHeight="1">
      <x:c r="A172" s="18" t="str">
        <x:v>Uploaded CSV</x:v>
      </x:c>
      <x:c r="B172" s="18" t="str">
        <x:v>Wema</x:v>
      </x:c>
      <x:c r="C172" s="18" t="n">
        <x:v>2018</x:v>
      </x:c>
      <x:c r="D172" s="20" t="str">
        <x:v>total_impairment</x:v>
      </x:c>
      <x:c r="E172" s="22"/>
      <x:c r="F172" s="22" t="n">
        <x:v>3510.537</x:v>
      </x:c>
      <x:c r="G172" s="22" t="str">
        <x:f>IF(COUNT(E172,F172)=2,F172-E172,"")</x:f>
      </x:c>
      <x:c r="H172" s="20" t="str">
        <x:v>Selected source fills uploaded blank</x:v>
      </x:c>
      <x:c r="I172" s="20" t="str">
        <x:v>https://arthursteven.com/reports/market/WEMA_BANK_PLC._FINANCIAL_STATEMENTS_MARCH_2019.pdf</x:v>
      </x:c>
      <x:c r="J172" s="20" t="str">
        <x:v>Prior source-selection policy retained; original evidence preserved in accompanying pack.</x:v>
      </x:c>
    </x:row>
    <x:row r="173" ht="52" customHeight="1">
      <x:c r="A173" s="18" t="str">
        <x:v>Uploaded CSV</x:v>
      </x:c>
      <x:c r="B173" s="18" t="str">
        <x:v>Wema</x:v>
      </x:c>
      <x:c r="C173" s="18" t="n">
        <x:v>2018</x:v>
      </x:c>
      <x:c r="D173" s="20" t="str">
        <x:v>car</x:v>
      </x:c>
      <x:c r="E173" s="22"/>
      <x:c r="F173" s="22" t="n">
        <x:v>18.01</x:v>
      </x:c>
      <x:c r="G173" s="22" t="str">
        <x:f>IF(COUNT(E173,F173)=2,F173-E173,"")</x:f>
      </x:c>
      <x:c r="H173" s="20" t="str">
        <x:v>Selected source fills uploaded blank</x:v>
      </x:c>
      <x:c r="I173" s="20" t="str">
        <x:v>https://arthursteven.com/reports/market/WEMA_BANK_PLC._FINANCIAL_STATEMENTS_MARCH_2019.pdf</x:v>
      </x:c>
      <x:c r="J173" s="20" t="str">
        <x:v>Prior source-selection policy retained; original evidence preserved in accompanying pack.</x:v>
      </x:c>
    </x:row>
    <x:row r="174" ht="52" customHeight="1">
      <x:c r="A174" s="18" t="str">
        <x:v>Uploaded CSV</x:v>
      </x:c>
      <x:c r="B174" s="18" t="str">
        <x:v>Wema</x:v>
      </x:c>
      <x:c r="C174" s="18" t="n">
        <x:v>2018</x:v>
      </x:c>
      <x:c r="D174" s="20" t="str">
        <x:v>npl_reported</x:v>
      </x:c>
      <x:c r="E174" s="22"/>
      <x:c r="F174" s="22" t="n">
        <x:v>4.98</x:v>
      </x:c>
      <x:c r="G174" s="22" t="str">
        <x:f>IF(COUNT(E174,F174)=2,F174-E174,"")</x:f>
      </x:c>
      <x:c r="H174" s="20" t="str">
        <x:v>Selected source fills uploaded blank</x:v>
      </x:c>
      <x:c r="I174" s="20" t="str">
        <x:v>https://arthursteven.com/reports/market/WEMA_BANK_PLC._FINANCIAL_STATEMENTS_MARCH_2019.pdf</x:v>
      </x:c>
      <x:c r="J174" s="20" t="str">
        <x:v>Prior source-selection policy retained; original evidence preserved in accompanying pack.</x:v>
      </x:c>
    </x:row>
    <x:row r="175" ht="52" customHeight="1">
      <x:c r="A175" s="18" t="str">
        <x:v>Uploaded CSV</x:v>
      </x:c>
      <x:c r="B175" s="18" t="str">
        <x:v>Wema</x:v>
      </x:c>
      <x:c r="C175" s="18" t="n">
        <x:v>2018</x:v>
      </x:c>
      <x:c r="D175" s="20" t="str">
        <x:v>gcu</x:v>
      </x:c>
      <x:c r="E175" s="22"/>
      <x:c r="F175" s="22" t="n">
        <x:v>0</x:v>
      </x:c>
      <x:c r="G175" s="22" t="str">
        <x:f>IF(COUNT(E175,F175)=2,F175-E175,"")</x:f>
      </x:c>
      <x:c r="H175" s="20" t="str">
        <x:v>Selected source fills uploaded blank</x:v>
      </x:c>
      <x:c r="I175" s="20" t="str">
        <x:v>https://arthursteven.com/reports/market/WEMA_BANK_PLC._FINANCIAL_STATEMENTS_MARCH_2019.pdf</x:v>
      </x:c>
      <x:c r="J175" s="20" t="str">
        <x:v>Prior source-selection policy retained; original evidence preserved in accompanying pack.</x:v>
      </x:c>
    </x:row>
    <x:row r="176" ht="52" customHeight="1">
      <x:c r="A176" s="18" t="str">
        <x:v>Uploaded CSV</x:v>
      </x:c>
      <x:c r="B176" s="18" t="str">
        <x:v>Wema</x:v>
      </x:c>
      <x:c r="C176" s="18" t="n">
        <x:v>2019</x:v>
      </x:c>
      <x:c r="D176" s="20" t="str">
        <x:v>pat</x:v>
      </x:c>
      <x:c r="E176" s="22" t="n">
        <x:v>5210.75</x:v>
      </x:c>
      <x:c r="F176" s="22" t="n">
        <x:v>5210.748</x:v>
      </x:c>
      <x:c r="G176" s="22" t="n">
        <x:f>IF(COUNT(E176,F176)=2,F176-E176,"")</x:f>
        <x:v>-0.0020000000004074536</x:v>
      </x:c>
      <x:c r="H176" s="20" t="str">
        <x:v>Rounding / presentation precision</x:v>
      </x:c>
      <x:c r="I176" s="20" t="str">
        <x:v>https://doclib.ngxgroup.com/Financial_NewsDocs/33124_WEMA_BANK_PLC%20_AUDITED_FINANCIAL_STATEMENT_FOR_2020_F.pdf</x:v>
      </x:c>
      <x:c r="J176" s="20" t="str">
        <x:v>Prior source-selection policy retained; original evidence preserved in accompanying pack.</x:v>
      </x:c>
    </x:row>
    <x:row r="177" ht="52" customHeight="1">
      <x:c r="A177" s="18" t="str">
        <x:v>Uploaded CSV</x:v>
      </x:c>
      <x:c r="B177" s="18" t="str">
        <x:v>Wema</x:v>
      </x:c>
      <x:c r="C177" s="18" t="n">
        <x:v>2019</x:v>
      </x:c>
      <x:c r="D177" s="20" t="str">
        <x:v>gross_earnings</x:v>
      </x:c>
      <x:c r="E177" s="22" t="n">
        <x:v>93389.81</x:v>
      </x:c>
      <x:c r="F177" s="22"/>
      <x:c r="G177" s="22" t="str">
        <x:f>IF(COUNT(E177,F177)=2,F177-E177,"")</x:f>
      </x:c>
      <x:c r="H177" s="20" t="str">
        <x:v>Candidate retained outside selected field</x:v>
      </x:c>
      <x:c r="I177" s="20" t="str">
        <x:v>https://doclib.ngxgroup.com/Financial_NewsDocs/33124_WEMA_BANK_PLC%20_AUDITED_FINANCIAL_STATEMENT_FOR_2020_F.pdf</x:v>
      </x:c>
      <x:c r="J177" s="20" t="str">
        <x:v>Prior source-selection policy retained; original evidence preserved in accompanying pack.</x:v>
      </x:c>
    </x:row>
    <x:row r="178" ht="52" customHeight="1">
      <x:c r="A178" s="18" t="str">
        <x:v>Uploaded CSV</x:v>
      </x:c>
      <x:c r="B178" s="18" t="str">
        <x:v>Wema</x:v>
      </x:c>
      <x:c r="C178" s="18" t="n">
        <x:v>2019</x:v>
      </x:c>
      <x:c r="D178" s="20" t="str">
        <x:v>assets</x:v>
      </x:c>
      <x:c r="E178" s="22" t="n">
        <x:v>704955.6</x:v>
      </x:c>
      <x:c r="F178" s="22" t="n">
        <x:v>704955.604</x:v>
      </x:c>
      <x:c r="G178" s="22" t="n">
        <x:f>IF(COUNT(E178,F178)=2,F178-E178,"")</x:f>
        <x:v>0.004000000073574483</x:v>
      </x:c>
      <x:c r="H178" s="20" t="str">
        <x:v>Rounding / presentation precision</x:v>
      </x:c>
      <x:c r="I178" s="20" t="str">
        <x:v>https://doclib.ngxgroup.com/Financial_NewsDocs/33124_WEMA_BANK_PLC%20_AUDITED_FINANCIAL_STATEMENT_FOR_2020_F.pdf</x:v>
      </x:c>
      <x:c r="J178" s="20" t="str">
        <x:v>Prior source-selection policy retained; original evidence preserved in accompanying pack.</x:v>
      </x:c>
    </x:row>
    <x:row r="179" ht="52" customHeight="1">
      <x:c r="A179" s="18" t="str">
        <x:v>Uploaded CSV</x:v>
      </x:c>
      <x:c r="B179" s="18" t="str">
        <x:v>Wema</x:v>
      </x:c>
      <x:c r="C179" s="18" t="n">
        <x:v>2019</x:v>
      </x:c>
      <x:c r="D179" s="20" t="str">
        <x:v>gross_loans</x:v>
      </x:c>
      <x:c r="E179" s="22" t="n">
        <x:v>301368.3</x:v>
      </x:c>
      <x:c r="F179" s="22" t="n">
        <x:v>301368.302</x:v>
      </x:c>
      <x:c r="G179" s="22" t="n">
        <x:f>IF(COUNT(E179,F179)=2,F179-E179,"")</x:f>
        <x:v>0.0020000000367872417</x:v>
      </x:c>
      <x:c r="H179" s="20" t="str">
        <x:v>Rounding / presentation precision</x:v>
      </x:c>
      <x:c r="I179" s="20" t="str">
        <x:v>https://doclib.ngxgroup.com/Financial_NewsDocs/33124_WEMA_BANK_PLC%20_AUDITED_FINANCIAL_STATEMENT_FOR_2020_F.pdf</x:v>
      </x:c>
      <x:c r="J179" s="20" t="str">
        <x:v>Prior source-selection policy retained; original evidence preserved in accompanying pack.</x:v>
      </x:c>
    </x:row>
    <x:row r="180" ht="52" customHeight="1">
      <x:c r="A180" s="18" t="str">
        <x:v>Uploaded CSV</x:v>
      </x:c>
      <x:c r="B180" s="18" t="str">
        <x:v>Wema</x:v>
      </x:c>
      <x:c r="C180" s="18" t="n">
        <x:v>2019</x:v>
      </x:c>
      <x:c r="D180" s="20" t="str">
        <x:v>loan_allowance</x:v>
      </x:c>
      <x:c r="E180" s="22" t="n">
        <x:v>12128.43</x:v>
      </x:c>
      <x:c r="F180" s="22" t="n">
        <x:v>12128.432</x:v>
      </x:c>
      <x:c r="G180" s="22" t="n">
        <x:f>IF(COUNT(E180,F180)=2,F180-E180,"")</x:f>
        <x:v>0.0020000000004074536</x:v>
      </x:c>
      <x:c r="H180" s="20" t="str">
        <x:v>Rounding / presentation precision</x:v>
      </x:c>
      <x:c r="I180" s="20" t="str">
        <x:v>https://doclib.ngxgroup.com/Financial_NewsDocs/33124_WEMA_BANK_PLC%20_AUDITED_FINANCIAL_STATEMENT_FOR_2020_F.pdf</x:v>
      </x:c>
      <x:c r="J180" s="20" t="str">
        <x:v>Prior source-selection policy retained; original evidence preserved in accompanying pack.</x:v>
      </x:c>
    </x:row>
    <x:row r="181" ht="52" customHeight="1">
      <x:c r="A181" s="18" t="str">
        <x:v>Uploaded CSV</x:v>
      </x:c>
      <x:c r="B181" s="18" t="str">
        <x:v>Wema</x:v>
      </x:c>
      <x:c r="C181" s="18" t="n">
        <x:v>2019</x:v>
      </x:c>
      <x:c r="D181" s="20" t="str">
        <x:v>total_impairment</x:v>
      </x:c>
      <x:c r="E181" s="22" t="n">
        <x:v>6130.6</x:v>
      </x:c>
      <x:c r="F181" s="22" t="n">
        <x:v>6130.6</x:v>
      </x:c>
      <x:c r="G181" s="22" t="n">
        <x:f>IF(COUNT(E181,F181)=2,F181-E181,"")</x:f>
        <x:v>0</x:v>
      </x:c>
      <x:c r="H181" s="20" t="str">
        <x:v>Exact agreement</x:v>
      </x:c>
      <x:c r="I181" s="20" t="str">
        <x:v>https://doclib.ngxgroup.com/Financial_NewsDocs/33124_WEMA_BANK_PLC%20_AUDITED_FINANCIAL_STATEMENT_FOR_2020_F.pdf</x:v>
      </x:c>
      <x:c r="J181" s="20" t="str">
        <x:v>Prior source-selection policy retained; original evidence preserved in accompanying pack.</x:v>
      </x:c>
    </x:row>
    <x:row r="182" ht="52" customHeight="1">
      <x:c r="A182" s="18" t="str">
        <x:v>Uploaded CSV</x:v>
      </x:c>
      <x:c r="B182" s="18" t="str">
        <x:v>Wema</x:v>
      </x:c>
      <x:c r="C182" s="18" t="n">
        <x:v>2019</x:v>
      </x:c>
      <x:c r="D182" s="20" t="str">
        <x:v>car</x:v>
      </x:c>
      <x:c r="E182" s="22" t="n">
        <x:v>13.6</x:v>
      </x:c>
      <x:c r="F182" s="22" t="n">
        <x:v>13.6</x:v>
      </x:c>
      <x:c r="G182" s="22" t="n">
        <x:f>IF(COUNT(E182,F182)=2,F182-E182,"")</x:f>
        <x:v>0</x:v>
      </x:c>
      <x:c r="H182" s="20" t="str">
        <x:v>Exact agreement</x:v>
      </x:c>
      <x:c r="I182" s="20" t="str">
        <x:v>https://doclib.ngxgroup.com/Financial_NewsDocs/33124_WEMA_BANK_PLC%20_AUDITED_FINANCIAL_STATEMENT_FOR_2020_F.pdf</x:v>
      </x:c>
      <x:c r="J182" s="20" t="str">
        <x:v>Prior source-selection policy retained; original evidence preserved in accompanying pack.</x:v>
      </x:c>
    </x:row>
    <x:row r="183" ht="52" customHeight="1">
      <x:c r="A183" s="18" t="str">
        <x:v>Uploaded CSV</x:v>
      </x:c>
      <x:c r="B183" s="18" t="str">
        <x:v>Wema</x:v>
      </x:c>
      <x:c r="C183" s="18" t="n">
        <x:v>2019</x:v>
      </x:c>
      <x:c r="D183" s="20" t="str">
        <x:v>npl_reported</x:v>
      </x:c>
      <x:c r="E183" s="22" t="n">
        <x:v>7.38</x:v>
      </x:c>
      <x:c r="F183" s="22"/>
      <x:c r="G183" s="22" t="str">
        <x:f>IF(COUNT(E183,F183)=2,F183-E183,"")</x:f>
      </x:c>
      <x:c r="H183" s="20" t="str">
        <x:v>Candidate retained outside selected field</x:v>
      </x:c>
      <x:c r="I183" s="20" t="str">
        <x:v>https://doclib.ngxgroup.com/Financial_NewsDocs/33124_WEMA_BANK_PLC%20_AUDITED_FINANCIAL_STATEMENT_FOR_2020_F.pdf</x:v>
      </x:c>
      <x:c r="J183" s="20" t="str">
        <x:v>Prior source-selection policy retained; original evidence preserved in accompanying pack.</x:v>
      </x:c>
    </x:row>
    <x:row r="184" ht="52" customHeight="1">
      <x:c r="A184" s="18" t="str">
        <x:v>Uploaded CSV</x:v>
      </x:c>
      <x:c r="B184" s="18" t="str">
        <x:v>Wema</x:v>
      </x:c>
      <x:c r="C184" s="18" t="n">
        <x:v>2019</x:v>
      </x:c>
      <x:c r="D184" s="20" t="str">
        <x:v>gcu</x:v>
      </x:c>
      <x:c r="E184" s="22" t="n">
        <x:v>0</x:v>
      </x:c>
      <x:c r="F184" s="22"/>
      <x:c r="G184" s="22" t="str">
        <x:f>IF(COUNT(E184,F184)=2,F184-E184,"")</x:f>
      </x:c>
      <x:c r="H184" s="20" t="str">
        <x:v>Candidate retained outside selected field</x:v>
      </x:c>
      <x:c r="I184" s="20" t="str">
        <x:v>https://doclib.ngxgroup.com/Financial_NewsDocs/33124_WEMA_BANK_PLC%20_AUDITED_FINANCIAL_STATEMENT_FOR_2020_F.pdf</x:v>
      </x:c>
      <x:c r="J184" s="20" t="str">
        <x:v>Prior source-selection policy retained; original evidence preserved in accompanying pack.</x:v>
      </x:c>
    </x:row>
    <x:row r="185" ht="52" customHeight="1">
      <x:c r="A185" s="18" t="str">
        <x:v>Uploaded CSV</x:v>
      </x:c>
      <x:c r="B185" s="18" t="str">
        <x:v>Wema</x:v>
      </x:c>
      <x:c r="C185" s="18" t="n">
        <x:v>2020</x:v>
      </x:c>
      <x:c r="D185" s="20" t="str">
        <x:v>pat</x:v>
      </x:c>
      <x:c r="E185" s="22" t="n">
        <x:v>4592.22</x:v>
      </x:c>
      <x:c r="F185" s="22" t="n">
        <x:v>4592.217</x:v>
      </x:c>
      <x:c r="G185" s="22" t="n">
        <x:f>IF(COUNT(E185,F185)=2,F185-E185,"")</x:f>
        <x:v>-0.0030000000006111804</x:v>
      </x:c>
      <x:c r="H185" s="20" t="str">
        <x:v>Rounding / presentation precision</x:v>
      </x:c>
      <x:c r="I185" s="20" t="str">
        <x:v>https://doclib.ngxgroup.com/Financial_NewsDocs/33124_WEMA_BANK_PLC%20_AUDITED_FINANCIAL_STATEMENT_FOR_2020_F.pdf</x:v>
      </x:c>
      <x:c r="J185" s="20" t="str">
        <x:v>Prior source-selection policy retained; original evidence preserved in accompanying pack.</x:v>
      </x:c>
    </x:row>
    <x:row r="186" ht="52" customHeight="1">
      <x:c r="A186" s="18" t="str">
        <x:v>Uploaded CSV</x:v>
      </x:c>
      <x:c r="B186" s="18" t="str">
        <x:v>Wema</x:v>
      </x:c>
      <x:c r="C186" s="18" t="n">
        <x:v>2020</x:v>
      </x:c>
      <x:c r="D186" s="20" t="str">
        <x:v>gross_earnings</x:v>
      </x:c>
      <x:c r="E186" s="22" t="n">
        <x:v>79876.99</x:v>
      </x:c>
      <x:c r="F186" s="22"/>
      <x:c r="G186" s="22" t="str">
        <x:f>IF(COUNT(E186,F186)=2,F186-E186,"")</x:f>
      </x:c>
      <x:c r="H186" s="20" t="str">
        <x:v>Candidate retained outside selected field</x:v>
      </x:c>
      <x:c r="I186" s="20" t="str">
        <x:v>https://doclib.ngxgroup.com/Financial_NewsDocs/33124_WEMA_BANK_PLC%20_AUDITED_FINANCIAL_STATEMENT_FOR_2020_F.pdf</x:v>
      </x:c>
      <x:c r="J186" s="20" t="str">
        <x:v>Prior source-selection policy retained; original evidence preserved in accompanying pack.</x:v>
      </x:c>
    </x:row>
    <x:row r="187" ht="52" customHeight="1">
      <x:c r="A187" s="18" t="str">
        <x:v>Uploaded CSV</x:v>
      </x:c>
      <x:c r="B187" s="18" t="str">
        <x:v>Wema</x:v>
      </x:c>
      <x:c r="C187" s="18" t="n">
        <x:v>2020</x:v>
      </x:c>
      <x:c r="D187" s="20" t="str">
        <x:v>assets</x:v>
      </x:c>
      <x:c r="E187" s="22" t="n">
        <x:v>968582.08</x:v>
      </x:c>
      <x:c r="F187" s="22" t="n">
        <x:v>968582.084</x:v>
      </x:c>
      <x:c r="G187" s="22" t="n">
        <x:f>IF(COUNT(E187,F187)=2,F187-E187,"")</x:f>
        <x:v>0.004000000073574483</x:v>
      </x:c>
      <x:c r="H187" s="20" t="str">
        <x:v>Rounding / presentation precision</x:v>
      </x:c>
      <x:c r="I187" s="20" t="str">
        <x:v>https://doclib.ngxgroup.com/Financial_NewsDocs/33124_WEMA_BANK_PLC%20_AUDITED_FINANCIAL_STATEMENT_FOR_2020_F.pdf</x:v>
      </x:c>
      <x:c r="J187" s="20" t="str">
        <x:v>Prior source-selection policy retained; original evidence preserved in accompanying pack.</x:v>
      </x:c>
    </x:row>
    <x:row r="188" ht="52" customHeight="1">
      <x:c r="A188" s="18" t="str">
        <x:v>Uploaded CSV</x:v>
      </x:c>
      <x:c r="B188" s="18" t="str">
        <x:v>Wema</x:v>
      </x:c>
      <x:c r="C188" s="18" t="n">
        <x:v>2020</x:v>
      </x:c>
      <x:c r="D188" s="20" t="str">
        <x:v>gross_loans</x:v>
      </x:c>
      <x:c r="E188" s="22" t="n">
        <x:v>375039.66</x:v>
      </x:c>
      <x:c r="F188" s="22" t="n">
        <x:v>375039.658</x:v>
      </x:c>
      <x:c r="G188" s="22" t="n">
        <x:f>IF(COUNT(E188,F188)=2,F188-E188,"")</x:f>
        <x:v>-0.001999999978579581</x:v>
      </x:c>
      <x:c r="H188" s="20" t="str">
        <x:v>Rounding / presentation precision</x:v>
      </x:c>
      <x:c r="I188" s="20" t="str">
        <x:v>https://doclib.ngxgroup.com/Financial_NewsDocs/33124_WEMA_BANK_PLC%20_AUDITED_FINANCIAL_STATEMENT_FOR_2020_F.pdf</x:v>
      </x:c>
      <x:c r="J188" s="20" t="str">
        <x:v>Prior source-selection policy retained; original evidence preserved in accompanying pack.</x:v>
      </x:c>
    </x:row>
    <x:row r="189" ht="52" customHeight="1">
      <x:c r="A189" s="18" t="str">
        <x:v>Uploaded CSV</x:v>
      </x:c>
      <x:c r="B189" s="18" t="str">
        <x:v>Wema</x:v>
      </x:c>
      <x:c r="C189" s="18" t="n">
        <x:v>2020</x:v>
      </x:c>
      <x:c r="D189" s="20" t="str">
        <x:v>loan_allowance</x:v>
      </x:c>
      <x:c r="E189" s="22" t="n">
        <x:v>14963.58</x:v>
      </x:c>
      <x:c r="F189" s="22" t="n">
        <x:v>14963.578</x:v>
      </x:c>
      <x:c r="G189" s="22" t="n">
        <x:f>IF(COUNT(E189,F189)=2,F189-E189,"")</x:f>
        <x:v>-0.0020000000004074536</x:v>
      </x:c>
      <x:c r="H189" s="20" t="str">
        <x:v>Rounding / presentation precision</x:v>
      </x:c>
      <x:c r="I189" s="20" t="str">
        <x:v>https://doclib.ngxgroup.com/Financial_NewsDocs/33124_WEMA_BANK_PLC%20_AUDITED_FINANCIAL_STATEMENT_FOR_2020_F.pdf</x:v>
      </x:c>
      <x:c r="J189" s="20" t="str">
        <x:v>Prior source-selection policy retained; original evidence preserved in accompanying pack.</x:v>
      </x:c>
    </x:row>
    <x:row r="190" ht="52" customHeight="1">
      <x:c r="A190" s="18" t="str">
        <x:v>Uploaded CSV</x:v>
      </x:c>
      <x:c r="B190" s="18" t="str">
        <x:v>Wema</x:v>
      </x:c>
      <x:c r="C190" s="18" t="n">
        <x:v>2020</x:v>
      </x:c>
      <x:c r="D190" s="20" t="str">
        <x:v>total_impairment</x:v>
      </x:c>
      <x:c r="E190" s="22" t="n">
        <x:v>5635.17</x:v>
      </x:c>
      <x:c r="F190" s="22" t="n">
        <x:v>5635.165</x:v>
      </x:c>
      <x:c r="G190" s="22" t="n">
        <x:f>IF(COUNT(E190,F190)=2,F190-E190,"")</x:f>
        <x:v>-0.005000000000109139</x:v>
      </x:c>
      <x:c r="H190" s="20" t="str">
        <x:v>Rounding / presentation precision</x:v>
      </x:c>
      <x:c r="I190" s="20" t="str">
        <x:v>https://doclib.ngxgroup.com/Financial_NewsDocs/33124_WEMA_BANK_PLC%20_AUDITED_FINANCIAL_STATEMENT_FOR_2020_F.pdf</x:v>
      </x:c>
      <x:c r="J190" s="20" t="str">
        <x:v>Prior source-selection policy retained; original evidence preserved in accompanying pack.</x:v>
      </x:c>
    </x:row>
    <x:row r="191" ht="52" customHeight="1">
      <x:c r="A191" s="18" t="str">
        <x:v>Uploaded CSV</x:v>
      </x:c>
      <x:c r="B191" s="18" t="str">
        <x:v>Wema</x:v>
      </x:c>
      <x:c r="C191" s="18" t="n">
        <x:v>2020</x:v>
      </x:c>
      <x:c r="D191" s="20" t="str">
        <x:v>car</x:v>
      </x:c>
      <x:c r="E191" s="22" t="n">
        <x:v>15.01</x:v>
      </x:c>
      <x:c r="F191" s="22" t="n">
        <x:v>15.01</x:v>
      </x:c>
      <x:c r="G191" s="22" t="n">
        <x:f>IF(COUNT(E191,F191)=2,F191-E191,"")</x:f>
        <x:v>0</x:v>
      </x:c>
      <x:c r="H191" s="20" t="str">
        <x:v>Exact agreement</x:v>
      </x:c>
      <x:c r="I191" s="20" t="str">
        <x:v>https://doclib.ngxgroup.com/Financial_NewsDocs/33124_WEMA_BANK_PLC%20_AUDITED_FINANCIAL_STATEMENT_FOR_2020_F.pdf</x:v>
      </x:c>
      <x:c r="J191" s="20" t="str">
        <x:v>Prior source-selection policy retained; original evidence preserved in accompanying pack.</x:v>
      </x:c>
    </x:row>
    <x:row r="192" ht="52" customHeight="1">
      <x:c r="A192" s="18" t="str">
        <x:v>Uploaded CSV</x:v>
      </x:c>
      <x:c r="B192" s="18" t="str">
        <x:v>Wema</x:v>
      </x:c>
      <x:c r="C192" s="18" t="n">
        <x:v>2020</x:v>
      </x:c>
      <x:c r="D192" s="20" t="str">
        <x:v>npl_reported</x:v>
      </x:c>
      <x:c r="E192" s="22" t="n">
        <x:v>4.69</x:v>
      </x:c>
      <x:c r="F192" s="22"/>
      <x:c r="G192" s="22" t="str">
        <x:f>IF(COUNT(E192,F192)=2,F192-E192,"")</x:f>
      </x:c>
      <x:c r="H192" s="20" t="str">
        <x:v>Candidate retained outside selected field</x:v>
      </x:c>
      <x:c r="I192" s="20" t="str">
        <x:v>https://doclib.ngxgroup.com/Financial_NewsDocs/33124_WEMA_BANK_PLC%20_AUDITED_FINANCIAL_STATEMENT_FOR_2020_F.pdf</x:v>
      </x:c>
      <x:c r="J192" s="20" t="str">
        <x:v>Prior source-selection policy retained; original evidence preserved in accompanying pack.</x:v>
      </x:c>
    </x:row>
    <x:row r="193" ht="52" customHeight="1">
      <x:c r="A193" s="18" t="str">
        <x:v>Uploaded CSV</x:v>
      </x:c>
      <x:c r="B193" s="18" t="str">
        <x:v>Wema</x:v>
      </x:c>
      <x:c r="C193" s="18" t="n">
        <x:v>2020</x:v>
      </x:c>
      <x:c r="D193" s="20" t="str">
        <x:v>gcu</x:v>
      </x:c>
      <x:c r="E193" s="22" t="n">
        <x:v>0</x:v>
      </x:c>
      <x:c r="F193" s="22"/>
      <x:c r="G193" s="22" t="str">
        <x:f>IF(COUNT(E193,F193)=2,F193-E193,"")</x:f>
      </x:c>
      <x:c r="H193" s="20" t="str">
        <x:v>Candidate retained outside selected field</x:v>
      </x:c>
      <x:c r="I193" s="20" t="str">
        <x:v>https://doclib.ngxgroup.com/Financial_NewsDocs/33124_WEMA_BANK_PLC%20_AUDITED_FINANCIAL_STATEMENT_FOR_2020_F.pdf</x:v>
      </x:c>
      <x:c r="J193" s="20" t="str">
        <x:v>Prior source-selection policy retained; original evidence preserved in accompanying pack.</x:v>
      </x:c>
    </x:row>
    <x:row r="194" ht="52" customHeight="1">
      <x:c r="A194" s="18" t="str">
        <x:v>Uploaded CSV</x:v>
      </x:c>
      <x:c r="B194" s="18" t="str">
        <x:v>Wema</x:v>
      </x:c>
      <x:c r="C194" s="18" t="n">
        <x:v>2022</x:v>
      </x:c>
      <x:c r="D194" s="20" t="str">
        <x:v>pat</x:v>
      </x:c>
      <x:c r="E194" s="22" t="n">
        <x:v>11214</x:v>
      </x:c>
      <x:c r="F194" s="22" t="n">
        <x:v>11214.027</x:v>
      </x:c>
      <x:c r="G194" s="22" t="n">
        <x:f>IF(COUNT(E194,F194)=2,F194-E194,"")</x:f>
        <x:v>0.027000000000043656</x:v>
      </x:c>
      <x:c r="H194" s="20" t="str">
        <x:v>Rounding / presentation precision</x:v>
      </x:c>
      <x:c r="I194" s="20" t="str">
        <x:v>https://doclib.ngxgroup.com/Financial_NewsDocs/40841_WEMA_BANK_PLC.-_QUARTER_5_-_FINANCIAL_STATEMENT_FOR_2023_FINANCIAL_STATEMENTS_APRIL_2024.pdf</x:v>
      </x:c>
      <x:c r="J194" s="20" t="str">
        <x:v>Prior source-selection policy retained; original evidence preserved in accompanying pack.</x:v>
      </x:c>
    </x:row>
    <x:row r="195" ht="52" customHeight="1">
      <x:c r="A195" s="18" t="str">
        <x:v>Uploaded CSV</x:v>
      </x:c>
      <x:c r="B195" s="18" t="str">
        <x:v>Wema</x:v>
      </x:c>
      <x:c r="C195" s="18" t="n">
        <x:v>2022</x:v>
      </x:c>
      <x:c r="D195" s="20" t="str">
        <x:v>gross_earnings</x:v>
      </x:c>
      <x:c r="E195" s="22" t="n">
        <x:v>131083</x:v>
      </x:c>
      <x:c r="F195" s="22"/>
      <x:c r="G195" s="22" t="str">
        <x:f>IF(COUNT(E195,F195)=2,F195-E195,"")</x:f>
      </x:c>
      <x:c r="H195" s="20" t="str">
        <x:v>Candidate retained outside selected field</x:v>
      </x:c>
      <x:c r="I195" s="20" t="str">
        <x:v>https://doclib.ngxgroup.com/Financial_NewsDocs/40841_WEMA_BANK_PLC.-_QUARTER_5_-_FINANCIAL_STATEMENT_FOR_2023_FINANCIAL_STATEMENTS_APRIL_2024.pdf</x:v>
      </x:c>
      <x:c r="J195" s="20" t="str">
        <x:v>Prior source-selection policy retained; original evidence preserved in accompanying pack.</x:v>
      </x:c>
    </x:row>
    <x:row r="196" ht="52" customHeight="1">
      <x:c r="A196" s="18" t="str">
        <x:v>Uploaded CSV</x:v>
      </x:c>
      <x:c r="B196" s="18" t="str">
        <x:v>Wema</x:v>
      </x:c>
      <x:c r="C196" s="18" t="n">
        <x:v>2022</x:v>
      </x:c>
      <x:c r="D196" s="20" t="str">
        <x:v>assets</x:v>
      </x:c>
      <x:c r="E196" s="22" t="n">
        <x:v>1433704</x:v>
      </x:c>
      <x:c r="F196" s="22" t="n">
        <x:v>1433703.656</x:v>
      </x:c>
      <x:c r="G196" s="22" t="n">
        <x:f>IF(COUNT(E196,F196)=2,F196-E196,"")</x:f>
        <x:v>-0.3440000000409782</x:v>
      </x:c>
      <x:c r="H196" s="20" t="str">
        <x:v>Rounding / presentation precision</x:v>
      </x:c>
      <x:c r="I196" s="20" t="str">
        <x:v>https://doclib.ngxgroup.com/Financial_NewsDocs/40841_WEMA_BANK_PLC.-_QUARTER_5_-_FINANCIAL_STATEMENT_FOR_2023_FINANCIAL_STATEMENTS_APRIL_2024.pdf</x:v>
      </x:c>
      <x:c r="J196" s="20" t="str">
        <x:v>Prior source-selection policy retained; original evidence preserved in accompanying pack.</x:v>
      </x:c>
    </x:row>
    <x:row r="197" ht="52" customHeight="1">
      <x:c r="A197" s="18" t="str">
        <x:v>Uploaded CSV</x:v>
      </x:c>
      <x:c r="B197" s="18" t="str">
        <x:v>Wema</x:v>
      </x:c>
      <x:c r="C197" s="18" t="n">
        <x:v>2022</x:v>
      </x:c>
      <x:c r="D197" s="20" t="str">
        <x:v>gross_loans</x:v>
      </x:c>
      <x:c r="E197" s="22" t="n">
        <x:v>539372</x:v>
      </x:c>
      <x:c r="F197" s="22" t="n">
        <x:v>539372.013</x:v>
      </x:c>
      <x:c r="G197" s="22" t="n">
        <x:f>IF(COUNT(E197,F197)=2,F197-E197,"")</x:f>
        <x:v>0.013000000035390258</x:v>
      </x:c>
      <x:c r="H197" s="20" t="str">
        <x:v>Rounding / presentation precision</x:v>
      </x:c>
      <x:c r="I197" s="20" t="str">
        <x:v>https://doclib.ngxgroup.com/Financial_NewsDocs/40841_WEMA_BANK_PLC.-_QUARTER_5_-_FINANCIAL_STATEMENT_FOR_2023_FINANCIAL_STATEMENTS_APRIL_2024.pdf</x:v>
      </x:c>
      <x:c r="J197" s="20" t="str">
        <x:v>Prior source-selection policy retained; original evidence preserved in accompanying pack.</x:v>
      </x:c>
    </x:row>
    <x:row r="198" ht="52" customHeight="1">
      <x:c r="A198" s="18" t="str">
        <x:v>Uploaded CSV</x:v>
      </x:c>
      <x:c r="B198" s="18" t="str">
        <x:v>Wema</x:v>
      </x:c>
      <x:c r="C198" s="18" t="n">
        <x:v>2022</x:v>
      </x:c>
      <x:c r="D198" s="20" t="str">
        <x:v>loan_allowance</x:v>
      </x:c>
      <x:c r="E198" s="22" t="n">
        <x:v>17941</x:v>
      </x:c>
      <x:c r="F198" s="22" t="n">
        <x:v>17941.317</x:v>
      </x:c>
      <x:c r="G198" s="22" t="n">
        <x:f>IF(COUNT(E198,F198)=2,F198-E198,"")</x:f>
        <x:v>0.3169999999990978</x:v>
      </x:c>
      <x:c r="H198" s="20" t="str">
        <x:v>Rounding / presentation precision</x:v>
      </x:c>
      <x:c r="I198" s="20" t="str">
        <x:v>https://doclib.ngxgroup.com/Financial_NewsDocs/40841_WEMA_BANK_PLC.-_QUARTER_5_-_FINANCIAL_STATEMENT_FOR_2023_FINANCIAL_STATEMENTS_APRIL_2024.pdf</x:v>
      </x:c>
      <x:c r="J198" s="20" t="str">
        <x:v>Prior source-selection policy retained; original evidence preserved in accompanying pack.</x:v>
      </x:c>
    </x:row>
    <x:row r="199" ht="52" customHeight="1">
      <x:c r="A199" s="18" t="str">
        <x:v>Uploaded CSV</x:v>
      </x:c>
      <x:c r="B199" s="18" t="str">
        <x:v>Wema</x:v>
      </x:c>
      <x:c r="C199" s="18" t="n">
        <x:v>2022</x:v>
      </x:c>
      <x:c r="D199" s="20" t="str">
        <x:v>total_impairment</x:v>
      </x:c>
      <x:c r="E199" s="22" t="n">
        <x:v>4808</x:v>
      </x:c>
      <x:c r="F199" s="22" t="n">
        <x:v>4762.274</x:v>
      </x:c>
      <x:c r="G199" s="22" t="n">
        <x:f>IF(COUNT(E199,F199)=2,F199-E199,"")</x:f>
        <x:v>-45.72599999999966</x:v>
      </x:c>
      <x:c r="H199" s="20" t="str">
        <x:v>Difference: retain selected source / definition</x:v>
      </x:c>
      <x:c r="I199" s="20" t="str">
        <x:v>https://doclib.ngxgroup.com/Financial_NewsDocs/40841_WEMA_BANK_PLC.-_QUARTER_5_-_FINANCIAL_STATEMENT_FOR_2023_FINANCIAL_STATEMENTS_APRIL_2024.pdf</x:v>
      </x:c>
      <x:c r="J199" s="20" t="str">
        <x:v>Prior source-selection policy retained; original evidence preserved in accompanying pack.</x:v>
      </x:c>
    </x:row>
    <x:row r="200" ht="52" customHeight="1">
      <x:c r="A200" s="18" t="str">
        <x:v>Uploaded CSV</x:v>
      </x:c>
      <x:c r="B200" s="18" t="str">
        <x:v>Wema</x:v>
      </x:c>
      <x:c r="C200" s="18" t="n">
        <x:v>2022</x:v>
      </x:c>
      <x:c r="D200" s="20" t="str">
        <x:v>car</x:v>
      </x:c>
      <x:c r="E200" s="22" t="n">
        <x:v>12.74</x:v>
      </x:c>
      <x:c r="F200" s="22" t="n">
        <x:v>12.74</x:v>
      </x:c>
      <x:c r="G200" s="22" t="n">
        <x:f>IF(COUNT(E200,F200)=2,F200-E200,"")</x:f>
        <x:v>0</x:v>
      </x:c>
      <x:c r="H200" s="20" t="str">
        <x:v>Exact agreement</x:v>
      </x:c>
      <x:c r="I200" s="20" t="str">
        <x:v>https://doclib.ngxgroup.com/Financial_NewsDocs/40841_WEMA_BANK_PLC.-_QUARTER_5_-_FINANCIAL_STATEMENT_FOR_2023_FINANCIAL_STATEMENTS_APRIL_2024.pdf</x:v>
      </x:c>
      <x:c r="J200" s="20" t="str">
        <x:v>Prior source-selection policy retained; original evidence preserved in accompanying pack.</x:v>
      </x:c>
    </x:row>
    <x:row r="201" ht="52" customHeight="1">
      <x:c r="A201" s="18" t="str">
        <x:v>Uploaded CSV</x:v>
      </x:c>
      <x:c r="B201" s="18" t="str">
        <x:v>Wema</x:v>
      </x:c>
      <x:c r="C201" s="18" t="n">
        <x:v>2022</x:v>
      </x:c>
      <x:c r="D201" s="20" t="str">
        <x:v>npl_reported</x:v>
      </x:c>
      <x:c r="E201" s="22" t="n">
        <x:v>6.08</x:v>
      </x:c>
      <x:c r="F201" s="22"/>
      <x:c r="G201" s="22" t="str">
        <x:f>IF(COUNT(E201,F201)=2,F201-E201,"")</x:f>
      </x:c>
      <x:c r="H201" s="20" t="str">
        <x:v>Candidate retained outside selected field</x:v>
      </x:c>
      <x:c r="I201" s="20" t="str">
        <x:v>https://doclib.ngxgroup.com/Financial_NewsDocs/40841_WEMA_BANK_PLC.-_QUARTER_5_-_FINANCIAL_STATEMENT_FOR_2023_FINANCIAL_STATEMENTS_APRIL_2024.pdf</x:v>
      </x:c>
      <x:c r="J201" s="20" t="str">
        <x:v>Prior source-selection policy retained; original evidence preserved in accompanying pack.</x:v>
      </x:c>
    </x:row>
    <x:row r="202" ht="52" customHeight="1">
      <x:c r="A202" s="18" t="str">
        <x:v>Uploaded CSV</x:v>
      </x:c>
      <x:c r="B202" s="18" t="str">
        <x:v>Wema</x:v>
      </x:c>
      <x:c r="C202" s="18" t="n">
        <x:v>2022</x:v>
      </x:c>
      <x:c r="D202" s="20" t="str">
        <x:v>gcu</x:v>
      </x:c>
      <x:c r="E202" s="22" t="n">
        <x:v>0</x:v>
      </x:c>
      <x:c r="F202" s="22"/>
      <x:c r="G202" s="22" t="str">
        <x:f>IF(COUNT(E202,F202)=2,F202-E202,"")</x:f>
      </x:c>
      <x:c r="H202" s="20" t="str">
        <x:v>Candidate retained outside selected field</x:v>
      </x:c>
      <x:c r="I202" s="20" t="str">
        <x:v>https://doclib.ngxgroup.com/Financial_NewsDocs/40841_WEMA_BANK_PLC.-_QUARTER_5_-_FINANCIAL_STATEMENT_FOR_2023_FINANCIAL_STATEMENTS_APRIL_2024.pdf</x:v>
      </x:c>
      <x:c r="J202" s="20" t="str">
        <x:v>Prior source-selection policy retained; original evidence preserved in accompanying pack.</x:v>
      </x:c>
    </x:row>
    <x:row r="203" ht="52" customHeight="1">
      <x:c r="A203" s="18" t="str">
        <x:v>Uploaded CSV</x:v>
      </x:c>
      <x:c r="B203" s="18" t="str">
        <x:v>Ecobank Nigeria</x:v>
      </x:c>
      <x:c r="C203" s="18" t="n">
        <x:v>2016</x:v>
      </x:c>
      <x:c r="D203" s="20" t="str">
        <x:v>pat</x:v>
      </x:c>
      <x:c r="E203" s="22" t="n">
        <x:v>5780</x:v>
      </x:c>
      <x:c r="F203" s="22" t="n">
        <x:v>5780</x:v>
      </x:c>
      <x:c r="G203" s="22" t="n">
        <x:f>IF(COUNT(E203,F203)=2,F203-E203,"")</x:f>
        <x:v>0</x:v>
      </x:c>
      <x:c r="H203" s="20" t="str">
        <x:v>Exact agreement</x:v>
      </x:c>
      <x:c r="I203" s="20" t="str">
        <x:v>https://www.financialafrik.com/wp-content/uploads/2018/05/FINANCIAL_STATEMENT_EBN_2017-2.pdf</x:v>
      </x:c>
      <x:c r="J203" s="20" t="str">
        <x:v>Prior source-selection policy retained; original evidence preserved in accompanying pack.</x:v>
      </x:c>
    </x:row>
    <x:row r="204" ht="52" customHeight="1">
      <x:c r="A204" s="18" t="str">
        <x:v>Uploaded CSV</x:v>
      </x:c>
      <x:c r="B204" s="18" t="str">
        <x:v>Ecobank Nigeria</x:v>
      </x:c>
      <x:c r="C204" s="18" t="n">
        <x:v>2016</x:v>
      </x:c>
      <x:c r="D204" s="20" t="str">
        <x:v>gross_earnings</x:v>
      </x:c>
      <x:c r="E204" s="22" t="n">
        <x:v>259584</x:v>
      </x:c>
      <x:c r="F204" s="22"/>
      <x:c r="G204" s="22" t="str">
        <x:f>IF(COUNT(E204,F204)=2,F204-E204,"")</x:f>
      </x:c>
      <x:c r="H204" s="20" t="str">
        <x:v>Candidate retained outside selected field</x:v>
      </x:c>
      <x:c r="I204" s="20" t="str">
        <x:v>https://www.financialafrik.com/wp-content/uploads/2018/05/FINANCIAL_STATEMENT_EBN_2017-2.pdf</x:v>
      </x:c>
      <x:c r="J204" s="20" t="str">
        <x:v>Prior source-selection policy retained; original evidence preserved in accompanying pack.</x:v>
      </x:c>
    </x:row>
    <x:row r="205" ht="52" customHeight="1">
      <x:c r="A205" s="18" t="str">
        <x:v>Uploaded CSV</x:v>
      </x:c>
      <x:c r="B205" s="18" t="str">
        <x:v>Ecobank Nigeria</x:v>
      </x:c>
      <x:c r="C205" s="18" t="n">
        <x:v>2016</x:v>
      </x:c>
      <x:c r="D205" s="20" t="str">
        <x:v>assets</x:v>
      </x:c>
      <x:c r="E205" s="22" t="n">
        <x:v>1808503</x:v>
      </x:c>
      <x:c r="F205" s="22" t="n">
        <x:v>1808503</x:v>
      </x:c>
      <x:c r="G205" s="22" t="n">
        <x:f>IF(COUNT(E205,F205)=2,F205-E205,"")</x:f>
        <x:v>0</x:v>
      </x:c>
      <x:c r="H205" s="20" t="str">
        <x:v>Exact agreement</x:v>
      </x:c>
      <x:c r="I205" s="20" t="str">
        <x:v>https://www.financialafrik.com/wp-content/uploads/2018/05/FINANCIAL_STATEMENT_EBN_2017-2.pdf</x:v>
      </x:c>
      <x:c r="J205" s="20" t="str">
        <x:v>Prior source-selection policy retained; original evidence preserved in accompanying pack.</x:v>
      </x:c>
    </x:row>
    <x:row r="206" ht="52" customHeight="1">
      <x:c r="A206" s="18" t="str">
        <x:v>Uploaded CSV</x:v>
      </x:c>
      <x:c r="B206" s="18" t="str">
        <x:v>Ecobank Nigeria</x:v>
      </x:c>
      <x:c r="C206" s="18" t="n">
        <x:v>2016</x:v>
      </x:c>
      <x:c r="D206" s="20" t="str">
        <x:v>gross_loans</x:v>
      </x:c>
      <x:c r="E206" s="22" t="n">
        <x:v>869872</x:v>
      </x:c>
      <x:c r="F206" s="22"/>
      <x:c r="G206" s="22" t="str">
        <x:f>IF(COUNT(E206,F206)=2,F206-E206,"")</x:f>
      </x:c>
      <x:c r="H206" s="20" t="str">
        <x:v>Candidate retained outside selected field</x:v>
      </x:c>
      <x:c r="I206" s="20" t="str">
        <x:v>https://www.financialafrik.com/wp-content/uploads/2018/05/FINANCIAL_STATEMENT_EBN_2017-2.pdf</x:v>
      </x:c>
      <x:c r="J206" s="20" t="str">
        <x:v>Prior source-selection policy retained; original evidence preserved in accompanying pack.</x:v>
      </x:c>
    </x:row>
    <x:row r="207" ht="52" customHeight="1">
      <x:c r="A207" s="18" t="str">
        <x:v>Uploaded CSV</x:v>
      </x:c>
      <x:c r="B207" s="18" t="str">
        <x:v>Ecobank Nigeria</x:v>
      </x:c>
      <x:c r="C207" s="18" t="n">
        <x:v>2016</x:v>
      </x:c>
      <x:c r="D207" s="20" t="str">
        <x:v>loan_allowance</x:v>
      </x:c>
      <x:c r="E207" s="22" t="n">
        <x:v>116480</x:v>
      </x:c>
      <x:c r="F207" s="22"/>
      <x:c r="G207" s="22" t="str">
        <x:f>IF(COUNT(E207,F207)=2,F207-E207,"")</x:f>
      </x:c>
      <x:c r="H207" s="20" t="str">
        <x:v>Candidate retained outside selected field</x:v>
      </x:c>
      <x:c r="I207" s="20" t="str">
        <x:v>https://www.financialafrik.com/wp-content/uploads/2018/05/FINANCIAL_STATEMENT_EBN_2017-2.pdf</x:v>
      </x:c>
      <x:c r="J207" s="20" t="str">
        <x:v>Prior source-selection policy retained; original evidence preserved in accompanying pack.</x:v>
      </x:c>
    </x:row>
    <x:row r="208" ht="52" customHeight="1">
      <x:c r="A208" s="18" t="str">
        <x:v>Uploaded CSV</x:v>
      </x:c>
      <x:c r="B208" s="18" t="str">
        <x:v>Ecobank Nigeria</x:v>
      </x:c>
      <x:c r="C208" s="18" t="n">
        <x:v>2016</x:v>
      </x:c>
      <x:c r="D208" s="20" t="str">
        <x:v>total_impairment</x:v>
      </x:c>
      <x:c r="E208" s="22" t="n">
        <x:v>82783</x:v>
      </x:c>
      <x:c r="F208" s="22" t="n">
        <x:v>82783</x:v>
      </x:c>
      <x:c r="G208" s="22" t="n">
        <x:f>IF(COUNT(E208,F208)=2,F208-E208,"")</x:f>
        <x:v>0</x:v>
      </x:c>
      <x:c r="H208" s="20" t="str">
        <x:v>Exact agreement</x:v>
      </x:c>
      <x:c r="I208" s="20" t="str">
        <x:v>https://www.financialafrik.com/wp-content/uploads/2018/05/FINANCIAL_STATEMENT_EBN_2017-2.pdf</x:v>
      </x:c>
      <x:c r="J208" s="20" t="str">
        <x:v>Prior source-selection policy retained; original evidence preserved in accompanying pack.</x:v>
      </x:c>
    </x:row>
    <x:row r="209" ht="52" customHeight="1">
      <x:c r="A209" s="18" t="str">
        <x:v>Uploaded CSV</x:v>
      </x:c>
      <x:c r="B209" s="18" t="str">
        <x:v>Ecobank Nigeria</x:v>
      </x:c>
      <x:c r="C209" s="18" t="n">
        <x:v>2016</x:v>
      </x:c>
      <x:c r="D209" s="20" t="str">
        <x:v>car</x:v>
      </x:c>
      <x:c r="E209" s="22" t="n">
        <x:v>15</x:v>
      </x:c>
      <x:c r="F209" s="22"/>
      <x:c r="G209" s="22" t="str">
        <x:f>IF(COUNT(E209,F209)=2,F209-E209,"")</x:f>
      </x:c>
      <x:c r="H209" s="20" t="str">
        <x:v>Candidate retained outside selected field</x:v>
      </x:c>
      <x:c r="I209" s="20" t="str">
        <x:v>https://www.financialafrik.com/wp-content/uploads/2018/05/FINANCIAL_STATEMENT_EBN_2017-2.pdf</x:v>
      </x:c>
      <x:c r="J209" s="20" t="str">
        <x:v>Prior source-selection policy retained; original evidence preserved in accompanying pack.</x:v>
      </x:c>
    </x:row>
    <x:row r="210" ht="52" customHeight="1">
      <x:c r="A210" s="18" t="str">
        <x:v>Uploaded CSV</x:v>
      </x:c>
      <x:c r="B210" s="18" t="str">
        <x:v>Ecobank Nigeria</x:v>
      </x:c>
      <x:c r="C210" s="18" t="n">
        <x:v>2016</x:v>
      </x:c>
      <x:c r="D210" s="20" t="str">
        <x:v>npl_reported</x:v>
      </x:c>
      <x:c r="E210" s="22" t="n">
        <x:v>9.1</x:v>
      </x:c>
      <x:c r="F210" s="22" t="n">
        <x:v>9.1</x:v>
      </x:c>
      <x:c r="G210" s="22" t="n">
        <x:f>IF(COUNT(E210,F210)=2,F210-E210,"")</x:f>
        <x:v>0</x:v>
      </x:c>
      <x:c r="H210" s="20" t="str">
        <x:v>Exact agreement</x:v>
      </x:c>
      <x:c r="I210" s="20" t="str">
        <x:v>https://www.financialafrik.com/wp-content/uploads/2018/05/FINANCIAL_STATEMENT_EBN_2017-2.pdf</x:v>
      </x:c>
      <x:c r="J210" s="20" t="str">
        <x:v>Prior source-selection policy retained; original evidence preserved in accompanying pack.</x:v>
      </x:c>
    </x:row>
    <x:row r="211" ht="52" customHeight="1">
      <x:c r="A211" s="18" t="str">
        <x:v>Uploaded CSV</x:v>
      </x:c>
      <x:c r="B211" s="18" t="str">
        <x:v>Ecobank Nigeria</x:v>
      </x:c>
      <x:c r="C211" s="18" t="n">
        <x:v>2016</x:v>
      </x:c>
      <x:c r="D211" s="20" t="str">
        <x:v>gcu</x:v>
      </x:c>
      <x:c r="E211" s="22" t="n">
        <x:v>0</x:v>
      </x:c>
      <x:c r="F211" s="22"/>
      <x:c r="G211" s="22" t="str">
        <x:f>IF(COUNT(E211,F211)=2,F211-E211,"")</x:f>
      </x:c>
      <x:c r="H211" s="20" t="str">
        <x:v>Candidate retained outside selected field</x:v>
      </x:c>
      <x:c r="I211" s="20" t="str">
        <x:v>https://www.financialafrik.com/wp-content/uploads/2018/05/FINANCIAL_STATEMENT_EBN_2017-2.pdf</x:v>
      </x:c>
      <x:c r="J211" s="20" t="str">
        <x:v>Prior source-selection policy retained; original evidence preserved in accompanying pack.</x:v>
      </x:c>
    </x:row>
    <x:row r="212" ht="52" customHeight="1">
      <x:c r="A212" s="18" t="str">
        <x:v>Uploaded CSV</x:v>
      </x:c>
      <x:c r="B212" s="18" t="str">
        <x:v>Ecobank Nigeria</x:v>
      </x:c>
      <x:c r="C212" s="18" t="n">
        <x:v>2017</x:v>
      </x:c>
      <x:c r="D212" s="20" t="str">
        <x:v>pat</x:v>
      </x:c>
      <x:c r="E212" s="22" t="n">
        <x:v>20204</x:v>
      </x:c>
      <x:c r="F212" s="22" t="n">
        <x:v>20204</x:v>
      </x:c>
      <x:c r="G212" s="22" t="n">
        <x:f>IF(COUNT(E212,F212)=2,F212-E212,"")</x:f>
        <x:v>0</x:v>
      </x:c>
      <x:c r="H212" s="20" t="str">
        <x:v>Exact agreement</x:v>
      </x:c>
      <x:c r="I212" s="20" t="str">
        <x:v>https://www.financialafrik.com/wp-content/uploads/2018/05/FINANCIAL_STATEMENT_EBN_2017-2.pdf</x:v>
      </x:c>
      <x:c r="J212" s="20" t="str">
        <x:v>Prior source-selection policy retained; original evidence preserved in accompanying pack.</x:v>
      </x:c>
    </x:row>
    <x:row r="213" ht="52" customHeight="1">
      <x:c r="A213" s="18" t="str">
        <x:v>Uploaded CSV</x:v>
      </x:c>
      <x:c r="B213" s="18" t="str">
        <x:v>Ecobank Nigeria</x:v>
      </x:c>
      <x:c r="C213" s="18" t="n">
        <x:v>2017</x:v>
      </x:c>
      <x:c r="D213" s="20" t="str">
        <x:v>gross_earnings</x:v>
      </x:c>
      <x:c r="E213" s="22" t="n">
        <x:v>251061</x:v>
      </x:c>
      <x:c r="F213" s="22"/>
      <x:c r="G213" s="22" t="str">
        <x:f>IF(COUNT(E213,F213)=2,F213-E213,"")</x:f>
      </x:c>
      <x:c r="H213" s="20" t="str">
        <x:v>Candidate retained outside selected field</x:v>
      </x:c>
      <x:c r="I213" s="20" t="str">
        <x:v>https://www.financialafrik.com/wp-content/uploads/2018/05/FINANCIAL_STATEMENT_EBN_2017-2.pdf</x:v>
      </x:c>
      <x:c r="J213" s="20" t="str">
        <x:v>Prior source-selection policy retained; original evidence preserved in accompanying pack.</x:v>
      </x:c>
    </x:row>
    <x:row r="214" ht="52" customHeight="1">
      <x:c r="A214" s="18" t="str">
        <x:v>Uploaded CSV</x:v>
      </x:c>
      <x:c r="B214" s="18" t="str">
        <x:v>Ecobank Nigeria</x:v>
      </x:c>
      <x:c r="C214" s="18" t="n">
        <x:v>2017</x:v>
      </x:c>
      <x:c r="D214" s="20" t="str">
        <x:v>assets</x:v>
      </x:c>
      <x:c r="E214" s="22" t="n">
        <x:v>1829761</x:v>
      </x:c>
      <x:c r="F214" s="22" t="n">
        <x:v>1829761</x:v>
      </x:c>
      <x:c r="G214" s="22" t="n">
        <x:f>IF(COUNT(E214,F214)=2,F214-E214,"")</x:f>
        <x:v>0</x:v>
      </x:c>
      <x:c r="H214" s="20" t="str">
        <x:v>Exact agreement</x:v>
      </x:c>
      <x:c r="I214" s="20" t="str">
        <x:v>https://www.financialafrik.com/wp-content/uploads/2018/05/FINANCIAL_STATEMENT_EBN_2017-2.pdf</x:v>
      </x:c>
      <x:c r="J214" s="20" t="str">
        <x:v>Prior source-selection policy retained; original evidence preserved in accompanying pack.</x:v>
      </x:c>
    </x:row>
    <x:row r="215" ht="52" customHeight="1">
      <x:c r="A215" s="18" t="str">
        <x:v>Uploaded CSV</x:v>
      </x:c>
      <x:c r="B215" s="18" t="str">
        <x:v>Ecobank Nigeria</x:v>
      </x:c>
      <x:c r="C215" s="18" t="n">
        <x:v>2017</x:v>
      </x:c>
      <x:c r="D215" s="20" t="str">
        <x:v>gross_loans</x:v>
      </x:c>
      <x:c r="E215" s="22" t="n">
        <x:v>831573</x:v>
      </x:c>
      <x:c r="F215" s="22"/>
      <x:c r="G215" s="22" t="str">
        <x:f>IF(COUNT(E215,F215)=2,F215-E215,"")</x:f>
      </x:c>
      <x:c r="H215" s="20" t="str">
        <x:v>Candidate retained outside selected field</x:v>
      </x:c>
      <x:c r="I215" s="20" t="str">
        <x:v>https://www.financialafrik.com/wp-content/uploads/2018/05/FINANCIAL_STATEMENT_EBN_2017-2.pdf</x:v>
      </x:c>
      <x:c r="J215" s="20" t="str">
        <x:v>Prior source-selection policy retained; original evidence preserved in accompanying pack.</x:v>
      </x:c>
    </x:row>
    <x:row r="216" ht="52" customHeight="1">
      <x:c r="A216" s="18" t="str">
        <x:v>Uploaded CSV</x:v>
      </x:c>
      <x:c r="B216" s="18" t="str">
        <x:v>Ecobank Nigeria</x:v>
      </x:c>
      <x:c r="C216" s="18" t="n">
        <x:v>2017</x:v>
      </x:c>
      <x:c r="D216" s="20" t="str">
        <x:v>loan_allowance</x:v>
      </x:c>
      <x:c r="E216" s="22" t="n">
        <x:v>120510</x:v>
      </x:c>
      <x:c r="F216" s="22"/>
      <x:c r="G216" s="22" t="str">
        <x:f>IF(COUNT(E216,F216)=2,F216-E216,"")</x:f>
      </x:c>
      <x:c r="H216" s="20" t="str">
        <x:v>Candidate retained outside selected field</x:v>
      </x:c>
      <x:c r="I216" s="20" t="str">
        <x:v>https://www.financialafrik.com/wp-content/uploads/2018/05/FINANCIAL_STATEMENT_EBN_2017-2.pdf</x:v>
      </x:c>
      <x:c r="J216" s="20" t="str">
        <x:v>Prior source-selection policy retained; original evidence preserved in accompanying pack.</x:v>
      </x:c>
    </x:row>
    <x:row r="217" ht="52" customHeight="1">
      <x:c r="A217" s="18" t="str">
        <x:v>Uploaded CSV</x:v>
      </x:c>
      <x:c r="B217" s="18" t="str">
        <x:v>Ecobank Nigeria</x:v>
      </x:c>
      <x:c r="C217" s="18" t="n">
        <x:v>2017</x:v>
      </x:c>
      <x:c r="D217" s="20" t="str">
        <x:v>total_impairment</x:v>
      </x:c>
      <x:c r="E217" s="22" t="n">
        <x:v>59901</x:v>
      </x:c>
      <x:c r="F217" s="22" t="n">
        <x:v>59901</x:v>
      </x:c>
      <x:c r="G217" s="22" t="n">
        <x:f>IF(COUNT(E217,F217)=2,F217-E217,"")</x:f>
        <x:v>0</x:v>
      </x:c>
      <x:c r="H217" s="20" t="str">
        <x:v>Exact agreement</x:v>
      </x:c>
      <x:c r="I217" s="20" t="str">
        <x:v>https://www.financialafrik.com/wp-content/uploads/2018/05/FINANCIAL_STATEMENT_EBN_2017-2.pdf</x:v>
      </x:c>
      <x:c r="J217" s="20" t="str">
        <x:v>Prior source-selection policy retained; original evidence preserved in accompanying pack.</x:v>
      </x:c>
    </x:row>
    <x:row r="218" ht="52" customHeight="1">
      <x:c r="A218" s="18" t="str">
        <x:v>Uploaded CSV</x:v>
      </x:c>
      <x:c r="B218" s="18" t="str">
        <x:v>Ecobank Nigeria</x:v>
      </x:c>
      <x:c r="C218" s="18" t="n">
        <x:v>2017</x:v>
      </x:c>
      <x:c r="D218" s="20" t="str">
        <x:v>car</x:v>
      </x:c>
      <x:c r="E218" s="22" t="n">
        <x:v>13.6</x:v>
      </x:c>
      <x:c r="F218" s="22"/>
      <x:c r="G218" s="22" t="str">
        <x:f>IF(COUNT(E218,F218)=2,F218-E218,"")</x:f>
      </x:c>
      <x:c r="H218" s="20" t="str">
        <x:v>Candidate retained outside selected field</x:v>
      </x:c>
      <x:c r="I218" s="20" t="str">
        <x:v>https://www.financialafrik.com/wp-content/uploads/2018/05/FINANCIAL_STATEMENT_EBN_2017-2.pdf</x:v>
      </x:c>
      <x:c r="J218" s="20" t="str">
        <x:v>Prior source-selection policy retained; original evidence preserved in accompanying pack.</x:v>
      </x:c>
    </x:row>
    <x:row r="219" ht="52" customHeight="1">
      <x:c r="A219" s="18" t="str">
        <x:v>Uploaded CSV</x:v>
      </x:c>
      <x:c r="B219" s="18" t="str">
        <x:v>Ecobank Nigeria</x:v>
      </x:c>
      <x:c r="C219" s="18" t="n">
        <x:v>2017</x:v>
      </x:c>
      <x:c r="D219" s="20" t="str">
        <x:v>npl_reported</x:v>
      </x:c>
      <x:c r="E219" s="22" t="n">
        <x:v>14.5</x:v>
      </x:c>
      <x:c r="F219" s="22" t="n">
        <x:v>14.5</x:v>
      </x:c>
      <x:c r="G219" s="22" t="n">
        <x:f>IF(COUNT(E219,F219)=2,F219-E219,"")</x:f>
        <x:v>0</x:v>
      </x:c>
      <x:c r="H219" s="20" t="str">
        <x:v>Exact agreement</x:v>
      </x:c>
      <x:c r="I219" s="20" t="str">
        <x:v>https://www.financialafrik.com/wp-content/uploads/2018/05/FINANCIAL_STATEMENT_EBN_2017-2.pdf</x:v>
      </x:c>
      <x:c r="J219" s="20" t="str">
        <x:v>Prior source-selection policy retained; original evidence preserved in accompanying pack.</x:v>
      </x:c>
    </x:row>
    <x:row r="220" ht="52" customHeight="1">
      <x:c r="A220" s="18" t="str">
        <x:v>Uploaded CSV</x:v>
      </x:c>
      <x:c r="B220" s="18" t="str">
        <x:v>Ecobank Nigeria</x:v>
      </x:c>
      <x:c r="C220" s="18" t="n">
        <x:v>2017</x:v>
      </x:c>
      <x:c r="D220" s="20" t="str">
        <x:v>gcu</x:v>
      </x:c>
      <x:c r="E220" s="22" t="n">
        <x:v>0</x:v>
      </x:c>
      <x:c r="F220" s="22"/>
      <x:c r="G220" s="22" t="str">
        <x:f>IF(COUNT(E220,F220)=2,F220-E220,"")</x:f>
      </x:c>
      <x:c r="H220" s="20" t="str">
        <x:v>Candidate retained outside selected field</x:v>
      </x:c>
      <x:c r="I220" s="20" t="str">
        <x:v>https://www.financialafrik.com/wp-content/uploads/2018/05/FINANCIAL_STATEMENT_EBN_2017-2.pdf</x:v>
      </x:c>
      <x:c r="J220" s="20" t="str">
        <x:v>Prior source-selection policy retained; original evidence preserved in accompanying pack.</x:v>
      </x:c>
    </x:row>
    <x:row r="221" ht="52" customHeight="1">
      <x:c r="A221" s="18" t="str">
        <x:v>Uploaded CSV</x:v>
      </x:c>
      <x:c r="B221" s="18" t="str">
        <x:v>Unity</x:v>
      </x:c>
      <x:c r="C221" s="18" t="n">
        <x:v>2018</x:v>
      </x:c>
      <x:c r="D221" s="20" t="str">
        <x:v>pat</x:v>
      </x:c>
      <x:c r="E221" s="22" t="n">
        <x:v>1269</x:v>
      </x:c>
      <x:c r="F221" s="22" t="n">
        <x:v>-7695.32</x:v>
      </x:c>
      <x:c r="G221" s="22" t="n">
        <x:f>IF(COUNT(E221,F221)=2,F221-E221,"")</x:f>
        <x:v>-8964.32</x:v>
      </x:c>
      <x:c r="H221" s="20" t="str">
        <x:v>Difference: retain selected source / definition</x:v>
      </x:c>
      <x:c r="I221" s="20" t="str">
        <x:v>https://doclib.ngxgroup.com/Financial_NewsDocs/30502_UNITY_BANK_PLC_FINANCIAL_STATEMENTS_JUNE_2020.pdf</x:v>
      </x:c>
      <x:c r="J221" s="20" t="str">
        <x:v>Prior source-selection policy retained; original evidence preserved in accompanying pack.</x:v>
      </x:c>
    </x:row>
    <x:row r="222" ht="52" customHeight="1">
      <x:c r="A222" s="18" t="str">
        <x:v>Uploaded CSV</x:v>
      </x:c>
      <x:c r="B222" s="18" t="str">
        <x:v>Unity</x:v>
      </x:c>
      <x:c r="C222" s="18" t="n">
        <x:v>2018</x:v>
      </x:c>
      <x:c r="D222" s="20" t="str">
        <x:v>gross_earnings</x:v>
      </x:c>
      <x:c r="E222" s="22" t="n">
        <x:v>37325</x:v>
      </x:c>
      <x:c r="F222" s="22"/>
      <x:c r="G222" s="22" t="str">
        <x:f>IF(COUNT(E222,F222)=2,F222-E222,"")</x:f>
      </x:c>
      <x:c r="H222" s="20" t="str">
        <x:v>Candidate retained outside selected field</x:v>
      </x:c>
      <x:c r="I222" s="20" t="str">
        <x:v>https://doclib.ngxgroup.com/Financial_NewsDocs/30502_UNITY_BANK_PLC_FINANCIAL_STATEMENTS_JUNE_2020.pdf</x:v>
      </x:c>
      <x:c r="J222" s="20" t="str">
        <x:v>Prior source-selection policy retained; original evidence preserved in accompanying pack.</x:v>
      </x:c>
    </x:row>
    <x:row r="223" ht="52" customHeight="1">
      <x:c r="A223" s="18" t="str">
        <x:v>Uploaded CSV</x:v>
      </x:c>
      <x:c r="B223" s="18" t="str">
        <x:v>Unity</x:v>
      </x:c>
      <x:c r="C223" s="18" t="n">
        <x:v>2018</x:v>
      </x:c>
      <x:c r="D223" s="20" t="str">
        <x:v>assets</x:v>
      </x:c>
      <x:c r="E223" s="22" t="n">
        <x:v>235976</x:v>
      </x:c>
      <x:c r="F223" s="22" t="n">
        <x:v>210800.841</x:v>
      </x:c>
      <x:c r="G223" s="22" t="n">
        <x:f>IF(COUNT(E223,F223)=2,F223-E223,"")</x:f>
        <x:v>-25175.159000000014</x:v>
      </x:c>
      <x:c r="H223" s="20" t="str">
        <x:v>Difference: retain selected source / definition</x:v>
      </x:c>
      <x:c r="I223" s="20" t="str">
        <x:v>https://doclib.ngxgroup.com/Financial_NewsDocs/30502_UNITY_BANK_PLC_FINANCIAL_STATEMENTS_JUNE_2020.pdf</x:v>
      </x:c>
      <x:c r="J223" s="20" t="str">
        <x:v>Prior source-selection policy retained; original evidence preserved in accompanying pack.</x:v>
      </x:c>
    </x:row>
    <x:row r="224" ht="52" customHeight="1">
      <x:c r="A224" s="18" t="str">
        <x:v>Uploaded CSV</x:v>
      </x:c>
      <x:c r="B224" s="18" t="str">
        <x:v>Unity</x:v>
      </x:c>
      <x:c r="C224" s="18" t="n">
        <x:v>2018</x:v>
      </x:c>
      <x:c r="D224" s="20" t="str">
        <x:v>gross_loans</x:v>
      </x:c>
      <x:c r="E224" s="22" t="n">
        <x:v>44402</x:v>
      </x:c>
      <x:c r="F224" s="22" t="n">
        <x:v>44841.156</x:v>
      </x:c>
      <x:c r="G224" s="22" t="n">
        <x:f>IF(COUNT(E224,F224)=2,F224-E224,"")</x:f>
        <x:v>439.1560000000027</x:v>
      </x:c>
      <x:c r="H224" s="20" t="str">
        <x:v>Difference: retain selected source / definition</x:v>
      </x:c>
      <x:c r="I224" s="20" t="str">
        <x:v>https://doclib.ngxgroup.com/Financial_NewsDocs/30502_UNITY_BANK_PLC_FINANCIAL_STATEMENTS_JUNE_2020.pdf</x:v>
      </x:c>
      <x:c r="J224" s="20" t="str">
        <x:v>Prior source-selection policy retained; original evidence preserved in accompanying pack.</x:v>
      </x:c>
    </x:row>
    <x:row r="225" ht="52" customHeight="1">
      <x:c r="A225" s="18" t="str">
        <x:v>Uploaded CSV</x:v>
      </x:c>
      <x:c r="B225" s="18" t="str">
        <x:v>Unity</x:v>
      </x:c>
      <x:c r="C225" s="18" t="n">
        <x:v>2018</x:v>
      </x:c>
      <x:c r="D225" s="20" t="str">
        <x:v>loan_allowance</x:v>
      </x:c>
      <x:c r="E225" s="22" t="n">
        <x:v>744</x:v>
      </x:c>
      <x:c r="F225" s="22" t="n">
        <x:v>744.197</x:v>
      </x:c>
      <x:c r="G225" s="22" t="n">
        <x:f>IF(COUNT(E225,F225)=2,F225-E225,"")</x:f>
        <x:v>0.19700000000000273</x:v>
      </x:c>
      <x:c r="H225" s="20" t="str">
        <x:v>Rounding / presentation precision</x:v>
      </x:c>
      <x:c r="I225" s="20" t="str">
        <x:v>https://doclib.ngxgroup.com/Financial_NewsDocs/30502_UNITY_BANK_PLC_FINANCIAL_STATEMENTS_JUNE_2020.pdf</x:v>
      </x:c>
      <x:c r="J225" s="20" t="str">
        <x:v>Prior source-selection policy retained; original evidence preserved in accompanying pack.</x:v>
      </x:c>
    </x:row>
    <x:row r="226" ht="52" customHeight="1">
      <x:c r="A226" s="18" t="str">
        <x:v>Uploaded CSV</x:v>
      </x:c>
      <x:c r="B226" s="18" t="str">
        <x:v>Unity</x:v>
      </x:c>
      <x:c r="C226" s="18" t="n">
        <x:v>2018</x:v>
      </x:c>
      <x:c r="D226" s="20" t="str">
        <x:v>total_impairment</x:v>
      </x:c>
      <x:c r="E226" s="22" t="n">
        <x:v>161</x:v>
      </x:c>
      <x:c r="F226" s="22" t="n">
        <x:v>5958.492</x:v>
      </x:c>
      <x:c r="G226" s="22" t="n">
        <x:f>IF(COUNT(E226,F226)=2,F226-E226,"")</x:f>
        <x:v>5797.492</x:v>
      </x:c>
      <x:c r="H226" s="20" t="str">
        <x:v>Difference: retain selected source / definition</x:v>
      </x:c>
      <x:c r="I226" s="20" t="str">
        <x:v>https://doclib.ngxgroup.com/Financial_NewsDocs/30502_UNITY_BANK_PLC_FINANCIAL_STATEMENTS_JUNE_2020.pdf</x:v>
      </x:c>
      <x:c r="J226" s="20" t="str">
        <x:v>Prior source-selection policy retained; original evidence preserved in accompanying pack.</x:v>
      </x:c>
    </x:row>
    <x:row r="227" ht="52" customHeight="1">
      <x:c r="A227" s="18" t="str">
        <x:v>Uploaded CSV</x:v>
      </x:c>
      <x:c r="B227" s="18" t="str">
        <x:v>Unity</x:v>
      </x:c>
      <x:c r="C227" s="18" t="n">
        <x:v>2018</x:v>
      </x:c>
      <x:c r="D227" s="20" t="str">
        <x:v>car</x:v>
      </x:c>
      <x:c r="E227" s="22" t="n">
        <x:v>-198.56</x:v>
      </x:c>
      <x:c r="F227" s="22" t="n">
        <x:v>-214.8</x:v>
      </x:c>
      <x:c r="G227" s="22" t="n">
        <x:f>IF(COUNT(E227,F227)=2,F227-E227,"")</x:f>
        <x:v>-16.24000000000001</x:v>
      </x:c>
      <x:c r="H227" s="20" t="str">
        <x:v>Difference: retain selected source / definition</x:v>
      </x:c>
      <x:c r="I227" s="20" t="str">
        <x:v>https://doclib.ngxgroup.com/Financial_NewsDocs/30502_UNITY_BANK_PLC_FINANCIAL_STATEMENTS_JUNE_2020.pdf</x:v>
      </x:c>
      <x:c r="J227" s="20" t="str">
        <x:v>Prior source-selection policy retained; original evidence preserved in accompanying pack.</x:v>
      </x:c>
    </x:row>
    <x:row r="228" ht="52" customHeight="1">
      <x:c r="A228" s="18" t="str">
        <x:v>Uploaded CSV</x:v>
      </x:c>
      <x:c r="B228" s="18" t="str">
        <x:v>Unity</x:v>
      </x:c>
      <x:c r="C228" s="18" t="n">
        <x:v>2018</x:v>
      </x:c>
      <x:c r="D228" s="20" t="str">
        <x:v>npl_reported</x:v>
      </x:c>
      <x:c r="E228" s="22" t="n">
        <x:v>0</x:v>
      </x:c>
      <x:c r="F228" s="22"/>
      <x:c r="G228" s="22" t="str">
        <x:f>IF(COUNT(E228,F228)=2,F228-E228,"")</x:f>
      </x:c>
      <x:c r="H228" s="20" t="str">
        <x:v>Candidate retained outside selected field</x:v>
      </x:c>
      <x:c r="I228" s="20" t="str">
        <x:v>https://doclib.ngxgroup.com/Financial_NewsDocs/30502_UNITY_BANK_PLC_FINANCIAL_STATEMENTS_JUNE_2020.pdf</x:v>
      </x:c>
      <x:c r="J228" s="20" t="str">
        <x:v>Prior source-selection policy retained; original evidence preserved in accompanying pack.</x:v>
      </x:c>
    </x:row>
    <x:row r="229" ht="52" customHeight="1">
      <x:c r="A229" s="18" t="str">
        <x:v>Uploaded CSV</x:v>
      </x:c>
      <x:c r="B229" s="18" t="str">
        <x:v>Unity</x:v>
      </x:c>
      <x:c r="C229" s="18" t="n">
        <x:v>2018</x:v>
      </x:c>
      <x:c r="D229" s="20" t="str">
        <x:v>gcu</x:v>
      </x:c>
      <x:c r="E229" s="22" t="n">
        <x:v>0</x:v>
      </x:c>
      <x:c r="F229" s="22"/>
      <x:c r="G229" s="22" t="str">
        <x:f>IF(COUNT(E229,F229)=2,F229-E229,"")</x:f>
      </x:c>
      <x:c r="H229" s="20" t="str">
        <x:v>Candidate retained outside selected field</x:v>
      </x:c>
      <x:c r="I229" s="20" t="str">
        <x:v>https://doclib.ngxgroup.com/Financial_NewsDocs/30502_UNITY_BANK_PLC_FINANCIAL_STATEMENTS_JUNE_2020.pdf</x:v>
      </x:c>
      <x:c r="J229" s="20" t="str">
        <x:v>Prior source-selection policy retained; original evidence preserved in accompanying pack.</x:v>
      </x:c>
    </x:row>
    <x:row r="230" ht="52" customHeight="1">
      <x:c r="A230" s="18" t="str">
        <x:v>Uploaded CSV</x:v>
      </x:c>
      <x:c r="B230" s="18" t="str">
        <x:v>Unity</x:v>
      </x:c>
      <x:c r="C230" s="18" t="n">
        <x:v>2019</x:v>
      </x:c>
      <x:c r="D230" s="20" t="str">
        <x:v>pat</x:v>
      </x:c>
      <x:c r="E230" s="22" t="n">
        <x:v>3383</x:v>
      </x:c>
      <x:c r="F230" s="22" t="n">
        <x:v>3383.189</x:v>
      </x:c>
      <x:c r="G230" s="22" t="n">
        <x:f>IF(COUNT(E230,F230)=2,F230-E230,"")</x:f>
        <x:v>0.18899999999985084</x:v>
      </x:c>
      <x:c r="H230" s="20" t="str">
        <x:v>Rounding / presentation precision</x:v>
      </x:c>
      <x:c r="I230" s="20" t="str">
        <x:v>https://doclib.ngxgroup.com/Financial_NewsDocs/30502_UNITY_BANK_PLC_FINANCIAL_STATEMENTS_JUNE_2020.pdf</x:v>
      </x:c>
      <x:c r="J230" s="20" t="str">
        <x:v>Prior source-selection policy retained; original evidence preserved in accompanying pack.</x:v>
      </x:c>
    </x:row>
    <x:row r="231" ht="52" customHeight="1">
      <x:c r="A231" s="18" t="str">
        <x:v>Uploaded CSV</x:v>
      </x:c>
      <x:c r="B231" s="18" t="str">
        <x:v>Unity</x:v>
      </x:c>
      <x:c r="C231" s="18" t="n">
        <x:v>2019</x:v>
      </x:c>
      <x:c r="D231" s="20" t="str">
        <x:v>gross_earnings</x:v>
      </x:c>
      <x:c r="E231" s="22" t="n">
        <x:v>44587</x:v>
      </x:c>
      <x:c r="F231" s="22"/>
      <x:c r="G231" s="22" t="str">
        <x:f>IF(COUNT(E231,F231)=2,F231-E231,"")</x:f>
      </x:c>
      <x:c r="H231" s="20" t="str">
        <x:v>Candidate retained outside selected field</x:v>
      </x:c>
      <x:c r="I231" s="20" t="str">
        <x:v>https://doclib.ngxgroup.com/Financial_NewsDocs/30502_UNITY_BANK_PLC_FINANCIAL_STATEMENTS_JUNE_2020.pdf</x:v>
      </x:c>
      <x:c r="J231" s="20" t="str">
        <x:v>Prior source-selection policy retained; original evidence preserved in accompanying pack.</x:v>
      </x:c>
    </x:row>
    <x:row r="232" ht="52" customHeight="1">
      <x:c r="A232" s="18" t="str">
        <x:v>Uploaded CSV</x:v>
      </x:c>
      <x:c r="B232" s="18" t="str">
        <x:v>Unity</x:v>
      </x:c>
      <x:c r="C232" s="18" t="n">
        <x:v>2019</x:v>
      </x:c>
      <x:c r="D232" s="20" t="str">
        <x:v>assets</x:v>
      </x:c>
      <x:c r="E232" s="22" t="n">
        <x:v>293052</x:v>
      </x:c>
      <x:c r="F232" s="22" t="n">
        <x:v>293052.07</x:v>
      </x:c>
      <x:c r="G232" s="22" t="n">
        <x:f>IF(COUNT(E232,F232)=2,F232-E232,"")</x:f>
        <x:v>0.07000000000698492</x:v>
      </x:c>
      <x:c r="H232" s="20" t="str">
        <x:v>Rounding / presentation precision</x:v>
      </x:c>
      <x:c r="I232" s="20" t="str">
        <x:v>https://doclib.ngxgroup.com/Financial_NewsDocs/30502_UNITY_BANK_PLC_FINANCIAL_STATEMENTS_JUNE_2020.pdf</x:v>
      </x:c>
      <x:c r="J232" s="20" t="str">
        <x:v>Prior source-selection policy retained; original evidence preserved in accompanying pack.</x:v>
      </x:c>
    </x:row>
    <x:row r="233" ht="52" customHeight="1">
      <x:c r="A233" s="18" t="str">
        <x:v>Uploaded CSV</x:v>
      </x:c>
      <x:c r="B233" s="18" t="str">
        <x:v>Unity</x:v>
      </x:c>
      <x:c r="C233" s="18" t="n">
        <x:v>2019</x:v>
      </x:c>
      <x:c r="D233" s="20" t="str">
        <x:v>gross_loans</x:v>
      </x:c>
      <x:c r="E233" s="22" t="n">
        <x:v>106914</x:v>
      </x:c>
      <x:c r="F233" s="22" t="n">
        <x:v>106913.813</x:v>
      </x:c>
      <x:c r="G233" s="22" t="n">
        <x:f>IF(COUNT(E233,F233)=2,F233-E233,"")</x:f>
        <x:v>-0.1870000000053551</x:v>
      </x:c>
      <x:c r="H233" s="20" t="str">
        <x:v>Rounding / presentation precision</x:v>
      </x:c>
      <x:c r="I233" s="20" t="str">
        <x:v>https://doclib.ngxgroup.com/Financial_NewsDocs/30502_UNITY_BANK_PLC_FINANCIAL_STATEMENTS_JUNE_2020.pdf</x:v>
      </x:c>
      <x:c r="J233" s="20" t="str">
        <x:v>Prior source-selection policy retained; original evidence preserved in accompanying pack.</x:v>
      </x:c>
    </x:row>
    <x:row r="234" ht="52" customHeight="1">
      <x:c r="A234" s="18" t="str">
        <x:v>Uploaded CSV</x:v>
      </x:c>
      <x:c r="B234" s="18" t="str">
        <x:v>Unity</x:v>
      </x:c>
      <x:c r="C234" s="18" t="n">
        <x:v>2019</x:v>
      </x:c>
      <x:c r="D234" s="20" t="str">
        <x:v>loan_allowance</x:v>
      </x:c>
      <x:c r="E234" s="22" t="n">
        <x:v>14841</x:v>
      </x:c>
      <x:c r="F234" s="22" t="n">
        <x:v>2896.088</x:v>
      </x:c>
      <x:c r="G234" s="22" t="n">
        <x:f>IF(COUNT(E234,F234)=2,F234-E234,"")</x:f>
        <x:v>-11944.912</x:v>
      </x:c>
      <x:c r="H234" s="20" t="str">
        <x:v>Difference: retain selected source / definition</x:v>
      </x:c>
      <x:c r="I234" s="20" t="str">
        <x:v>https://doclib.ngxgroup.com/Financial_NewsDocs/30502_UNITY_BANK_PLC_FINANCIAL_STATEMENTS_JUNE_2020.pdf</x:v>
      </x:c>
      <x:c r="J234" s="20" t="str">
        <x:v>Prior source-selection policy retained; original evidence preserved in accompanying pack.</x:v>
      </x:c>
    </x:row>
    <x:row r="235" ht="52" customHeight="1">
      <x:c r="A235" s="18" t="str">
        <x:v>Uploaded CSV</x:v>
      </x:c>
      <x:c r="B235" s="18" t="str">
        <x:v>Unity</x:v>
      </x:c>
      <x:c r="C235" s="18" t="n">
        <x:v>2019</x:v>
      </x:c>
      <x:c r="D235" s="20" t="str">
        <x:v>total_impairment</x:v>
      </x:c>
      <x:c r="E235" s="22" t="n">
        <x:v>-1922</x:v>
      </x:c>
      <x:c r="F235" s="22" t="n">
        <x:v>1921.923</x:v>
      </x:c>
      <x:c r="G235" s="22" t="n">
        <x:f>IF(COUNT(E235,F235)=2,F235-E235,"")</x:f>
        <x:v>3843.923</x:v>
      </x:c>
      <x:c r="H235" s="20" t="str">
        <x:v>Difference: retain selected source / definition</x:v>
      </x:c>
      <x:c r="I235" s="20" t="str">
        <x:v>https://doclib.ngxgroup.com/Financial_NewsDocs/30502_UNITY_BANK_PLC_FINANCIAL_STATEMENTS_JUNE_2020.pdf</x:v>
      </x:c>
      <x:c r="J235" s="20" t="str">
        <x:v>Prior source-selection policy retained; original evidence preserved in accompanying pack.</x:v>
      </x:c>
    </x:row>
    <x:row r="236" ht="52" customHeight="1">
      <x:c r="A236" s="18" t="str">
        <x:v>Uploaded CSV</x:v>
      </x:c>
      <x:c r="B236" s="18" t="str">
        <x:v>Unity</x:v>
      </x:c>
      <x:c r="C236" s="18" t="n">
        <x:v>2019</x:v>
      </x:c>
      <x:c r="D236" s="20" t="str">
        <x:v>car</x:v>
      </x:c>
      <x:c r="E236" s="22" t="n">
        <x:v>-201.59</x:v>
      </x:c>
      <x:c r="F236" s="22" t="n">
        <x:v>-201.59</x:v>
      </x:c>
      <x:c r="G236" s="22" t="n">
        <x:f>IF(COUNT(E236,F236)=2,F236-E236,"")</x:f>
        <x:v>0</x:v>
      </x:c>
      <x:c r="H236" s="20" t="str">
        <x:v>Exact agreement</x:v>
      </x:c>
      <x:c r="I236" s="20" t="str">
        <x:v>https://doclib.ngxgroup.com/Financial_NewsDocs/30502_UNITY_BANK_PLC_FINANCIAL_STATEMENTS_JUNE_2020.pdf</x:v>
      </x:c>
      <x:c r="J236" s="20" t="str">
        <x:v>Prior source-selection policy retained; original evidence preserved in accompanying pack.</x:v>
      </x:c>
    </x:row>
    <x:row r="237" ht="52" customHeight="1">
      <x:c r="A237" s="18" t="str">
        <x:v>Uploaded CSV</x:v>
      </x:c>
      <x:c r="B237" s="18" t="str">
        <x:v>Unity</x:v>
      </x:c>
      <x:c r="C237" s="18" t="n">
        <x:v>2019</x:v>
      </x:c>
      <x:c r="D237" s="20" t="str">
        <x:v>npl_reported</x:v>
      </x:c>
      <x:c r="E237" s="22" t="n">
        <x:v>0.9</x:v>
      </x:c>
      <x:c r="F237" s="22"/>
      <x:c r="G237" s="22" t="str">
        <x:f>IF(COUNT(E237,F237)=2,F237-E237,"")</x:f>
      </x:c>
      <x:c r="H237" s="20" t="str">
        <x:v>Candidate retained outside selected field</x:v>
      </x:c>
      <x:c r="I237" s="20" t="str">
        <x:v>https://doclib.ngxgroup.com/Financial_NewsDocs/30502_UNITY_BANK_PLC_FINANCIAL_STATEMENTS_JUNE_2020.pdf</x:v>
      </x:c>
      <x:c r="J237" s="20" t="str">
        <x:v>Prior source-selection policy retained; original evidence preserved in accompanying pack.</x:v>
      </x:c>
    </x:row>
    <x:row r="238" ht="52" customHeight="1">
      <x:c r="A238" s="18" t="str">
        <x:v>Uploaded CSV</x:v>
      </x:c>
      <x:c r="B238" s="18" t="str">
        <x:v>Unity</x:v>
      </x:c>
      <x:c r="C238" s="18" t="n">
        <x:v>2019</x:v>
      </x:c>
      <x:c r="D238" s="20" t="str">
        <x:v>gcu</x:v>
      </x:c>
      <x:c r="E238" s="22" t="n">
        <x:v>1</x:v>
      </x:c>
      <x:c r="F238" s="22" t="n">
        <x:v>1</x:v>
      </x:c>
      <x:c r="G238" s="22" t="n">
        <x:f>IF(COUNT(E238,F238)=2,F238-E238,"")</x:f>
        <x:v>0</x:v>
      </x:c>
      <x:c r="H238" s="20" t="str">
        <x:v>Exact agreement</x:v>
      </x:c>
      <x:c r="I238" s="20" t="str">
        <x:v>https://doclib.ngxgroup.com/Financial_NewsDocs/30502_UNITY_BANK_PLC_FINANCIAL_STATEMENTS_JUNE_2020.pdf</x:v>
      </x:c>
      <x:c r="J238" s="20" t="str">
        <x:v>Prior source-selection policy retained; original evidence preserved in accompanying pack.</x:v>
      </x:c>
    </x:row>
    <x:row r="239" ht="52" customHeight="1">
      <x:c r="A239" s="18" t="str">
        <x:v>Uploaded Word</x:v>
      </x:c>
      <x:c r="B239" s="18" t="str">
        <x:v>Zenith</x:v>
      </x:c>
      <x:c r="C239" s="18" t="n">
        <x:v>2015</x:v>
      </x:c>
      <x:c r="D239" s="20" t="str">
        <x:v>pat</x:v>
      </x:c>
      <x:c r="E239" s="22" t="n">
        <x:v>98784</x:v>
      </x:c>
      <x:c r="F239" s="22" t="n">
        <x:v>98784</x:v>
      </x:c>
      <x:c r="G239" s="22" t="n">
        <x:f>IF(COUNT(E239,F239)=2,F239-E239,"")</x:f>
        <x:v>0</x:v>
      </x:c>
      <x:c r="H239" s="20" t="str">
        <x:v>Exact agreement</x:v>
      </x:c>
      <x:c r="I239" s="20" t="str">
        <x:v>https://www.annualreports.com/HostedData/AnnualReportArchive/z/LSE_ZENB_2015.pdf</x:v>
      </x:c>
      <x:c r="J239" s="20" t="str">
        <x:v>Prior source-selection policy retained; original evidence preserved in accompanying pack.</x:v>
      </x:c>
    </x:row>
    <x:row r="240" ht="52" customHeight="1">
      <x:c r="A240" s="18" t="str">
        <x:v>Uploaded Word</x:v>
      </x:c>
      <x:c r="B240" s="18" t="str">
        <x:v>Zenith</x:v>
      </x:c>
      <x:c r="C240" s="18" t="n">
        <x:v>2015</x:v>
      </x:c>
      <x:c r="D240" s="20" t="str">
        <x:v>gross_earnings</x:v>
      </x:c>
      <x:c r="E240" s="22" t="n">
        <x:v>396653</x:v>
      </x:c>
      <x:c r="F240" s="22"/>
      <x:c r="G240" s="22" t="str">
        <x:f>IF(COUNT(E240,F240)=2,F240-E240,"")</x:f>
      </x:c>
      <x:c r="H240" s="20" t="str">
        <x:v>Candidate retained outside selected field</x:v>
      </x:c>
      <x:c r="I240" s="20" t="str">
        <x:v>https://www.annualreports.com/HostedData/AnnualReportArchive/z/LSE_ZENB_2015.pdf</x:v>
      </x:c>
      <x:c r="J240" s="20" t="str">
        <x:v>Prior source-selection policy retained; original evidence preserved in accompanying pack.</x:v>
      </x:c>
    </x:row>
    <x:row r="241" ht="52" customHeight="1">
      <x:c r="A241" s="18" t="str">
        <x:v>Uploaded Word</x:v>
      </x:c>
      <x:c r="B241" s="18" t="str">
        <x:v>Zenith</x:v>
      </x:c>
      <x:c r="C241" s="18" t="n">
        <x:v>2015</x:v>
      </x:c>
      <x:c r="D241" s="20" t="str">
        <x:v>assets</x:v>
      </x:c>
      <x:c r="E241" s="22" t="n">
        <x:v>3750327</x:v>
      </x:c>
      <x:c r="F241" s="22" t="n">
        <x:v>3750327</x:v>
      </x:c>
      <x:c r="G241" s="22" t="n">
        <x:f>IF(COUNT(E241,F241)=2,F241-E241,"")</x:f>
        <x:v>0</x:v>
      </x:c>
      <x:c r="H241" s="20" t="str">
        <x:v>Exact agreement</x:v>
      </x:c>
      <x:c r="I241" s="20" t="str">
        <x:v>https://www.annualreports.com/HostedData/AnnualReportArchive/z/LSE_ZENB_2015.pdf</x:v>
      </x:c>
      <x:c r="J241" s="20" t="str">
        <x:v>Prior source-selection policy retained; original evidence preserved in accompanying pack.</x:v>
      </x:c>
    </x:row>
    <x:row r="242" ht="52" customHeight="1">
      <x:c r="A242" s="18" t="str">
        <x:v>Uploaded Word</x:v>
      </x:c>
      <x:c r="B242" s="18" t="str">
        <x:v>Zenith</x:v>
      </x:c>
      <x:c r="C242" s="18" t="n">
        <x:v>2015</x:v>
      </x:c>
      <x:c r="D242" s="20" t="str">
        <x:v>gross_loans</x:v>
      </x:c>
      <x:c r="E242" s="22" t="n">
        <x:v>1849225</x:v>
      </x:c>
      <x:c r="F242" s="22" t="n">
        <x:v>1884941</x:v>
      </x:c>
      <x:c r="G242" s="22" t="n">
        <x:f>IF(COUNT(E242,F242)=2,F242-E242,"")</x:f>
        <x:v>35716</x:v>
      </x:c>
      <x:c r="H242" s="20" t="str">
        <x:v>Difference: retain selected source / definition</x:v>
      </x:c>
      <x:c r="I242" s="20" t="str">
        <x:v>https://www.annualreports.com/HostedData/AnnualReportArchive/z/LSE_ZENB_2015.pdf</x:v>
      </x:c>
      <x:c r="J242" s="20" t="str">
        <x:v>Prior source-selection policy retained; original evidence preserved in accompanying pack.</x:v>
      </x:c>
    </x:row>
    <x:row r="243" ht="52" customHeight="1">
      <x:c r="A243" s="18" t="str">
        <x:v>Uploaded Word</x:v>
      </x:c>
      <x:c r="B243" s="18" t="str">
        <x:v>Zenith</x:v>
      </x:c>
      <x:c r="C243" s="18" t="n">
        <x:v>2015</x:v>
      </x:c>
      <x:c r="D243" s="20" t="str">
        <x:v>loan_allowance</x:v>
      </x:c>
      <x:c r="E243" s="22" t="n">
        <x:v>49433</x:v>
      </x:c>
      <x:c r="F243" s="22" t="n">
        <x:v>35716</x:v>
      </x:c>
      <x:c r="G243" s="22" t="n">
        <x:f>IF(COUNT(E243,F243)=2,F243-E243,"")</x:f>
        <x:v>-13717</x:v>
      </x:c>
      <x:c r="H243" s="20" t="str">
        <x:v>Difference: retain selected source / definition</x:v>
      </x:c>
      <x:c r="I243" s="20" t="str">
        <x:v>https://www.annualreports.com/HostedData/AnnualReportArchive/z/LSE_ZENB_2015.pdf</x:v>
      </x:c>
      <x:c r="J243" s="20" t="str">
        <x:v>Prior source-selection policy retained; original evidence preserved in accompanying pack.</x:v>
      </x:c>
    </x:row>
    <x:row r="244" ht="52" customHeight="1">
      <x:c r="A244" s="18" t="str">
        <x:v>Uploaded Word</x:v>
      </x:c>
      <x:c r="B244" s="18" t="str">
        <x:v>Zenith</x:v>
      </x:c>
      <x:c r="C244" s="18" t="n">
        <x:v>2015</x:v>
      </x:c>
      <x:c r="D244" s="20" t="str">
        <x:v>total_impairment</x:v>
      </x:c>
      <x:c r="E244" s="22" t="n">
        <x:v>11091</x:v>
      </x:c>
      <x:c r="F244" s="22" t="n">
        <x:v>11091</x:v>
      </x:c>
      <x:c r="G244" s="22" t="n">
        <x:f>IF(COUNT(E244,F244)=2,F244-E244,"")</x:f>
        <x:v>0</x:v>
      </x:c>
      <x:c r="H244" s="20" t="str">
        <x:v>Exact agreement</x:v>
      </x:c>
      <x:c r="I244" s="20" t="str">
        <x:v>https://www.annualreports.com/HostedData/AnnualReportArchive/z/LSE_ZENB_2015.pdf</x:v>
      </x:c>
      <x:c r="J244" s="20" t="str">
        <x:v>Prior source-selection policy retained; original evidence preserved in accompanying pack.</x:v>
      </x:c>
    </x:row>
    <x:row r="245" ht="52" customHeight="1">
      <x:c r="A245" s="18" t="str">
        <x:v>Uploaded Word</x:v>
      </x:c>
      <x:c r="B245" s="18" t="str">
        <x:v>Zenith</x:v>
      </x:c>
      <x:c r="C245" s="18" t="n">
        <x:v>2015</x:v>
      </x:c>
      <x:c r="D245" s="20" t="str">
        <x:v>car</x:v>
      </x:c>
      <x:c r="E245" s="22" t="n">
        <x:v>21</x:v>
      </x:c>
      <x:c r="F245" s="22" t="n">
        <x:v>20</x:v>
      </x:c>
      <x:c r="G245" s="22" t="n">
        <x:f>IF(COUNT(E245,F245)=2,F245-E245,"")</x:f>
        <x:v>-1</x:v>
      </x:c>
      <x:c r="H245" s="20" t="str">
        <x:v>Difference: retain selected source / definition</x:v>
      </x:c>
      <x:c r="I245" s="20" t="str">
        <x:v>https://www.annualreports.com/HostedData/AnnualReportArchive/z/LSE_ZENB_2015.pdf</x:v>
      </x:c>
      <x:c r="J245" s="20" t="str">
        <x:v>Prior source-selection policy retained; original evidence preserved in accompanying pack.</x:v>
      </x:c>
    </x:row>
    <x:row r="246" ht="52" customHeight="1">
      <x:c r="A246" s="18" t="str">
        <x:v>Uploaded Word</x:v>
      </x:c>
      <x:c r="B246" s="18" t="str">
        <x:v>Zenith</x:v>
      </x:c>
      <x:c r="C246" s="18" t="n">
        <x:v>2015</x:v>
      </x:c>
      <x:c r="D246" s="20" t="str">
        <x:v>npl_reported</x:v>
      </x:c>
      <x:c r="E246" s="22" t="n">
        <x:v>2.1</x:v>
      </x:c>
      <x:c r="F246" s="22"/>
      <x:c r="G246" s="22" t="str">
        <x:f>IF(COUNT(E246,F246)=2,F246-E246,"")</x:f>
      </x:c>
      <x:c r="H246" s="20" t="str">
        <x:v>Candidate retained outside selected field</x:v>
      </x:c>
      <x:c r="I246" s="20" t="str">
        <x:v>https://www.annualreports.com/HostedData/AnnualReportArchive/z/LSE_ZENB_2015.pdf</x:v>
      </x:c>
      <x:c r="J246" s="20" t="str">
        <x:v>Prior source-selection policy retained; original evidence preserved in accompanying pack.</x:v>
      </x:c>
    </x:row>
    <x:row r="247" ht="52" customHeight="1">
      <x:c r="A247" s="18" t="str">
        <x:v>Uploaded Word</x:v>
      </x:c>
      <x:c r="B247" s="18" t="str">
        <x:v>Zenith</x:v>
      </x:c>
      <x:c r="C247" s="18" t="n">
        <x:v>2015</x:v>
      </x:c>
      <x:c r="D247" s="20" t="str">
        <x:v>gcu</x:v>
      </x:c>
      <x:c r="E247" s="22" t="n">
        <x:v>0</x:v>
      </x:c>
      <x:c r="F247" s="22"/>
      <x:c r="G247" s="22" t="str">
        <x:f>IF(COUNT(E247,F247)=2,F247-E247,"")</x:f>
      </x:c>
      <x:c r="H247" s="20" t="str">
        <x:v>Candidate retained outside selected field</x:v>
      </x:c>
      <x:c r="I247" s="20" t="str">
        <x:v>https://www.annualreports.com/HostedData/AnnualReportArchive/z/LSE_ZENB_2015.pdf</x:v>
      </x:c>
      <x:c r="J247" s="20" t="str">
        <x:v>Prior source-selection policy retained; original evidence preserved in accompanying pack.</x:v>
      </x:c>
    </x:row>
    <x:row r="248" ht="52" customHeight="1">
      <x:c r="A248" s="18" t="str">
        <x:v>Uploaded Word</x:v>
      </x:c>
      <x:c r="B248" s="18" t="str">
        <x:v>Zenith</x:v>
      </x:c>
      <x:c r="C248" s="18" t="n">
        <x:v>2021</x:v>
      </x:c>
      <x:c r="D248" s="20" t="str">
        <x:v>pat</x:v>
      </x:c>
      <x:c r="E248" s="22" t="n">
        <x:v>233133</x:v>
      </x:c>
      <x:c r="F248" s="22" t="n">
        <x:v>233133</x:v>
      </x:c>
      <x:c r="G248" s="22" t="n">
        <x:f>IF(COUNT(E248,F248)=2,F248-E248,"")</x:f>
        <x:v>0</x:v>
      </x:c>
      <x:c r="H248" s="20" t="str">
        <x:v>Exact agreement</x:v>
      </x:c>
      <x:c r="I248" s="20" t="str">
        <x:v>https://www.annualreports.com/HostedData/AnnualReportArchive/z/LSE_ZENB_2022.pdf</x:v>
      </x:c>
      <x:c r="J248" s="20" t="str">
        <x:v>Prior source-selection policy retained; original evidence preserved in accompanying pack.</x:v>
      </x:c>
    </x:row>
    <x:row r="249" ht="52" customHeight="1">
      <x:c r="A249" s="18" t="str">
        <x:v>Uploaded Word</x:v>
      </x:c>
      <x:c r="B249" s="18" t="str">
        <x:v>Zenith</x:v>
      </x:c>
      <x:c r="C249" s="18" t="n">
        <x:v>2021</x:v>
      </x:c>
      <x:c r="D249" s="20" t="str">
        <x:v>gross_earnings</x:v>
      </x:c>
      <x:c r="E249" s="22" t="n">
        <x:v>677283</x:v>
      </x:c>
      <x:c r="F249" s="22"/>
      <x:c r="G249" s="22" t="str">
        <x:f>IF(COUNT(E249,F249)=2,F249-E249,"")</x:f>
      </x:c>
      <x:c r="H249" s="20" t="str">
        <x:v>Candidate retained outside selected field</x:v>
      </x:c>
      <x:c r="I249" s="20" t="str">
        <x:v>https://www.annualreports.com/HostedData/AnnualReportArchive/z/LSE_ZENB_2022.pdf</x:v>
      </x:c>
      <x:c r="J249" s="20" t="str">
        <x:v>Prior source-selection policy retained; original evidence preserved in accompanying pack.</x:v>
      </x:c>
    </x:row>
    <x:row r="250" ht="52" customHeight="1">
      <x:c r="A250" s="18" t="str">
        <x:v>Uploaded Word</x:v>
      </x:c>
      <x:c r="B250" s="18" t="str">
        <x:v>Zenith</x:v>
      </x:c>
      <x:c r="C250" s="18" t="n">
        <x:v>2021</x:v>
      </x:c>
      <x:c r="D250" s="20" t="str">
        <x:v>assets</x:v>
      </x:c>
      <x:c r="E250" s="22" t="n">
        <x:v>7872292</x:v>
      </x:c>
      <x:c r="F250" s="22" t="n">
        <x:v>7872292</x:v>
      </x:c>
      <x:c r="G250" s="22" t="n">
        <x:f>IF(COUNT(E250,F250)=2,F250-E250,"")</x:f>
        <x:v>0</x:v>
      </x:c>
      <x:c r="H250" s="20" t="str">
        <x:v>Exact agreement</x:v>
      </x:c>
      <x:c r="I250" s="20" t="str">
        <x:v>https://www.annualreports.com/HostedData/AnnualReportArchive/z/LSE_ZENB_2022.pdf</x:v>
      </x:c>
      <x:c r="J250" s="20" t="str">
        <x:v>Prior source-selection policy retained; original evidence preserved in accompanying pack.</x:v>
      </x:c>
    </x:row>
    <x:row r="251" ht="52" customHeight="1">
      <x:c r="A251" s="18" t="str">
        <x:v>Uploaded Word</x:v>
      </x:c>
      <x:c r="B251" s="18" t="str">
        <x:v>Zenith</x:v>
      </x:c>
      <x:c r="C251" s="18" t="n">
        <x:v>2021</x:v>
      </x:c>
      <x:c r="D251" s="20" t="str">
        <x:v>gross_loans</x:v>
      </x:c>
      <x:c r="E251" s="22" t="n">
        <x:v>3099452</x:v>
      </x:c>
      <x:c r="F251" s="22" t="n">
        <x:v>3237973</x:v>
      </x:c>
      <x:c r="G251" s="22" t="n">
        <x:f>IF(COUNT(E251,F251)=2,F251-E251,"")</x:f>
        <x:v>138521</x:v>
      </x:c>
      <x:c r="H251" s="20" t="str">
        <x:v>Difference: retain selected source / definition</x:v>
      </x:c>
      <x:c r="I251" s="20" t="str">
        <x:v>https://www.annualreports.com/HostedData/AnnualReportArchive/z/LSE_ZENB_2022.pdf</x:v>
      </x:c>
      <x:c r="J251" s="20" t="str">
        <x:v>Prior source-selection policy retained; original evidence preserved in accompanying pack.</x:v>
      </x:c>
    </x:row>
    <x:row r="252" ht="52" customHeight="1">
      <x:c r="A252" s="18" t="str">
        <x:v>Uploaded Word</x:v>
      </x:c>
      <x:c r="B252" s="18" t="str">
        <x:v>Zenith</x:v>
      </x:c>
      <x:c r="C252" s="18" t="n">
        <x:v>2021</x:v>
      </x:c>
      <x:c r="D252" s="20" t="str">
        <x:v>loan_allowance</x:v>
      </x:c>
      <x:c r="E252" s="22" t="n">
        <x:v>184456</x:v>
      </x:c>
      <x:c r="F252" s="22" t="n">
        <x:v>138521</x:v>
      </x:c>
      <x:c r="G252" s="22" t="n">
        <x:f>IF(COUNT(E252,F252)=2,F252-E252,"")</x:f>
        <x:v>-45935</x:v>
      </x:c>
      <x:c r="H252" s="20" t="str">
        <x:v>Difference: retain selected source / definition</x:v>
      </x:c>
      <x:c r="I252" s="20" t="str">
        <x:v>https://www.annualreports.com/HostedData/AnnualReportArchive/z/LSE_ZENB_2022.pdf</x:v>
      </x:c>
      <x:c r="J252" s="20" t="str">
        <x:v>Prior source-selection policy retained; original evidence preserved in accompanying pack.</x:v>
      </x:c>
    </x:row>
    <x:row r="253" ht="52" customHeight="1">
      <x:c r="A253" s="18" t="str">
        <x:v>Uploaded Word</x:v>
      </x:c>
      <x:c r="B253" s="18" t="str">
        <x:v>Zenith</x:v>
      </x:c>
      <x:c r="C253" s="18" t="n">
        <x:v>2021</x:v>
      </x:c>
      <x:c r="D253" s="20" t="str">
        <x:v>total_impairment</x:v>
      </x:c>
      <x:c r="E253" s="22" t="n">
        <x:v>56175</x:v>
      </x:c>
      <x:c r="F253" s="22" t="n">
        <x:v>56175</x:v>
      </x:c>
      <x:c r="G253" s="22" t="n">
        <x:f>IF(COUNT(E253,F253)=2,F253-E253,"")</x:f>
        <x:v>0</x:v>
      </x:c>
      <x:c r="H253" s="20" t="str">
        <x:v>Exact agreement</x:v>
      </x:c>
      <x:c r="I253" s="20" t="str">
        <x:v>https://www.annualreports.com/HostedData/AnnualReportArchive/z/LSE_ZENB_2022.pdf</x:v>
      </x:c>
      <x:c r="J253" s="20" t="str">
        <x:v>Prior source-selection policy retained; original evidence preserved in accompanying pack.</x:v>
      </x:c>
    </x:row>
    <x:row r="254" ht="52" customHeight="1">
      <x:c r="A254" s="18" t="str">
        <x:v>Uploaded Word</x:v>
      </x:c>
      <x:c r="B254" s="18" t="str">
        <x:v>Zenith</x:v>
      </x:c>
      <x:c r="C254" s="18" t="n">
        <x:v>2021</x:v>
      </x:c>
      <x:c r="D254" s="20" t="str">
        <x:v>car</x:v>
      </x:c>
      <x:c r="E254" s="22" t="n">
        <x:v>19.8</x:v>
      </x:c>
      <x:c r="F254" s="22" t="n">
        <x:v>20</x:v>
      </x:c>
      <x:c r="G254" s="22" t="n">
        <x:f>IF(COUNT(E254,F254)=2,F254-E254,"")</x:f>
        <x:v>0.1999999999999993</x:v>
      </x:c>
      <x:c r="H254" s="20" t="str">
        <x:v>Difference: retain selected source / definition</x:v>
      </x:c>
      <x:c r="I254" s="20" t="str">
        <x:v>https://www.annualreports.com/HostedData/AnnualReportArchive/z/LSE_ZENB_2022.pdf</x:v>
      </x:c>
      <x:c r="J254" s="20" t="str">
        <x:v>Prior source-selection policy retained; original evidence preserved in accompanying pack.</x:v>
      </x:c>
    </x:row>
    <x:row r="255" ht="52" customHeight="1">
      <x:c r="A255" s="18" t="str">
        <x:v>Uploaded Word</x:v>
      </x:c>
      <x:c r="B255" s="18" t="str">
        <x:v>Zenith</x:v>
      </x:c>
      <x:c r="C255" s="18" t="n">
        <x:v>2021</x:v>
      </x:c>
      <x:c r="D255" s="20" t="str">
        <x:v>npl_reported</x:v>
      </x:c>
      <x:c r="E255" s="22" t="n">
        <x:v>4.19</x:v>
      </x:c>
      <x:c r="F255" s="22"/>
      <x:c r="G255" s="22" t="str">
        <x:f>IF(COUNT(E255,F255)=2,F255-E255,"")</x:f>
      </x:c>
      <x:c r="H255" s="20" t="str">
        <x:v>Candidate retained outside selected field</x:v>
      </x:c>
      <x:c r="I255" s="20" t="str">
        <x:v>https://www.annualreports.com/HostedData/AnnualReportArchive/z/LSE_ZENB_2022.pdf</x:v>
      </x:c>
      <x:c r="J255" s="20" t="str">
        <x:v>Prior source-selection policy retained; original evidence preserved in accompanying pack.</x:v>
      </x:c>
    </x:row>
    <x:row r="256" ht="52" customHeight="1">
      <x:c r="A256" s="18" t="str">
        <x:v>Uploaded Word</x:v>
      </x:c>
      <x:c r="B256" s="18" t="str">
        <x:v>Zenith</x:v>
      </x:c>
      <x:c r="C256" s="18" t="n">
        <x:v>2021</x:v>
      </x:c>
      <x:c r="D256" s="20" t="str">
        <x:v>gcu</x:v>
      </x:c>
      <x:c r="E256" s="22" t="n">
        <x:v>0</x:v>
      </x:c>
      <x:c r="F256" s="22"/>
      <x:c r="G256" s="22" t="str">
        <x:f>IF(COUNT(E256,F256)=2,F256-E256,"")</x:f>
      </x:c>
      <x:c r="H256" s="20" t="str">
        <x:v>Candidate retained outside selected field</x:v>
      </x:c>
      <x:c r="I256" s="20" t="str">
        <x:v>https://www.annualreports.com/HostedData/AnnualReportArchive/z/LSE_ZENB_2022.pdf</x:v>
      </x:c>
      <x:c r="J256" s="20" t="str">
        <x:v>Prior source-selection policy retained; original evidence preserved in accompanying pack.</x:v>
      </x:c>
    </x:row>
    <x:row r="257" ht="52" customHeight="1">
      <x:c r="A257" s="18" t="str">
        <x:v>Uploaded Word</x:v>
      </x:c>
      <x:c r="B257" s="18" t="str">
        <x:v>Zenith</x:v>
      </x:c>
      <x:c r="C257" s="18" t="n">
        <x:v>2022</x:v>
      </x:c>
      <x:c r="D257" s="20" t="str">
        <x:v>pat</x:v>
      </x:c>
      <x:c r="E257" s="22" t="n">
        <x:v>234593</x:v>
      </x:c>
      <x:c r="F257" s="22" t="n">
        <x:v>234593</x:v>
      </x:c>
      <x:c r="G257" s="22" t="n">
        <x:f>IF(COUNT(E257,F257)=2,F257-E257,"")</x:f>
        <x:v>0</x:v>
      </x:c>
      <x:c r="H257" s="20" t="str">
        <x:v>Exact agreement</x:v>
      </x:c>
      <x:c r="I257" s="20" t="str">
        <x:v>https://www.annualreports.com/HostedData/AnnualReportArchive/z/LSE_ZENB_2022.pdf</x:v>
      </x:c>
      <x:c r="J257" s="20" t="str">
        <x:v>Prior source-selection policy retained; original evidence preserved in accompanying pack.</x:v>
      </x:c>
    </x:row>
    <x:row r="258" ht="52" customHeight="1">
      <x:c r="A258" s="18" t="str">
        <x:v>Uploaded Word</x:v>
      </x:c>
      <x:c r="B258" s="18" t="str">
        <x:v>Zenith</x:v>
      </x:c>
      <x:c r="C258" s="18" t="n">
        <x:v>2022</x:v>
      </x:c>
      <x:c r="D258" s="20" t="str">
        <x:v>gross_earnings</x:v>
      </x:c>
      <x:c r="E258" s="22" t="n">
        <x:v>833087</x:v>
      </x:c>
      <x:c r="F258" s="22"/>
      <x:c r="G258" s="22" t="str">
        <x:f>IF(COUNT(E258,F258)=2,F258-E258,"")</x:f>
      </x:c>
      <x:c r="H258" s="20" t="str">
        <x:v>Candidate retained outside selected field</x:v>
      </x:c>
      <x:c r="I258" s="20" t="str">
        <x:v>https://www.annualreports.com/HostedData/AnnualReportArchive/z/LSE_ZENB_2022.pdf</x:v>
      </x:c>
      <x:c r="J258" s="20" t="str">
        <x:v>Prior source-selection policy retained; original evidence preserved in accompanying pack.</x:v>
      </x:c>
    </x:row>
    <x:row r="259" ht="52" customHeight="1">
      <x:c r="A259" s="18" t="str">
        <x:v>Uploaded Word</x:v>
      </x:c>
      <x:c r="B259" s="18" t="str">
        <x:v>Zenith</x:v>
      </x:c>
      <x:c r="C259" s="18" t="n">
        <x:v>2022</x:v>
      </x:c>
      <x:c r="D259" s="20" t="str">
        <x:v>assets</x:v>
      </x:c>
      <x:c r="E259" s="22" t="n">
        <x:v>10570678</x:v>
      </x:c>
      <x:c r="F259" s="22" t="n">
        <x:v>10570678</x:v>
      </x:c>
      <x:c r="G259" s="22" t="n">
        <x:f>IF(COUNT(E259,F259)=2,F259-E259,"")</x:f>
        <x:v>0</x:v>
      </x:c>
      <x:c r="H259" s="20" t="str">
        <x:v>Exact agreement</x:v>
      </x:c>
      <x:c r="I259" s="20" t="str">
        <x:v>https://www.annualreports.com/HostedData/AnnualReportArchive/z/LSE_ZENB_2022.pdf</x:v>
      </x:c>
      <x:c r="J259" s="20" t="str">
        <x:v>Prior source-selection policy retained; original evidence preserved in accompanying pack.</x:v>
      </x:c>
    </x:row>
    <x:row r="260" ht="52" customHeight="1">
      <x:c r="A260" s="18" t="str">
        <x:v>Uploaded Word</x:v>
      </x:c>
      <x:c r="B260" s="18" t="str">
        <x:v>Zenith</x:v>
      </x:c>
      <x:c r="C260" s="18" t="n">
        <x:v>2022</x:v>
      </x:c>
      <x:c r="D260" s="20" t="str">
        <x:v>gross_loans</x:v>
      </x:c>
      <x:c r="E260" s="22" t="n">
        <x:v>3838805</x:v>
      </x:c>
      <x:c r="F260" s="22" t="n">
        <x:v>3838805</x:v>
      </x:c>
      <x:c r="G260" s="22" t="n">
        <x:f>IF(COUNT(E260,F260)=2,F260-E260,"")</x:f>
        <x:v>0</x:v>
      </x:c>
      <x:c r="H260" s="20" t="str">
        <x:v>Exact agreement</x:v>
      </x:c>
      <x:c r="I260" s="20" t="str">
        <x:v>https://www.annualreports.com/HostedData/AnnualReportArchive/z/LSE_ZENB_2022.pdf</x:v>
      </x:c>
      <x:c r="J260" s="20" t="str">
        <x:v>Prior source-selection policy retained; original evidence preserved in accompanying pack.</x:v>
      </x:c>
    </x:row>
    <x:row r="261" ht="52" customHeight="1">
      <x:c r="A261" s="18" t="str">
        <x:v>Uploaded Word</x:v>
      </x:c>
      <x:c r="B261" s="18" t="str">
        <x:v>Zenith</x:v>
      </x:c>
      <x:c r="C261" s="18" t="n">
        <x:v>2022</x:v>
      </x:c>
      <x:c r="D261" s="20" t="str">
        <x:v>loan_allowance</x:v>
      </x:c>
      <x:c r="E261" s="22" t="n">
        <x:v>231245</x:v>
      </x:c>
      <x:c r="F261" s="22" t="n">
        <x:v>103129</x:v>
      </x:c>
      <x:c r="G261" s="22" t="n">
        <x:f>IF(COUNT(E261,F261)=2,F261-E261,"")</x:f>
        <x:v>-128116</x:v>
      </x:c>
      <x:c r="H261" s="20" t="str">
        <x:v>Difference: retain selected source / definition</x:v>
      </x:c>
      <x:c r="I261" s="20" t="str">
        <x:v>https://www.annualreports.com/HostedData/AnnualReportArchive/z/LSE_ZENB_2022.pdf</x:v>
      </x:c>
      <x:c r="J261" s="20" t="str">
        <x:v>Prior source-selection policy retained; original evidence preserved in accompanying pack.</x:v>
      </x:c>
    </x:row>
    <x:row r="262" ht="52" customHeight="1">
      <x:c r="A262" s="18" t="str">
        <x:v>Uploaded Word</x:v>
      </x:c>
      <x:c r="B262" s="18" t="str">
        <x:v>Zenith</x:v>
      </x:c>
      <x:c r="C262" s="18" t="n">
        <x:v>2022</x:v>
      </x:c>
      <x:c r="D262" s="20" t="str">
        <x:v>total_impairment</x:v>
      </x:c>
      <x:c r="E262" s="22" t="n">
        <x:v>61896</x:v>
      </x:c>
      <x:c r="F262" s="22" t="n">
        <x:v>61896</x:v>
      </x:c>
      <x:c r="G262" s="22" t="n">
        <x:f>IF(COUNT(E262,F262)=2,F262-E262,"")</x:f>
        <x:v>0</x:v>
      </x:c>
      <x:c r="H262" s="20" t="str">
        <x:v>Exact agreement</x:v>
      </x:c>
      <x:c r="I262" s="20" t="str">
        <x:v>https://www.annualreports.com/HostedData/AnnualReportArchive/z/LSE_ZENB_2022.pdf</x:v>
      </x:c>
      <x:c r="J262" s="20" t="str">
        <x:v>Prior source-selection policy retained; original evidence preserved in accompanying pack.</x:v>
      </x:c>
    </x:row>
    <x:row r="263" ht="52" customHeight="1">
      <x:c r="A263" s="18" t="str">
        <x:v>Uploaded Word</x:v>
      </x:c>
      <x:c r="B263" s="18" t="str">
        <x:v>Zenith</x:v>
      </x:c>
      <x:c r="C263" s="18" t="n">
        <x:v>2022</x:v>
      </x:c>
      <x:c r="D263" s="20" t="str">
        <x:v>car</x:v>
      </x:c>
      <x:c r="E263" s="22" t="n">
        <x:v>19.3</x:v>
      </x:c>
      <x:c r="F263" s="22" t="n">
        <x:v>19</x:v>
      </x:c>
      <x:c r="G263" s="22" t="n">
        <x:f>IF(COUNT(E263,F263)=2,F263-E263,"")</x:f>
        <x:v>-0.3000000000000007</x:v>
      </x:c>
      <x:c r="H263" s="20" t="str">
        <x:v>Difference: retain selected source / definition</x:v>
      </x:c>
      <x:c r="I263" s="20" t="str">
        <x:v>https://www.annualreports.com/HostedData/AnnualReportArchive/z/LSE_ZENB_2022.pdf</x:v>
      </x:c>
      <x:c r="J263" s="20" t="str">
        <x:v>Prior source-selection policy retained; original evidence preserved in accompanying pack.</x:v>
      </x:c>
    </x:row>
    <x:row r="264" ht="52" customHeight="1">
      <x:c r="A264" s="18" t="str">
        <x:v>Uploaded Word</x:v>
      </x:c>
      <x:c r="B264" s="18" t="str">
        <x:v>Zenith</x:v>
      </x:c>
      <x:c r="C264" s="18" t="n">
        <x:v>2022</x:v>
      </x:c>
      <x:c r="D264" s="20" t="str">
        <x:v>npl_reported</x:v>
      </x:c>
      <x:c r="E264" s="22" t="n">
        <x:v>4.3</x:v>
      </x:c>
      <x:c r="F264" s="22"/>
      <x:c r="G264" s="22" t="str">
        <x:f>IF(COUNT(E264,F264)=2,F264-E264,"")</x:f>
      </x:c>
      <x:c r="H264" s="20" t="str">
        <x:v>Candidate retained outside selected field</x:v>
      </x:c>
      <x:c r="I264" s="20" t="str">
        <x:v>https://www.annualreports.com/HostedData/AnnualReportArchive/z/LSE_ZENB_2022.pdf</x:v>
      </x:c>
      <x:c r="J264" s="20" t="str">
        <x:v>Prior source-selection policy retained; original evidence preserved in accompanying pack.</x:v>
      </x:c>
    </x:row>
    <x:row r="265" ht="52" customHeight="1">
      <x:c r="A265" s="18" t="str">
        <x:v>Uploaded Word</x:v>
      </x:c>
      <x:c r="B265" s="18" t="str">
        <x:v>Zenith</x:v>
      </x:c>
      <x:c r="C265" s="18" t="n">
        <x:v>2022</x:v>
      </x:c>
      <x:c r="D265" s="20" t="str">
        <x:v>gcu</x:v>
      </x:c>
      <x:c r="E265" s="22" t="n">
        <x:v>0</x:v>
      </x:c>
      <x:c r="F265" s="22"/>
      <x:c r="G265" s="22" t="str">
        <x:f>IF(COUNT(E265,F265)=2,F265-E265,"")</x:f>
      </x:c>
      <x:c r="H265" s="20" t="str">
        <x:v>Candidate retained outside selected field</x:v>
      </x:c>
      <x:c r="I265" s="20" t="str">
        <x:v>https://www.annualreports.com/HostedData/AnnualReportArchive/z/LSE_ZENB_2022.pdf</x:v>
      </x:c>
      <x:c r="J265" s="20" t="str">
        <x:v>Prior source-selection policy retained; original evidence preserved in accompanying pack.</x:v>
      </x:c>
    </x:row>
    <x:row r="266" ht="52" customHeight="1">
      <x:c r="A266" s="18" t="str">
        <x:v>Uploaded Word</x:v>
      </x:c>
      <x:c r="B266" s="18" t="str">
        <x:v>UBA</x:v>
      </x:c>
      <x:c r="C266" s="18" t="n">
        <x:v>2015</x:v>
      </x:c>
      <x:c r="D266" s="20" t="str">
        <x:v>pat</x:v>
      </x:c>
      <x:c r="E266" s="22" t="n">
        <x:v>47642</x:v>
      </x:c>
      <x:c r="F266" s="22" t="n">
        <x:v>47642</x:v>
      </x:c>
      <x:c r="G266" s="22" t="n">
        <x:f>IF(COUNT(E266,F266)=2,F266-E266,"")</x:f>
        <x:v>0</x:v>
      </x:c>
      <x:c r="H266" s="20" t="str">
        <x:v>Exact agreement</x:v>
      </x:c>
      <x:c r="I266" s="20" t="str">
        <x:v>https://www.ubagroup.com/wp-content/uploads/2018/08/UBA-Plc-2016-Annual-reports-and-Accounts_Low-Resolution.VAR_.pdf</x:v>
      </x:c>
      <x:c r="J266" s="20" t="str">
        <x:v>2016 report 2015 comparative Bank columns; opening assets retained from the prior selected 2014 statement.</x:v>
      </x:c>
    </x:row>
    <x:row r="267" ht="52" customHeight="1">
      <x:c r="A267" s="18" t="str">
        <x:v>Uploaded Word</x:v>
      </x:c>
      <x:c r="B267" s="18" t="str">
        <x:v>UBA</x:v>
      </x:c>
      <x:c r="C267" s="18" t="n">
        <x:v>2015</x:v>
      </x:c>
      <x:c r="D267" s="20" t="str">
        <x:v>gross_earnings</x:v>
      </x:c>
      <x:c r="E267" s="22" t="n">
        <x:v>247378</x:v>
      </x:c>
      <x:c r="F267" s="22" t="n">
        <x:v>247378</x:v>
      </x:c>
      <x:c r="G267" s="22" t="n">
        <x:f>IF(COUNT(E267,F267)=2,F267-E267,"")</x:f>
        <x:v>0</x:v>
      </x:c>
      <x:c r="H267" s="20" t="str">
        <x:v>Exact agreement</x:v>
      </x:c>
      <x:c r="I267" s="20" t="str">
        <x:v>https://www.ubagroup.com/wp-content/uploads/2018/08/UBA-Plc-2016-Annual-reports-and-Accounts_Low-Resolution.VAR_.pdf</x:v>
      </x:c>
      <x:c r="J267" s="20" t="str">
        <x:v>2016 report 2015 comparative Bank columns; opening assets retained from the prior selected 2014 statement.</x:v>
      </x:c>
    </x:row>
    <x:row r="268" ht="52" customHeight="1">
      <x:c r="A268" s="18" t="str">
        <x:v>Uploaded Word</x:v>
      </x:c>
      <x:c r="B268" s="18" t="str">
        <x:v>UBA</x:v>
      </x:c>
      <x:c r="C268" s="18" t="n">
        <x:v>2015</x:v>
      </x:c>
      <x:c r="D268" s="20" t="str">
        <x:v>assets</x:v>
      </x:c>
      <x:c r="E268" s="22" t="n">
        <x:v>2216337</x:v>
      </x:c>
      <x:c r="F268" s="22" t="n">
        <x:v>2216337</x:v>
      </x:c>
      <x:c r="G268" s="22" t="n">
        <x:f>IF(COUNT(E268,F268)=2,F268-E268,"")</x:f>
        <x:v>0</x:v>
      </x:c>
      <x:c r="H268" s="20" t="str">
        <x:v>Exact agreement</x:v>
      </x:c>
      <x:c r="I268" s="20" t="str">
        <x:v>https://www.ubagroup.com/wp-content/uploads/2018/08/UBA-Plc-2016-Annual-reports-and-Accounts_Low-Resolution.VAR_.pdf</x:v>
      </x:c>
      <x:c r="J268" s="20" t="str">
        <x:v>2016 report 2015 comparative Bank columns; opening assets retained from the prior selected 2014 statement.</x:v>
      </x:c>
    </x:row>
    <x:row r="269" ht="52" customHeight="1">
      <x:c r="A269" s="18" t="str">
        <x:v>Uploaded Word</x:v>
      </x:c>
      <x:c r="B269" s="18" t="str">
        <x:v>UBA</x:v>
      </x:c>
      <x:c r="C269" s="18" t="n">
        <x:v>2015</x:v>
      </x:c>
      <x:c r="D269" s="20" t="str">
        <x:v>gross_loans</x:v>
      </x:c>
      <x:c r="E269" s="22" t="n">
        <x:v>835737</x:v>
      </x:c>
      <x:c r="F269" s="22" t="n">
        <x:v>835737</x:v>
      </x:c>
      <x:c r="G269" s="22" t="n">
        <x:f>IF(COUNT(E269,F269)=2,F269-E269,"")</x:f>
        <x:v>0</x:v>
      </x:c>
      <x:c r="H269" s="20" t="str">
        <x:v>Exact agreement</x:v>
      </x:c>
      <x:c r="I269" s="20" t="str">
        <x:v>https://www.ubagroup.com/wp-content/uploads/2018/08/UBA-Plc-2016-Annual-reports-and-Accounts_Low-Resolution.VAR_.pdf</x:v>
      </x:c>
      <x:c r="J269" s="20" t="str">
        <x:v>2016 report 2015 comparative Bank columns; opening assets retained from the prior selected 2014 statement.</x:v>
      </x:c>
    </x:row>
    <x:row r="270" ht="52" customHeight="1">
      <x:c r="A270" s="18" t="str">
        <x:v>Uploaded Word</x:v>
      </x:c>
      <x:c r="B270" s="18" t="str">
        <x:v>UBA</x:v>
      </x:c>
      <x:c r="C270" s="18" t="n">
        <x:v>2015</x:v>
      </x:c>
      <x:c r="D270" s="20" t="str">
        <x:v>loan_allowance</x:v>
      </x:c>
      <x:c r="E270" s="22" t="n">
        <x:v>14104</x:v>
      </x:c>
      <x:c r="F270" s="22" t="n">
        <x:v>13043</x:v>
      </x:c>
      <x:c r="G270" s="22" t="n">
        <x:f>IF(COUNT(E270,F270)=2,F270-E270,"")</x:f>
        <x:v>-1061</x:v>
      </x:c>
      <x:c r="H270" s="20" t="str">
        <x:v>Difference: retain selected source / definition</x:v>
      </x:c>
      <x:c r="I270" s="20" t="str">
        <x:v>https://www.ubagroup.com/wp-content/uploads/2018/08/UBA-Plc-2016-Annual-reports-and-Accounts_Low-Resolution.VAR_.pdf</x:v>
      </x:c>
      <x:c r="J270" s="20" t="str">
        <x:v>2016 report 2015 comparative Bank columns; opening assets retained from the prior selected 2014 statement.</x:v>
      </x:c>
    </x:row>
    <x:row r="271" ht="52" customHeight="1">
      <x:c r="A271" s="18" t="str">
        <x:v>Uploaded Word</x:v>
      </x:c>
      <x:c r="B271" s="18" t="str">
        <x:v>UBA</x:v>
      </x:c>
      <x:c r="C271" s="18" t="n">
        <x:v>2015</x:v>
      </x:c>
      <x:c r="D271" s="20" t="str">
        <x:v>total_impairment</x:v>
      </x:c>
      <x:c r="E271" s="22" t="n">
        <x:v>3491</x:v>
      </x:c>
      <x:c r="F271" s="22" t="n">
        <x:v>3491</x:v>
      </x:c>
      <x:c r="G271" s="22" t="n">
        <x:f>IF(COUNT(E271,F271)=2,F271-E271,"")</x:f>
        <x:v>0</x:v>
      </x:c>
      <x:c r="H271" s="20" t="str">
        <x:v>Exact agreement</x:v>
      </x:c>
      <x:c r="I271" s="20" t="str">
        <x:v>https://www.ubagroup.com/wp-content/uploads/2018/08/UBA-Plc-2016-Annual-reports-and-Accounts_Low-Resolution.VAR_.pdf</x:v>
      </x:c>
      <x:c r="J271" s="20" t="str">
        <x:v>2016 report 2015 comparative Bank columns; opening assets retained from the prior selected 2014 statement.</x:v>
      </x:c>
    </x:row>
    <x:row r="272" ht="52" customHeight="1">
      <x:c r="A272" s="18" t="str">
        <x:v>Uploaded Word</x:v>
      </x:c>
      <x:c r="B272" s="18" t="str">
        <x:v>UBA</x:v>
      </x:c>
      <x:c r="C272" s="18" t="n">
        <x:v>2015</x:v>
      </x:c>
      <x:c r="D272" s="20" t="str">
        <x:v>car</x:v>
      </x:c>
      <x:c r="E272" s="22" t="n">
        <x:v>20</x:v>
      </x:c>
      <x:c r="F272" s="22" t="n">
        <x:v>20</x:v>
      </x:c>
      <x:c r="G272" s="22" t="n">
        <x:f>IF(COUNT(E272,F272)=2,F272-E272,"")</x:f>
        <x:v>0</x:v>
      </x:c>
      <x:c r="H272" s="20" t="str">
        <x:v>Exact agreement</x:v>
      </x:c>
      <x:c r="I272" s="20" t="str">
        <x:v>https://www.ubagroup.com/wp-content/uploads/2018/08/UBA-Plc-2016-Annual-reports-and-Accounts_Low-Resolution.VAR_.pdf</x:v>
      </x:c>
      <x:c r="J272" s="20" t="str">
        <x:v>2016 report 2015 comparative Bank columns; opening assets retained from the prior selected 2014 statement.</x:v>
      </x:c>
    </x:row>
    <x:row r="273" ht="52" customHeight="1">
      <x:c r="A273" s="18" t="str">
        <x:v>Uploaded Word</x:v>
      </x:c>
      <x:c r="B273" s="18" t="str">
        <x:v>UBA</x:v>
      </x:c>
      <x:c r="C273" s="18" t="n">
        <x:v>2015</x:v>
      </x:c>
      <x:c r="D273" s="20" t="str">
        <x:v>npl_reported</x:v>
      </x:c>
      <x:c r="E273" s="22" t="n">
        <x:v>0.91</x:v>
      </x:c>
      <x:c r="F273" s="22"/>
      <x:c r="G273" s="22" t="str">
        <x:f>IF(COUNT(E273,F273)=2,F273-E273,"")</x:f>
      </x:c>
      <x:c r="H273" s="20" t="str">
        <x:v>Candidate retained outside selected field</x:v>
      </x:c>
      <x:c r="I273" s="20" t="str">
        <x:v>https://www.ubagroup.com/wp-content/uploads/2018/08/UBA-Plc-2016-Annual-reports-and-Accounts_Low-Resolution.VAR_.pdf</x:v>
      </x:c>
      <x:c r="J273" s="20" t="str">
        <x:v>2016 report 2015 comparative Bank columns; opening assets retained from the prior selected 2014 statement.</x:v>
      </x:c>
    </x:row>
    <x:row r="274" ht="52" customHeight="1">
      <x:c r="A274" s="18" t="str">
        <x:v>Uploaded Word</x:v>
      </x:c>
      <x:c r="B274" s="18" t="str">
        <x:v>UBA</x:v>
      </x:c>
      <x:c r="C274" s="18" t="n">
        <x:v>2015</x:v>
      </x:c>
      <x:c r="D274" s="20" t="str">
        <x:v>gcu</x:v>
      </x:c>
      <x:c r="E274" s="22" t="n">
        <x:v>0</x:v>
      </x:c>
      <x:c r="F274" s="22"/>
      <x:c r="G274" s="22" t="str">
        <x:f>IF(COUNT(E274,F274)=2,F274-E274,"")</x:f>
      </x:c>
      <x:c r="H274" s="20" t="str">
        <x:v>Candidate retained outside selected field</x:v>
      </x:c>
      <x:c r="I274" s="20" t="str">
        <x:v>https://www.ubagroup.com/wp-content/uploads/2018/08/UBA-Plc-2016-Annual-reports-and-Accounts_Low-Resolution.VAR_.pdf</x:v>
      </x:c>
      <x:c r="J274" s="20" t="str">
        <x:v>2016 report 2015 comparative Bank columns; opening assets retained from the prior selected 2014 statement.</x:v>
      </x:c>
    </x:row>
    <x:row r="275" ht="52" customHeight="1">
      <x:c r="A275" s="18" t="str">
        <x:v>Uploaded Word</x:v>
      </x:c>
      <x:c r="B275" s="18" t="str">
        <x:v>UBA</x:v>
      </x:c>
      <x:c r="C275" s="18" t="n">
        <x:v>2016</x:v>
      </x:c>
      <x:c r="D275" s="20" t="str">
        <x:v>pat</x:v>
      </x:c>
      <x:c r="E275" s="22" t="n">
        <x:v>47541</x:v>
      </x:c>
      <x:c r="F275" s="22" t="n">
        <x:v>47541</x:v>
      </x:c>
      <x:c r="G275" s="22" t="n">
        <x:f>IF(COUNT(E275,F275)=2,F275-E275,"")</x:f>
        <x:v>0</x:v>
      </x:c>
      <x:c r="H275" s="20" t="str">
        <x:v>Exact agreement</x:v>
      </x:c>
      <x:c r="I275" s="20" t="str">
        <x:v>https://www.ubagroup.com/wp-content/uploads/2018/08/UBA-Plc-2016-Annual-reports-and-Accounts_Low-Resolution.VAR_.pdf</x:v>
      </x:c>
      <x:c r="J275" s="20" t="str">
        <x:v>2016 report current-year Bank columns.</x:v>
      </x:c>
    </x:row>
    <x:row r="276" ht="52" customHeight="1">
      <x:c r="A276" s="18" t="str">
        <x:v>Uploaded Word</x:v>
      </x:c>
      <x:c r="B276" s="18" t="str">
        <x:v>UBA</x:v>
      </x:c>
      <x:c r="C276" s="18" t="n">
        <x:v>2016</x:v>
      </x:c>
      <x:c r="D276" s="20" t="str">
        <x:v>gross_earnings</x:v>
      </x:c>
      <x:c r="E276" s="22" t="n">
        <x:v>269895</x:v>
      </x:c>
      <x:c r="F276" s="22" t="n">
        <x:v>269895</x:v>
      </x:c>
      <x:c r="G276" s="22" t="n">
        <x:f>IF(COUNT(E276,F276)=2,F276-E276,"")</x:f>
        <x:v>0</x:v>
      </x:c>
      <x:c r="H276" s="20" t="str">
        <x:v>Exact agreement</x:v>
      </x:c>
      <x:c r="I276" s="20" t="str">
        <x:v>https://www.ubagroup.com/wp-content/uploads/2018/08/UBA-Plc-2016-Annual-reports-and-Accounts_Low-Resolution.VAR_.pdf</x:v>
      </x:c>
      <x:c r="J276" s="20" t="str">
        <x:v>2016 report current-year Bank columns.</x:v>
      </x:c>
    </x:row>
    <x:row r="277" ht="52" customHeight="1">
      <x:c r="A277" s="18" t="str">
        <x:v>Uploaded Word</x:v>
      </x:c>
      <x:c r="B277" s="18" t="str">
        <x:v>UBA</x:v>
      </x:c>
      <x:c r="C277" s="18" t="n">
        <x:v>2016</x:v>
      </x:c>
      <x:c r="D277" s="20" t="str">
        <x:v>assets</x:v>
      </x:c>
      <x:c r="E277" s="22" t="n">
        <x:v>2539585</x:v>
      </x:c>
      <x:c r="F277" s="22" t="n">
        <x:v>2539585</x:v>
      </x:c>
      <x:c r="G277" s="22" t="n">
        <x:f>IF(COUNT(E277,F277)=2,F277-E277,"")</x:f>
        <x:v>0</x:v>
      </x:c>
      <x:c r="H277" s="20" t="str">
        <x:v>Exact agreement</x:v>
      </x:c>
      <x:c r="I277" s="20" t="str">
        <x:v>https://www.ubagroup.com/wp-content/uploads/2018/08/UBA-Plc-2016-Annual-reports-and-Accounts_Low-Resolution.VAR_.pdf</x:v>
      </x:c>
      <x:c r="J277" s="20" t="str">
        <x:v>2016 report current-year Bank columns.</x:v>
      </x:c>
    </x:row>
    <x:row r="278" ht="52" customHeight="1">
      <x:c r="A278" s="18" t="str">
        <x:v>Uploaded Word</x:v>
      </x:c>
      <x:c r="B278" s="18" t="str">
        <x:v>UBA</x:v>
      </x:c>
      <x:c r="C278" s="18" t="n">
        <x:v>2016</x:v>
      </x:c>
      <x:c r="D278" s="20" t="str">
        <x:v>gross_loans</x:v>
      </x:c>
      <x:c r="E278" s="22" t="n">
        <x:v>1120096</x:v>
      </x:c>
      <x:c r="F278" s="22" t="n">
        <x:v>1120096</x:v>
      </x:c>
      <x:c r="G278" s="22" t="n">
        <x:f>IF(COUNT(E278,F278)=2,F278-E278,"")</x:f>
        <x:v>0</x:v>
      </x:c>
      <x:c r="H278" s="20" t="str">
        <x:v>Exact agreement</x:v>
      </x:c>
      <x:c r="I278" s="20" t="str">
        <x:v>https://www.ubagroup.com/wp-content/uploads/2018/08/UBA-Plc-2016-Annual-reports-and-Accounts_Low-Resolution.VAR_.pdf</x:v>
      </x:c>
      <x:c r="J278" s="20" t="str">
        <x:v>2016 report current-year Bank columns.</x:v>
      </x:c>
    </x:row>
    <x:row r="279" ht="52" customHeight="1">
      <x:c r="A279" s="18" t="str">
        <x:v>Uploaded Word</x:v>
      </x:c>
      <x:c r="B279" s="18" t="str">
        <x:v>UBA</x:v>
      </x:c>
      <x:c r="C279" s="18" t="n">
        <x:v>2016</x:v>
      </x:c>
      <x:c r="D279" s="20" t="str">
        <x:v>loan_allowance</x:v>
      </x:c>
      <x:c r="E279" s="22" t="n">
        <x:v>32295</x:v>
      </x:c>
      <x:c r="F279" s="22" t="n">
        <x:v>29741</x:v>
      </x:c>
      <x:c r="G279" s="22" t="n">
        <x:f>IF(COUNT(E279,F279)=2,F279-E279,"")</x:f>
        <x:v>-2554</x:v>
      </x:c>
      <x:c r="H279" s="20" t="str">
        <x:v>Difference: retain selected source / definition</x:v>
      </x:c>
      <x:c r="I279" s="20" t="str">
        <x:v>https://www.ubagroup.com/wp-content/uploads/2018/08/UBA-Plc-2016-Annual-reports-and-Accounts_Low-Resolution.VAR_.pdf</x:v>
      </x:c>
      <x:c r="J279" s="20" t="str">
        <x:v>2016 report current-year Bank columns.</x:v>
      </x:c>
    </x:row>
    <x:row r="280" ht="52" customHeight="1">
      <x:c r="A280" s="18" t="str">
        <x:v>Uploaded Word</x:v>
      </x:c>
      <x:c r="B280" s="18" t="str">
        <x:v>UBA</x:v>
      </x:c>
      <x:c r="C280" s="18" t="n">
        <x:v>2016</x:v>
      </x:c>
      <x:c r="D280" s="20" t="str">
        <x:v>total_impairment</x:v>
      </x:c>
      <x:c r="E280" s="22" t="n">
        <x:v>25521</x:v>
      </x:c>
      <x:c r="F280" s="22" t="n">
        <x:v>25521</x:v>
      </x:c>
      <x:c r="G280" s="22" t="n">
        <x:f>IF(COUNT(E280,F280)=2,F280-E280,"")</x:f>
        <x:v>0</x:v>
      </x:c>
      <x:c r="H280" s="20" t="str">
        <x:v>Exact agreement</x:v>
      </x:c>
      <x:c r="I280" s="20" t="str">
        <x:v>https://www.ubagroup.com/wp-content/uploads/2018/08/UBA-Plc-2016-Annual-reports-and-Accounts_Low-Resolution.VAR_.pdf</x:v>
      </x:c>
      <x:c r="J280" s="20" t="str">
        <x:v>2016 report current-year Bank columns.</x:v>
      </x:c>
    </x:row>
    <x:row r="281" ht="52" customHeight="1">
      <x:c r="A281" s="18" t="str">
        <x:v>Uploaded Word</x:v>
      </x:c>
      <x:c r="B281" s="18" t="str">
        <x:v>UBA</x:v>
      </x:c>
      <x:c r="C281" s="18" t="n">
        <x:v>2016</x:v>
      </x:c>
      <x:c r="D281" s="20" t="str">
        <x:v>car</x:v>
      </x:c>
      <x:c r="E281" s="22" t="n">
        <x:v>20</x:v>
      </x:c>
      <x:c r="F281" s="22" t="n">
        <x:v>20</x:v>
      </x:c>
      <x:c r="G281" s="22" t="n">
        <x:f>IF(COUNT(E281,F281)=2,F281-E281,"")</x:f>
        <x:v>0</x:v>
      </x:c>
      <x:c r="H281" s="20" t="str">
        <x:v>Exact agreement</x:v>
      </x:c>
      <x:c r="I281" s="20" t="str">
        <x:v>https://www.ubagroup.com/wp-content/uploads/2018/08/UBA-Plc-2016-Annual-reports-and-Accounts_Low-Resolution.VAR_.pdf</x:v>
      </x:c>
      <x:c r="J281" s="20" t="str">
        <x:v>2016 report current-year Bank columns.</x:v>
      </x:c>
    </x:row>
    <x:row r="282" ht="52" customHeight="1">
      <x:c r="A282" s="18" t="str">
        <x:v>Uploaded Word</x:v>
      </x:c>
      <x:c r="B282" s="18" t="str">
        <x:v>UBA</x:v>
      </x:c>
      <x:c r="C282" s="18" t="n">
        <x:v>2016</x:v>
      </x:c>
      <x:c r="D282" s="20" t="str">
        <x:v>npl_reported</x:v>
      </x:c>
      <x:c r="E282" s="22" t="n">
        <x:v>5.1</x:v>
      </x:c>
      <x:c r="F282" s="22"/>
      <x:c r="G282" s="22" t="str">
        <x:f>IF(COUNT(E282,F282)=2,F282-E282,"")</x:f>
      </x:c>
      <x:c r="H282" s="20" t="str">
        <x:v>Candidate retained outside selected field</x:v>
      </x:c>
      <x:c r="I282" s="20" t="str">
        <x:v>https://www.ubagroup.com/wp-content/uploads/2018/08/UBA-Plc-2016-Annual-reports-and-Accounts_Low-Resolution.VAR_.pdf</x:v>
      </x:c>
      <x:c r="J282" s="20" t="str">
        <x:v>2016 report current-year Bank columns.</x:v>
      </x:c>
    </x:row>
    <x:row r="283" ht="52" customHeight="1">
      <x:c r="A283" s="18" t="str">
        <x:v>Uploaded Word</x:v>
      </x:c>
      <x:c r="B283" s="18" t="str">
        <x:v>UBA</x:v>
      </x:c>
      <x:c r="C283" s="18" t="n">
        <x:v>2016</x:v>
      </x:c>
      <x:c r="D283" s="20" t="str">
        <x:v>gcu</x:v>
      </x:c>
      <x:c r="E283" s="22" t="n">
        <x:v>0</x:v>
      </x:c>
      <x:c r="F283" s="22"/>
      <x:c r="G283" s="22" t="str">
        <x:f>IF(COUNT(E283,F283)=2,F283-E283,"")</x:f>
      </x:c>
      <x:c r="H283" s="20" t="str">
        <x:v>Candidate retained outside selected field</x:v>
      </x:c>
      <x:c r="I283" s="20" t="str">
        <x:v>https://www.ubagroup.com/wp-content/uploads/2018/08/UBA-Plc-2016-Annual-reports-and-Accounts_Low-Resolution.VAR_.pdf</x:v>
      </x:c>
      <x:c r="J283" s="20" t="str">
        <x:v>2016 report current-year Bank columns.</x:v>
      </x:c>
    </x:row>
    <x:row r="284" ht="52" customHeight="1">
      <x:c r="A284" s="18" t="str">
        <x:v>Uploaded Word</x:v>
      </x:c>
      <x:c r="B284" s="18" t="str">
        <x:v>UBA</x:v>
      </x:c>
      <x:c r="C284" s="18" t="n">
        <x:v>2017</x:v>
      </x:c>
      <x:c r="D284" s="20" t="str">
        <x:v>pat</x:v>
      </x:c>
      <x:c r="E284" s="22" t="n">
        <x:v>41396</x:v>
      </x:c>
      <x:c r="F284" s="22" t="n">
        <x:v>41396</x:v>
      </x:c>
      <x:c r="G284" s="22" t="n">
        <x:f>IF(COUNT(E284,F284)=2,F284-E284,"")</x:f>
        <x:v>0</x:v>
      </x:c>
      <x:c r="H284" s="20" t="str">
        <x:v>Exact agreement</x:v>
      </x:c>
      <x:c r="I284" s="20" t="str">
        <x:v>https://www.ubagroup.com/wp-content/uploads/2019/09/UBA-Plc-2018-Annual-Report-and-Acocunts.pdf</x:v>
      </x:c>
      <x:c r="J284" s="20" t="str">
        <x:v>Prior source-selection policy retained; original evidence preserved in accompanying pack.</x:v>
      </x:c>
    </x:row>
    <x:row r="285" ht="52" customHeight="1">
      <x:c r="A285" s="18" t="str">
        <x:v>Uploaded Word</x:v>
      </x:c>
      <x:c r="B285" s="18" t="str">
        <x:v>UBA</x:v>
      </x:c>
      <x:c r="C285" s="18" t="n">
        <x:v>2017</x:v>
      </x:c>
      <x:c r="D285" s="20" t="str">
        <x:v>gross_earnings</x:v>
      </x:c>
      <x:c r="E285" s="22" t="n">
        <x:v>316263</x:v>
      </x:c>
      <x:c r="F285" s="22"/>
      <x:c r="G285" s="22" t="str">
        <x:f>IF(COUNT(E285,F285)=2,F285-E285,"")</x:f>
      </x:c>
      <x:c r="H285" s="20" t="str">
        <x:v>Candidate retained outside selected field</x:v>
      </x:c>
      <x:c r="I285" s="20" t="str">
        <x:v>https://www.ubagroup.com/wp-content/uploads/2019/09/UBA-Plc-2018-Annual-Report-and-Acocunts.pdf</x:v>
      </x:c>
      <x:c r="J285" s="20" t="str">
        <x:v>Prior source-selection policy retained; original evidence preserved in accompanying pack.</x:v>
      </x:c>
    </x:row>
    <x:row r="286" ht="52" customHeight="1">
      <x:c r="A286" s="18" t="str">
        <x:v>Uploaded Word</x:v>
      </x:c>
      <x:c r="B286" s="18" t="str">
        <x:v>UBA</x:v>
      </x:c>
      <x:c r="C286" s="18" t="n">
        <x:v>2017</x:v>
      </x:c>
      <x:c r="D286" s="20" t="str">
        <x:v>assets</x:v>
      </x:c>
      <x:c r="E286" s="22" t="n">
        <x:v>2931826</x:v>
      </x:c>
      <x:c r="F286" s="22" t="n">
        <x:v>2931826</x:v>
      </x:c>
      <x:c r="G286" s="22" t="n">
        <x:f>IF(COUNT(E286,F286)=2,F286-E286,"")</x:f>
        <x:v>0</x:v>
      </x:c>
      <x:c r="H286" s="20" t="str">
        <x:v>Exact agreement</x:v>
      </x:c>
      <x:c r="I286" s="20" t="str">
        <x:v>https://www.ubagroup.com/wp-content/uploads/2019/09/UBA-Plc-2018-Annual-Report-and-Acocunts.pdf</x:v>
      </x:c>
      <x:c r="J286" s="20" t="str">
        <x:v>Prior source-selection policy retained; original evidence preserved in accompanying pack.</x:v>
      </x:c>
    </x:row>
    <x:row r="287" ht="52" customHeight="1">
      <x:c r="A287" s="18" t="str">
        <x:v>Uploaded Word</x:v>
      </x:c>
      <x:c r="B287" s="18" t="str">
        <x:v>UBA</x:v>
      </x:c>
      <x:c r="C287" s="18" t="n">
        <x:v>2017</x:v>
      </x:c>
      <x:c r="D287" s="20" t="str">
        <x:v>gross_loans</x:v>
      </x:c>
      <x:c r="E287" s="22" t="n">
        <x:v>1204426</x:v>
      </x:c>
      <x:c r="F287" s="22" t="n">
        <x:v>1204426</x:v>
      </x:c>
      <x:c r="G287" s="22" t="n">
        <x:f>IF(COUNT(E287,F287)=2,F287-E287,"")</x:f>
        <x:v>0</x:v>
      </x:c>
      <x:c r="H287" s="20" t="str">
        <x:v>Exact agreement</x:v>
      </x:c>
      <x:c r="I287" s="20" t="str">
        <x:v>https://www.ubagroup.com/wp-content/uploads/2019/09/UBA-Plc-2018-Annual-Report-and-Acocunts.pdf</x:v>
      </x:c>
      <x:c r="J287" s="20" t="str">
        <x:v>Prior source-selection policy retained; original evidence preserved in accompanying pack.</x:v>
      </x:c>
    </x:row>
    <x:row r="288" ht="52" customHeight="1">
      <x:c r="A288" s="18" t="str">
        <x:v>Uploaded Word</x:v>
      </x:c>
      <x:c r="B288" s="18" t="str">
        <x:v>UBA</x:v>
      </x:c>
      <x:c r="C288" s="18" t="n">
        <x:v>2017</x:v>
      </x:c>
      <x:c r="D288" s="20" t="str">
        <x:v>loan_allowance</x:v>
      </x:c>
      <x:c r="E288" s="22" t="n">
        <x:v>31212</x:v>
      </x:c>
      <x:c r="F288" s="22" t="n">
        <x:v>31212</x:v>
      </x:c>
      <x:c r="G288" s="22" t="n">
        <x:f>IF(COUNT(E288,F288)=2,F288-E288,"")</x:f>
        <x:v>0</x:v>
      </x:c>
      <x:c r="H288" s="20" t="str">
        <x:v>Exact agreement</x:v>
      </x:c>
      <x:c r="I288" s="20" t="str">
        <x:v>https://www.ubagroup.com/wp-content/uploads/2019/09/UBA-Plc-2018-Annual-Report-and-Acocunts.pdf</x:v>
      </x:c>
      <x:c r="J288" s="20" t="str">
        <x:v>Prior source-selection policy retained; original evidence preserved in accompanying pack.</x:v>
      </x:c>
    </x:row>
    <x:row r="289" ht="52" customHeight="1">
      <x:c r="A289" s="18" t="str">
        <x:v>Uploaded Word</x:v>
      </x:c>
      <x:c r="B289" s="18" t="str">
        <x:v>UBA</x:v>
      </x:c>
      <x:c r="C289" s="18" t="n">
        <x:v>2017</x:v>
      </x:c>
      <x:c r="D289" s="20" t="str">
        <x:v>total_impairment</x:v>
      </x:c>
      <x:c r="E289" s="22" t="n">
        <x:v>30433</x:v>
      </x:c>
      <x:c r="F289" s="22" t="n">
        <x:v>30433</x:v>
      </x:c>
      <x:c r="G289" s="22" t="n">
        <x:f>IF(COUNT(E289,F289)=2,F289-E289,"")</x:f>
        <x:v>0</x:v>
      </x:c>
      <x:c r="H289" s="20" t="str">
        <x:v>Exact agreement</x:v>
      </x:c>
      <x:c r="I289" s="20" t="str">
        <x:v>https://www.ubagroup.com/wp-content/uploads/2019/09/UBA-Plc-2018-Annual-Report-and-Acocunts.pdf</x:v>
      </x:c>
      <x:c r="J289" s="20" t="str">
        <x:v>Prior source-selection policy retained; original evidence preserved in accompanying pack.</x:v>
      </x:c>
    </x:row>
    <x:row r="290" ht="52" customHeight="1">
      <x:c r="A290" s="18" t="str">
        <x:v>Uploaded Word</x:v>
      </x:c>
      <x:c r="B290" s="18" t="str">
        <x:v>UBA</x:v>
      </x:c>
      <x:c r="C290" s="18" t="n">
        <x:v>2017</x:v>
      </x:c>
      <x:c r="D290" s="20" t="str">
        <x:v>car</x:v>
      </x:c>
      <x:c r="E290" s="22" t="n">
        <x:v>20</x:v>
      </x:c>
      <x:c r="F290" s="22" t="n">
        <x:v>20</x:v>
      </x:c>
      <x:c r="G290" s="22" t="n">
        <x:f>IF(COUNT(E290,F290)=2,F290-E290,"")</x:f>
        <x:v>0</x:v>
      </x:c>
      <x:c r="H290" s="20" t="str">
        <x:v>Exact agreement</x:v>
      </x:c>
      <x:c r="I290" s="20" t="str">
        <x:v>https://www.ubagroup.com/wp-content/uploads/2019/09/UBA-Plc-2018-Annual-Report-and-Acocunts.pdf</x:v>
      </x:c>
      <x:c r="J290" s="20" t="str">
        <x:v>Prior source-selection policy retained; original evidence preserved in accompanying pack.</x:v>
      </x:c>
    </x:row>
    <x:row r="291" ht="52" customHeight="1">
      <x:c r="A291" s="18" t="str">
        <x:v>Uploaded Word</x:v>
      </x:c>
      <x:c r="B291" s="18" t="str">
        <x:v>UBA</x:v>
      </x:c>
      <x:c r="C291" s="18" t="n">
        <x:v>2017</x:v>
      </x:c>
      <x:c r="D291" s="20" t="str">
        <x:v>npl_reported</x:v>
      </x:c>
      <x:c r="E291" s="22" t="n">
        <x:v>3.7</x:v>
      </x:c>
      <x:c r="F291" s="22"/>
      <x:c r="G291" s="22" t="str">
        <x:f>IF(COUNT(E291,F291)=2,F291-E291,"")</x:f>
      </x:c>
      <x:c r="H291" s="20" t="str">
        <x:v>Candidate retained outside selected field</x:v>
      </x:c>
      <x:c r="I291" s="20" t="str">
        <x:v>https://www.ubagroup.com/wp-content/uploads/2019/09/UBA-Plc-2018-Annual-Report-and-Acocunts.pdf</x:v>
      </x:c>
      <x:c r="J291" s="20" t="str">
        <x:v>Prior source-selection policy retained; original evidence preserved in accompanying pack.</x:v>
      </x:c>
    </x:row>
    <x:row r="292" ht="52" customHeight="1">
      <x:c r="A292" s="18" t="str">
        <x:v>Uploaded Word</x:v>
      </x:c>
      <x:c r="B292" s="18" t="str">
        <x:v>UBA</x:v>
      </x:c>
      <x:c r="C292" s="18" t="n">
        <x:v>2017</x:v>
      </x:c>
      <x:c r="D292" s="20" t="str">
        <x:v>gcu</x:v>
      </x:c>
      <x:c r="E292" s="22" t="n">
        <x:v>0</x:v>
      </x:c>
      <x:c r="F292" s="22"/>
      <x:c r="G292" s="22" t="str">
        <x:f>IF(COUNT(E292,F292)=2,F292-E292,"")</x:f>
      </x:c>
      <x:c r="H292" s="20" t="str">
        <x:v>Candidate retained outside selected field</x:v>
      </x:c>
      <x:c r="I292" s="20" t="str">
        <x:v>https://www.ubagroup.com/wp-content/uploads/2019/09/UBA-Plc-2018-Annual-Report-and-Acocunts.pdf</x:v>
      </x:c>
      <x:c r="J292" s="20" t="str">
        <x:v>Prior source-selection policy retained; original evidence preserved in accompanying pack.</x:v>
      </x:c>
    </x:row>
    <x:row r="293" ht="52" customHeight="1">
      <x:c r="A293" s="18" t="str">
        <x:v>Uploaded Word</x:v>
      </x:c>
      <x:c r="B293" s="18" t="str">
        <x:v>UBA</x:v>
      </x:c>
      <x:c r="C293" s="18" t="n">
        <x:v>2018</x:v>
      </x:c>
      <x:c r="D293" s="20" t="str">
        <x:v>pat</x:v>
      </x:c>
      <x:c r="E293" s="22" t="n">
        <x:v>41047</x:v>
      </x:c>
      <x:c r="F293" s="22" t="n">
        <x:v>41047</x:v>
      </x:c>
      <x:c r="G293" s="22" t="n">
        <x:f>IF(COUNT(E293,F293)=2,F293-E293,"")</x:f>
        <x:v>0</x:v>
      </x:c>
      <x:c r="H293" s="20" t="str">
        <x:v>Exact agreement</x:v>
      </x:c>
      <x:c r="I293" s="20" t="str">
        <x:v>https://www.ubagroup.com/wp-content/uploads/2019/09/UBA-Plc-2018-Annual-Report-and-Acocunts.pdf</x:v>
      </x:c>
      <x:c r="J293" s="20" t="str">
        <x:v>Prior source-selection policy retained; original evidence preserved in accompanying pack.</x:v>
      </x:c>
    </x:row>
    <x:row r="294" ht="52" customHeight="1">
      <x:c r="A294" s="18" t="str">
        <x:v>Uploaded Word</x:v>
      </x:c>
      <x:c r="B294" s="18" t="str">
        <x:v>UBA</x:v>
      </x:c>
      <x:c r="C294" s="18" t="n">
        <x:v>2018</x:v>
      </x:c>
      <x:c r="D294" s="20" t="str">
        <x:v>gross_earnings</x:v>
      </x:c>
      <x:c r="E294" s="22" t="n">
        <x:v>341504</x:v>
      </x:c>
      <x:c r="F294" s="22"/>
      <x:c r="G294" s="22" t="str">
        <x:f>IF(COUNT(E294,F294)=2,F294-E294,"")</x:f>
      </x:c>
      <x:c r="H294" s="20" t="str">
        <x:v>Candidate retained outside selected field</x:v>
      </x:c>
      <x:c r="I294" s="20" t="str">
        <x:v>https://www.ubagroup.com/wp-content/uploads/2019/09/UBA-Plc-2018-Annual-Report-and-Acocunts.pdf</x:v>
      </x:c>
      <x:c r="J294" s="20" t="str">
        <x:v>Prior source-selection policy retained; original evidence preserved in accompanying pack.</x:v>
      </x:c>
    </x:row>
    <x:row r="295" ht="52" customHeight="1">
      <x:c r="A295" s="18" t="str">
        <x:v>Uploaded Word</x:v>
      </x:c>
      <x:c r="B295" s="18" t="str">
        <x:v>UBA</x:v>
      </x:c>
      <x:c r="C295" s="18" t="n">
        <x:v>2018</x:v>
      </x:c>
      <x:c r="D295" s="20" t="str">
        <x:v>assets</x:v>
      </x:c>
      <x:c r="E295" s="22" t="n">
        <x:v>3591305</x:v>
      </x:c>
      <x:c r="F295" s="22" t="n">
        <x:v>3591305</x:v>
      </x:c>
      <x:c r="G295" s="22" t="n">
        <x:f>IF(COUNT(E295,F295)=2,F295-E295,"")</x:f>
        <x:v>0</x:v>
      </x:c>
      <x:c r="H295" s="20" t="str">
        <x:v>Exact agreement</x:v>
      </x:c>
      <x:c r="I295" s="20" t="str">
        <x:v>https://www.ubagroup.com/wp-content/uploads/2019/09/UBA-Plc-2018-Annual-Report-and-Acocunts.pdf</x:v>
      </x:c>
      <x:c r="J295" s="20" t="str">
        <x:v>Prior source-selection policy retained; original evidence preserved in accompanying pack.</x:v>
      </x:c>
    </x:row>
    <x:row r="296" ht="52" customHeight="1">
      <x:c r="A296" s="18" t="str">
        <x:v>Uploaded Word</x:v>
      </x:c>
      <x:c r="B296" s="18" t="str">
        <x:v>UBA</x:v>
      </x:c>
      <x:c r="C296" s="18" t="n">
        <x:v>2018</x:v>
      </x:c>
      <x:c r="D296" s="20" t="str">
        <x:v>gross_loans</x:v>
      </x:c>
      <x:c r="E296" s="22" t="n">
        <x:v>1274112</x:v>
      </x:c>
      <x:c r="F296" s="22" t="n">
        <x:v>1274112</x:v>
      </x:c>
      <x:c r="G296" s="22" t="n">
        <x:f>IF(COUNT(E296,F296)=2,F296-E296,"")</x:f>
        <x:v>0</x:v>
      </x:c>
      <x:c r="H296" s="20" t="str">
        <x:v>Exact agreement</x:v>
      </x:c>
      <x:c r="I296" s="20" t="str">
        <x:v>https://www.ubagroup.com/wp-content/uploads/2019/09/UBA-Plc-2018-Annual-Report-and-Acocunts.pdf</x:v>
      </x:c>
      <x:c r="J296" s="20" t="str">
        <x:v>Prior source-selection policy retained; original evidence preserved in accompanying pack.</x:v>
      </x:c>
    </x:row>
    <x:row r="297" ht="52" customHeight="1">
      <x:c r="A297" s="18" t="str">
        <x:v>Uploaded Word</x:v>
      </x:c>
      <x:c r="B297" s="18" t="str">
        <x:v>UBA</x:v>
      </x:c>
      <x:c r="C297" s="18" t="n">
        <x:v>2018</x:v>
      </x:c>
      <x:c r="D297" s="20" t="str">
        <x:v>loan_allowance</x:v>
      </x:c>
      <x:c r="E297" s="22" t="n">
        <x:v>60311</x:v>
      </x:c>
      <x:c r="F297" s="22" t="n">
        <x:v>60311</x:v>
      </x:c>
      <x:c r="G297" s="22" t="n">
        <x:f>IF(COUNT(E297,F297)=2,F297-E297,"")</x:f>
        <x:v>0</x:v>
      </x:c>
      <x:c r="H297" s="20" t="str">
        <x:v>Exact agreement</x:v>
      </x:c>
      <x:c r="I297" s="20" t="str">
        <x:v>https://www.ubagroup.com/wp-content/uploads/2019/09/UBA-Plc-2018-Annual-Report-and-Acocunts.pdf</x:v>
      </x:c>
      <x:c r="J297" s="20" t="str">
        <x:v>Prior source-selection policy retained; original evidence preserved in accompanying pack.</x:v>
      </x:c>
    </x:row>
    <x:row r="298" ht="52" customHeight="1">
      <x:c r="A298" s="18" t="str">
        <x:v>Uploaded Word</x:v>
      </x:c>
      <x:c r="B298" s="18" t="str">
        <x:v>UBA</x:v>
      </x:c>
      <x:c r="C298" s="18" t="n">
        <x:v>2018</x:v>
      </x:c>
      <x:c r="D298" s="20" t="str">
        <x:v>total_impairment</x:v>
      </x:c>
      <x:c r="E298" s="22" t="n">
        <x:v>4257</x:v>
      </x:c>
      <x:c r="F298" s="22" t="n">
        <x:v>4257</x:v>
      </x:c>
      <x:c r="G298" s="22" t="n">
        <x:f>IF(COUNT(E298,F298)=2,F298-E298,"")</x:f>
        <x:v>0</x:v>
      </x:c>
      <x:c r="H298" s="20" t="str">
        <x:v>Exact agreement</x:v>
      </x:c>
      <x:c r="I298" s="20" t="str">
        <x:v>https://www.ubagroup.com/wp-content/uploads/2019/09/UBA-Plc-2018-Annual-Report-and-Acocunts.pdf</x:v>
      </x:c>
      <x:c r="J298" s="20" t="str">
        <x:v>Prior source-selection policy retained; original evidence preserved in accompanying pack.</x:v>
      </x:c>
    </x:row>
    <x:row r="299" ht="52" customHeight="1">
      <x:c r="A299" s="18" t="str">
        <x:v>Uploaded Word</x:v>
      </x:c>
      <x:c r="B299" s="18" t="str">
        <x:v>UBA</x:v>
      </x:c>
      <x:c r="C299" s="18" t="n">
        <x:v>2018</x:v>
      </x:c>
      <x:c r="D299" s="20" t="str">
        <x:v>car</x:v>
      </x:c>
      <x:c r="E299" s="22" t="n">
        <x:v>20</x:v>
      </x:c>
      <x:c r="F299" s="22" t="n">
        <x:v>20</x:v>
      </x:c>
      <x:c r="G299" s="22" t="n">
        <x:f>IF(COUNT(E299,F299)=2,F299-E299,"")</x:f>
        <x:v>0</x:v>
      </x:c>
      <x:c r="H299" s="20" t="str">
        <x:v>Exact agreement</x:v>
      </x:c>
      <x:c r="I299" s="20" t="str">
        <x:v>https://www.ubagroup.com/wp-content/uploads/2019/09/UBA-Plc-2018-Annual-Report-and-Acocunts.pdf</x:v>
      </x:c>
      <x:c r="J299" s="20" t="str">
        <x:v>Prior source-selection policy retained; original evidence preserved in accompanying pack.</x:v>
      </x:c>
    </x:row>
    <x:row r="300" ht="52" customHeight="1">
      <x:c r="A300" s="18" t="str">
        <x:v>Uploaded Word</x:v>
      </x:c>
      <x:c r="B300" s="18" t="str">
        <x:v>UBA</x:v>
      </x:c>
      <x:c r="C300" s="18" t="n">
        <x:v>2018</x:v>
      </x:c>
      <x:c r="D300" s="20" t="str">
        <x:v>npl_reported</x:v>
      </x:c>
      <x:c r="E300" s="22" t="n">
        <x:v>4.2</x:v>
      </x:c>
      <x:c r="F300" s="22"/>
      <x:c r="G300" s="22" t="str">
        <x:f>IF(COUNT(E300,F300)=2,F300-E300,"")</x:f>
      </x:c>
      <x:c r="H300" s="20" t="str">
        <x:v>Candidate retained outside selected field</x:v>
      </x:c>
      <x:c r="I300" s="20" t="str">
        <x:v>https://www.ubagroup.com/wp-content/uploads/2019/09/UBA-Plc-2018-Annual-Report-and-Acocunts.pdf</x:v>
      </x:c>
      <x:c r="J300" s="20" t="str">
        <x:v>Prior source-selection policy retained; original evidence preserved in accompanying pack.</x:v>
      </x:c>
    </x:row>
    <x:row r="301" ht="52" customHeight="1">
      <x:c r="A301" s="18" t="str">
        <x:v>Uploaded Word</x:v>
      </x:c>
      <x:c r="B301" s="18" t="str">
        <x:v>UBA</x:v>
      </x:c>
      <x:c r="C301" s="18" t="n">
        <x:v>2018</x:v>
      </x:c>
      <x:c r="D301" s="20" t="str">
        <x:v>gcu</x:v>
      </x:c>
      <x:c r="E301" s="22" t="n">
        <x:v>0</x:v>
      </x:c>
      <x:c r="F301" s="22"/>
      <x:c r="G301" s="22" t="str">
        <x:f>IF(COUNT(E301,F301)=2,F301-E301,"")</x:f>
      </x:c>
      <x:c r="H301" s="20" t="str">
        <x:v>Candidate retained outside selected field</x:v>
      </x:c>
      <x:c r="I301" s="20" t="str">
        <x:v>https://www.ubagroup.com/wp-content/uploads/2019/09/UBA-Plc-2018-Annual-Report-and-Acocunts.pdf</x:v>
      </x:c>
      <x:c r="J301" s="20" t="str">
        <x:v>Prior source-selection policy retained; original evidence preserved in accompanying pack.</x:v>
      </x:c>
    </x:row>
    <x:row r="302" ht="52" customHeight="1">
      <x:c r="A302" s="18" t="str">
        <x:v>Uploaded Word</x:v>
      </x:c>
      <x:c r="B302" s="18" t="str">
        <x:v>UBA</x:v>
      </x:c>
      <x:c r="C302" s="18" t="n">
        <x:v>2019</x:v>
      </x:c>
      <x:c r="D302" s="20" t="str">
        <x:v>pat</x:v>
      </x:c>
      <x:c r="E302" s="22" t="n">
        <x:v>62750</x:v>
      </x:c>
      <x:c r="F302" s="22" t="n">
        <x:v>62750</x:v>
      </x:c>
      <x:c r="G302" s="22" t="n">
        <x:f>IF(COUNT(E302,F302)=2,F302-E302,"")</x:f>
        <x:v>0</x:v>
      </x:c>
      <x:c r="H302" s="20" t="str">
        <x:v>Exact agreement</x:v>
      </x:c>
      <x:c r="I302" s="20" t="str">
        <x:v>https://www.ubagroup.com/wp-content/uploads/2021/03/UBA-Plc-2020-Annual-Report-and-Accounts.pdf</x:v>
      </x:c>
      <x:c r="J302" s="20" t="str">
        <x:v>Prior source-selection policy retained; original evidence preserved in accompanying pack.</x:v>
      </x:c>
    </x:row>
    <x:row r="303" ht="52" customHeight="1">
      <x:c r="A303" s="18" t="str">
        <x:v>Uploaded Word</x:v>
      </x:c>
      <x:c r="B303" s="18" t="str">
        <x:v>UBA</x:v>
      </x:c>
      <x:c r="C303" s="18" t="n">
        <x:v>2019</x:v>
      </x:c>
      <x:c r="D303" s="20" t="str">
        <x:v>gross_earnings</x:v>
      </x:c>
      <x:c r="E303" s="22" t="n">
        <x:v>412624</x:v>
      </x:c>
      <x:c r="F303" s="22"/>
      <x:c r="G303" s="22" t="str">
        <x:f>IF(COUNT(E303,F303)=2,F303-E303,"")</x:f>
      </x:c>
      <x:c r="H303" s="20" t="str">
        <x:v>Candidate retained outside selected field</x:v>
      </x:c>
      <x:c r="I303" s="20" t="str">
        <x:v>https://www.ubagroup.com/wp-content/uploads/2021/03/UBA-Plc-2020-Annual-Report-and-Accounts.pdf</x:v>
      </x:c>
      <x:c r="J303" s="20" t="str">
        <x:v>Prior source-selection policy retained; original evidence preserved in accompanying pack.</x:v>
      </x:c>
    </x:row>
    <x:row r="304" ht="52" customHeight="1">
      <x:c r="A304" s="18" t="str">
        <x:v>Uploaded Word</x:v>
      </x:c>
      <x:c r="B304" s="18" t="str">
        <x:v>UBA</x:v>
      </x:c>
      <x:c r="C304" s="18" t="n">
        <x:v>2019</x:v>
      </x:c>
      <x:c r="D304" s="20" t="str">
        <x:v>assets</x:v>
      </x:c>
      <x:c r="E304" s="22" t="n">
        <x:v>4136493</x:v>
      </x:c>
      <x:c r="F304" s="22" t="n">
        <x:v>4136493</x:v>
      </x:c>
      <x:c r="G304" s="22" t="n">
        <x:f>IF(COUNT(E304,F304)=2,F304-E304,"")</x:f>
        <x:v>0</x:v>
      </x:c>
      <x:c r="H304" s="20" t="str">
        <x:v>Exact agreement</x:v>
      </x:c>
      <x:c r="I304" s="20" t="str">
        <x:v>https://www.ubagroup.com/wp-content/uploads/2021/03/UBA-Plc-2020-Annual-Report-and-Accounts.pdf</x:v>
      </x:c>
      <x:c r="J304" s="20" t="str">
        <x:v>Prior source-selection policy retained; original evidence preserved in accompanying pack.</x:v>
      </x:c>
    </x:row>
    <x:row r="305" ht="52" customHeight="1">
      <x:c r="A305" s="18" t="str">
        <x:v>Uploaded Word</x:v>
      </x:c>
      <x:c r="B305" s="18" t="str">
        <x:v>UBA</x:v>
      </x:c>
      <x:c r="C305" s="18" t="n">
        <x:v>2019</x:v>
      </x:c>
      <x:c r="D305" s="20" t="str">
        <x:v>gross_loans</x:v>
      </x:c>
      <x:c r="E305" s="22" t="n">
        <x:v>1557358</x:v>
      </x:c>
      <x:c r="F305" s="22" t="n">
        <x:v>1557358</x:v>
      </x:c>
      <x:c r="G305" s="22" t="n">
        <x:f>IF(COUNT(E305,F305)=2,F305-E305,"")</x:f>
        <x:v>0</x:v>
      </x:c>
      <x:c r="H305" s="20" t="str">
        <x:v>Exact agreement</x:v>
      </x:c>
      <x:c r="I305" s="20" t="str">
        <x:v>https://www.ubagroup.com/wp-content/uploads/2021/03/UBA-Plc-2020-Annual-Report-and-Accounts.pdf</x:v>
      </x:c>
      <x:c r="J305" s="20" t="str">
        <x:v>Prior source-selection policy retained; original evidence preserved in accompanying pack.</x:v>
      </x:c>
    </x:row>
    <x:row r="306" ht="52" customHeight="1">
      <x:c r="A306" s="18" t="str">
        <x:v>Uploaded Word</x:v>
      </x:c>
      <x:c r="B306" s="18" t="str">
        <x:v>UBA</x:v>
      </x:c>
      <x:c r="C306" s="18" t="n">
        <x:v>2019</x:v>
      </x:c>
      <x:c r="D306" s="20" t="str">
        <x:v>loan_allowance</x:v>
      </x:c>
      <x:c r="E306" s="22" t="n">
        <x:v>53978</x:v>
      </x:c>
      <x:c r="F306" s="22" t="n">
        <x:v>53978</x:v>
      </x:c>
      <x:c r="G306" s="22" t="n">
        <x:f>IF(COUNT(E306,F306)=2,F306-E306,"")</x:f>
        <x:v>0</x:v>
      </x:c>
      <x:c r="H306" s="20" t="str">
        <x:v>Exact agreement</x:v>
      </x:c>
      <x:c r="I306" s="20" t="str">
        <x:v>https://www.ubagroup.com/wp-content/uploads/2021/03/UBA-Plc-2020-Annual-Report-and-Accounts.pdf</x:v>
      </x:c>
      <x:c r="J306" s="20" t="str">
        <x:v>Prior source-selection policy retained; original evidence preserved in accompanying pack.</x:v>
      </x:c>
    </x:row>
    <x:row r="307" ht="52" customHeight="1">
      <x:c r="A307" s="18" t="str">
        <x:v>Uploaded Word</x:v>
      </x:c>
      <x:c r="B307" s="18" t="str">
        <x:v>UBA</x:v>
      </x:c>
      <x:c r="C307" s="18" t="n">
        <x:v>2019</x:v>
      </x:c>
      <x:c r="D307" s="20" t="str">
        <x:v>total_impairment</x:v>
      </x:c>
      <x:c r="E307" s="22" t="n">
        <x:v>16369</x:v>
      </x:c>
      <x:c r="F307" s="22" t="n">
        <x:v>16369</x:v>
      </x:c>
      <x:c r="G307" s="22" t="n">
        <x:f>IF(COUNT(E307,F307)=2,F307-E307,"")</x:f>
        <x:v>0</x:v>
      </x:c>
      <x:c r="H307" s="20" t="str">
        <x:v>Exact agreement</x:v>
      </x:c>
      <x:c r="I307" s="20" t="str">
        <x:v>https://www.ubagroup.com/wp-content/uploads/2021/03/UBA-Plc-2020-Annual-Report-and-Accounts.pdf</x:v>
      </x:c>
      <x:c r="J307" s="20" t="str">
        <x:v>Prior source-selection policy retained; original evidence preserved in accompanying pack.</x:v>
      </x:c>
    </x:row>
    <x:row r="308" ht="52" customHeight="1">
      <x:c r="A308" s="18" t="str">
        <x:v>Uploaded Word</x:v>
      </x:c>
      <x:c r="B308" s="18" t="str">
        <x:v>UBA</x:v>
      </x:c>
      <x:c r="C308" s="18" t="n">
        <x:v>2019</x:v>
      </x:c>
      <x:c r="D308" s="20" t="str">
        <x:v>car</x:v>
      </x:c>
      <x:c r="E308" s="22" t="n">
        <x:v>20.39</x:v>
      </x:c>
      <x:c r="F308" s="22" t="n">
        <x:v>22</x:v>
      </x:c>
      <x:c r="G308" s="22" t="n">
        <x:f>IF(COUNT(E308,F308)=2,F308-E308,"")</x:f>
        <x:v>1.6099999999999994</x:v>
      </x:c>
      <x:c r="H308" s="20" t="str">
        <x:v>Difference: retain selected source / definition</x:v>
      </x:c>
      <x:c r="I308" s="20" t="str">
        <x:v>https://www.ubagroup.com/wp-content/uploads/2021/03/UBA-Plc-2020-Annual-Report-and-Accounts.pdf</x:v>
      </x:c>
      <x:c r="J308" s="20" t="str">
        <x:v>Prior source-selection policy retained; original evidence preserved in accompanying pack.</x:v>
      </x:c>
    </x:row>
    <x:row r="309" ht="52" customHeight="1">
      <x:c r="A309" s="18" t="str">
        <x:v>Uploaded Word</x:v>
      </x:c>
      <x:c r="B309" s="18" t="str">
        <x:v>UBA</x:v>
      </x:c>
      <x:c r="C309" s="18" t="n">
        <x:v>2019</x:v>
      </x:c>
      <x:c r="D309" s="20" t="str">
        <x:v>npl_reported</x:v>
      </x:c>
      <x:c r="E309" s="22" t="n">
        <x:v>2.87</x:v>
      </x:c>
      <x:c r="F309" s="22"/>
      <x:c r="G309" s="22" t="str">
        <x:f>IF(COUNT(E309,F309)=2,F309-E309,"")</x:f>
      </x:c>
      <x:c r="H309" s="20" t="str">
        <x:v>Candidate retained outside selected field</x:v>
      </x:c>
      <x:c r="I309" s="20" t="str">
        <x:v>https://www.ubagroup.com/wp-content/uploads/2021/03/UBA-Plc-2020-Annual-Report-and-Accounts.pdf</x:v>
      </x:c>
      <x:c r="J309" s="20" t="str">
        <x:v>Prior source-selection policy retained; original evidence preserved in accompanying pack.</x:v>
      </x:c>
    </x:row>
    <x:row r="310" ht="52" customHeight="1">
      <x:c r="A310" s="18" t="str">
        <x:v>Uploaded Word</x:v>
      </x:c>
      <x:c r="B310" s="18" t="str">
        <x:v>UBA</x:v>
      </x:c>
      <x:c r="C310" s="18" t="n">
        <x:v>2019</x:v>
      </x:c>
      <x:c r="D310" s="20" t="str">
        <x:v>gcu</x:v>
      </x:c>
      <x:c r="E310" s="22" t="n">
        <x:v>0</x:v>
      </x:c>
      <x:c r="F310" s="22"/>
      <x:c r="G310" s="22" t="str">
        <x:f>IF(COUNT(E310,F310)=2,F310-E310,"")</x:f>
      </x:c>
      <x:c r="H310" s="20" t="str">
        <x:v>Candidate retained outside selected field</x:v>
      </x:c>
      <x:c r="I310" s="20" t="str">
        <x:v>https://www.ubagroup.com/wp-content/uploads/2021/03/UBA-Plc-2020-Annual-Report-and-Accounts.pdf</x:v>
      </x:c>
      <x:c r="J310" s="20" t="str">
        <x:v>Prior source-selection policy retained; original evidence preserved in accompanying pack.</x:v>
      </x:c>
    </x:row>
    <x:row r="311" ht="52" customHeight="1">
      <x:c r="A311" s="18" t="str">
        <x:v>Uploaded Word</x:v>
      </x:c>
      <x:c r="B311" s="18" t="str">
        <x:v>UBA</x:v>
      </x:c>
      <x:c r="C311" s="18" t="n">
        <x:v>2020</x:v>
      </x:c>
      <x:c r="D311" s="20" t="str">
        <x:v>pat</x:v>
      </x:c>
      <x:c r="E311" s="22" t="n">
        <x:v>56911</x:v>
      </x:c>
      <x:c r="F311" s="22" t="n">
        <x:v>56911</x:v>
      </x:c>
      <x:c r="G311" s="22" t="n">
        <x:f>IF(COUNT(E311,F311)=2,F311-E311,"")</x:f>
        <x:v>0</x:v>
      </x:c>
      <x:c r="H311" s="20" t="str">
        <x:v>Exact agreement</x:v>
      </x:c>
      <x:c r="I311" s="20" t="str">
        <x:v>https://www.ubagroup.com/wp-content/uploads/2021/03/UBA-Plc-2020-Annual-Report-and-Accounts.pdf</x:v>
      </x:c>
      <x:c r="J311" s="20" t="str">
        <x:v>Prior source-selection policy retained; original evidence preserved in accompanying pack.</x:v>
      </x:c>
    </x:row>
    <x:row r="312" ht="52" customHeight="1">
      <x:c r="A312" s="18" t="str">
        <x:v>Uploaded Word</x:v>
      </x:c>
      <x:c r="B312" s="18" t="str">
        <x:v>UBA</x:v>
      </x:c>
      <x:c r="C312" s="18" t="n">
        <x:v>2020</x:v>
      </x:c>
      <x:c r="D312" s="20" t="str">
        <x:v>gross_earnings</x:v>
      </x:c>
      <x:c r="E312" s="22" t="n">
        <x:v>381476</x:v>
      </x:c>
      <x:c r="F312" s="22"/>
      <x:c r="G312" s="22" t="str">
        <x:f>IF(COUNT(E312,F312)=2,F312-E312,"")</x:f>
      </x:c>
      <x:c r="H312" s="20" t="str">
        <x:v>Candidate retained outside selected field</x:v>
      </x:c>
      <x:c r="I312" s="20" t="str">
        <x:v>https://www.ubagroup.com/wp-content/uploads/2021/03/UBA-Plc-2020-Annual-Report-and-Accounts.pdf</x:v>
      </x:c>
      <x:c r="J312" s="20" t="str">
        <x:v>Prior source-selection policy retained; original evidence preserved in accompanying pack.</x:v>
      </x:c>
    </x:row>
    <x:row r="313" ht="52" customHeight="1">
      <x:c r="A313" s="18" t="str">
        <x:v>Uploaded Word</x:v>
      </x:c>
      <x:c r="B313" s="18" t="str">
        <x:v>UBA</x:v>
      </x:c>
      <x:c r="C313" s="18" t="n">
        <x:v>2020</x:v>
      </x:c>
      <x:c r="D313" s="20" t="str">
        <x:v>assets</x:v>
      </x:c>
      <x:c r="E313" s="22" t="n">
        <x:v>5207833</x:v>
      </x:c>
      <x:c r="F313" s="22" t="n">
        <x:v>5207833</x:v>
      </x:c>
      <x:c r="G313" s="22" t="n">
        <x:f>IF(COUNT(E313,F313)=2,F313-E313,"")</x:f>
        <x:v>0</x:v>
      </x:c>
      <x:c r="H313" s="20" t="str">
        <x:v>Exact agreement</x:v>
      </x:c>
      <x:c r="I313" s="20" t="str">
        <x:v>https://www.ubagroup.com/wp-content/uploads/2021/03/UBA-Plc-2020-Annual-Report-and-Accounts.pdf</x:v>
      </x:c>
      <x:c r="J313" s="20" t="str">
        <x:v>Prior source-selection policy retained; original evidence preserved in accompanying pack.</x:v>
      </x:c>
    </x:row>
    <x:row r="314" ht="52" customHeight="1">
      <x:c r="A314" s="18" t="str">
        <x:v>Uploaded Word</x:v>
      </x:c>
      <x:c r="B314" s="18" t="str">
        <x:v>UBA</x:v>
      </x:c>
      <x:c r="C314" s="18" t="n">
        <x:v>2020</x:v>
      </x:c>
      <x:c r="D314" s="20" t="str">
        <x:v>gross_loans</x:v>
      </x:c>
      <x:c r="E314" s="22" t="n">
        <x:v>1874858</x:v>
      </x:c>
      <x:c r="F314" s="22" t="n">
        <x:v>1874858</x:v>
      </x:c>
      <x:c r="G314" s="22" t="n">
        <x:f>IF(COUNT(E314,F314)=2,F314-E314,"")</x:f>
        <x:v>0</x:v>
      </x:c>
      <x:c r="H314" s="20" t="str">
        <x:v>Exact agreement</x:v>
      </x:c>
      <x:c r="I314" s="20" t="str">
        <x:v>https://www.ubagroup.com/wp-content/uploads/2021/03/UBA-Plc-2020-Annual-Report-and-Accounts.pdf</x:v>
      </x:c>
      <x:c r="J314" s="20" t="str">
        <x:v>Prior source-selection policy retained; original evidence preserved in accompanying pack.</x:v>
      </x:c>
    </x:row>
    <x:row r="315" ht="52" customHeight="1">
      <x:c r="A315" s="18" t="str">
        <x:v>Uploaded Word</x:v>
      </x:c>
      <x:c r="B315" s="18" t="str">
        <x:v>UBA</x:v>
      </x:c>
      <x:c r="C315" s="18" t="n">
        <x:v>2020</x:v>
      </x:c>
      <x:c r="D315" s="20" t="str">
        <x:v>loan_allowance</x:v>
      </x:c>
      <x:c r="E315" s="22" t="n">
        <x:v>62322</x:v>
      </x:c>
      <x:c r="F315" s="22" t="n">
        <x:v>62322</x:v>
      </x:c>
      <x:c r="G315" s="22" t="n">
        <x:f>IF(COUNT(E315,F315)=2,F315-E315,"")</x:f>
        <x:v>0</x:v>
      </x:c>
      <x:c r="H315" s="20" t="str">
        <x:v>Exact agreement</x:v>
      </x:c>
      <x:c r="I315" s="20" t="str">
        <x:v>https://www.ubagroup.com/wp-content/uploads/2021/03/UBA-Plc-2020-Annual-Report-and-Accounts.pdf</x:v>
      </x:c>
      <x:c r="J315" s="20" t="str">
        <x:v>Prior source-selection policy retained; original evidence preserved in accompanying pack.</x:v>
      </x:c>
    </x:row>
    <x:row r="316" ht="52" customHeight="1">
      <x:c r="A316" s="18" t="str">
        <x:v>Uploaded Word</x:v>
      </x:c>
      <x:c r="B316" s="18" t="str">
        <x:v>UBA</x:v>
      </x:c>
      <x:c r="C316" s="18" t="n">
        <x:v>2020</x:v>
      </x:c>
      <x:c r="D316" s="20" t="str">
        <x:v>total_impairment</x:v>
      </x:c>
      <x:c r="E316" s="22" t="n">
        <x:v>21864</x:v>
      </x:c>
      <x:c r="F316" s="22" t="n">
        <x:v>21864</x:v>
      </x:c>
      <x:c r="G316" s="22" t="n">
        <x:f>IF(COUNT(E316,F316)=2,F316-E316,"")</x:f>
        <x:v>0</x:v>
      </x:c>
      <x:c r="H316" s="20" t="str">
        <x:v>Exact agreement</x:v>
      </x:c>
      <x:c r="I316" s="20" t="str">
        <x:v>https://www.ubagroup.com/wp-content/uploads/2021/03/UBA-Plc-2020-Annual-Report-and-Accounts.pdf</x:v>
      </x:c>
      <x:c r="J316" s="20" t="str">
        <x:v>Prior source-selection policy retained; original evidence preserved in accompanying pack.</x:v>
      </x:c>
    </x:row>
    <x:row r="317" ht="52" customHeight="1">
      <x:c r="A317" s="18" t="str">
        <x:v>Uploaded Word</x:v>
      </x:c>
      <x:c r="B317" s="18" t="str">
        <x:v>UBA</x:v>
      </x:c>
      <x:c r="C317" s="18" t="n">
        <x:v>2020</x:v>
      </x:c>
      <x:c r="D317" s="20" t="str">
        <x:v>car</x:v>
      </x:c>
      <x:c r="E317" s="22" t="n">
        <x:v>19.7</x:v>
      </x:c>
      <x:c r="F317" s="22" t="n">
        <x:v>20</x:v>
      </x:c>
      <x:c r="G317" s="22" t="n">
        <x:f>IF(COUNT(E317,F317)=2,F317-E317,"")</x:f>
        <x:v>0.3000000000000007</x:v>
      </x:c>
      <x:c r="H317" s="20" t="str">
        <x:v>Difference: retain selected source / definition</x:v>
      </x:c>
      <x:c r="I317" s="20" t="str">
        <x:v>https://www.ubagroup.com/wp-content/uploads/2021/03/UBA-Plc-2020-Annual-Report-and-Accounts.pdf</x:v>
      </x:c>
      <x:c r="J317" s="20" t="str">
        <x:v>Prior source-selection policy retained; original evidence preserved in accompanying pack.</x:v>
      </x:c>
    </x:row>
    <x:row r="318" ht="52" customHeight="1">
      <x:c r="A318" s="18" t="str">
        <x:v>Uploaded Word</x:v>
      </x:c>
      <x:c r="B318" s="18" t="str">
        <x:v>UBA</x:v>
      </x:c>
      <x:c r="C318" s="18" t="n">
        <x:v>2020</x:v>
      </x:c>
      <x:c r="D318" s="20" t="str">
        <x:v>npl_reported</x:v>
      </x:c>
      <x:c r="E318" s="22" t="n">
        <x:v>2.2</x:v>
      </x:c>
      <x:c r="F318" s="22"/>
      <x:c r="G318" s="22" t="str">
        <x:f>IF(COUNT(E318,F318)=2,F318-E318,"")</x:f>
      </x:c>
      <x:c r="H318" s="20" t="str">
        <x:v>Candidate retained outside selected field</x:v>
      </x:c>
      <x:c r="I318" s="20" t="str">
        <x:v>https://www.ubagroup.com/wp-content/uploads/2021/03/UBA-Plc-2020-Annual-Report-and-Accounts.pdf</x:v>
      </x:c>
      <x:c r="J318" s="20" t="str">
        <x:v>Prior source-selection policy retained; original evidence preserved in accompanying pack.</x:v>
      </x:c>
    </x:row>
    <x:row r="319" ht="52" customHeight="1">
      <x:c r="A319" s="18" t="str">
        <x:v>Uploaded Word</x:v>
      </x:c>
      <x:c r="B319" s="18" t="str">
        <x:v>UBA</x:v>
      </x:c>
      <x:c r="C319" s="18" t="n">
        <x:v>2020</x:v>
      </x:c>
      <x:c r="D319" s="20" t="str">
        <x:v>gcu</x:v>
      </x:c>
      <x:c r="E319" s="22" t="n">
        <x:v>0</x:v>
      </x:c>
      <x:c r="F319" s="22"/>
      <x:c r="G319" s="22" t="str">
        <x:f>IF(COUNT(E319,F319)=2,F319-E319,"")</x:f>
      </x:c>
      <x:c r="H319" s="20" t="str">
        <x:v>Candidate retained outside selected field</x:v>
      </x:c>
      <x:c r="I319" s="20" t="str">
        <x:v>https://www.ubagroup.com/wp-content/uploads/2021/03/UBA-Plc-2020-Annual-Report-and-Accounts.pdf</x:v>
      </x:c>
      <x:c r="J319" s="20" t="str">
        <x:v>Prior source-selection policy retained; original evidence preserved in accompanying pack.</x:v>
      </x:c>
    </x:row>
    <x:row r="320" ht="52" customHeight="1">
      <x:c r="A320" s="18" t="str">
        <x:v>Uploaded Word</x:v>
      </x:c>
      <x:c r="B320" s="18" t="str">
        <x:v>UBA</x:v>
      </x:c>
      <x:c r="C320" s="18" t="n">
        <x:v>2021</x:v>
      </x:c>
      <x:c r="D320" s="20" t="str">
        <x:v>pat</x:v>
      </x:c>
      <x:c r="E320" s="22" t="n">
        <x:v>58669</x:v>
      </x:c>
      <x:c r="F320" s="22" t="n">
        <x:v>58669</x:v>
      </x:c>
      <x:c r="G320" s="22" t="n">
        <x:f>IF(COUNT(E320,F320)=2,F320-E320,"")</x:f>
        <x:v>0</x:v>
      </x:c>
      <x:c r="H320" s="20" t="str">
        <x:v>Exact agreement</x:v>
      </x:c>
      <x:c r="I320" s="20" t="str">
        <x:v>https://doclib.ngxgroup.com/Financial_NewsDocs/37990_UNITED_BANK_FOR_AFRICA_PLC-_QUARTER_5_-_FINANCIAL_STATEMENT_FOR_2022_FINANCIAL_STATEMENTS_MARCH_2023.pdf</x:v>
      </x:c>
      <x:c r="J320" s="20" t="str">
        <x:v>Prior source-selection policy retained; original evidence preserved in accompanying pack.</x:v>
      </x:c>
    </x:row>
    <x:row r="321" ht="52" customHeight="1">
      <x:c r="A321" s="18" t="str">
        <x:v>Uploaded Word</x:v>
      </x:c>
      <x:c r="B321" s="18" t="str">
        <x:v>UBA</x:v>
      </x:c>
      <x:c r="C321" s="18" t="n">
        <x:v>2021</x:v>
      </x:c>
      <x:c r="D321" s="20" t="str">
        <x:v>gross_earnings</x:v>
      </x:c>
      <x:c r="E321" s="22" t="n">
        <x:v>381493</x:v>
      </x:c>
      <x:c r="F321" s="22"/>
      <x:c r="G321" s="22" t="str">
        <x:f>IF(COUNT(E321,F321)=2,F321-E321,"")</x:f>
      </x:c>
      <x:c r="H321" s="20" t="str">
        <x:v>Candidate retained outside selected field</x:v>
      </x:c>
      <x:c r="I321" s="20" t="str">
        <x:v>https://doclib.ngxgroup.com/Financial_NewsDocs/37990_UNITED_BANK_FOR_AFRICA_PLC-_QUARTER_5_-_FINANCIAL_STATEMENT_FOR_2022_FINANCIAL_STATEMENTS_MARCH_2023.pdf</x:v>
      </x:c>
      <x:c r="J321" s="20" t="str">
        <x:v>Prior source-selection policy retained; original evidence preserved in accompanying pack.</x:v>
      </x:c>
    </x:row>
    <x:row r="322" ht="52" customHeight="1">
      <x:c r="A322" s="18" t="str">
        <x:v>Uploaded Word</x:v>
      </x:c>
      <x:c r="B322" s="18" t="str">
        <x:v>UBA</x:v>
      </x:c>
      <x:c r="C322" s="18" t="n">
        <x:v>2021</x:v>
      </x:c>
      <x:c r="D322" s="20" t="str">
        <x:v>assets</x:v>
      </x:c>
      <x:c r="E322" s="22" t="n">
        <x:v>5574976</x:v>
      </x:c>
      <x:c r="F322" s="22" t="n">
        <x:v>5574976</x:v>
      </x:c>
      <x:c r="G322" s="22" t="n">
        <x:f>IF(COUNT(E322,F322)=2,F322-E322,"")</x:f>
        <x:v>0</x:v>
      </x:c>
      <x:c r="H322" s="20" t="str">
        <x:v>Exact agreement</x:v>
      </x:c>
      <x:c r="I322" s="20" t="str">
        <x:v>https://doclib.ngxgroup.com/Financial_NewsDocs/37990_UNITED_BANK_FOR_AFRICA_PLC-_QUARTER_5_-_FINANCIAL_STATEMENT_FOR_2022_FINANCIAL_STATEMENTS_MARCH_2023.pdf</x:v>
      </x:c>
      <x:c r="J322" s="20" t="str">
        <x:v>Prior source-selection policy retained; original evidence preserved in accompanying pack.</x:v>
      </x:c>
    </x:row>
    <x:row r="323" ht="52" customHeight="1">
      <x:c r="A323" s="18" t="str">
        <x:v>Uploaded Word</x:v>
      </x:c>
      <x:c r="B323" s="18" t="str">
        <x:v>UBA</x:v>
      </x:c>
      <x:c r="C323" s="18" t="n">
        <x:v>2021</x:v>
      </x:c>
      <x:c r="D323" s="20" t="str">
        <x:v>gross_loans</x:v>
      </x:c>
      <x:c r="E323" s="22" t="n">
        <x:v>1913403</x:v>
      </x:c>
      <x:c r="F323" s="22" t="n">
        <x:v>1913403</x:v>
      </x:c>
      <x:c r="G323" s="22" t="n">
        <x:f>IF(COUNT(E323,F323)=2,F323-E323,"")</x:f>
        <x:v>0</x:v>
      </x:c>
      <x:c r="H323" s="20" t="str">
        <x:v>Exact agreement</x:v>
      </x:c>
      <x:c r="I323" s="20" t="str">
        <x:v>https://doclib.ngxgroup.com/Financial_NewsDocs/37990_UNITED_BANK_FOR_AFRICA_PLC-_QUARTER_5_-_FINANCIAL_STATEMENT_FOR_2022_FINANCIAL_STATEMENTS_MARCH_2023.pdf</x:v>
      </x:c>
      <x:c r="J323" s="20" t="str">
        <x:v>Prior source-selection policy retained; original evidence preserved in accompanying pack.</x:v>
      </x:c>
    </x:row>
    <x:row r="324" ht="52" customHeight="1">
      <x:c r="A324" s="18" t="str">
        <x:v>Uploaded Word</x:v>
      </x:c>
      <x:c r="B324" s="18" t="str">
        <x:v>UBA</x:v>
      </x:c>
      <x:c r="C324" s="18" t="n">
        <x:v>2021</x:v>
      </x:c>
      <x:c r="D324" s="20" t="str">
        <x:v>loan_allowance</x:v>
      </x:c>
      <x:c r="E324" s="22" t="n">
        <x:v>65301</x:v>
      </x:c>
      <x:c r="F324" s="22" t="n">
        <x:v>65301</x:v>
      </x:c>
      <x:c r="G324" s="22" t="n">
        <x:f>IF(COUNT(E324,F324)=2,F324-E324,"")</x:f>
        <x:v>0</x:v>
      </x:c>
      <x:c r="H324" s="20" t="str">
        <x:v>Exact agreement</x:v>
      </x:c>
      <x:c r="I324" s="20" t="str">
        <x:v>https://doclib.ngxgroup.com/Financial_NewsDocs/37990_UNITED_BANK_FOR_AFRICA_PLC-_QUARTER_5_-_FINANCIAL_STATEMENT_FOR_2022_FINANCIAL_STATEMENTS_MARCH_2023.pdf</x:v>
      </x:c>
      <x:c r="J324" s="20" t="str">
        <x:v>Prior source-selection policy retained; original evidence preserved in accompanying pack.</x:v>
      </x:c>
    </x:row>
    <x:row r="325" ht="52" customHeight="1">
      <x:c r="A325" s="18" t="str">
        <x:v>Uploaded Word</x:v>
      </x:c>
      <x:c r="B325" s="18" t="str">
        <x:v>UBA</x:v>
      </x:c>
      <x:c r="C325" s="18" t="n">
        <x:v>2021</x:v>
      </x:c>
      <x:c r="D325" s="20" t="str">
        <x:v>total_impairment</x:v>
      </x:c>
      <x:c r="E325" s="22" t="n">
        <x:v>9749</x:v>
      </x:c>
      <x:c r="F325" s="22" t="n">
        <x:v>9749</x:v>
      </x:c>
      <x:c r="G325" s="22" t="n">
        <x:f>IF(COUNT(E325,F325)=2,F325-E325,"")</x:f>
        <x:v>0</x:v>
      </x:c>
      <x:c r="H325" s="20" t="str">
        <x:v>Exact agreement</x:v>
      </x:c>
      <x:c r="I325" s="20" t="str">
        <x:v>https://doclib.ngxgroup.com/Financial_NewsDocs/37990_UNITED_BANK_FOR_AFRICA_PLC-_QUARTER_5_-_FINANCIAL_STATEMENT_FOR_2022_FINANCIAL_STATEMENTS_MARCH_2023.pdf</x:v>
      </x:c>
      <x:c r="J325" s="20" t="str">
        <x:v>Prior source-selection policy retained; original evidence preserved in accompanying pack.</x:v>
      </x:c>
    </x:row>
    <x:row r="326" ht="52" customHeight="1">
      <x:c r="A326" s="18" t="str">
        <x:v>Uploaded Word</x:v>
      </x:c>
      <x:c r="B326" s="18" t="str">
        <x:v>UBA</x:v>
      </x:c>
      <x:c r="C326" s="18" t="n">
        <x:v>2021</x:v>
      </x:c>
      <x:c r="D326" s="20" t="str">
        <x:v>car</x:v>
      </x:c>
      <x:c r="E326" s="22" t="n">
        <x:v>21.8</x:v>
      </x:c>
      <x:c r="F326" s="22" t="n">
        <x:v>21.8</x:v>
      </x:c>
      <x:c r="G326" s="22" t="n">
        <x:f>IF(COUNT(E326,F326)=2,F326-E326,"")</x:f>
        <x:v>0</x:v>
      </x:c>
      <x:c r="H326" s="20" t="str">
        <x:v>Exact agreement</x:v>
      </x:c>
      <x:c r="I326" s="20" t="str">
        <x:v>https://doclib.ngxgroup.com/Financial_NewsDocs/37990_UNITED_BANK_FOR_AFRICA_PLC-_QUARTER_5_-_FINANCIAL_STATEMENT_FOR_2022_FINANCIAL_STATEMENTS_MARCH_2023.pdf</x:v>
      </x:c>
      <x:c r="J326" s="20" t="str">
        <x:v>Prior source-selection policy retained; original evidence preserved in accompanying pack.</x:v>
      </x:c>
    </x:row>
    <x:row r="327" ht="52" customHeight="1">
      <x:c r="A327" s="18" t="str">
        <x:v>Uploaded Word</x:v>
      </x:c>
      <x:c r="B327" s="18" t="str">
        <x:v>UBA</x:v>
      </x:c>
      <x:c r="C327" s="18" t="n">
        <x:v>2021</x:v>
      </x:c>
      <x:c r="D327" s="20" t="str">
        <x:v>npl_reported</x:v>
      </x:c>
      <x:c r="E327" s="22" t="n">
        <x:v>3.2</x:v>
      </x:c>
      <x:c r="F327" s="22"/>
      <x:c r="G327" s="22" t="str">
        <x:f>IF(COUNT(E327,F327)=2,F327-E327,"")</x:f>
      </x:c>
      <x:c r="H327" s="20" t="str">
        <x:v>Candidate retained outside selected field</x:v>
      </x:c>
      <x:c r="I327" s="20" t="str">
        <x:v>https://doclib.ngxgroup.com/Financial_NewsDocs/37990_UNITED_BANK_FOR_AFRICA_PLC-_QUARTER_5_-_FINANCIAL_STATEMENT_FOR_2022_FINANCIAL_STATEMENTS_MARCH_2023.pdf</x:v>
      </x:c>
      <x:c r="J327" s="20" t="str">
        <x:v>Prior source-selection policy retained; original evidence preserved in accompanying pack.</x:v>
      </x:c>
    </x:row>
    <x:row r="328" ht="52" customHeight="1">
      <x:c r="A328" s="18" t="str">
        <x:v>Uploaded Word</x:v>
      </x:c>
      <x:c r="B328" s="18" t="str">
        <x:v>UBA</x:v>
      </x:c>
      <x:c r="C328" s="18" t="n">
        <x:v>2021</x:v>
      </x:c>
      <x:c r="D328" s="20" t="str">
        <x:v>gcu</x:v>
      </x:c>
      <x:c r="E328" s="22" t="n">
        <x:v>0</x:v>
      </x:c>
      <x:c r="F328" s="22"/>
      <x:c r="G328" s="22" t="str">
        <x:f>IF(COUNT(E328,F328)=2,F328-E328,"")</x:f>
      </x:c>
      <x:c r="H328" s="20" t="str">
        <x:v>Candidate retained outside selected field</x:v>
      </x:c>
      <x:c r="I328" s="20" t="str">
        <x:v>https://doclib.ngxgroup.com/Financial_NewsDocs/37990_UNITED_BANK_FOR_AFRICA_PLC-_QUARTER_5_-_FINANCIAL_STATEMENT_FOR_2022_FINANCIAL_STATEMENTS_MARCH_2023.pdf</x:v>
      </x:c>
      <x:c r="J328" s="20" t="str">
        <x:v>Prior source-selection policy retained; original evidence preserved in accompanying pack.</x:v>
      </x:c>
    </x:row>
    <x:row r="329" ht="52" customHeight="1">
      <x:c r="A329" s="18" t="str">
        <x:v>Uploaded Word</x:v>
      </x:c>
      <x:c r="B329" s="18" t="str">
        <x:v>UBA</x:v>
      </x:c>
      <x:c r="C329" s="18" t="n">
        <x:v>2022</x:v>
      </x:c>
      <x:c r="D329" s="20" t="str">
        <x:v>pat</x:v>
      </x:c>
      <x:c r="E329" s="22" t="n">
        <x:v>133696</x:v>
      </x:c>
      <x:c r="F329" s="22" t="n">
        <x:v>133696</x:v>
      </x:c>
      <x:c r="G329" s="22" t="n">
        <x:f>IF(COUNT(E329,F329)=2,F329-E329,"")</x:f>
        <x:v>0</x:v>
      </x:c>
      <x:c r="H329" s="20" t="str">
        <x:v>Exact agreement</x:v>
      </x:c>
      <x:c r="I329" s="20" t="str">
        <x:v>https://doclib.ngxgroup.com/Financial_NewsDocs/37990_UNITED_BANK_FOR_AFRICA_PLC-_QUARTER_5_-_FINANCIAL_STATEMENT_FOR_2022_FINANCIAL_STATEMENTS_MARCH_2023.pdf</x:v>
      </x:c>
      <x:c r="J329" s="20" t="str">
        <x:v>Prior source-selection policy retained; original evidence preserved in accompanying pack.</x:v>
      </x:c>
    </x:row>
    <x:row r="330" ht="52" customHeight="1">
      <x:c r="A330" s="18" t="str">
        <x:v>Uploaded Word</x:v>
      </x:c>
      <x:c r="B330" s="18" t="str">
        <x:v>UBA</x:v>
      </x:c>
      <x:c r="C330" s="18" t="n">
        <x:v>2022</x:v>
      </x:c>
      <x:c r="D330" s="20" t="str">
        <x:v>gross_earnings</x:v>
      </x:c>
      <x:c r="E330" s="22" t="n">
        <x:v>564555</x:v>
      </x:c>
      <x:c r="F330" s="22"/>
      <x:c r="G330" s="22" t="str">
        <x:f>IF(COUNT(E330,F330)=2,F330-E330,"")</x:f>
      </x:c>
      <x:c r="H330" s="20" t="str">
        <x:v>Candidate retained outside selected field</x:v>
      </x:c>
      <x:c r="I330" s="20" t="str">
        <x:v>https://doclib.ngxgroup.com/Financial_NewsDocs/37990_UNITED_BANK_FOR_AFRICA_PLC-_QUARTER_5_-_FINANCIAL_STATEMENT_FOR_2022_FINANCIAL_STATEMENTS_MARCH_2023.pdf</x:v>
      </x:c>
      <x:c r="J330" s="20" t="str">
        <x:v>Prior source-selection policy retained; original evidence preserved in accompanying pack.</x:v>
      </x:c>
    </x:row>
    <x:row r="331" ht="52" customHeight="1">
      <x:c r="A331" s="18" t="str">
        <x:v>Uploaded Word</x:v>
      </x:c>
      <x:c r="B331" s="18" t="str">
        <x:v>UBA</x:v>
      </x:c>
      <x:c r="C331" s="18" t="n">
        <x:v>2022</x:v>
      </x:c>
      <x:c r="D331" s="20" t="str">
        <x:v>assets</x:v>
      </x:c>
      <x:c r="E331" s="22" t="n">
        <x:v>7361044</x:v>
      </x:c>
      <x:c r="F331" s="22" t="n">
        <x:v>7361044</x:v>
      </x:c>
      <x:c r="G331" s="22" t="n">
        <x:f>IF(COUNT(E331,F331)=2,F331-E331,"")</x:f>
        <x:v>0</x:v>
      </x:c>
      <x:c r="H331" s="20" t="str">
        <x:v>Exact agreement</x:v>
      </x:c>
      <x:c r="I331" s="20" t="str">
        <x:v>https://doclib.ngxgroup.com/Financial_NewsDocs/37990_UNITED_BANK_FOR_AFRICA_PLC-_QUARTER_5_-_FINANCIAL_STATEMENT_FOR_2022_FINANCIAL_STATEMENTS_MARCH_2023.pdf</x:v>
      </x:c>
      <x:c r="J331" s="20" t="str">
        <x:v>Prior source-selection policy retained; original evidence preserved in accompanying pack.</x:v>
      </x:c>
    </x:row>
    <x:row r="332" ht="52" customHeight="1">
      <x:c r="A332" s="18" t="str">
        <x:v>Uploaded Word</x:v>
      </x:c>
      <x:c r="B332" s="18" t="str">
        <x:v>UBA</x:v>
      </x:c>
      <x:c r="C332" s="18" t="n">
        <x:v>2022</x:v>
      </x:c>
      <x:c r="D332" s="20" t="str">
        <x:v>gross_loans</x:v>
      </x:c>
      <x:c r="E332" s="22" t="n">
        <x:v>2174779</x:v>
      </x:c>
      <x:c r="F332" s="22" t="n">
        <x:v>2174779</x:v>
      </x:c>
      <x:c r="G332" s="22" t="n">
        <x:f>IF(COUNT(E332,F332)=2,F332-E332,"")</x:f>
        <x:v>0</x:v>
      </x:c>
      <x:c r="H332" s="20" t="str">
        <x:v>Exact agreement</x:v>
      </x:c>
      <x:c r="I332" s="20" t="str">
        <x:v>https://doclib.ngxgroup.com/Financial_NewsDocs/37990_UNITED_BANK_FOR_AFRICA_PLC-_QUARTER_5_-_FINANCIAL_STATEMENT_FOR_2022_FINANCIAL_STATEMENTS_MARCH_2023.pdf</x:v>
      </x:c>
      <x:c r="J332" s="20" t="str">
        <x:v>Prior source-selection policy retained; original evidence preserved in accompanying pack.</x:v>
      </x:c>
    </x:row>
    <x:row r="333" ht="52" customHeight="1">
      <x:c r="A333" s="18" t="str">
        <x:v>Uploaded Word</x:v>
      </x:c>
      <x:c r="B333" s="18" t="str">
        <x:v>UBA</x:v>
      </x:c>
      <x:c r="C333" s="18" t="n">
        <x:v>2022</x:v>
      </x:c>
      <x:c r="D333" s="20" t="str">
        <x:v>loan_allowance</x:v>
      </x:c>
      <x:c r="E333" s="22" t="n">
        <x:v>51682</x:v>
      </x:c>
      <x:c r="F333" s="22" t="n">
        <x:v>51682</x:v>
      </x:c>
      <x:c r="G333" s="22" t="n">
        <x:f>IF(COUNT(E333,F333)=2,F333-E333,"")</x:f>
        <x:v>0</x:v>
      </x:c>
      <x:c r="H333" s="20" t="str">
        <x:v>Exact agreement</x:v>
      </x:c>
      <x:c r="I333" s="20" t="str">
        <x:v>https://doclib.ngxgroup.com/Financial_NewsDocs/37990_UNITED_BANK_FOR_AFRICA_PLC-_QUARTER_5_-_FINANCIAL_STATEMENT_FOR_2022_FINANCIAL_STATEMENTS_MARCH_2023.pdf</x:v>
      </x:c>
      <x:c r="J333" s="20" t="str">
        <x:v>Prior source-selection policy retained; original evidence preserved in accompanying pack.</x:v>
      </x:c>
    </x:row>
    <x:row r="334" ht="52" customHeight="1">
      <x:c r="A334" s="18" t="str">
        <x:v>Uploaded Word</x:v>
      </x:c>
      <x:c r="B334" s="18" t="str">
        <x:v>UBA</x:v>
      </x:c>
      <x:c r="C334" s="18" t="n">
        <x:v>2022</x:v>
      </x:c>
      <x:c r="D334" s="20" t="str">
        <x:v>total_impairment</x:v>
      </x:c>
      <x:c r="E334" s="22" t="n">
        <x:v>10565</x:v>
      </x:c>
      <x:c r="F334" s="22" t="n">
        <x:v>10565</x:v>
      </x:c>
      <x:c r="G334" s="22" t="n">
        <x:f>IF(COUNT(E334,F334)=2,F334-E334,"")</x:f>
        <x:v>0</x:v>
      </x:c>
      <x:c r="H334" s="20" t="str">
        <x:v>Exact agreement</x:v>
      </x:c>
      <x:c r="I334" s="20" t="str">
        <x:v>https://doclib.ngxgroup.com/Financial_NewsDocs/37990_UNITED_BANK_FOR_AFRICA_PLC-_QUARTER_5_-_FINANCIAL_STATEMENT_FOR_2022_FINANCIAL_STATEMENTS_MARCH_2023.pdf</x:v>
      </x:c>
      <x:c r="J334" s="20" t="str">
        <x:v>Prior source-selection policy retained; original evidence preserved in accompanying pack.</x:v>
      </x:c>
    </x:row>
    <x:row r="335" ht="52" customHeight="1">
      <x:c r="A335" s="18" t="str">
        <x:v>Uploaded Word</x:v>
      </x:c>
      <x:c r="B335" s="18" t="str">
        <x:v>UBA</x:v>
      </x:c>
      <x:c r="C335" s="18" t="n">
        <x:v>2022</x:v>
      </x:c>
      <x:c r="D335" s="20" t="str">
        <x:v>car</x:v>
      </x:c>
      <x:c r="E335" s="22" t="n">
        <x:v>21.9</x:v>
      </x:c>
      <x:c r="F335" s="22" t="n">
        <x:v>21.9</x:v>
      </x:c>
      <x:c r="G335" s="22" t="n">
        <x:f>IF(COUNT(E335,F335)=2,F335-E335,"")</x:f>
        <x:v>0</x:v>
      </x:c>
      <x:c r="H335" s="20" t="str">
        <x:v>Exact agreement</x:v>
      </x:c>
      <x:c r="I335" s="20" t="str">
        <x:v>https://doclib.ngxgroup.com/Financial_NewsDocs/37990_UNITED_BANK_FOR_AFRICA_PLC-_QUARTER_5_-_FINANCIAL_STATEMENT_FOR_2022_FINANCIAL_STATEMENTS_MARCH_2023.pdf</x:v>
      </x:c>
      <x:c r="J335" s="20" t="str">
        <x:v>Prior source-selection policy retained; original evidence preserved in accompanying pack.</x:v>
      </x:c>
    </x:row>
    <x:row r="336" ht="52" customHeight="1">
      <x:c r="A336" s="18" t="str">
        <x:v>Uploaded Word</x:v>
      </x:c>
      <x:c r="B336" s="18" t="str">
        <x:v>UBA</x:v>
      </x:c>
      <x:c r="C336" s="18" t="n">
        <x:v>2022</x:v>
      </x:c>
      <x:c r="D336" s="20" t="str">
        <x:v>npl_reported</x:v>
      </x:c>
      <x:c r="E336" s="22" t="n">
        <x:v>3.1</x:v>
      </x:c>
      <x:c r="F336" s="22"/>
      <x:c r="G336" s="22" t="str">
        <x:f>IF(COUNT(E336,F336)=2,F336-E336,"")</x:f>
      </x:c>
      <x:c r="H336" s="20" t="str">
        <x:v>Candidate retained outside selected field</x:v>
      </x:c>
      <x:c r="I336" s="20" t="str">
        <x:v>https://doclib.ngxgroup.com/Financial_NewsDocs/37990_UNITED_BANK_FOR_AFRICA_PLC-_QUARTER_5_-_FINANCIAL_STATEMENT_FOR_2022_FINANCIAL_STATEMENTS_MARCH_2023.pdf</x:v>
      </x:c>
      <x:c r="J336" s="20" t="str">
        <x:v>Prior source-selection policy retained; original evidence preserved in accompanying pack.</x:v>
      </x:c>
    </x:row>
    <x:row r="337" ht="52" customHeight="1">
      <x:c r="A337" s="18" t="str">
        <x:v>Uploaded Word</x:v>
      </x:c>
      <x:c r="B337" s="18" t="str">
        <x:v>UBA</x:v>
      </x:c>
      <x:c r="C337" s="18" t="n">
        <x:v>2022</x:v>
      </x:c>
      <x:c r="D337" s="20" t="str">
        <x:v>gcu</x:v>
      </x:c>
      <x:c r="E337" s="22" t="n">
        <x:v>0</x:v>
      </x:c>
      <x:c r="F337" s="22"/>
      <x:c r="G337" s="22" t="str">
        <x:f>IF(COUNT(E337,F337)=2,F337-E337,"")</x:f>
      </x:c>
      <x:c r="H337" s="20" t="str">
        <x:v>Candidate retained outside selected field</x:v>
      </x:c>
      <x:c r="I337" s="20" t="str">
        <x:v>https://doclib.ngxgroup.com/Financial_NewsDocs/37990_UNITED_BANK_FOR_AFRICA_PLC-_QUARTER_5_-_FINANCIAL_STATEMENT_FOR_2022_FINANCIAL_STATEMENTS_MARCH_2023.pdf</x:v>
      </x:c>
      <x:c r="J337" s="20" t="str">
        <x:v>Prior source-selection policy retained; original evidence preserved in accompanying pack.</x:v>
      </x:c>
    </x:row>
    <x:row r="338" ht="52" customHeight="1">
      <x:c r="A338" s="18" t="str">
        <x:v>Uploaded Word</x:v>
      </x:c>
      <x:c r="B338" s="18" t="str">
        <x:v>Fidelity</x:v>
      </x:c>
      <x:c r="C338" s="18" t="n">
        <x:v>2018</x:v>
      </x:c>
      <x:c r="D338" s="20" t="str">
        <x:v>pat</x:v>
      </x:c>
      <x:c r="E338" s="22" t="n">
        <x:v>22926</x:v>
      </x:c>
      <x:c r="F338" s="22" t="n">
        <x:v>22926</x:v>
      </x:c>
      <x:c r="G338" s="22" t="n">
        <x:f>IF(COUNT(E338,F338)=2,F338-E338,"")</x:f>
        <x:v>0</x:v>
      </x:c>
      <x:c r="H338" s="20" t="str">
        <x:v>Exact agreement</x:v>
      </x:c>
      <x:c r="I338" s="20" t="str">
        <x:v>https://www.fidelitybank.ng/documents/2019%20Annual%20report%20Final%20Web%20Version.pdf</x:v>
      </x:c>
      <x:c r="J338" s="20" t="str">
        <x:v>Prior source-selection policy retained; original evidence preserved in accompanying pack.</x:v>
      </x:c>
    </x:row>
    <x:row r="339" ht="52" customHeight="1">
      <x:c r="A339" s="18" t="str">
        <x:v>Uploaded Word</x:v>
      </x:c>
      <x:c r="B339" s="18" t="str">
        <x:v>Fidelity</x:v>
      </x:c>
      <x:c r="C339" s="18" t="n">
        <x:v>2018</x:v>
      </x:c>
      <x:c r="D339" s="20" t="str">
        <x:v>gross_earnings</x:v>
      </x:c>
      <x:c r="E339" s="22" t="n">
        <x:v>188873</x:v>
      </x:c>
      <x:c r="F339" s="22"/>
      <x:c r="G339" s="22" t="str">
        <x:f>IF(COUNT(E339,F339)=2,F339-E339,"")</x:f>
      </x:c>
      <x:c r="H339" s="20" t="str">
        <x:v>Candidate retained outside selected field</x:v>
      </x:c>
      <x:c r="I339" s="20" t="str">
        <x:v>https://www.fidelitybank.ng/documents/2019%20Annual%20report%20Final%20Web%20Version.pdf</x:v>
      </x:c>
      <x:c r="J339" s="20" t="str">
        <x:v>Prior source-selection policy retained; original evidence preserved in accompanying pack.</x:v>
      </x:c>
    </x:row>
    <x:row r="340" ht="52" customHeight="1">
      <x:c r="A340" s="18" t="str">
        <x:v>Uploaded Word</x:v>
      </x:c>
      <x:c r="B340" s="18" t="str">
        <x:v>Fidelity</x:v>
      </x:c>
      <x:c r="C340" s="18" t="n">
        <x:v>2018</x:v>
      </x:c>
      <x:c r="D340" s="20" t="str">
        <x:v>assets</x:v>
      </x:c>
      <x:c r="E340" s="22" t="n">
        <x:v>1719883</x:v>
      </x:c>
      <x:c r="F340" s="22" t="n">
        <x:v>1719883</x:v>
      </x:c>
      <x:c r="G340" s="22" t="n">
        <x:f>IF(COUNT(E340,F340)=2,F340-E340,"")</x:f>
        <x:v>0</x:v>
      </x:c>
      <x:c r="H340" s="20" t="str">
        <x:v>Exact agreement</x:v>
      </x:c>
      <x:c r="I340" s="20" t="str">
        <x:v>https://www.fidelitybank.ng/documents/2019%20Annual%20report%20Final%20Web%20Version.pdf</x:v>
      </x:c>
      <x:c r="J340" s="20" t="str">
        <x:v>Prior source-selection policy retained; original evidence preserved in accompanying pack.</x:v>
      </x:c>
    </x:row>
    <x:row r="341" ht="52" customHeight="1">
      <x:c r="A341" s="18" t="str">
        <x:v>Uploaded Word</x:v>
      </x:c>
      <x:c r="B341" s="18" t="str">
        <x:v>Fidelity</x:v>
      </x:c>
      <x:c r="C341" s="18" t="n">
        <x:v>2018</x:v>
      </x:c>
      <x:c r="D341" s="20" t="str">
        <x:v>gross_loans</x:v>
      </x:c>
      <x:c r="E341" s="22" t="n">
        <x:v>906623</x:v>
      </x:c>
      <x:c r="F341" s="22"/>
      <x:c r="G341" s="22" t="str">
        <x:f>IF(COUNT(E341,F341)=2,F341-E341,"")</x:f>
      </x:c>
      <x:c r="H341" s="20" t="str">
        <x:v>Candidate retained outside selected field</x:v>
      </x:c>
      <x:c r="I341" s="20" t="str">
        <x:v>https://www.fidelitybank.ng/documents/2019%20Annual%20report%20Final%20Web%20Version.pdf</x:v>
      </x:c>
      <x:c r="J341" s="20" t="str">
        <x:v>Prior source-selection policy retained; original evidence preserved in accompanying pack.</x:v>
      </x:c>
    </x:row>
    <x:row r="342" ht="52" customHeight="1">
      <x:c r="A342" s="18" t="str">
        <x:v>Uploaded Word</x:v>
      </x:c>
      <x:c r="B342" s="18" t="str">
        <x:v>Fidelity</x:v>
      </x:c>
      <x:c r="C342" s="18" t="n">
        <x:v>2018</x:v>
      </x:c>
      <x:c r="D342" s="20" t="str">
        <x:v>loan_allowance</x:v>
      </x:c>
      <x:c r="E342" s="22" t="n">
        <x:v>56743</x:v>
      </x:c>
      <x:c r="F342" s="22"/>
      <x:c r="G342" s="22" t="str">
        <x:f>IF(COUNT(E342,F342)=2,F342-E342,"")</x:f>
      </x:c>
      <x:c r="H342" s="20" t="str">
        <x:v>Candidate retained outside selected field</x:v>
      </x:c>
      <x:c r="I342" s="20" t="str">
        <x:v>https://www.fidelitybank.ng/documents/2019%20Annual%20report%20Final%20Web%20Version.pdf</x:v>
      </x:c>
      <x:c r="J342" s="20" t="str">
        <x:v>Prior source-selection policy retained; original evidence preserved in accompanying pack.</x:v>
      </x:c>
    </x:row>
    <x:row r="343" ht="52" customHeight="1">
      <x:c r="A343" s="18" t="str">
        <x:v>Uploaded Word</x:v>
      </x:c>
      <x:c r="B343" s="18" t="str">
        <x:v>Fidelity</x:v>
      </x:c>
      <x:c r="C343" s="18" t="n">
        <x:v>2018</x:v>
      </x:c>
      <x:c r="D343" s="20" t="str">
        <x:v>total_impairment</x:v>
      </x:c>
      <x:c r="E343" s="22" t="n">
        <x:v>4215</x:v>
      </x:c>
      <x:c r="F343" s="22" t="n">
        <x:v>4215</x:v>
      </x:c>
      <x:c r="G343" s="22" t="n">
        <x:f>IF(COUNT(E343,F343)=2,F343-E343,"")</x:f>
        <x:v>0</x:v>
      </x:c>
      <x:c r="H343" s="20" t="str">
        <x:v>Exact agreement</x:v>
      </x:c>
      <x:c r="I343" s="20" t="str">
        <x:v>https://www.fidelitybank.ng/documents/2019%20Annual%20report%20Final%20Web%20Version.pdf</x:v>
      </x:c>
      <x:c r="J343" s="20" t="str">
        <x:v>Prior source-selection policy retained; original evidence preserved in accompanying pack.</x:v>
      </x:c>
    </x:row>
    <x:row r="344" ht="52" customHeight="1">
      <x:c r="A344" s="18" t="str">
        <x:v>Uploaded Word</x:v>
      </x:c>
      <x:c r="B344" s="18" t="str">
        <x:v>Fidelity</x:v>
      </x:c>
      <x:c r="C344" s="18" t="n">
        <x:v>2018</x:v>
      </x:c>
      <x:c r="D344" s="20" t="str">
        <x:v>car</x:v>
      </x:c>
      <x:c r="E344" s="22" t="n">
        <x:v>16.7</x:v>
      </x:c>
      <x:c r="F344" s="22"/>
      <x:c r="G344" s="22" t="str">
        <x:f>IF(COUNT(E344,F344)=2,F344-E344,"")</x:f>
      </x:c>
      <x:c r="H344" s="20" t="str">
        <x:v>Candidate retained outside selected field</x:v>
      </x:c>
      <x:c r="I344" s="20" t="str">
        <x:v>https://www.fidelitybank.ng/documents/2019%20Annual%20report%20Final%20Web%20Version.pdf</x:v>
      </x:c>
      <x:c r="J344" s="20" t="str">
        <x:v>Prior source-selection policy retained; original evidence preserved in accompanying pack.</x:v>
      </x:c>
    </x:row>
    <x:row r="345" ht="52" customHeight="1">
      <x:c r="A345" s="18" t="str">
        <x:v>Uploaded Word</x:v>
      </x:c>
      <x:c r="B345" s="18" t="str">
        <x:v>Fidelity</x:v>
      </x:c>
      <x:c r="C345" s="18" t="n">
        <x:v>2018</x:v>
      </x:c>
      <x:c r="D345" s="20" t="str">
        <x:v>npl_reported</x:v>
      </x:c>
      <x:c r="E345" s="22" t="n">
        <x:v>5.7</x:v>
      </x:c>
      <x:c r="F345" s="22"/>
      <x:c r="G345" s="22" t="str">
        <x:f>IF(COUNT(E345,F345)=2,F345-E345,"")</x:f>
      </x:c>
      <x:c r="H345" s="20" t="str">
        <x:v>Candidate retained outside selected field</x:v>
      </x:c>
      <x:c r="I345" s="20" t="str">
        <x:v>https://www.fidelitybank.ng/documents/2019%20Annual%20report%20Final%20Web%20Version.pdf</x:v>
      </x:c>
      <x:c r="J345" s="20" t="str">
        <x:v>Prior source-selection policy retained; original evidence preserved in accompanying pack.</x:v>
      </x:c>
    </x:row>
    <x:row r="346" ht="52" customHeight="1">
      <x:c r="A346" s="18" t="str">
        <x:v>Uploaded Word</x:v>
      </x:c>
      <x:c r="B346" s="18" t="str">
        <x:v>Fidelity</x:v>
      </x:c>
      <x:c r="C346" s="18" t="n">
        <x:v>2018</x:v>
      </x:c>
      <x:c r="D346" s="20" t="str">
        <x:v>gcu</x:v>
      </x:c>
      <x:c r="E346" s="22" t="n">
        <x:v>0</x:v>
      </x:c>
      <x:c r="F346" s="22"/>
      <x:c r="G346" s="22" t="str">
        <x:f>IF(COUNT(E346,F346)=2,F346-E346,"")</x:f>
      </x:c>
      <x:c r="H346" s="20" t="str">
        <x:v>Candidate retained outside selected field</x:v>
      </x:c>
      <x:c r="I346" s="20" t="str">
        <x:v>https://www.fidelitybank.ng/documents/2019%20Annual%20report%20Final%20Web%20Version.pdf</x:v>
      </x:c>
      <x:c r="J346" s="20" t="str">
        <x:v>Prior source-selection policy retained; original evidence preserved in accompanying pack.</x:v>
      </x:c>
    </x:row>
    <x:row r="347" ht="52" customHeight="1">
      <x:c r="A347" s="18" t="str">
        <x:v>Uploaded Word</x:v>
      </x:c>
      <x:c r="B347" s="18" t="str">
        <x:v>Fidelity</x:v>
      </x:c>
      <x:c r="C347" s="18" t="n">
        <x:v>2019</x:v>
      </x:c>
      <x:c r="D347" s="20" t="str">
        <x:v>pat</x:v>
      </x:c>
      <x:c r="E347" s="22" t="n">
        <x:v>28425</x:v>
      </x:c>
      <x:c r="F347" s="22" t="n">
        <x:v>28425</x:v>
      </x:c>
      <x:c r="G347" s="22" t="n">
        <x:f>IF(COUNT(E347,F347)=2,F347-E347,"")</x:f>
        <x:v>0</x:v>
      </x:c>
      <x:c r="H347" s="20" t="str">
        <x:v>Exact agreement</x:v>
      </x:c>
      <x:c r="I347" s="20" t="str">
        <x:v>https://www.fidelitybank.ng/documents/2019%20Annual%20report%20Final%20Web%20Version.pdf</x:v>
      </x:c>
      <x:c r="J347" s="20" t="str">
        <x:v>Prior source-selection policy retained; original evidence preserved in accompanying pack.</x:v>
      </x:c>
    </x:row>
    <x:row r="348" ht="52" customHeight="1">
      <x:c r="A348" s="18" t="str">
        <x:v>Uploaded Word</x:v>
      </x:c>
      <x:c r="B348" s="18" t="str">
        <x:v>Fidelity</x:v>
      </x:c>
      <x:c r="C348" s="18" t="n">
        <x:v>2019</x:v>
      </x:c>
      <x:c r="D348" s="20" t="str">
        <x:v>gross_earnings</x:v>
      </x:c>
      <x:c r="E348" s="22" t="n">
        <x:v>218011</x:v>
      </x:c>
      <x:c r="F348" s="22"/>
      <x:c r="G348" s="22" t="str">
        <x:f>IF(COUNT(E348,F348)=2,F348-E348,"")</x:f>
      </x:c>
      <x:c r="H348" s="20" t="str">
        <x:v>Candidate retained outside selected field</x:v>
      </x:c>
      <x:c r="I348" s="20" t="str">
        <x:v>https://www.fidelitybank.ng/documents/2019%20Annual%20report%20Final%20Web%20Version.pdf</x:v>
      </x:c>
      <x:c r="J348" s="20" t="str">
        <x:v>Prior source-selection policy retained; original evidence preserved in accompanying pack.</x:v>
      </x:c>
    </x:row>
    <x:row r="349" ht="52" customHeight="1">
      <x:c r="A349" s="18" t="str">
        <x:v>Uploaded Word</x:v>
      </x:c>
      <x:c r="B349" s="18" t="str">
        <x:v>Fidelity</x:v>
      </x:c>
      <x:c r="C349" s="18" t="n">
        <x:v>2019</x:v>
      </x:c>
      <x:c r="D349" s="20" t="str">
        <x:v>assets</x:v>
      </x:c>
      <x:c r="E349" s="22" t="n">
        <x:v>2114037</x:v>
      </x:c>
      <x:c r="F349" s="22" t="n">
        <x:v>2114037</x:v>
      </x:c>
      <x:c r="G349" s="22" t="n">
        <x:f>IF(COUNT(E349,F349)=2,F349-E349,"")</x:f>
        <x:v>0</x:v>
      </x:c>
      <x:c r="H349" s="20" t="str">
        <x:v>Exact agreement</x:v>
      </x:c>
      <x:c r="I349" s="20" t="str">
        <x:v>https://www.fidelitybank.ng/documents/2019%20Annual%20report%20Final%20Web%20Version.pdf</x:v>
      </x:c>
      <x:c r="J349" s="20" t="str">
        <x:v>Prior source-selection policy retained; original evidence preserved in accompanying pack.</x:v>
      </x:c>
    </x:row>
    <x:row r="350" ht="52" customHeight="1">
      <x:c r="A350" s="18" t="str">
        <x:v>Uploaded Word</x:v>
      </x:c>
      <x:c r="B350" s="18" t="str">
        <x:v>Fidelity</x:v>
      </x:c>
      <x:c r="C350" s="18" t="n">
        <x:v>2019</x:v>
      </x:c>
      <x:c r="D350" s="20" t="str">
        <x:v>gross_loans</x:v>
      </x:c>
      <x:c r="E350" s="22" t="n">
        <x:v>1178389</x:v>
      </x:c>
      <x:c r="F350" s="22"/>
      <x:c r="G350" s="22" t="str">
        <x:f>IF(COUNT(E350,F350)=2,F350-E350,"")</x:f>
      </x:c>
      <x:c r="H350" s="20" t="str">
        <x:v>Candidate retained outside selected field</x:v>
      </x:c>
      <x:c r="I350" s="20" t="str">
        <x:v>https://www.fidelitybank.ng/documents/2019%20Annual%20report%20Final%20Web%20Version.pdf</x:v>
      </x:c>
      <x:c r="J350" s="20" t="str">
        <x:v>Prior source-selection policy retained; original evidence preserved in accompanying pack.</x:v>
      </x:c>
    </x:row>
    <x:row r="351" ht="52" customHeight="1">
      <x:c r="A351" s="18" t="str">
        <x:v>Uploaded Word</x:v>
      </x:c>
      <x:c r="B351" s="18" t="str">
        <x:v>Fidelity</x:v>
      </x:c>
      <x:c r="C351" s="18" t="n">
        <x:v>2019</x:v>
      </x:c>
      <x:c r="D351" s="20" t="str">
        <x:v>loan_allowance</x:v>
      </x:c>
      <x:c r="E351" s="22" t="n">
        <x:v>51415</x:v>
      </x:c>
      <x:c r="F351" s="22"/>
      <x:c r="G351" s="22" t="str">
        <x:f>IF(COUNT(E351,F351)=2,F351-E351,"")</x:f>
      </x:c>
      <x:c r="H351" s="20" t="str">
        <x:v>Candidate retained outside selected field</x:v>
      </x:c>
      <x:c r="I351" s="20" t="str">
        <x:v>https://www.fidelitybank.ng/documents/2019%20Annual%20report%20Final%20Web%20Version.pdf</x:v>
      </x:c>
      <x:c r="J351" s="20" t="str">
        <x:v>Prior source-selection policy retained; original evidence preserved in accompanying pack.</x:v>
      </x:c>
    </x:row>
    <x:row r="352" ht="52" customHeight="1">
      <x:c r="A352" s="18" t="str">
        <x:v>Uploaded Word</x:v>
      </x:c>
      <x:c r="B352" s="18" t="str">
        <x:v>Fidelity</x:v>
      </x:c>
      <x:c r="C352" s="18" t="n">
        <x:v>2019</x:v>
      </x:c>
      <x:c r="D352" s="20" t="str">
        <x:v>total_impairment</x:v>
      </x:c>
      <x:c r="E352" s="22"/>
      <x:c r="F352" s="22" t="n">
        <x:v>-5292</x:v>
      </x:c>
      <x:c r="G352" s="22" t="str">
        <x:f>IF(COUNT(E352,F352)=2,F352-E352,"")</x:f>
      </x:c>
      <x:c r="H352" s="20" t="str">
        <x:v>Selected source fills uploaded blank</x:v>
      </x:c>
      <x:c r="I352" s="20" t="str">
        <x:v>https://www.fidelitybank.ng/documents/2019%20Annual%20report%20Final%20Web%20Version.pdf</x:v>
      </x:c>
      <x:c r="J352" s="20" t="str">
        <x:v>Prior source-selection policy retained; original evidence preserved in accompanying pack.</x:v>
      </x:c>
    </x:row>
    <x:row r="353" ht="52" customHeight="1">
      <x:c r="A353" s="18" t="str">
        <x:v>Uploaded Word</x:v>
      </x:c>
      <x:c r="B353" s="18" t="str">
        <x:v>Fidelity</x:v>
      </x:c>
      <x:c r="C353" s="18" t="n">
        <x:v>2019</x:v>
      </x:c>
      <x:c r="D353" s="20" t="str">
        <x:v>car</x:v>
      </x:c>
      <x:c r="E353" s="22" t="n">
        <x:v>18.3</x:v>
      </x:c>
      <x:c r="F353" s="22"/>
      <x:c r="G353" s="22" t="str">
        <x:f>IF(COUNT(E353,F353)=2,F353-E353,"")</x:f>
      </x:c>
      <x:c r="H353" s="20" t="str">
        <x:v>Candidate retained outside selected field</x:v>
      </x:c>
      <x:c r="I353" s="20" t="str">
        <x:v>https://www.fidelitybank.ng/documents/2019%20Annual%20report%20Final%20Web%20Version.pdf</x:v>
      </x:c>
      <x:c r="J353" s="20" t="str">
        <x:v>Prior source-selection policy retained; original evidence preserved in accompanying pack.</x:v>
      </x:c>
    </x:row>
    <x:row r="354" ht="52" customHeight="1">
      <x:c r="A354" s="18" t="str">
        <x:v>Uploaded Word</x:v>
      </x:c>
      <x:c r="B354" s="18" t="str">
        <x:v>Fidelity</x:v>
      </x:c>
      <x:c r="C354" s="18" t="n">
        <x:v>2019</x:v>
      </x:c>
      <x:c r="D354" s="20" t="str">
        <x:v>npl_reported</x:v>
      </x:c>
      <x:c r="E354" s="22" t="n">
        <x:v>3.3</x:v>
      </x:c>
      <x:c r="F354" s="22"/>
      <x:c r="G354" s="22" t="str">
        <x:f>IF(COUNT(E354,F354)=2,F354-E354,"")</x:f>
      </x:c>
      <x:c r="H354" s="20" t="str">
        <x:v>Candidate retained outside selected field</x:v>
      </x:c>
      <x:c r="I354" s="20" t="str">
        <x:v>https://www.fidelitybank.ng/documents/2019%20Annual%20report%20Final%20Web%20Version.pdf</x:v>
      </x:c>
      <x:c r="J354" s="20" t="str">
        <x:v>Prior source-selection policy retained; original evidence preserved in accompanying pack.</x:v>
      </x:c>
    </x:row>
    <x:row r="355" ht="52" customHeight="1">
      <x:c r="A355" s="18" t="str">
        <x:v>Uploaded Word</x:v>
      </x:c>
      <x:c r="B355" s="18" t="str">
        <x:v>Fidelity</x:v>
      </x:c>
      <x:c r="C355" s="18" t="n">
        <x:v>2019</x:v>
      </x:c>
      <x:c r="D355" s="20" t="str">
        <x:v>gcu</x:v>
      </x:c>
      <x:c r="E355" s="22" t="n">
        <x:v>0</x:v>
      </x:c>
      <x:c r="F355" s="22"/>
      <x:c r="G355" s="22" t="str">
        <x:f>IF(COUNT(E355,F355)=2,F355-E355,"")</x:f>
      </x:c>
      <x:c r="H355" s="20" t="str">
        <x:v>Candidate retained outside selected field</x:v>
      </x:c>
      <x:c r="I355" s="20" t="str">
        <x:v>https://www.fidelitybank.ng/documents/2019%20Annual%20report%20Final%20Web%20Version.pdf</x:v>
      </x:c>
      <x:c r="J355" s="20" t="str">
        <x:v>Prior source-selection policy retained; original evidence preserved in accompanying pack.</x:v>
      </x:c>
    </x:row>
    <x:row r="356" ht="52" customHeight="1">
      <x:c r="A356" s="18" t="str">
        <x:v>Uploaded Word</x:v>
      </x:c>
      <x:c r="B356" s="18" t="str">
        <x:v>Sterling</x:v>
      </x:c>
      <x:c r="C356" s="18" t="n">
        <x:v>2018</x:v>
      </x:c>
      <x:c r="D356" s="20" t="str">
        <x:v>pat</x:v>
      </x:c>
      <x:c r="E356" s="22" t="n">
        <x:v>9218</x:v>
      </x:c>
      <x:c r="F356" s="22" t="n">
        <x:v>9468</x:v>
      </x:c>
      <x:c r="G356" s="22" t="n">
        <x:f>IF(COUNT(E356,F356)=2,F356-E356,"")</x:f>
        <x:v>250</x:v>
      </x:c>
      <x:c r="H356" s="20" t="str">
        <x:v>Difference: retain selected source / definition</x:v>
      </x:c>
      <x:c r="I356" s="20" t="str">
        <x:v>https://sterling.ng/wp-content/uploads/2020/03/FY-%E2%80%93-2019-Audited-Financials.pdf</x:v>
      </x:c>
      <x:c r="J356" s="20" t="str">
        <x:v>Prior source-selection policy retained; original evidence preserved in accompanying pack.</x:v>
      </x:c>
    </x:row>
    <x:row r="357" ht="52" customHeight="1">
      <x:c r="A357" s="18" t="str">
        <x:v>Uploaded Word</x:v>
      </x:c>
      <x:c r="B357" s="18" t="str">
        <x:v>Sterling</x:v>
      </x:c>
      <x:c r="C357" s="18" t="n">
        <x:v>2018</x:v>
      </x:c>
      <x:c r="D357" s="20" t="str">
        <x:v>gross_earnings</x:v>
      </x:c>
      <x:c r="E357" s="22" t="n">
        <x:v>152164</x:v>
      </x:c>
      <x:c r="F357" s="22"/>
      <x:c r="G357" s="22" t="str">
        <x:f>IF(COUNT(E357,F357)=2,F357-E357,"")</x:f>
      </x:c>
      <x:c r="H357" s="20" t="str">
        <x:v>Candidate retained outside selected field</x:v>
      </x:c>
      <x:c r="I357" s="20" t="str">
        <x:v>https://sterling.ng/wp-content/uploads/2020/03/FY-%E2%80%93-2019-Audited-Financials.pdf</x:v>
      </x:c>
      <x:c r="J357" s="20" t="str">
        <x:v>Prior source-selection policy retained; original evidence preserved in accompanying pack.</x:v>
      </x:c>
    </x:row>
    <x:row r="358" ht="52" customHeight="1">
      <x:c r="A358" s="18" t="str">
        <x:v>Uploaded Word</x:v>
      </x:c>
      <x:c r="B358" s="18" t="str">
        <x:v>Sterling</x:v>
      </x:c>
      <x:c r="C358" s="18" t="n">
        <x:v>2018</x:v>
      </x:c>
      <x:c r="D358" s="20" t="str">
        <x:v>assets</x:v>
      </x:c>
      <x:c r="E358" s="22" t="n">
        <x:v>1102921</x:v>
      </x:c>
      <x:c r="F358" s="22" t="n">
        <x:v>1085876</x:v>
      </x:c>
      <x:c r="G358" s="22" t="n">
        <x:f>IF(COUNT(E358,F358)=2,F358-E358,"")</x:f>
        <x:v>-17045</x:v>
      </x:c>
      <x:c r="H358" s="20" t="str">
        <x:v>Difference: retain selected source / definition</x:v>
      </x:c>
      <x:c r="I358" s="20" t="str">
        <x:v>https://sterling.ng/wp-content/uploads/2020/03/FY-%E2%80%93-2019-Audited-Financials.pdf</x:v>
      </x:c>
      <x:c r="J358" s="20" t="str">
        <x:v>Prior source-selection policy retained; original evidence preserved in accompanying pack.</x:v>
      </x:c>
    </x:row>
    <x:row r="359" ht="52" customHeight="1">
      <x:c r="A359" s="18" t="str">
        <x:v>Uploaded Word</x:v>
      </x:c>
      <x:c r="B359" s="18" t="str">
        <x:v>Sterling</x:v>
      </x:c>
      <x:c r="C359" s="18" t="n">
        <x:v>2018</x:v>
      </x:c>
      <x:c r="D359" s="20" t="str">
        <x:v>gross_loans</x:v>
      </x:c>
      <x:c r="E359" s="22" t="n">
        <x:v>646734</x:v>
      </x:c>
      <x:c r="F359" s="22" t="n">
        <x:v>640678</x:v>
      </x:c>
      <x:c r="G359" s="22" t="n">
        <x:f>IF(COUNT(E359,F359)=2,F359-E359,"")</x:f>
        <x:v>-6056</x:v>
      </x:c>
      <x:c r="H359" s="20" t="str">
        <x:v>Difference: retain selected source / definition</x:v>
      </x:c>
      <x:c r="I359" s="20" t="str">
        <x:v>https://sterling.ng/wp-content/uploads/2020/03/FY-%E2%80%93-2019-Audited-Financials.pdf</x:v>
      </x:c>
      <x:c r="J359" s="20" t="str">
        <x:v>Prior source-selection policy retained; original evidence preserved in accompanying pack.</x:v>
      </x:c>
    </x:row>
    <x:row r="360" ht="52" customHeight="1">
      <x:c r="A360" s="18" t="str">
        <x:v>Uploaded Word</x:v>
      </x:c>
      <x:c r="B360" s="18" t="str">
        <x:v>Sterling</x:v>
      </x:c>
      <x:c r="C360" s="18" t="n">
        <x:v>2018</x:v>
      </x:c>
      <x:c r="D360" s="20" t="str">
        <x:v>loan_allowance</x:v>
      </x:c>
      <x:c r="E360" s="22" t="n">
        <x:v>25717</x:v>
      </x:c>
      <x:c r="F360" s="22" t="n">
        <x:v>19661</x:v>
      </x:c>
      <x:c r="G360" s="22" t="n">
        <x:f>IF(COUNT(E360,F360)=2,F360-E360,"")</x:f>
        <x:v>-6056</x:v>
      </x:c>
      <x:c r="H360" s="20" t="str">
        <x:v>Difference: retain selected source / definition</x:v>
      </x:c>
      <x:c r="I360" s="20" t="str">
        <x:v>https://sterling.ng/wp-content/uploads/2020/03/FY-%E2%80%93-2019-Audited-Financials.pdf</x:v>
      </x:c>
      <x:c r="J360" s="20" t="str">
        <x:v>Prior source-selection policy retained; original evidence preserved in accompanying pack.</x:v>
      </x:c>
    </x:row>
    <x:row r="361" ht="52" customHeight="1">
      <x:c r="A361" s="18" t="str">
        <x:v>Uploaded Word</x:v>
      </x:c>
      <x:c r="B361" s="18" t="str">
        <x:v>Sterling</x:v>
      </x:c>
      <x:c r="C361" s="18" t="n">
        <x:v>2018</x:v>
      </x:c>
      <x:c r="D361" s="20" t="str">
        <x:v>total_impairment</x:v>
      </x:c>
      <x:c r="E361" s="22"/>
      <x:c r="F361" s="22" t="n">
        <x:v>5832</x:v>
      </x:c>
      <x:c r="G361" s="22" t="str">
        <x:f>IF(COUNT(E361,F361)=2,F361-E361,"")</x:f>
      </x:c>
      <x:c r="H361" s="20" t="str">
        <x:v>Selected source fills uploaded blank</x:v>
      </x:c>
      <x:c r="I361" s="20" t="str">
        <x:v>https://sterling.ng/wp-content/uploads/2020/03/FY-%E2%80%93-2019-Audited-Financials.pdf</x:v>
      </x:c>
      <x:c r="J361" s="20" t="str">
        <x:v>Prior source-selection policy retained; original evidence preserved in accompanying pack.</x:v>
      </x:c>
    </x:row>
    <x:row r="362" ht="52" customHeight="1">
      <x:c r="A362" s="18" t="str">
        <x:v>Uploaded Word</x:v>
      </x:c>
      <x:c r="B362" s="18" t="str">
        <x:v>Sterling</x:v>
      </x:c>
      <x:c r="C362" s="18" t="n">
        <x:v>2018</x:v>
      </x:c>
      <x:c r="D362" s="20" t="str">
        <x:v>car</x:v>
      </x:c>
      <x:c r="E362" s="22" t="n">
        <x:v>13.4</x:v>
      </x:c>
      <x:c r="F362" s="22" t="n">
        <x:v>12.86</x:v>
      </x:c>
      <x:c r="G362" s="22" t="n">
        <x:f>IF(COUNT(E362,F362)=2,F362-E362,"")</x:f>
        <x:v>-0.5400000000000009</x:v>
      </x:c>
      <x:c r="H362" s="20" t="str">
        <x:v>Difference: retain selected source / definition</x:v>
      </x:c>
      <x:c r="I362" s="20" t="str">
        <x:v>https://sterling.ng/wp-content/uploads/2020/03/FY-%E2%80%93-2019-Audited-Financials.pdf</x:v>
      </x:c>
      <x:c r="J362" s="20" t="str">
        <x:v>Prior source-selection policy retained; original evidence preserved in accompanying pack.</x:v>
      </x:c>
    </x:row>
    <x:row r="363" ht="52" customHeight="1">
      <x:c r="A363" s="18" t="str">
        <x:v>Uploaded Word</x:v>
      </x:c>
      <x:c r="B363" s="18" t="str">
        <x:v>Sterling</x:v>
      </x:c>
      <x:c r="C363" s="18" t="n">
        <x:v>2018</x:v>
      </x:c>
      <x:c r="D363" s="20" t="str">
        <x:v>npl_reported</x:v>
      </x:c>
      <x:c r="E363" s="22" t="n">
        <x:v>8.7</x:v>
      </x:c>
      <x:c r="F363" s="22"/>
      <x:c r="G363" s="22" t="str">
        <x:f>IF(COUNT(E363,F363)=2,F363-E363,"")</x:f>
      </x:c>
      <x:c r="H363" s="20" t="str">
        <x:v>Candidate retained outside selected field</x:v>
      </x:c>
      <x:c r="I363" s="20" t="str">
        <x:v>https://sterling.ng/wp-content/uploads/2020/03/FY-%E2%80%93-2019-Audited-Financials.pdf</x:v>
      </x:c>
      <x:c r="J363" s="20" t="str">
        <x:v>Prior source-selection policy retained; original evidence preserved in accompanying pack.</x:v>
      </x:c>
    </x:row>
    <x:row r="364" ht="52" customHeight="1">
      <x:c r="A364" s="18" t="str">
        <x:v>Uploaded Word</x:v>
      </x:c>
      <x:c r="B364" s="18" t="str">
        <x:v>Sterling</x:v>
      </x:c>
      <x:c r="C364" s="18" t="n">
        <x:v>2018</x:v>
      </x:c>
      <x:c r="D364" s="20" t="str">
        <x:v>gcu</x:v>
      </x:c>
      <x:c r="E364" s="22" t="n">
        <x:v>0</x:v>
      </x:c>
      <x:c r="F364" s="22"/>
      <x:c r="G364" s="22" t="str">
        <x:f>IF(COUNT(E364,F364)=2,F364-E364,"")</x:f>
      </x:c>
      <x:c r="H364" s="20" t="str">
        <x:v>Candidate retained outside selected field</x:v>
      </x:c>
      <x:c r="I364" s="20" t="str">
        <x:v>https://sterling.ng/wp-content/uploads/2020/03/FY-%E2%80%93-2019-Audited-Financials.pdf</x:v>
      </x:c>
      <x:c r="J364" s="20" t="str">
        <x:v>Prior source-selection policy retained; original evidence preserved in accompanying pack.</x:v>
      </x:c>
    </x:row>
    <x:row r="365" ht="52" customHeight="1">
      <x:c r="A365" s="18" t="str">
        <x:v>Uploaded Word</x:v>
      </x:c>
      <x:c r="B365" s="18" t="str">
        <x:v>Sterling</x:v>
      </x:c>
      <x:c r="C365" s="18" t="n">
        <x:v>2019</x:v>
      </x:c>
      <x:c r="D365" s="20" t="str">
        <x:v>pat</x:v>
      </x:c>
      <x:c r="E365" s="22" t="n">
        <x:v>10163</x:v>
      </x:c>
      <x:c r="F365" s="22" t="n">
        <x:v>10163</x:v>
      </x:c>
      <x:c r="G365" s="22" t="n">
        <x:f>IF(COUNT(E365,F365)=2,F365-E365,"")</x:f>
        <x:v>0</x:v>
      </x:c>
      <x:c r="H365" s="20" t="str">
        <x:v>Exact agreement</x:v>
      </x:c>
      <x:c r="I365" s="20" t="str">
        <x:v>https://sterling.ng/wp-content/uploads/2020/03/FY-%E2%80%93-2019-Audited-Financials.pdf</x:v>
      </x:c>
      <x:c r="J365" s="20" t="str">
        <x:v>Prior source-selection policy retained; original evidence preserved in accompanying pack.</x:v>
      </x:c>
    </x:row>
    <x:row r="366" ht="52" customHeight="1">
      <x:c r="A366" s="18" t="str">
        <x:v>Uploaded Word</x:v>
      </x:c>
      <x:c r="B366" s="18" t="str">
        <x:v>Sterling</x:v>
      </x:c>
      <x:c r="C366" s="18" t="n">
        <x:v>2019</x:v>
      </x:c>
      <x:c r="D366" s="20" t="str">
        <x:v>gross_earnings</x:v>
      </x:c>
      <x:c r="E366" s="22" t="n">
        <x:v>147439</x:v>
      </x:c>
      <x:c r="F366" s="22"/>
      <x:c r="G366" s="22" t="str">
        <x:f>IF(COUNT(E366,F366)=2,F366-E366,"")</x:f>
      </x:c>
      <x:c r="H366" s="20" t="str">
        <x:v>Candidate retained outside selected field</x:v>
      </x:c>
      <x:c r="I366" s="20" t="str">
        <x:v>https://sterling.ng/wp-content/uploads/2020/03/FY-%E2%80%93-2019-Audited-Financials.pdf</x:v>
      </x:c>
      <x:c r="J366" s="20" t="str">
        <x:v>Prior source-selection policy retained; original evidence preserved in accompanying pack.</x:v>
      </x:c>
    </x:row>
    <x:row r="367" ht="52" customHeight="1">
      <x:c r="A367" s="18" t="str">
        <x:v>Uploaded Word</x:v>
      </x:c>
      <x:c r="B367" s="18" t="str">
        <x:v>Sterling</x:v>
      </x:c>
      <x:c r="C367" s="18" t="n">
        <x:v>2019</x:v>
      </x:c>
      <x:c r="D367" s="20" t="str">
        <x:v>assets</x:v>
      </x:c>
      <x:c r="E367" s="22" t="n">
        <x:v>1165509</x:v>
      </x:c>
      <x:c r="F367" s="22" t="n">
        <x:v>1165509</x:v>
      </x:c>
      <x:c r="G367" s="22" t="n">
        <x:f>IF(COUNT(E367,F367)=2,F367-E367,"")</x:f>
        <x:v>0</x:v>
      </x:c>
      <x:c r="H367" s="20" t="str">
        <x:v>Exact agreement</x:v>
      </x:c>
      <x:c r="I367" s="20" t="str">
        <x:v>https://sterling.ng/wp-content/uploads/2020/03/FY-%E2%80%93-2019-Audited-Financials.pdf</x:v>
      </x:c>
      <x:c r="J367" s="20" t="str">
        <x:v>Prior source-selection policy retained; original evidence preserved in accompanying pack.</x:v>
      </x:c>
    </x:row>
    <x:row r="368" ht="52" customHeight="1">
      <x:c r="A368" s="18" t="str">
        <x:v>Uploaded Word</x:v>
      </x:c>
      <x:c r="B368" s="18" t="str">
        <x:v>Sterling</x:v>
      </x:c>
      <x:c r="C368" s="18" t="n">
        <x:v>2019</x:v>
      </x:c>
      <x:c r="D368" s="20" t="str">
        <x:v>gross_loans</x:v>
      </x:c>
      <x:c r="E368" s="22" t="n">
        <x:v>631698</x:v>
      </x:c>
      <x:c r="F368" s="22" t="n">
        <x:v>631698</x:v>
      </x:c>
      <x:c r="G368" s="22" t="n">
        <x:f>IF(COUNT(E368,F368)=2,F368-E368,"")</x:f>
        <x:v>0</x:v>
      </x:c>
      <x:c r="H368" s="20" t="str">
        <x:v>Exact agreement</x:v>
      </x:c>
      <x:c r="I368" s="20" t="str">
        <x:v>https://sterling.ng/wp-content/uploads/2020/03/FY-%E2%80%93-2019-Audited-Financials.pdf</x:v>
      </x:c>
      <x:c r="J368" s="20" t="str">
        <x:v>Prior source-selection policy retained; original evidence preserved in accompanying pack.</x:v>
      </x:c>
    </x:row>
    <x:row r="369" ht="52" customHeight="1">
      <x:c r="A369" s="18" t="str">
        <x:v>Uploaded Word</x:v>
      </x:c>
      <x:c r="B369" s="18" t="str">
        <x:v>Sterling</x:v>
      </x:c>
      <x:c r="C369" s="18" t="n">
        <x:v>2019</x:v>
      </x:c>
      <x:c r="D369" s="20" t="str">
        <x:v>loan_allowance</x:v>
      </x:c>
      <x:c r="E369" s="22" t="n">
        <x:v>12966</x:v>
      </x:c>
      <x:c r="F369" s="22" t="n">
        <x:v>12966</x:v>
      </x:c>
      <x:c r="G369" s="22" t="n">
        <x:f>IF(COUNT(E369,F369)=2,F369-E369,"")</x:f>
        <x:v>0</x:v>
      </x:c>
      <x:c r="H369" s="20" t="str">
        <x:v>Exact agreement</x:v>
      </x:c>
      <x:c r="I369" s="20" t="str">
        <x:v>https://sterling.ng/wp-content/uploads/2020/03/FY-%E2%80%93-2019-Audited-Financials.pdf</x:v>
      </x:c>
      <x:c r="J369" s="20" t="str">
        <x:v>Prior source-selection policy retained; original evidence preserved in accompanying pack.</x:v>
      </x:c>
    </x:row>
    <x:row r="370" ht="52" customHeight="1">
      <x:c r="A370" s="18" t="str">
        <x:v>Uploaded Word</x:v>
      </x:c>
      <x:c r="B370" s="18" t="str">
        <x:v>Sterling</x:v>
      </x:c>
      <x:c r="C370" s="18" t="n">
        <x:v>2019</x:v>
      </x:c>
      <x:c r="D370" s="20" t="str">
        <x:v>total_impairment</x:v>
      </x:c>
      <x:c r="E370" s="22" t="n">
        <x:v>5842</x:v>
      </x:c>
      <x:c r="F370" s="22" t="n">
        <x:v>5842</x:v>
      </x:c>
      <x:c r="G370" s="22" t="n">
        <x:f>IF(COUNT(E370,F370)=2,F370-E370,"")</x:f>
        <x:v>0</x:v>
      </x:c>
      <x:c r="H370" s="20" t="str">
        <x:v>Exact agreement</x:v>
      </x:c>
      <x:c r="I370" s="20" t="str">
        <x:v>https://sterling.ng/wp-content/uploads/2020/03/FY-%E2%80%93-2019-Audited-Financials.pdf</x:v>
      </x:c>
      <x:c r="J370" s="20" t="str">
        <x:v>Prior source-selection policy retained; original evidence preserved in accompanying pack.</x:v>
      </x:c>
    </x:row>
    <x:row r="371" ht="52" customHeight="1">
      <x:c r="A371" s="18" t="str">
        <x:v>Uploaded Word</x:v>
      </x:c>
      <x:c r="B371" s="18" t="str">
        <x:v>Sterling</x:v>
      </x:c>
      <x:c r="C371" s="18" t="n">
        <x:v>2019</x:v>
      </x:c>
      <x:c r="D371" s="20" t="str">
        <x:v>car</x:v>
      </x:c>
      <x:c r="E371" s="22" t="n">
        <x:v>14.7</x:v>
      </x:c>
      <x:c r="F371" s="22" t="n">
        <x:v>14.7</x:v>
      </x:c>
      <x:c r="G371" s="22" t="n">
        <x:f>IF(COUNT(E371,F371)=2,F371-E371,"")</x:f>
        <x:v>0</x:v>
      </x:c>
      <x:c r="H371" s="20" t="str">
        <x:v>Exact agreement</x:v>
      </x:c>
      <x:c r="I371" s="20" t="str">
        <x:v>https://sterling.ng/wp-content/uploads/2020/03/FY-%E2%80%93-2019-Audited-Financials.pdf</x:v>
      </x:c>
      <x:c r="J371" s="20" t="str">
        <x:v>Prior source-selection policy retained; original evidence preserved in accompanying pack.</x:v>
      </x:c>
    </x:row>
    <x:row r="372" ht="52" customHeight="1">
      <x:c r="A372" s="18" t="str">
        <x:v>Uploaded Word</x:v>
      </x:c>
      <x:c r="B372" s="18" t="str">
        <x:v>Sterling</x:v>
      </x:c>
      <x:c r="C372" s="18" t="n">
        <x:v>2019</x:v>
      </x:c>
      <x:c r="D372" s="20" t="str">
        <x:v>npl_reported</x:v>
      </x:c>
      <x:c r="E372" s="22" t="n">
        <x:v>2.2</x:v>
      </x:c>
      <x:c r="F372" s="22"/>
      <x:c r="G372" s="22" t="str">
        <x:f>IF(COUNT(E372,F372)=2,F372-E372,"")</x:f>
      </x:c>
      <x:c r="H372" s="20" t="str">
        <x:v>Candidate retained outside selected field</x:v>
      </x:c>
      <x:c r="I372" s="20" t="str">
        <x:v>https://sterling.ng/wp-content/uploads/2020/03/FY-%E2%80%93-2019-Audited-Financials.pdf</x:v>
      </x:c>
      <x:c r="J372" s="20" t="str">
        <x:v>Prior source-selection policy retained; original evidence preserved in accompanying pack.</x:v>
      </x:c>
    </x:row>
    <x:row r="373" ht="52" customHeight="1">
      <x:c r="A373" s="18" t="str">
        <x:v>Uploaded Word</x:v>
      </x:c>
      <x:c r="B373" s="18" t="str">
        <x:v>Sterling</x:v>
      </x:c>
      <x:c r="C373" s="18" t="n">
        <x:v>2019</x:v>
      </x:c>
      <x:c r="D373" s="20" t="str">
        <x:v>gcu</x:v>
      </x:c>
      <x:c r="E373" s="22" t="n">
        <x:v>0</x:v>
      </x:c>
      <x:c r="F373" s="22"/>
      <x:c r="G373" s="22" t="str">
        <x:f>IF(COUNT(E373,F373)=2,F373-E373,"")</x:f>
      </x:c>
      <x:c r="H373" s="20" t="str">
        <x:v>Candidate retained outside selected field</x:v>
      </x:c>
      <x:c r="I373" s="20" t="str">
        <x:v>https://sterling.ng/wp-content/uploads/2020/03/FY-%E2%80%93-2019-Audited-Financials.pdf</x:v>
      </x:c>
      <x:c r="J373" s="20" t="str">
        <x:v>Prior source-selection policy retained; original evidence preserved in accompanying pack.</x:v>
      </x:c>
    </x:row>
    <x:row r="374" ht="52" customHeight="1">
      <x:c r="A374" s="18" t="str">
        <x:v>Uploaded Word</x:v>
      </x:c>
      <x:c r="B374" s="18" t="str">
        <x:v>Wema</x:v>
      </x:c>
      <x:c r="C374" s="18" t="n">
        <x:v>2015</x:v>
      </x:c>
      <x:c r="D374" s="20" t="str">
        <x:v>pat</x:v>
      </x:c>
      <x:c r="E374" s="22" t="n">
        <x:v>2273</x:v>
      </x:c>
      <x:c r="F374" s="22" t="n">
        <x:v>2273.205</x:v>
      </x:c>
      <x:c r="G374" s="22" t="n">
        <x:f>IF(COUNT(E374,F374)=2,F374-E374,"")</x:f>
        <x:v>0.20499999999992724</x:v>
      </x:c>
      <x:c r="H374" s="20" t="str">
        <x:v>Rounding / presentation precision</x:v>
      </x:c>
      <x:c r="I374" s="20" t="str">
        <x:v>https://greenwichregistrars.com/wp-content/uploads/2021/06/Wema-Bank-2015-Report.pdf | https://greenwichregistrars.com/wp-content/uploads/2021/06/Wema-Bank-2016-Report.pdf</x:v>
      </x:c>
      <x:c r="J374" s="20" t="str">
        <x:v>Prior source-selection policy retained; original evidence preserved in accompanying pack.</x:v>
      </x:c>
    </x:row>
    <x:row r="375" ht="52" customHeight="1">
      <x:c r="A375" s="18" t="str">
        <x:v>Uploaded Word</x:v>
      </x:c>
      <x:c r="B375" s="18" t="str">
        <x:v>Wema</x:v>
      </x:c>
      <x:c r="C375" s="18" t="n">
        <x:v>2015</x:v>
      </x:c>
      <x:c r="D375" s="20" t="str">
        <x:v>gross_earnings</x:v>
      </x:c>
      <x:c r="E375" s="22" t="n">
        <x:v>45869</x:v>
      </x:c>
      <x:c r="F375" s="22"/>
      <x:c r="G375" s="22" t="str">
        <x:f>IF(COUNT(E375,F375)=2,F375-E375,"")</x:f>
      </x:c>
      <x:c r="H375" s="20" t="str">
        <x:v>Candidate retained outside selected field</x:v>
      </x:c>
      <x:c r="I375" s="20" t="str">
        <x:v>https://greenwichregistrars.com/wp-content/uploads/2021/06/Wema-Bank-2015-Report.pdf | https://greenwichregistrars.com/wp-content/uploads/2021/06/Wema-Bank-2016-Report.pdf</x:v>
      </x:c>
      <x:c r="J375" s="20" t="str">
        <x:v>Prior source-selection policy retained; original evidence preserved in accompanying pack.</x:v>
      </x:c>
    </x:row>
    <x:row r="376" ht="52" customHeight="1">
      <x:c r="A376" s="18" t="str">
        <x:v>Uploaded Word</x:v>
      </x:c>
      <x:c r="B376" s="18" t="str">
        <x:v>Wema</x:v>
      </x:c>
      <x:c r="C376" s="18" t="n">
        <x:v>2015</x:v>
      </x:c>
      <x:c r="D376" s="20" t="str">
        <x:v>assets</x:v>
      </x:c>
      <x:c r="E376" s="22" t="n">
        <x:v>396743</x:v>
      </x:c>
      <x:c r="F376" s="22" t="n">
        <x:v>396743.314</x:v>
      </x:c>
      <x:c r="G376" s="22" t="n">
        <x:f>IF(COUNT(E376,F376)=2,F376-E376,"")</x:f>
        <x:v>0.3140000000130385</x:v>
      </x:c>
      <x:c r="H376" s="20" t="str">
        <x:v>Rounding / presentation precision</x:v>
      </x:c>
      <x:c r="I376" s="20" t="str">
        <x:v>https://greenwichregistrars.com/wp-content/uploads/2021/06/Wema-Bank-2015-Report.pdf | https://greenwichregistrars.com/wp-content/uploads/2021/06/Wema-Bank-2016-Report.pdf</x:v>
      </x:c>
      <x:c r="J376" s="20" t="str">
        <x:v>Prior source-selection policy retained; original evidence preserved in accompanying pack.</x:v>
      </x:c>
    </x:row>
    <x:row r="377" ht="52" customHeight="1">
      <x:c r="A377" s="18" t="str">
        <x:v>Uploaded Word</x:v>
      </x:c>
      <x:c r="B377" s="18" t="str">
        <x:v>Wema</x:v>
      </x:c>
      <x:c r="C377" s="18" t="n">
        <x:v>2015</x:v>
      </x:c>
      <x:c r="D377" s="20" t="str">
        <x:v>gross_loans</x:v>
      </x:c>
      <x:c r="E377" s="22" t="n">
        <x:v>188023</x:v>
      </x:c>
      <x:c r="F377" s="22" t="n">
        <x:v>188022.922</x:v>
      </x:c>
      <x:c r="G377" s="22" t="n">
        <x:f>IF(COUNT(E377,F377)=2,F377-E377,"")</x:f>
        <x:v>-0.07800000000861473</x:v>
      </x:c>
      <x:c r="H377" s="20" t="str">
        <x:v>Rounding / presentation precision</x:v>
      </x:c>
      <x:c r="I377" s="20" t="str">
        <x:v>https://greenwichregistrars.com/wp-content/uploads/2021/06/Wema-Bank-2015-Report.pdf | https://greenwichregistrars.com/wp-content/uploads/2021/06/Wema-Bank-2016-Report.pdf</x:v>
      </x:c>
      <x:c r="J377" s="20" t="str">
        <x:v>Prior source-selection policy retained; original evidence preserved in accompanying pack.</x:v>
      </x:c>
    </x:row>
    <x:row r="378" ht="52" customHeight="1">
      <x:c r="A378" s="18" t="str">
        <x:v>Uploaded Word</x:v>
      </x:c>
      <x:c r="B378" s="18" t="str">
        <x:v>Wema</x:v>
      </x:c>
      <x:c r="C378" s="18" t="n">
        <x:v>2015</x:v>
      </x:c>
      <x:c r="D378" s="20" t="str">
        <x:v>loan_allowance</x:v>
      </x:c>
      <x:c r="E378" s="22" t="n">
        <x:v>2426</x:v>
      </x:c>
      <x:c r="F378" s="22" t="n">
        <x:v>2426.332</x:v>
      </x:c>
      <x:c r="G378" s="22" t="n">
        <x:f>IF(COUNT(E378,F378)=2,F378-E378,"")</x:f>
        <x:v>0.33199999999987995</x:v>
      </x:c>
      <x:c r="H378" s="20" t="str">
        <x:v>Rounding / presentation precision</x:v>
      </x:c>
      <x:c r="I378" s="20" t="str">
        <x:v>https://greenwichregistrars.com/wp-content/uploads/2021/06/Wema-Bank-2015-Report.pdf | https://greenwichregistrars.com/wp-content/uploads/2021/06/Wema-Bank-2016-Report.pdf</x:v>
      </x:c>
      <x:c r="J378" s="20" t="str">
        <x:v>Prior source-selection policy retained; original evidence preserved in accompanying pack.</x:v>
      </x:c>
    </x:row>
    <x:row r="379" ht="52" customHeight="1">
      <x:c r="A379" s="18" t="str">
        <x:v>Uploaded Word</x:v>
      </x:c>
      <x:c r="B379" s="18" t="str">
        <x:v>Wema</x:v>
      </x:c>
      <x:c r="C379" s="18" t="n">
        <x:v>2015</x:v>
      </x:c>
      <x:c r="D379" s="20" t="str">
        <x:v>total_impairment</x:v>
      </x:c>
      <x:c r="E379" s="22"/>
      <x:c r="F379" s="22" t="n">
        <x:v>-77.64</x:v>
      </x:c>
      <x:c r="G379" s="22" t="str">
        <x:f>IF(COUNT(E379,F379)=2,F379-E379,"")</x:f>
      </x:c>
      <x:c r="H379" s="20" t="str">
        <x:v>Selected source fills uploaded blank</x:v>
      </x:c>
      <x:c r="I379" s="20" t="str">
        <x:v>https://greenwichregistrars.com/wp-content/uploads/2021/06/Wema-Bank-2015-Report.pdf | https://greenwichregistrars.com/wp-content/uploads/2021/06/Wema-Bank-2016-Report.pdf</x:v>
      </x:c>
      <x:c r="J379" s="20" t="str">
        <x:v>Prior source-selection policy retained; original evidence preserved in accompanying pack.</x:v>
      </x:c>
    </x:row>
    <x:row r="380" ht="52" customHeight="1">
      <x:c r="A380" s="18" t="str">
        <x:v>Uploaded Word</x:v>
      </x:c>
      <x:c r="B380" s="18" t="str">
        <x:v>Wema</x:v>
      </x:c>
      <x:c r="C380" s="18" t="n">
        <x:v>2015</x:v>
      </x:c>
      <x:c r="D380" s="20" t="str">
        <x:v>car</x:v>
      </x:c>
      <x:c r="E380" s="22" t="n">
        <x:v>15.1</x:v>
      </x:c>
      <x:c r="F380" s="22" t="n">
        <x:v>15.09</x:v>
      </x:c>
      <x:c r="G380" s="22" t="n">
        <x:f>IF(COUNT(E380,F380)=2,F380-E380,"")</x:f>
        <x:v>-0.009999999999999787</x:v>
      </x:c>
      <x:c r="H380" s="20" t="str">
        <x:v>Difference: retain selected source / definition</x:v>
      </x:c>
      <x:c r="I380" s="20" t="str">
        <x:v>https://greenwichregistrars.com/wp-content/uploads/2021/06/Wema-Bank-2015-Report.pdf | https://greenwichregistrars.com/wp-content/uploads/2021/06/Wema-Bank-2016-Report.pdf</x:v>
      </x:c>
      <x:c r="J380" s="20" t="str">
        <x:v>Prior source-selection policy retained; original evidence preserved in accompanying pack.</x:v>
      </x:c>
    </x:row>
    <x:row r="381" ht="52" customHeight="1">
      <x:c r="A381" s="18" t="str">
        <x:v>Uploaded Word</x:v>
      </x:c>
      <x:c r="B381" s="18" t="str">
        <x:v>Wema</x:v>
      </x:c>
      <x:c r="C381" s="18" t="n">
        <x:v>2015</x:v>
      </x:c>
      <x:c r="D381" s="20" t="str">
        <x:v>npl_reported</x:v>
      </x:c>
      <x:c r="E381" s="22" t="n">
        <x:v>2.67</x:v>
      </x:c>
      <x:c r="F381" s="22" t="n">
        <x:v>2.67</x:v>
      </x:c>
      <x:c r="G381" s="22" t="n">
        <x:f>IF(COUNT(E381,F381)=2,F381-E381,"")</x:f>
        <x:v>0</x:v>
      </x:c>
      <x:c r="H381" s="20" t="str">
        <x:v>Exact agreement</x:v>
      </x:c>
      <x:c r="I381" s="20" t="str">
        <x:v>https://greenwichregistrars.com/wp-content/uploads/2021/06/Wema-Bank-2015-Report.pdf | https://greenwichregistrars.com/wp-content/uploads/2021/06/Wema-Bank-2016-Report.pdf</x:v>
      </x:c>
      <x:c r="J381" s="20" t="str">
        <x:v>Prior source-selection policy retained; original evidence preserved in accompanying pack.</x:v>
      </x:c>
    </x:row>
    <x:row r="382" ht="52" customHeight="1">
      <x:c r="A382" s="18" t="str">
        <x:v>Uploaded Word</x:v>
      </x:c>
      <x:c r="B382" s="18" t="str">
        <x:v>Wema</x:v>
      </x:c>
      <x:c r="C382" s="18" t="n">
        <x:v>2015</x:v>
      </x:c>
      <x:c r="D382" s="20" t="str">
        <x:v>gcu</x:v>
      </x:c>
      <x:c r="E382" s="22" t="n">
        <x:v>0</x:v>
      </x:c>
      <x:c r="F382" s="22"/>
      <x:c r="G382" s="22" t="str">
        <x:f>IF(COUNT(E382,F382)=2,F382-E382,"")</x:f>
      </x:c>
      <x:c r="H382" s="20" t="str">
        <x:v>Candidate retained outside selected field</x:v>
      </x:c>
      <x:c r="I382" s="20" t="str">
        <x:v>https://greenwichregistrars.com/wp-content/uploads/2021/06/Wema-Bank-2015-Report.pdf | https://greenwichregistrars.com/wp-content/uploads/2021/06/Wema-Bank-2016-Report.pdf</x:v>
      </x:c>
      <x:c r="J382" s="20" t="str">
        <x:v>Prior source-selection policy retained; original evidence preserved in accompanying pack.</x:v>
      </x:c>
    </x:row>
    <x:row r="383" ht="52" customHeight="1">
      <x:c r="A383" s="18" t="str">
        <x:v>Uploaded Word</x:v>
      </x:c>
      <x:c r="B383" s="18" t="str">
        <x:v>Wema</x:v>
      </x:c>
      <x:c r="C383" s="18" t="n">
        <x:v>2016</x:v>
      </x:c>
      <x:c r="D383" s="20" t="str">
        <x:v>pat</x:v>
      </x:c>
      <x:c r="E383" s="22" t="n">
        <x:v>2592</x:v>
      </x:c>
      <x:c r="F383" s="22" t="n">
        <x:v>2591.8</x:v>
      </x:c>
      <x:c r="G383" s="22" t="n">
        <x:f>IF(COUNT(E383,F383)=2,F383-E383,"")</x:f>
        <x:v>-0.1999999999998181</x:v>
      </x:c>
      <x:c r="H383" s="20" t="str">
        <x:v>Rounding / presentation precision</x:v>
      </x:c>
      <x:c r="I383" s="20" t="str">
        <x:v>https://greenwichregistrars.com/wp-content/uploads/2021/06/Wema-Bank-2016-Report.pdf</x:v>
      </x:c>
      <x:c r="J383" s="20" t="str">
        <x:v>Prior source-selection policy retained; original evidence preserved in accompanying pack.</x:v>
      </x:c>
    </x:row>
    <x:row r="384" ht="52" customHeight="1">
      <x:c r="A384" s="18" t="str">
        <x:v>Uploaded Word</x:v>
      </x:c>
      <x:c r="B384" s="18" t="str">
        <x:v>Wema</x:v>
      </x:c>
      <x:c r="C384" s="18" t="n">
        <x:v>2016</x:v>
      </x:c>
      <x:c r="D384" s="20" t="str">
        <x:v>gross_earnings</x:v>
      </x:c>
      <x:c r="E384" s="22" t="n">
        <x:v>53834</x:v>
      </x:c>
      <x:c r="F384" s="22"/>
      <x:c r="G384" s="22" t="str">
        <x:f>IF(COUNT(E384,F384)=2,F384-E384,"")</x:f>
      </x:c>
      <x:c r="H384" s="20" t="str">
        <x:v>Candidate retained outside selected field</x:v>
      </x:c>
      <x:c r="I384" s="20" t="str">
        <x:v>https://greenwichregistrars.com/wp-content/uploads/2021/06/Wema-Bank-2016-Report.pdf</x:v>
      </x:c>
      <x:c r="J384" s="20" t="str">
        <x:v>Prior source-selection policy retained; original evidence preserved in accompanying pack.</x:v>
      </x:c>
    </x:row>
    <x:row r="385" ht="52" customHeight="1">
      <x:c r="A385" s="18" t="str">
        <x:v>Uploaded Word</x:v>
      </x:c>
      <x:c r="B385" s="18" t="str">
        <x:v>Wema</x:v>
      </x:c>
      <x:c r="C385" s="18" t="n">
        <x:v>2016</x:v>
      </x:c>
      <x:c r="D385" s="20" t="str">
        <x:v>assets</x:v>
      </x:c>
      <x:c r="E385" s="22" t="n">
        <x:v>421221</x:v>
      </x:c>
      <x:c r="F385" s="22" t="n">
        <x:v>421221.036</x:v>
      </x:c>
      <x:c r="G385" s="22" t="n">
        <x:f>IF(COUNT(E385,F385)=2,F385-E385,"")</x:f>
        <x:v>0.03600000002188608</x:v>
      </x:c>
      <x:c r="H385" s="20" t="str">
        <x:v>Rounding / presentation precision</x:v>
      </x:c>
      <x:c r="I385" s="20" t="str">
        <x:v>https://greenwichregistrars.com/wp-content/uploads/2021/06/Wema-Bank-2016-Report.pdf</x:v>
      </x:c>
      <x:c r="J385" s="20" t="str">
        <x:v>Prior source-selection policy retained; original evidence preserved in accompanying pack.</x:v>
      </x:c>
    </x:row>
    <x:row r="386" ht="52" customHeight="1">
      <x:c r="A386" s="18" t="str">
        <x:v>Uploaded Word</x:v>
      </x:c>
      <x:c r="B386" s="18" t="str">
        <x:v>Wema</x:v>
      </x:c>
      <x:c r="C386" s="18" t="n">
        <x:v>2016</x:v>
      </x:c>
      <x:c r="D386" s="20" t="str">
        <x:v>gross_loans</x:v>
      </x:c>
      <x:c r="E386" s="22" t="n">
        <x:v>229841</x:v>
      </x:c>
      <x:c r="F386" s="22"/>
      <x:c r="G386" s="22" t="str">
        <x:f>IF(COUNT(E386,F386)=2,F386-E386,"")</x:f>
      </x:c>
      <x:c r="H386" s="20" t="str">
        <x:v>Candidate retained outside selected field</x:v>
      </x:c>
      <x:c r="I386" s="20" t="str">
        <x:v>https://greenwichregistrars.com/wp-content/uploads/2021/06/Wema-Bank-2016-Report.pdf</x:v>
      </x:c>
      <x:c r="J386" s="20" t="str">
        <x:v>Prior source-selection policy retained; original evidence preserved in accompanying pack.</x:v>
      </x:c>
    </x:row>
    <x:row r="387" ht="52" customHeight="1">
      <x:c r="A387" s="18" t="str">
        <x:v>Uploaded Word</x:v>
      </x:c>
      <x:c r="B387" s="18" t="str">
        <x:v>Wema</x:v>
      </x:c>
      <x:c r="C387" s="18" t="n">
        <x:v>2016</x:v>
      </x:c>
      <x:c r="D387" s="20" t="str">
        <x:v>loan_allowance</x:v>
      </x:c>
      <x:c r="E387" s="22" t="n">
        <x:v>2832</x:v>
      </x:c>
      <x:c r="F387" s="22"/>
      <x:c r="G387" s="22" t="str">
        <x:f>IF(COUNT(E387,F387)=2,F387-E387,"")</x:f>
      </x:c>
      <x:c r="H387" s="20" t="str">
        <x:v>Candidate retained outside selected field</x:v>
      </x:c>
      <x:c r="I387" s="20" t="str">
        <x:v>https://greenwichregistrars.com/wp-content/uploads/2021/06/Wema-Bank-2016-Report.pdf</x:v>
      </x:c>
      <x:c r="J387" s="20" t="str">
        <x:v>Prior source-selection policy retained; original evidence preserved in accompanying pack.</x:v>
      </x:c>
    </x:row>
    <x:row r="388" ht="52" customHeight="1">
      <x:c r="A388" s="18" t="str">
        <x:v>Uploaded Word</x:v>
      </x:c>
      <x:c r="B388" s="18" t="str">
        <x:v>Wema</x:v>
      </x:c>
      <x:c r="C388" s="18" t="n">
        <x:v>2016</x:v>
      </x:c>
      <x:c r="D388" s="20" t="str">
        <x:v>total_impairment</x:v>
      </x:c>
      <x:c r="E388" s="22" t="n">
        <x:v>412</x:v>
      </x:c>
      <x:c r="F388" s="22" t="n">
        <x:v>412.401</x:v>
      </x:c>
      <x:c r="G388" s="22" t="n">
        <x:f>IF(COUNT(E388,F388)=2,F388-E388,"")</x:f>
        <x:v>0.40100000000001046</x:v>
      </x:c>
      <x:c r="H388" s="20" t="str">
        <x:v>Rounding / presentation precision</x:v>
      </x:c>
      <x:c r="I388" s="20" t="str">
        <x:v>https://greenwichregistrars.com/wp-content/uploads/2021/06/Wema-Bank-2016-Report.pdf</x:v>
      </x:c>
      <x:c r="J388" s="20" t="str">
        <x:v>Prior source-selection policy retained; original evidence preserved in accompanying pack.</x:v>
      </x:c>
    </x:row>
    <x:row r="389" ht="52" customHeight="1">
      <x:c r="A389" s="18" t="str">
        <x:v>Uploaded Word</x:v>
      </x:c>
      <x:c r="B389" s="18" t="str">
        <x:v>Wema</x:v>
      </x:c>
      <x:c r="C389" s="18" t="n">
        <x:v>2016</x:v>
      </x:c>
      <x:c r="D389" s="20" t="str">
        <x:v>car</x:v>
      </x:c>
      <x:c r="E389" s="22" t="n">
        <x:v>11.07</x:v>
      </x:c>
      <x:c r="F389" s="22"/>
      <x:c r="G389" s="22" t="str">
        <x:f>IF(COUNT(E389,F389)=2,F389-E389,"")</x:f>
      </x:c>
      <x:c r="H389" s="20" t="str">
        <x:v>Candidate retained outside selected field</x:v>
      </x:c>
      <x:c r="I389" s="20" t="str">
        <x:v>https://greenwichregistrars.com/wp-content/uploads/2021/06/Wema-Bank-2016-Report.pdf</x:v>
      </x:c>
      <x:c r="J389" s="20" t="str">
        <x:v>Prior source-selection policy retained; original evidence preserved in accompanying pack.</x:v>
      </x:c>
    </x:row>
    <x:row r="390" ht="52" customHeight="1">
      <x:c r="A390" s="18" t="str">
        <x:v>Uploaded Word</x:v>
      </x:c>
      <x:c r="B390" s="18" t="str">
        <x:v>Wema</x:v>
      </x:c>
      <x:c r="C390" s="18" t="n">
        <x:v>2016</x:v>
      </x:c>
      <x:c r="D390" s="20" t="str">
        <x:v>npl_reported</x:v>
      </x:c>
      <x:c r="E390" s="22" t="n">
        <x:v>5.07</x:v>
      </x:c>
      <x:c r="F390" s="22"/>
      <x:c r="G390" s="22" t="str">
        <x:f>IF(COUNT(E390,F390)=2,F390-E390,"")</x:f>
      </x:c>
      <x:c r="H390" s="20" t="str">
        <x:v>Candidate retained outside selected field</x:v>
      </x:c>
      <x:c r="I390" s="20" t="str">
        <x:v>https://greenwichregistrars.com/wp-content/uploads/2021/06/Wema-Bank-2016-Report.pdf</x:v>
      </x:c>
      <x:c r="J390" s="20" t="str">
        <x:v>Prior source-selection policy retained; original evidence preserved in accompanying pack.</x:v>
      </x:c>
    </x:row>
    <x:row r="391" ht="52" customHeight="1">
      <x:c r="A391" s="18" t="str">
        <x:v>Uploaded Word</x:v>
      </x:c>
      <x:c r="B391" s="18" t="str">
        <x:v>Wema</x:v>
      </x:c>
      <x:c r="C391" s="18" t="n">
        <x:v>2016</x:v>
      </x:c>
      <x:c r="D391" s="20" t="str">
        <x:v>gcu</x:v>
      </x:c>
      <x:c r="E391" s="22" t="n">
        <x:v>0</x:v>
      </x:c>
      <x:c r="F391" s="22"/>
      <x:c r="G391" s="22" t="str">
        <x:f>IF(COUNT(E391,F391)=2,F391-E391,"")</x:f>
      </x:c>
      <x:c r="H391" s="20" t="str">
        <x:v>Candidate retained outside selected field</x:v>
      </x:c>
      <x:c r="I391" s="20" t="str">
        <x:v>https://greenwichregistrars.com/wp-content/uploads/2021/06/Wema-Bank-2016-Report.pdf</x:v>
      </x:c>
      <x:c r="J391" s="20" t="str">
        <x:v>Prior source-selection policy retained; original evidence preserved in accompanying pack.</x:v>
      </x:c>
    </x:row>
    <x:row r="392" ht="52" customHeight="1">
      <x:c r="A392" s="18" t="str">
        <x:v>Uploaded Word</x:v>
      </x:c>
      <x:c r="B392" s="18" t="str">
        <x:v>Wema</x:v>
      </x:c>
      <x:c r="C392" s="18" t="n">
        <x:v>2017</x:v>
      </x:c>
      <x:c r="D392" s="20" t="str">
        <x:v>pat</x:v>
      </x:c>
      <x:c r="E392" s="22" t="n">
        <x:v>2301</x:v>
      </x:c>
      <x:c r="F392" s="22" t="n">
        <x:v>2301.158</x:v>
      </x:c>
      <x:c r="G392" s="22" t="n">
        <x:f>IF(COUNT(E392,F392)=2,F392-E392,"")</x:f>
        <x:v>0.15799999999990177</x:v>
      </x:c>
      <x:c r="H392" s="20" t="str">
        <x:v>Rounding / presentation precision</x:v>
      </x:c>
      <x:c r="I392" s="20" t="str">
        <x:v>https://arthursteven.com/reports/market/WEMA_BANK_PLC._FINANCIAL_STATEMENTS_MARCH_2019.pdf</x:v>
      </x:c>
      <x:c r="J392" s="20" t="str">
        <x:v>Prior source-selection policy retained; original evidence preserved in accompanying pack.</x:v>
      </x:c>
    </x:row>
    <x:row r="393" ht="52" customHeight="1">
      <x:c r="A393" s="18" t="str">
        <x:v>Uploaded Word</x:v>
      </x:c>
      <x:c r="B393" s="18" t="str">
        <x:v>Wema</x:v>
      </x:c>
      <x:c r="C393" s="18" t="n">
        <x:v>2017</x:v>
      </x:c>
      <x:c r="D393" s="20" t="str">
        <x:v>gross_earnings</x:v>
      </x:c>
      <x:c r="E393" s="22" t="n">
        <x:v>64858</x:v>
      </x:c>
      <x:c r="F393" s="22"/>
      <x:c r="G393" s="22" t="str">
        <x:f>IF(COUNT(E393,F393)=2,F393-E393,"")</x:f>
      </x:c>
      <x:c r="H393" s="20" t="str">
        <x:v>Candidate retained outside selected field</x:v>
      </x:c>
      <x:c r="I393" s="20" t="str">
        <x:v>https://arthursteven.com/reports/market/WEMA_BANK_PLC._FINANCIAL_STATEMENTS_MARCH_2019.pdf</x:v>
      </x:c>
      <x:c r="J393" s="20" t="str">
        <x:v>Prior source-selection policy retained; original evidence preserved in accompanying pack.</x:v>
      </x:c>
    </x:row>
    <x:row r="394" ht="52" customHeight="1">
      <x:c r="A394" s="18" t="str">
        <x:v>Uploaded Word</x:v>
      </x:c>
      <x:c r="B394" s="18" t="str">
        <x:v>Wema</x:v>
      </x:c>
      <x:c r="C394" s="18" t="n">
        <x:v>2017</x:v>
      </x:c>
      <x:c r="D394" s="20" t="str">
        <x:v>assets</x:v>
      </x:c>
      <x:c r="E394" s="22" t="n">
        <x:v>385388</x:v>
      </x:c>
      <x:c r="F394" s="22" t="n">
        <x:v>384779.809</x:v>
      </x:c>
      <x:c r="G394" s="22" t="n">
        <x:f>IF(COUNT(E394,F394)=2,F394-E394,"")</x:f>
        <x:v>-608.1909999999916</x:v>
      </x:c>
      <x:c r="H394" s="20" t="str">
        <x:v>Difference: retain selected source / definition</x:v>
      </x:c>
      <x:c r="I394" s="20" t="str">
        <x:v>https://arthursteven.com/reports/market/WEMA_BANK_PLC._FINANCIAL_STATEMENTS_MARCH_2019.pdf</x:v>
      </x:c>
      <x:c r="J394" s="20" t="str">
        <x:v>Prior source-selection policy retained; original evidence preserved in accompanying pack.</x:v>
      </x:c>
    </x:row>
    <x:row r="395" ht="52" customHeight="1">
      <x:c r="A395" s="18" t="str">
        <x:v>Uploaded Word</x:v>
      </x:c>
      <x:c r="B395" s="18" t="str">
        <x:v>Wema</x:v>
      </x:c>
      <x:c r="C395" s="18" t="n">
        <x:v>2017</x:v>
      </x:c>
      <x:c r="D395" s="20" t="str">
        <x:v>gross_loans</x:v>
      </x:c>
      <x:c r="E395" s="22" t="n">
        <x:v>220076</x:v>
      </x:c>
      <x:c r="F395" s="22" t="n">
        <x:v>220076.031</x:v>
      </x:c>
      <x:c r="G395" s="22" t="n">
        <x:f>IF(COUNT(E395,F395)=2,F395-E395,"")</x:f>
        <x:v>0.030999999988125637</x:v>
      </x:c>
      <x:c r="H395" s="20" t="str">
        <x:v>Rounding / presentation precision</x:v>
      </x:c>
      <x:c r="I395" s="20" t="str">
        <x:v>https://arthursteven.com/reports/market/WEMA_BANK_PLC._FINANCIAL_STATEMENTS_MARCH_2019.pdf</x:v>
      </x:c>
      <x:c r="J395" s="20" t="str">
        <x:v>Prior source-selection policy retained; original evidence preserved in accompanying pack.</x:v>
      </x:c>
    </x:row>
    <x:row r="396" ht="52" customHeight="1">
      <x:c r="A396" s="18" t="str">
        <x:v>Uploaded Word</x:v>
      </x:c>
      <x:c r="B396" s="18" t="str">
        <x:v>Wema</x:v>
      </x:c>
      <x:c r="C396" s="18" t="n">
        <x:v>2017</x:v>
      </x:c>
      <x:c r="D396" s="20" t="str">
        <x:v>loan_allowance</x:v>
      </x:c>
      <x:c r="E396" s="22" t="n">
        <x:v>4236</x:v>
      </x:c>
      <x:c r="F396" s="22" t="n">
        <x:v>4236.001</x:v>
      </x:c>
      <x:c r="G396" s="22" t="n">
        <x:f>IF(COUNT(E396,F396)=2,F396-E396,"")</x:f>
        <x:v>0.0010000000002037268</x:v>
      </x:c>
      <x:c r="H396" s="20" t="str">
        <x:v>Rounding / presentation precision</x:v>
      </x:c>
      <x:c r="I396" s="20" t="str">
        <x:v>https://arthursteven.com/reports/market/WEMA_BANK_PLC._FINANCIAL_STATEMENTS_MARCH_2019.pdf</x:v>
      </x:c>
      <x:c r="J396" s="20" t="str">
        <x:v>Prior source-selection policy retained; original evidence preserved in accompanying pack.</x:v>
      </x:c>
    </x:row>
    <x:row r="397" ht="52" customHeight="1">
      <x:c r="A397" s="18" t="str">
        <x:v>Uploaded Word</x:v>
      </x:c>
      <x:c r="B397" s="18" t="str">
        <x:v>Wema</x:v>
      </x:c>
      <x:c r="C397" s="18" t="n">
        <x:v>2017</x:v>
      </x:c>
      <x:c r="D397" s="20" t="str">
        <x:v>total_impairment</x:v>
      </x:c>
      <x:c r="E397" s="22" t="n">
        <x:v>2180</x:v>
      </x:c>
      <x:c r="F397" s="22" t="n">
        <x:v>2179.798</x:v>
      </x:c>
      <x:c r="G397" s="22" t="n">
        <x:f>IF(COUNT(E397,F397)=2,F397-E397,"")</x:f>
        <x:v>-0.20200000000022555</x:v>
      </x:c>
      <x:c r="H397" s="20" t="str">
        <x:v>Rounding / presentation precision</x:v>
      </x:c>
      <x:c r="I397" s="20" t="str">
        <x:v>https://arthursteven.com/reports/market/WEMA_BANK_PLC._FINANCIAL_STATEMENTS_MARCH_2019.pdf</x:v>
      </x:c>
      <x:c r="J397" s="20" t="str">
        <x:v>Prior source-selection policy retained; original evidence preserved in accompanying pack.</x:v>
      </x:c>
    </x:row>
    <x:row r="398" ht="52" customHeight="1">
      <x:c r="A398" s="18" t="str">
        <x:v>Uploaded Word</x:v>
      </x:c>
      <x:c r="B398" s="18" t="str">
        <x:v>Wema</x:v>
      </x:c>
      <x:c r="C398" s="18" t="n">
        <x:v>2017</x:v>
      </x:c>
      <x:c r="D398" s="20" t="str">
        <x:v>car</x:v>
      </x:c>
      <x:c r="E398" s="22" t="n">
        <x:v>14.32</x:v>
      </x:c>
      <x:c r="F398" s="22" t="n">
        <x:v>14.32</x:v>
      </x:c>
      <x:c r="G398" s="22" t="n">
        <x:f>IF(COUNT(E398,F398)=2,F398-E398,"")</x:f>
        <x:v>0</x:v>
      </x:c>
      <x:c r="H398" s="20" t="str">
        <x:v>Exact agreement</x:v>
      </x:c>
      <x:c r="I398" s="20" t="str">
        <x:v>https://arthursteven.com/reports/market/WEMA_BANK_PLC._FINANCIAL_STATEMENTS_MARCH_2019.pdf</x:v>
      </x:c>
      <x:c r="J398" s="20" t="str">
        <x:v>Prior source-selection policy retained; original evidence preserved in accompanying pack.</x:v>
      </x:c>
    </x:row>
    <x:row r="399" ht="52" customHeight="1">
      <x:c r="A399" s="18" t="str">
        <x:v>Uploaded Word</x:v>
      </x:c>
      <x:c r="B399" s="18" t="str">
        <x:v>Wema</x:v>
      </x:c>
      <x:c r="C399" s="18" t="n">
        <x:v>2017</x:v>
      </x:c>
      <x:c r="D399" s="20" t="str">
        <x:v>npl_reported</x:v>
      </x:c>
      <x:c r="E399" s="22" t="n">
        <x:v>3.52</x:v>
      </x:c>
      <x:c r="F399" s="22" t="n">
        <x:v>3.52</x:v>
      </x:c>
      <x:c r="G399" s="22" t="n">
        <x:f>IF(COUNT(E399,F399)=2,F399-E399,"")</x:f>
        <x:v>0</x:v>
      </x:c>
      <x:c r="H399" s="20" t="str">
        <x:v>Exact agreement</x:v>
      </x:c>
      <x:c r="I399" s="20" t="str">
        <x:v>https://arthursteven.com/reports/market/WEMA_BANK_PLC._FINANCIAL_STATEMENTS_MARCH_2019.pdf</x:v>
      </x:c>
      <x:c r="J399" s="20" t="str">
        <x:v>Prior source-selection policy retained; original evidence preserved in accompanying pack.</x:v>
      </x:c>
    </x:row>
    <x:row r="400" ht="52" customHeight="1">
      <x:c r="A400" s="18" t="str">
        <x:v>Uploaded Word</x:v>
      </x:c>
      <x:c r="B400" s="18" t="str">
        <x:v>Wema</x:v>
      </x:c>
      <x:c r="C400" s="18" t="n">
        <x:v>2017</x:v>
      </x:c>
      <x:c r="D400" s="20" t="str">
        <x:v>gcu</x:v>
      </x:c>
      <x:c r="E400" s="22" t="n">
        <x:v>0</x:v>
      </x:c>
      <x:c r="F400" s="22"/>
      <x:c r="G400" s="22" t="str">
        <x:f>IF(COUNT(E400,F400)=2,F400-E400,"")</x:f>
      </x:c>
      <x:c r="H400" s="20" t="str">
        <x:v>Candidate retained outside selected field</x:v>
      </x:c>
      <x:c r="I400" s="20" t="str">
        <x:v>https://arthursteven.com/reports/market/WEMA_BANK_PLC._FINANCIAL_STATEMENTS_MARCH_2019.pdf</x:v>
      </x:c>
      <x:c r="J400" s="20" t="str">
        <x:v>Prior source-selection policy retained; original evidence preserved in accompanying pack.</x:v>
      </x:c>
    </x:row>
    <x:row r="401" ht="52" customHeight="1">
      <x:c r="A401" s="18" t="str">
        <x:v>Uploaded Word</x:v>
      </x:c>
      <x:c r="B401" s="18" t="str">
        <x:v>Wema</x:v>
      </x:c>
      <x:c r="C401" s="18" t="n">
        <x:v>2018</x:v>
      </x:c>
      <x:c r="D401" s="20" t="str">
        <x:v>pat</x:v>
      </x:c>
      <x:c r="E401" s="22"/>
      <x:c r="F401" s="22" t="n">
        <x:v>3359.259</x:v>
      </x:c>
      <x:c r="G401" s="22" t="str">
        <x:f>IF(COUNT(E401,F401)=2,F401-E401,"")</x:f>
      </x:c>
      <x:c r="H401" s="20" t="str">
        <x:v>Selected source fills uploaded blank</x:v>
      </x:c>
      <x:c r="I401" s="20" t="str">
        <x:v>https://arthursteven.com/reports/market/WEMA_BANK_PLC._FINANCIAL_STATEMENTS_MARCH_2019.pdf</x:v>
      </x:c>
      <x:c r="J401" s="20" t="str">
        <x:v>Prior source-selection policy retained; original evidence preserved in accompanying pack.</x:v>
      </x:c>
    </x:row>
    <x:row r="402" ht="52" customHeight="1">
      <x:c r="A402" s="18" t="str">
        <x:v>Uploaded Word</x:v>
      </x:c>
      <x:c r="B402" s="18" t="str">
        <x:v>Wema</x:v>
      </x:c>
      <x:c r="C402" s="18" t="n">
        <x:v>2018</x:v>
      </x:c>
      <x:c r="D402" s="20" t="str">
        <x:v>assets</x:v>
      </x:c>
      <x:c r="E402" s="22"/>
      <x:c r="F402" s="22" t="n">
        <x:v>477915.742</x:v>
      </x:c>
      <x:c r="G402" s="22" t="str">
        <x:f>IF(COUNT(E402,F402)=2,F402-E402,"")</x:f>
      </x:c>
      <x:c r="H402" s="20" t="str">
        <x:v>Selected source fills uploaded blank</x:v>
      </x:c>
      <x:c r="I402" s="20" t="str">
        <x:v>https://arthursteven.com/reports/market/WEMA_BANK_PLC._FINANCIAL_STATEMENTS_MARCH_2019.pdf</x:v>
      </x:c>
      <x:c r="J402" s="20" t="str">
        <x:v>Prior source-selection policy retained; original evidence preserved in accompanying pack.</x:v>
      </x:c>
    </x:row>
    <x:row r="403" ht="52" customHeight="1">
      <x:c r="A403" s="18" t="str">
        <x:v>Uploaded Word</x:v>
      </x:c>
      <x:c r="B403" s="18" t="str">
        <x:v>Wema</x:v>
      </x:c>
      <x:c r="C403" s="18" t="n">
        <x:v>2018</x:v>
      </x:c>
      <x:c r="D403" s="20" t="str">
        <x:v>gross_loans</x:v>
      </x:c>
      <x:c r="E403" s="22"/>
      <x:c r="F403" s="22" t="n">
        <x:v>261583.723</x:v>
      </x:c>
      <x:c r="G403" s="22" t="str">
        <x:f>IF(COUNT(E403,F403)=2,F403-E403,"")</x:f>
      </x:c>
      <x:c r="H403" s="20" t="str">
        <x:v>Selected source fills uploaded blank</x:v>
      </x:c>
      <x:c r="I403" s="20" t="str">
        <x:v>https://arthursteven.com/reports/market/WEMA_BANK_PLC._FINANCIAL_STATEMENTS_MARCH_2019.pdf</x:v>
      </x:c>
      <x:c r="J403" s="20" t="str">
        <x:v>Prior source-selection policy retained; original evidence preserved in accompanying pack.</x:v>
      </x:c>
    </x:row>
    <x:row r="404" ht="52" customHeight="1">
      <x:c r="A404" s="18" t="str">
        <x:v>Uploaded Word</x:v>
      </x:c>
      <x:c r="B404" s="18" t="str">
        <x:v>Wema</x:v>
      </x:c>
      <x:c r="C404" s="18" t="n">
        <x:v>2018</x:v>
      </x:c>
      <x:c r="D404" s="20" t="str">
        <x:v>loan_allowance</x:v>
      </x:c>
      <x:c r="E404" s="22"/>
      <x:c r="F404" s="22" t="n">
        <x:v>9394.11</x:v>
      </x:c>
      <x:c r="G404" s="22" t="str">
        <x:f>IF(COUNT(E404,F404)=2,F404-E404,"")</x:f>
      </x:c>
      <x:c r="H404" s="20" t="str">
        <x:v>Selected source fills uploaded blank</x:v>
      </x:c>
      <x:c r="I404" s="20" t="str">
        <x:v>https://arthursteven.com/reports/market/WEMA_BANK_PLC._FINANCIAL_STATEMENTS_MARCH_2019.pdf</x:v>
      </x:c>
      <x:c r="J404" s="20" t="str">
        <x:v>Prior source-selection policy retained; original evidence preserved in accompanying pack.</x:v>
      </x:c>
    </x:row>
    <x:row r="405" ht="52" customHeight="1">
      <x:c r="A405" s="18" t="str">
        <x:v>Uploaded Word</x:v>
      </x:c>
      <x:c r="B405" s="18" t="str">
        <x:v>Wema</x:v>
      </x:c>
      <x:c r="C405" s="18" t="n">
        <x:v>2018</x:v>
      </x:c>
      <x:c r="D405" s="20" t="str">
        <x:v>total_impairment</x:v>
      </x:c>
      <x:c r="E405" s="22"/>
      <x:c r="F405" s="22" t="n">
        <x:v>3510.537</x:v>
      </x:c>
      <x:c r="G405" s="22" t="str">
        <x:f>IF(COUNT(E405,F405)=2,F405-E405,"")</x:f>
      </x:c>
      <x:c r="H405" s="20" t="str">
        <x:v>Selected source fills uploaded blank</x:v>
      </x:c>
      <x:c r="I405" s="20" t="str">
        <x:v>https://arthursteven.com/reports/market/WEMA_BANK_PLC._FINANCIAL_STATEMENTS_MARCH_2019.pdf</x:v>
      </x:c>
      <x:c r="J405" s="20" t="str">
        <x:v>Prior source-selection policy retained; original evidence preserved in accompanying pack.</x:v>
      </x:c>
    </x:row>
    <x:row r="406" ht="52" customHeight="1">
      <x:c r="A406" s="18" t="str">
        <x:v>Uploaded Word</x:v>
      </x:c>
      <x:c r="B406" s="18" t="str">
        <x:v>Wema</x:v>
      </x:c>
      <x:c r="C406" s="18" t="n">
        <x:v>2018</x:v>
      </x:c>
      <x:c r="D406" s="20" t="str">
        <x:v>car</x:v>
      </x:c>
      <x:c r="E406" s="22"/>
      <x:c r="F406" s="22" t="n">
        <x:v>18.01</x:v>
      </x:c>
      <x:c r="G406" s="22" t="str">
        <x:f>IF(COUNT(E406,F406)=2,F406-E406,"")</x:f>
      </x:c>
      <x:c r="H406" s="20" t="str">
        <x:v>Selected source fills uploaded blank</x:v>
      </x:c>
      <x:c r="I406" s="20" t="str">
        <x:v>https://arthursteven.com/reports/market/WEMA_BANK_PLC._FINANCIAL_STATEMENTS_MARCH_2019.pdf</x:v>
      </x:c>
      <x:c r="J406" s="20" t="str">
        <x:v>Prior source-selection policy retained; original evidence preserved in accompanying pack.</x:v>
      </x:c>
    </x:row>
    <x:row r="407" ht="52" customHeight="1">
      <x:c r="A407" s="18" t="str">
        <x:v>Uploaded Word</x:v>
      </x:c>
      <x:c r="B407" s="18" t="str">
        <x:v>Wema</x:v>
      </x:c>
      <x:c r="C407" s="18" t="n">
        <x:v>2018</x:v>
      </x:c>
      <x:c r="D407" s="20" t="str">
        <x:v>npl_reported</x:v>
      </x:c>
      <x:c r="E407" s="22"/>
      <x:c r="F407" s="22" t="n">
        <x:v>4.98</x:v>
      </x:c>
      <x:c r="G407" s="22" t="str">
        <x:f>IF(COUNT(E407,F407)=2,F407-E407,"")</x:f>
      </x:c>
      <x:c r="H407" s="20" t="str">
        <x:v>Selected source fills uploaded blank</x:v>
      </x:c>
      <x:c r="I407" s="20" t="str">
        <x:v>https://arthursteven.com/reports/market/WEMA_BANK_PLC._FINANCIAL_STATEMENTS_MARCH_2019.pdf</x:v>
      </x:c>
      <x:c r="J407" s="20" t="str">
        <x:v>Prior source-selection policy retained; original evidence preserved in accompanying pack.</x:v>
      </x:c>
    </x:row>
    <x:row r="408" ht="52" customHeight="1">
      <x:c r="A408" s="18" t="str">
        <x:v>Uploaded Word</x:v>
      </x:c>
      <x:c r="B408" s="18" t="str">
        <x:v>Wema</x:v>
      </x:c>
      <x:c r="C408" s="18" t="n">
        <x:v>2018</x:v>
      </x:c>
      <x:c r="D408" s="20" t="str">
        <x:v>gcu</x:v>
      </x:c>
      <x:c r="E408" s="22" t="n">
        <x:v>0</x:v>
      </x:c>
      <x:c r="F408" s="22" t="n">
        <x:v>0</x:v>
      </x:c>
      <x:c r="G408" s="22" t="n">
        <x:f>IF(COUNT(E408,F408)=2,F408-E408,"")</x:f>
        <x:v>0</x:v>
      </x:c>
      <x:c r="H408" s="20" t="str">
        <x:v>Exact agreement</x:v>
      </x:c>
      <x:c r="I408" s="20" t="str">
        <x:v>https://arthursteven.com/reports/market/WEMA_BANK_PLC._FINANCIAL_STATEMENTS_MARCH_2019.pdf</x:v>
      </x:c>
      <x:c r="J408" s="20" t="str">
        <x:v>Prior source-selection policy retained; original evidence preserved in accompanying pack.</x:v>
      </x:c>
    </x:row>
    <x:row r="409" ht="52" customHeight="1">
      <x:c r="A409" s="18" t="str">
        <x:v>Uploaded Word</x:v>
      </x:c>
      <x:c r="B409" s="18" t="str">
        <x:v>Wema</x:v>
      </x:c>
      <x:c r="C409" s="18" t="n">
        <x:v>2019</x:v>
      </x:c>
      <x:c r="D409" s="20" t="str">
        <x:v>pat</x:v>
      </x:c>
      <x:c r="E409" s="22" t="n">
        <x:v>5211</x:v>
      </x:c>
      <x:c r="F409" s="22" t="n">
        <x:v>5210.748</x:v>
      </x:c>
      <x:c r="G409" s="22" t="n">
        <x:f>IF(COUNT(E409,F409)=2,F409-E409,"")</x:f>
        <x:v>-0.25200000000040745</x:v>
      </x:c>
      <x:c r="H409" s="20" t="str">
        <x:v>Rounding / presentation precision</x:v>
      </x:c>
      <x:c r="I409" s="20" t="str">
        <x:v>https://doclib.ngxgroup.com/Financial_NewsDocs/33124_WEMA_BANK_PLC%20_AUDITED_FINANCIAL_STATEMENT_FOR_2020_F.pdf</x:v>
      </x:c>
      <x:c r="J409" s="20" t="str">
        <x:v>Prior source-selection policy retained; original evidence preserved in accompanying pack.</x:v>
      </x:c>
    </x:row>
    <x:row r="410" ht="52" customHeight="1">
      <x:c r="A410" s="18" t="str">
        <x:v>Uploaded Word</x:v>
      </x:c>
      <x:c r="B410" s="18" t="str">
        <x:v>Wema</x:v>
      </x:c>
      <x:c r="C410" s="18" t="n">
        <x:v>2019</x:v>
      </x:c>
      <x:c r="D410" s="20" t="str">
        <x:v>gross_earnings</x:v>
      </x:c>
      <x:c r="E410" s="22" t="n">
        <x:v>93390</x:v>
      </x:c>
      <x:c r="F410" s="22"/>
      <x:c r="G410" s="22" t="str">
        <x:f>IF(COUNT(E410,F410)=2,F410-E410,"")</x:f>
      </x:c>
      <x:c r="H410" s="20" t="str">
        <x:v>Candidate retained outside selected field</x:v>
      </x:c>
      <x:c r="I410" s="20" t="str">
        <x:v>https://doclib.ngxgroup.com/Financial_NewsDocs/33124_WEMA_BANK_PLC%20_AUDITED_FINANCIAL_STATEMENT_FOR_2020_F.pdf</x:v>
      </x:c>
      <x:c r="J410" s="20" t="str">
        <x:v>Prior source-selection policy retained; original evidence preserved in accompanying pack.</x:v>
      </x:c>
    </x:row>
    <x:row r="411" ht="52" customHeight="1">
      <x:c r="A411" s="18" t="str">
        <x:v>Uploaded Word</x:v>
      </x:c>
      <x:c r="B411" s="18" t="str">
        <x:v>Wema</x:v>
      </x:c>
      <x:c r="C411" s="18" t="n">
        <x:v>2019</x:v>
      </x:c>
      <x:c r="D411" s="20" t="str">
        <x:v>assets</x:v>
      </x:c>
      <x:c r="E411" s="22" t="n">
        <x:v>704956</x:v>
      </x:c>
      <x:c r="F411" s="22" t="n">
        <x:v>704955.604</x:v>
      </x:c>
      <x:c r="G411" s="22" t="n">
        <x:f>IF(COUNT(E411,F411)=2,F411-E411,"")</x:f>
        <x:v>-0.3959999999497086</x:v>
      </x:c>
      <x:c r="H411" s="20" t="str">
        <x:v>Rounding / presentation precision</x:v>
      </x:c>
      <x:c r="I411" s="20" t="str">
        <x:v>https://doclib.ngxgroup.com/Financial_NewsDocs/33124_WEMA_BANK_PLC%20_AUDITED_FINANCIAL_STATEMENT_FOR_2020_F.pdf</x:v>
      </x:c>
      <x:c r="J411" s="20" t="str">
        <x:v>Prior source-selection policy retained; original evidence preserved in accompanying pack.</x:v>
      </x:c>
    </x:row>
    <x:row r="412" ht="52" customHeight="1">
      <x:c r="A412" s="18" t="str">
        <x:v>Uploaded Word</x:v>
      </x:c>
      <x:c r="B412" s="18" t="str">
        <x:v>Wema</x:v>
      </x:c>
      <x:c r="C412" s="18" t="n">
        <x:v>2019</x:v>
      </x:c>
      <x:c r="D412" s="20" t="str">
        <x:v>gross_loans</x:v>
      </x:c>
      <x:c r="E412" s="22" t="n">
        <x:v>301368</x:v>
      </x:c>
      <x:c r="F412" s="22" t="n">
        <x:v>301368.302</x:v>
      </x:c>
      <x:c r="G412" s="22" t="n">
        <x:f>IF(COUNT(E412,F412)=2,F412-E412,"")</x:f>
        <x:v>0.3020000000251457</x:v>
      </x:c>
      <x:c r="H412" s="20" t="str">
        <x:v>Rounding / presentation precision</x:v>
      </x:c>
      <x:c r="I412" s="20" t="str">
        <x:v>https://doclib.ngxgroup.com/Financial_NewsDocs/33124_WEMA_BANK_PLC%20_AUDITED_FINANCIAL_STATEMENT_FOR_2020_F.pdf</x:v>
      </x:c>
      <x:c r="J412" s="20" t="str">
        <x:v>Prior source-selection policy retained; original evidence preserved in accompanying pack.</x:v>
      </x:c>
    </x:row>
    <x:row r="413" ht="52" customHeight="1">
      <x:c r="A413" s="18" t="str">
        <x:v>Uploaded Word</x:v>
      </x:c>
      <x:c r="B413" s="18" t="str">
        <x:v>Wema</x:v>
      </x:c>
      <x:c r="C413" s="18" t="n">
        <x:v>2019</x:v>
      </x:c>
      <x:c r="D413" s="20" t="str">
        <x:v>loan_allowance</x:v>
      </x:c>
      <x:c r="E413" s="22" t="n">
        <x:v>12128</x:v>
      </x:c>
      <x:c r="F413" s="22" t="n">
        <x:v>12128.432</x:v>
      </x:c>
      <x:c r="G413" s="22" t="n">
        <x:f>IF(COUNT(E413,F413)=2,F413-E413,"")</x:f>
        <x:v>0.4320000000006985</x:v>
      </x:c>
      <x:c r="H413" s="20" t="str">
        <x:v>Rounding / presentation precision</x:v>
      </x:c>
      <x:c r="I413" s="20" t="str">
        <x:v>https://doclib.ngxgroup.com/Financial_NewsDocs/33124_WEMA_BANK_PLC%20_AUDITED_FINANCIAL_STATEMENT_FOR_2020_F.pdf</x:v>
      </x:c>
      <x:c r="J413" s="20" t="str">
        <x:v>Prior source-selection policy retained; original evidence preserved in accompanying pack.</x:v>
      </x:c>
    </x:row>
    <x:row r="414" ht="52" customHeight="1">
      <x:c r="A414" s="18" t="str">
        <x:v>Uploaded Word</x:v>
      </x:c>
      <x:c r="B414" s="18" t="str">
        <x:v>Wema</x:v>
      </x:c>
      <x:c r="C414" s="18" t="n">
        <x:v>2019</x:v>
      </x:c>
      <x:c r="D414" s="20" t="str">
        <x:v>total_impairment</x:v>
      </x:c>
      <x:c r="E414" s="22" t="n">
        <x:v>6131</x:v>
      </x:c>
      <x:c r="F414" s="22" t="n">
        <x:v>6130.6</x:v>
      </x:c>
      <x:c r="G414" s="22" t="n">
        <x:f>IF(COUNT(E414,F414)=2,F414-E414,"")</x:f>
        <x:v>-0.3999999999996362</x:v>
      </x:c>
      <x:c r="H414" s="20" t="str">
        <x:v>Rounding / presentation precision</x:v>
      </x:c>
      <x:c r="I414" s="20" t="str">
        <x:v>https://doclib.ngxgroup.com/Financial_NewsDocs/33124_WEMA_BANK_PLC%20_AUDITED_FINANCIAL_STATEMENT_FOR_2020_F.pdf</x:v>
      </x:c>
      <x:c r="J414" s="20" t="str">
        <x:v>Prior source-selection policy retained; original evidence preserved in accompanying pack.</x:v>
      </x:c>
    </x:row>
    <x:row r="415" ht="52" customHeight="1">
      <x:c r="A415" s="18" t="str">
        <x:v>Uploaded Word</x:v>
      </x:c>
      <x:c r="B415" s="18" t="str">
        <x:v>Wema</x:v>
      </x:c>
      <x:c r="C415" s="18" t="n">
        <x:v>2019</x:v>
      </x:c>
      <x:c r="D415" s="20" t="str">
        <x:v>car</x:v>
      </x:c>
      <x:c r="E415" s="22" t="n">
        <x:v>13.6</x:v>
      </x:c>
      <x:c r="F415" s="22" t="n">
        <x:v>13.6</x:v>
      </x:c>
      <x:c r="G415" s="22" t="n">
        <x:f>IF(COUNT(E415,F415)=2,F415-E415,"")</x:f>
        <x:v>0</x:v>
      </x:c>
      <x:c r="H415" s="20" t="str">
        <x:v>Exact agreement</x:v>
      </x:c>
      <x:c r="I415" s="20" t="str">
        <x:v>https://doclib.ngxgroup.com/Financial_NewsDocs/33124_WEMA_BANK_PLC%20_AUDITED_FINANCIAL_STATEMENT_FOR_2020_F.pdf</x:v>
      </x:c>
      <x:c r="J415" s="20" t="str">
        <x:v>Prior source-selection policy retained; original evidence preserved in accompanying pack.</x:v>
      </x:c>
    </x:row>
    <x:row r="416" ht="52" customHeight="1">
      <x:c r="A416" s="18" t="str">
        <x:v>Uploaded Word</x:v>
      </x:c>
      <x:c r="B416" s="18" t="str">
        <x:v>Wema</x:v>
      </x:c>
      <x:c r="C416" s="18" t="n">
        <x:v>2019</x:v>
      </x:c>
      <x:c r="D416" s="20" t="str">
        <x:v>npl_reported</x:v>
      </x:c>
      <x:c r="E416" s="22" t="n">
        <x:v>7.38</x:v>
      </x:c>
      <x:c r="F416" s="22"/>
      <x:c r="G416" s="22" t="str">
        <x:f>IF(COUNT(E416,F416)=2,F416-E416,"")</x:f>
      </x:c>
      <x:c r="H416" s="20" t="str">
        <x:v>Candidate retained outside selected field</x:v>
      </x:c>
      <x:c r="I416" s="20" t="str">
        <x:v>https://doclib.ngxgroup.com/Financial_NewsDocs/33124_WEMA_BANK_PLC%20_AUDITED_FINANCIAL_STATEMENT_FOR_2020_F.pdf</x:v>
      </x:c>
      <x:c r="J416" s="20" t="str">
        <x:v>Prior source-selection policy retained; original evidence preserved in accompanying pack.</x:v>
      </x:c>
    </x:row>
    <x:row r="417" ht="52" customHeight="1">
      <x:c r="A417" s="18" t="str">
        <x:v>Uploaded Word</x:v>
      </x:c>
      <x:c r="B417" s="18" t="str">
        <x:v>Wema</x:v>
      </x:c>
      <x:c r="C417" s="18" t="n">
        <x:v>2019</x:v>
      </x:c>
      <x:c r="D417" s="20" t="str">
        <x:v>gcu</x:v>
      </x:c>
      <x:c r="E417" s="22" t="n">
        <x:v>0</x:v>
      </x:c>
      <x:c r="F417" s="22"/>
      <x:c r="G417" s="22" t="str">
        <x:f>IF(COUNT(E417,F417)=2,F417-E417,"")</x:f>
      </x:c>
      <x:c r="H417" s="20" t="str">
        <x:v>Candidate retained outside selected field</x:v>
      </x:c>
      <x:c r="I417" s="20" t="str">
        <x:v>https://doclib.ngxgroup.com/Financial_NewsDocs/33124_WEMA_BANK_PLC%20_AUDITED_FINANCIAL_STATEMENT_FOR_2020_F.pdf</x:v>
      </x:c>
      <x:c r="J417" s="20" t="str">
        <x:v>Prior source-selection policy retained; original evidence preserved in accompanying pack.</x:v>
      </x:c>
    </x:row>
    <x:row r="418" ht="52" customHeight="1">
      <x:c r="A418" s="18" t="str">
        <x:v>Uploaded Word</x:v>
      </x:c>
      <x:c r="B418" s="18" t="str">
        <x:v>Wema</x:v>
      </x:c>
      <x:c r="C418" s="18" t="n">
        <x:v>2020</x:v>
      </x:c>
      <x:c r="D418" s="20" t="str">
        <x:v>pat</x:v>
      </x:c>
      <x:c r="E418" s="22" t="n">
        <x:v>4592</x:v>
      </x:c>
      <x:c r="F418" s="22" t="n">
        <x:v>4592.217</x:v>
      </x:c>
      <x:c r="G418" s="22" t="n">
        <x:f>IF(COUNT(E418,F418)=2,F418-E418,"")</x:f>
        <x:v>0.21699999999964348</x:v>
      </x:c>
      <x:c r="H418" s="20" t="str">
        <x:v>Rounding / presentation precision</x:v>
      </x:c>
      <x:c r="I418" s="20" t="str">
        <x:v>https://doclib.ngxgroup.com/Financial_NewsDocs/33124_WEMA_BANK_PLC%20_AUDITED_FINANCIAL_STATEMENT_FOR_2020_F.pdf</x:v>
      </x:c>
      <x:c r="J418" s="20" t="str">
        <x:v>Prior source-selection policy retained; original evidence preserved in accompanying pack.</x:v>
      </x:c>
    </x:row>
    <x:row r="419" ht="52" customHeight="1">
      <x:c r="A419" s="18" t="str">
        <x:v>Uploaded Word</x:v>
      </x:c>
      <x:c r="B419" s="18" t="str">
        <x:v>Wema</x:v>
      </x:c>
      <x:c r="C419" s="18" t="n">
        <x:v>2020</x:v>
      </x:c>
      <x:c r="D419" s="20" t="str">
        <x:v>gross_earnings</x:v>
      </x:c>
      <x:c r="E419" s="22" t="n">
        <x:v>79877</x:v>
      </x:c>
      <x:c r="F419" s="22"/>
      <x:c r="G419" s="22" t="str">
        <x:f>IF(COUNT(E419,F419)=2,F419-E419,"")</x:f>
      </x:c>
      <x:c r="H419" s="20" t="str">
        <x:v>Candidate retained outside selected field</x:v>
      </x:c>
      <x:c r="I419" s="20" t="str">
        <x:v>https://doclib.ngxgroup.com/Financial_NewsDocs/33124_WEMA_BANK_PLC%20_AUDITED_FINANCIAL_STATEMENT_FOR_2020_F.pdf</x:v>
      </x:c>
      <x:c r="J419" s="20" t="str">
        <x:v>Prior source-selection policy retained; original evidence preserved in accompanying pack.</x:v>
      </x:c>
    </x:row>
    <x:row r="420" ht="52" customHeight="1">
      <x:c r="A420" s="18" t="str">
        <x:v>Uploaded Word</x:v>
      </x:c>
      <x:c r="B420" s="18" t="str">
        <x:v>Wema</x:v>
      </x:c>
      <x:c r="C420" s="18" t="n">
        <x:v>2020</x:v>
      </x:c>
      <x:c r="D420" s="20" t="str">
        <x:v>assets</x:v>
      </x:c>
      <x:c r="E420" s="22" t="n">
        <x:v>968582</x:v>
      </x:c>
      <x:c r="F420" s="22" t="n">
        <x:v>968582.084</x:v>
      </x:c>
      <x:c r="G420" s="22" t="n">
        <x:f>IF(COUNT(E420,F420)=2,F420-E420,"")</x:f>
        <x:v>0.08400000003166497</x:v>
      </x:c>
      <x:c r="H420" s="20" t="str">
        <x:v>Rounding / presentation precision</x:v>
      </x:c>
      <x:c r="I420" s="20" t="str">
        <x:v>https://doclib.ngxgroup.com/Financial_NewsDocs/33124_WEMA_BANK_PLC%20_AUDITED_FINANCIAL_STATEMENT_FOR_2020_F.pdf</x:v>
      </x:c>
      <x:c r="J420" s="20" t="str">
        <x:v>Prior source-selection policy retained; original evidence preserved in accompanying pack.</x:v>
      </x:c>
    </x:row>
    <x:row r="421" ht="52" customHeight="1">
      <x:c r="A421" s="18" t="str">
        <x:v>Uploaded Word</x:v>
      </x:c>
      <x:c r="B421" s="18" t="str">
        <x:v>Wema</x:v>
      </x:c>
      <x:c r="C421" s="18" t="n">
        <x:v>2020</x:v>
      </x:c>
      <x:c r="D421" s="20" t="str">
        <x:v>gross_loans</x:v>
      </x:c>
      <x:c r="E421" s="22" t="n">
        <x:v>375040</x:v>
      </x:c>
      <x:c r="F421" s="22" t="n">
        <x:v>375039.658</x:v>
      </x:c>
      <x:c r="G421" s="22" t="n">
        <x:f>IF(COUNT(E421,F421)=2,F421-E421,"")</x:f>
        <x:v>-0.34200000000419095</x:v>
      </x:c>
      <x:c r="H421" s="20" t="str">
        <x:v>Rounding / presentation precision</x:v>
      </x:c>
      <x:c r="I421" s="20" t="str">
        <x:v>https://doclib.ngxgroup.com/Financial_NewsDocs/33124_WEMA_BANK_PLC%20_AUDITED_FINANCIAL_STATEMENT_FOR_2020_F.pdf</x:v>
      </x:c>
      <x:c r="J421" s="20" t="str">
        <x:v>Prior source-selection policy retained; original evidence preserved in accompanying pack.</x:v>
      </x:c>
    </x:row>
    <x:row r="422" ht="52" customHeight="1">
      <x:c r="A422" s="18" t="str">
        <x:v>Uploaded Word</x:v>
      </x:c>
      <x:c r="B422" s="18" t="str">
        <x:v>Wema</x:v>
      </x:c>
      <x:c r="C422" s="18" t="n">
        <x:v>2020</x:v>
      </x:c>
      <x:c r="D422" s="20" t="str">
        <x:v>loan_allowance</x:v>
      </x:c>
      <x:c r="E422" s="22" t="n">
        <x:v>14964</x:v>
      </x:c>
      <x:c r="F422" s="22" t="n">
        <x:v>14963.578</x:v>
      </x:c>
      <x:c r="G422" s="22" t="n">
        <x:f>IF(COUNT(E422,F422)=2,F422-E422,"")</x:f>
        <x:v>-0.4220000000004802</x:v>
      </x:c>
      <x:c r="H422" s="20" t="str">
        <x:v>Rounding / presentation precision</x:v>
      </x:c>
      <x:c r="I422" s="20" t="str">
        <x:v>https://doclib.ngxgroup.com/Financial_NewsDocs/33124_WEMA_BANK_PLC%20_AUDITED_FINANCIAL_STATEMENT_FOR_2020_F.pdf</x:v>
      </x:c>
      <x:c r="J422" s="20" t="str">
        <x:v>Prior source-selection policy retained; original evidence preserved in accompanying pack.</x:v>
      </x:c>
    </x:row>
    <x:row r="423" ht="52" customHeight="1">
      <x:c r="A423" s="18" t="str">
        <x:v>Uploaded Word</x:v>
      </x:c>
      <x:c r="B423" s="18" t="str">
        <x:v>Wema</x:v>
      </x:c>
      <x:c r="C423" s="18" t="n">
        <x:v>2020</x:v>
      </x:c>
      <x:c r="D423" s="20" t="str">
        <x:v>total_impairment</x:v>
      </x:c>
      <x:c r="E423" s="22" t="n">
        <x:v>5635</x:v>
      </x:c>
      <x:c r="F423" s="22" t="n">
        <x:v>5635.165</x:v>
      </x:c>
      <x:c r="G423" s="22" t="n">
        <x:f>IF(COUNT(E423,F423)=2,F423-E423,"")</x:f>
        <x:v>0.16499999999996362</x:v>
      </x:c>
      <x:c r="H423" s="20" t="str">
        <x:v>Rounding / presentation precision</x:v>
      </x:c>
      <x:c r="I423" s="20" t="str">
        <x:v>https://doclib.ngxgroup.com/Financial_NewsDocs/33124_WEMA_BANK_PLC%20_AUDITED_FINANCIAL_STATEMENT_FOR_2020_F.pdf</x:v>
      </x:c>
      <x:c r="J423" s="20" t="str">
        <x:v>Prior source-selection policy retained; original evidence preserved in accompanying pack.</x:v>
      </x:c>
    </x:row>
    <x:row r="424" ht="52" customHeight="1">
      <x:c r="A424" s="18" t="str">
        <x:v>Uploaded Word</x:v>
      </x:c>
      <x:c r="B424" s="18" t="str">
        <x:v>Wema</x:v>
      </x:c>
      <x:c r="C424" s="18" t="n">
        <x:v>2020</x:v>
      </x:c>
      <x:c r="D424" s="20" t="str">
        <x:v>car</x:v>
      </x:c>
      <x:c r="E424" s="22" t="n">
        <x:v>15.01</x:v>
      </x:c>
      <x:c r="F424" s="22" t="n">
        <x:v>15.01</x:v>
      </x:c>
      <x:c r="G424" s="22" t="n">
        <x:f>IF(COUNT(E424,F424)=2,F424-E424,"")</x:f>
        <x:v>0</x:v>
      </x:c>
      <x:c r="H424" s="20" t="str">
        <x:v>Exact agreement</x:v>
      </x:c>
      <x:c r="I424" s="20" t="str">
        <x:v>https://doclib.ngxgroup.com/Financial_NewsDocs/33124_WEMA_BANK_PLC%20_AUDITED_FINANCIAL_STATEMENT_FOR_2020_F.pdf</x:v>
      </x:c>
      <x:c r="J424" s="20" t="str">
        <x:v>Prior source-selection policy retained; original evidence preserved in accompanying pack.</x:v>
      </x:c>
    </x:row>
    <x:row r="425" ht="52" customHeight="1">
      <x:c r="A425" s="18" t="str">
        <x:v>Uploaded Word</x:v>
      </x:c>
      <x:c r="B425" s="18" t="str">
        <x:v>Wema</x:v>
      </x:c>
      <x:c r="C425" s="18" t="n">
        <x:v>2020</x:v>
      </x:c>
      <x:c r="D425" s="20" t="str">
        <x:v>npl_reported</x:v>
      </x:c>
      <x:c r="E425" s="22" t="n">
        <x:v>4.69</x:v>
      </x:c>
      <x:c r="F425" s="22"/>
      <x:c r="G425" s="22" t="str">
        <x:f>IF(COUNT(E425,F425)=2,F425-E425,"")</x:f>
      </x:c>
      <x:c r="H425" s="20" t="str">
        <x:v>Candidate retained outside selected field</x:v>
      </x:c>
      <x:c r="I425" s="20" t="str">
        <x:v>https://doclib.ngxgroup.com/Financial_NewsDocs/33124_WEMA_BANK_PLC%20_AUDITED_FINANCIAL_STATEMENT_FOR_2020_F.pdf</x:v>
      </x:c>
      <x:c r="J425" s="20" t="str">
        <x:v>Prior source-selection policy retained; original evidence preserved in accompanying pack.</x:v>
      </x:c>
    </x:row>
    <x:row r="426" ht="52" customHeight="1">
      <x:c r="A426" s="18" t="str">
        <x:v>Uploaded Word</x:v>
      </x:c>
      <x:c r="B426" s="18" t="str">
        <x:v>Wema</x:v>
      </x:c>
      <x:c r="C426" s="18" t="n">
        <x:v>2020</x:v>
      </x:c>
      <x:c r="D426" s="20" t="str">
        <x:v>gcu</x:v>
      </x:c>
      <x:c r="E426" s="22" t="n">
        <x:v>0</x:v>
      </x:c>
      <x:c r="F426" s="22"/>
      <x:c r="G426" s="22" t="str">
        <x:f>IF(COUNT(E426,F426)=2,F426-E426,"")</x:f>
      </x:c>
      <x:c r="H426" s="20" t="str">
        <x:v>Candidate retained outside selected field</x:v>
      </x:c>
      <x:c r="I426" s="20" t="str">
        <x:v>https://doclib.ngxgroup.com/Financial_NewsDocs/33124_WEMA_BANK_PLC%20_AUDITED_FINANCIAL_STATEMENT_FOR_2020_F.pdf</x:v>
      </x:c>
      <x:c r="J426" s="20" t="str">
        <x:v>Prior source-selection policy retained; original evidence preserved in accompanying pack.</x:v>
      </x:c>
    </x:row>
    <x:row r="427" ht="52" customHeight="1">
      <x:c r="A427" s="18" t="str">
        <x:v>Uploaded Word</x:v>
      </x:c>
      <x:c r="B427" s="18" t="str">
        <x:v>Wema</x:v>
      </x:c>
      <x:c r="C427" s="18" t="n">
        <x:v>2022</x:v>
      </x:c>
      <x:c r="D427" s="20" t="str">
        <x:v>pat</x:v>
      </x:c>
      <x:c r="E427" s="22" t="n">
        <x:v>11214</x:v>
      </x:c>
      <x:c r="F427" s="22" t="n">
        <x:v>11214.027</x:v>
      </x:c>
      <x:c r="G427" s="22" t="n">
        <x:f>IF(COUNT(E427,F427)=2,F427-E427,"")</x:f>
        <x:v>0.027000000000043656</x:v>
      </x:c>
      <x:c r="H427" s="20" t="str">
        <x:v>Rounding / presentation precision</x:v>
      </x:c>
      <x:c r="I427" s="20" t="str">
        <x:v>https://doclib.ngxgroup.com/Financial_NewsDocs/40841_WEMA_BANK_PLC.-_QUARTER_5_-_FINANCIAL_STATEMENT_FOR_2023_FINANCIAL_STATEMENTS_APRIL_2024.pdf</x:v>
      </x:c>
      <x:c r="J427" s="20" t="str">
        <x:v>Prior source-selection policy retained; original evidence preserved in accompanying pack.</x:v>
      </x:c>
    </x:row>
    <x:row r="428" ht="52" customHeight="1">
      <x:c r="A428" s="18" t="str">
        <x:v>Uploaded Word</x:v>
      </x:c>
      <x:c r="B428" s="18" t="str">
        <x:v>Wema</x:v>
      </x:c>
      <x:c r="C428" s="18" t="n">
        <x:v>2022</x:v>
      </x:c>
      <x:c r="D428" s="20" t="str">
        <x:v>gross_earnings</x:v>
      </x:c>
      <x:c r="E428" s="22" t="n">
        <x:v>131083</x:v>
      </x:c>
      <x:c r="F428" s="22"/>
      <x:c r="G428" s="22" t="str">
        <x:f>IF(COUNT(E428,F428)=2,F428-E428,"")</x:f>
      </x:c>
      <x:c r="H428" s="20" t="str">
        <x:v>Candidate retained outside selected field</x:v>
      </x:c>
      <x:c r="I428" s="20" t="str">
        <x:v>https://doclib.ngxgroup.com/Financial_NewsDocs/40841_WEMA_BANK_PLC.-_QUARTER_5_-_FINANCIAL_STATEMENT_FOR_2023_FINANCIAL_STATEMENTS_APRIL_2024.pdf</x:v>
      </x:c>
      <x:c r="J428" s="20" t="str">
        <x:v>Prior source-selection policy retained; original evidence preserved in accompanying pack.</x:v>
      </x:c>
    </x:row>
    <x:row r="429" ht="52" customHeight="1">
      <x:c r="A429" s="18" t="str">
        <x:v>Uploaded Word</x:v>
      </x:c>
      <x:c r="B429" s="18" t="str">
        <x:v>Wema</x:v>
      </x:c>
      <x:c r="C429" s="18" t="n">
        <x:v>2022</x:v>
      </x:c>
      <x:c r="D429" s="20" t="str">
        <x:v>assets</x:v>
      </x:c>
      <x:c r="E429" s="22" t="n">
        <x:v>1433704</x:v>
      </x:c>
      <x:c r="F429" s="22" t="n">
        <x:v>1433703.656</x:v>
      </x:c>
      <x:c r="G429" s="22" t="n">
        <x:f>IF(COUNT(E429,F429)=2,F429-E429,"")</x:f>
        <x:v>-0.3440000000409782</x:v>
      </x:c>
      <x:c r="H429" s="20" t="str">
        <x:v>Rounding / presentation precision</x:v>
      </x:c>
      <x:c r="I429" s="20" t="str">
        <x:v>https://doclib.ngxgroup.com/Financial_NewsDocs/40841_WEMA_BANK_PLC.-_QUARTER_5_-_FINANCIAL_STATEMENT_FOR_2023_FINANCIAL_STATEMENTS_APRIL_2024.pdf</x:v>
      </x:c>
      <x:c r="J429" s="20" t="str">
        <x:v>Prior source-selection policy retained; original evidence preserved in accompanying pack.</x:v>
      </x:c>
    </x:row>
    <x:row r="430" ht="52" customHeight="1">
      <x:c r="A430" s="18" t="str">
        <x:v>Uploaded Word</x:v>
      </x:c>
      <x:c r="B430" s="18" t="str">
        <x:v>Wema</x:v>
      </x:c>
      <x:c r="C430" s="18" t="n">
        <x:v>2022</x:v>
      </x:c>
      <x:c r="D430" s="20" t="str">
        <x:v>gross_loans</x:v>
      </x:c>
      <x:c r="E430" s="22" t="n">
        <x:v>539372</x:v>
      </x:c>
      <x:c r="F430" s="22" t="n">
        <x:v>539372.013</x:v>
      </x:c>
      <x:c r="G430" s="22" t="n">
        <x:f>IF(COUNT(E430,F430)=2,F430-E430,"")</x:f>
        <x:v>0.013000000035390258</x:v>
      </x:c>
      <x:c r="H430" s="20" t="str">
        <x:v>Rounding / presentation precision</x:v>
      </x:c>
      <x:c r="I430" s="20" t="str">
        <x:v>https://doclib.ngxgroup.com/Financial_NewsDocs/40841_WEMA_BANK_PLC.-_QUARTER_5_-_FINANCIAL_STATEMENT_FOR_2023_FINANCIAL_STATEMENTS_APRIL_2024.pdf</x:v>
      </x:c>
      <x:c r="J430" s="20" t="str">
        <x:v>Prior source-selection policy retained; original evidence preserved in accompanying pack.</x:v>
      </x:c>
    </x:row>
    <x:row r="431" ht="52" customHeight="1">
      <x:c r="A431" s="18" t="str">
        <x:v>Uploaded Word</x:v>
      </x:c>
      <x:c r="B431" s="18" t="str">
        <x:v>Wema</x:v>
      </x:c>
      <x:c r="C431" s="18" t="n">
        <x:v>2022</x:v>
      </x:c>
      <x:c r="D431" s="20" t="str">
        <x:v>loan_allowance</x:v>
      </x:c>
      <x:c r="E431" s="22" t="n">
        <x:v>17941</x:v>
      </x:c>
      <x:c r="F431" s="22" t="n">
        <x:v>17941.317</x:v>
      </x:c>
      <x:c r="G431" s="22" t="n">
        <x:f>IF(COUNT(E431,F431)=2,F431-E431,"")</x:f>
        <x:v>0.3169999999990978</x:v>
      </x:c>
      <x:c r="H431" s="20" t="str">
        <x:v>Rounding / presentation precision</x:v>
      </x:c>
      <x:c r="I431" s="20" t="str">
        <x:v>https://doclib.ngxgroup.com/Financial_NewsDocs/40841_WEMA_BANK_PLC.-_QUARTER_5_-_FINANCIAL_STATEMENT_FOR_2023_FINANCIAL_STATEMENTS_APRIL_2024.pdf</x:v>
      </x:c>
      <x:c r="J431" s="20" t="str">
        <x:v>Prior source-selection policy retained; original evidence preserved in accompanying pack.</x:v>
      </x:c>
    </x:row>
    <x:row r="432" ht="52" customHeight="1">
      <x:c r="A432" s="18" t="str">
        <x:v>Uploaded Word</x:v>
      </x:c>
      <x:c r="B432" s="18" t="str">
        <x:v>Wema</x:v>
      </x:c>
      <x:c r="C432" s="18" t="n">
        <x:v>2022</x:v>
      </x:c>
      <x:c r="D432" s="20" t="str">
        <x:v>total_impairment</x:v>
      </x:c>
      <x:c r="E432" s="22" t="n">
        <x:v>4808</x:v>
      </x:c>
      <x:c r="F432" s="22" t="n">
        <x:v>4762.274</x:v>
      </x:c>
      <x:c r="G432" s="22" t="n">
        <x:f>IF(COUNT(E432,F432)=2,F432-E432,"")</x:f>
        <x:v>-45.72599999999966</x:v>
      </x:c>
      <x:c r="H432" s="20" t="str">
        <x:v>Difference: retain selected source / definition</x:v>
      </x:c>
      <x:c r="I432" s="20" t="str">
        <x:v>https://doclib.ngxgroup.com/Financial_NewsDocs/40841_WEMA_BANK_PLC.-_QUARTER_5_-_FINANCIAL_STATEMENT_FOR_2023_FINANCIAL_STATEMENTS_APRIL_2024.pdf</x:v>
      </x:c>
      <x:c r="J432" s="20" t="str">
        <x:v>Prior source-selection policy retained; original evidence preserved in accompanying pack.</x:v>
      </x:c>
    </x:row>
    <x:row r="433" ht="52" customHeight="1">
      <x:c r="A433" s="18" t="str">
        <x:v>Uploaded Word</x:v>
      </x:c>
      <x:c r="B433" s="18" t="str">
        <x:v>Wema</x:v>
      </x:c>
      <x:c r="C433" s="18" t="n">
        <x:v>2022</x:v>
      </x:c>
      <x:c r="D433" s="20" t="str">
        <x:v>car</x:v>
      </x:c>
      <x:c r="E433" s="22" t="n">
        <x:v>12.74</x:v>
      </x:c>
      <x:c r="F433" s="22" t="n">
        <x:v>12.74</x:v>
      </x:c>
      <x:c r="G433" s="22" t="n">
        <x:f>IF(COUNT(E433,F433)=2,F433-E433,"")</x:f>
        <x:v>0</x:v>
      </x:c>
      <x:c r="H433" s="20" t="str">
        <x:v>Exact agreement</x:v>
      </x:c>
      <x:c r="I433" s="20" t="str">
        <x:v>https://doclib.ngxgroup.com/Financial_NewsDocs/40841_WEMA_BANK_PLC.-_QUARTER_5_-_FINANCIAL_STATEMENT_FOR_2023_FINANCIAL_STATEMENTS_APRIL_2024.pdf</x:v>
      </x:c>
      <x:c r="J433" s="20" t="str">
        <x:v>Prior source-selection policy retained; original evidence preserved in accompanying pack.</x:v>
      </x:c>
    </x:row>
    <x:row r="434" ht="52" customHeight="1">
      <x:c r="A434" s="18" t="str">
        <x:v>Uploaded Word</x:v>
      </x:c>
      <x:c r="B434" s="18" t="str">
        <x:v>Wema</x:v>
      </x:c>
      <x:c r="C434" s="18" t="n">
        <x:v>2022</x:v>
      </x:c>
      <x:c r="D434" s="20" t="str">
        <x:v>npl_reported</x:v>
      </x:c>
      <x:c r="E434" s="22" t="n">
        <x:v>6.08</x:v>
      </x:c>
      <x:c r="F434" s="22"/>
      <x:c r="G434" s="22" t="str">
        <x:f>IF(COUNT(E434,F434)=2,F434-E434,"")</x:f>
      </x:c>
      <x:c r="H434" s="20" t="str">
        <x:v>Candidate retained outside selected field</x:v>
      </x:c>
      <x:c r="I434" s="20" t="str">
        <x:v>https://doclib.ngxgroup.com/Financial_NewsDocs/40841_WEMA_BANK_PLC.-_QUARTER_5_-_FINANCIAL_STATEMENT_FOR_2023_FINANCIAL_STATEMENTS_APRIL_2024.pdf</x:v>
      </x:c>
      <x:c r="J434" s="20" t="str">
        <x:v>Prior source-selection policy retained; original evidence preserved in accompanying pack.</x:v>
      </x:c>
    </x:row>
    <x:row r="435" ht="52" customHeight="1">
      <x:c r="A435" s="18" t="str">
        <x:v>Uploaded Word</x:v>
      </x:c>
      <x:c r="B435" s="18" t="str">
        <x:v>Wema</x:v>
      </x:c>
      <x:c r="C435" s="18" t="n">
        <x:v>2022</x:v>
      </x:c>
      <x:c r="D435" s="20" t="str">
        <x:v>gcu</x:v>
      </x:c>
      <x:c r="E435" s="22" t="n">
        <x:v>0</x:v>
      </x:c>
      <x:c r="F435" s="22"/>
      <x:c r="G435" s="22" t="str">
        <x:f>IF(COUNT(E435,F435)=2,F435-E435,"")</x:f>
      </x:c>
      <x:c r="H435" s="20" t="str">
        <x:v>Candidate retained outside selected field</x:v>
      </x:c>
      <x:c r="I435" s="20" t="str">
        <x:v>https://doclib.ngxgroup.com/Financial_NewsDocs/40841_WEMA_BANK_PLC.-_QUARTER_5_-_FINANCIAL_STATEMENT_FOR_2023_FINANCIAL_STATEMENTS_APRIL_2024.pdf</x:v>
      </x:c>
      <x:c r="J435" s="20" t="str">
        <x:v>Prior source-selection policy retained; original evidence preserved in accompanying pack.</x:v>
      </x:c>
    </x:row>
    <x:row r="436" ht="52" customHeight="1">
      <x:c r="A436" s="18" t="str">
        <x:v>Uploaded Word</x:v>
      </x:c>
      <x:c r="B436" s="18" t="str">
        <x:v>Ecobank Nigeria</x:v>
      </x:c>
      <x:c r="C436" s="18" t="n">
        <x:v>2016</x:v>
      </x:c>
      <x:c r="D436" s="20" t="str">
        <x:v>pat</x:v>
      </x:c>
      <x:c r="E436" s="22" t="n">
        <x:v>5780</x:v>
      </x:c>
      <x:c r="F436" s="22" t="n">
        <x:v>5780</x:v>
      </x:c>
      <x:c r="G436" s="22" t="n">
        <x:f>IF(COUNT(E436,F436)=2,F436-E436,"")</x:f>
        <x:v>0</x:v>
      </x:c>
      <x:c r="H436" s="20" t="str">
        <x:v>Exact agreement</x:v>
      </x:c>
      <x:c r="I436" s="20" t="str">
        <x:v>https://www.financialafrik.com/wp-content/uploads/2018/05/FINANCIAL_STATEMENT_EBN_2017-2.pdf</x:v>
      </x:c>
      <x:c r="J436" s="20" t="str">
        <x:v>Prior source-selection policy retained; original evidence preserved in accompanying pack.</x:v>
      </x:c>
    </x:row>
    <x:row r="437" ht="52" customHeight="1">
      <x:c r="A437" s="18" t="str">
        <x:v>Uploaded Word</x:v>
      </x:c>
      <x:c r="B437" s="18" t="str">
        <x:v>Ecobank Nigeria</x:v>
      </x:c>
      <x:c r="C437" s="18" t="n">
        <x:v>2016</x:v>
      </x:c>
      <x:c r="D437" s="20" t="str">
        <x:v>gross_earnings</x:v>
      </x:c>
      <x:c r="E437" s="22" t="n">
        <x:v>259584</x:v>
      </x:c>
      <x:c r="F437" s="22"/>
      <x:c r="G437" s="22" t="str">
        <x:f>IF(COUNT(E437,F437)=2,F437-E437,"")</x:f>
      </x:c>
      <x:c r="H437" s="20" t="str">
        <x:v>Candidate retained outside selected field</x:v>
      </x:c>
      <x:c r="I437" s="20" t="str">
        <x:v>https://www.financialafrik.com/wp-content/uploads/2018/05/FINANCIAL_STATEMENT_EBN_2017-2.pdf</x:v>
      </x:c>
      <x:c r="J437" s="20" t="str">
        <x:v>Prior source-selection policy retained; original evidence preserved in accompanying pack.</x:v>
      </x:c>
    </x:row>
    <x:row r="438" ht="52" customHeight="1">
      <x:c r="A438" s="18" t="str">
        <x:v>Uploaded Word</x:v>
      </x:c>
      <x:c r="B438" s="18" t="str">
        <x:v>Ecobank Nigeria</x:v>
      </x:c>
      <x:c r="C438" s="18" t="n">
        <x:v>2016</x:v>
      </x:c>
      <x:c r="D438" s="20" t="str">
        <x:v>assets</x:v>
      </x:c>
      <x:c r="E438" s="22" t="n">
        <x:v>1808503</x:v>
      </x:c>
      <x:c r="F438" s="22" t="n">
        <x:v>1808503</x:v>
      </x:c>
      <x:c r="G438" s="22" t="n">
        <x:f>IF(COUNT(E438,F438)=2,F438-E438,"")</x:f>
        <x:v>0</x:v>
      </x:c>
      <x:c r="H438" s="20" t="str">
        <x:v>Exact agreement</x:v>
      </x:c>
      <x:c r="I438" s="20" t="str">
        <x:v>https://www.financialafrik.com/wp-content/uploads/2018/05/FINANCIAL_STATEMENT_EBN_2017-2.pdf</x:v>
      </x:c>
      <x:c r="J438" s="20" t="str">
        <x:v>Prior source-selection policy retained; original evidence preserved in accompanying pack.</x:v>
      </x:c>
    </x:row>
    <x:row r="439" ht="52" customHeight="1">
      <x:c r="A439" s="18" t="str">
        <x:v>Uploaded Word</x:v>
      </x:c>
      <x:c r="B439" s="18" t="str">
        <x:v>Ecobank Nigeria</x:v>
      </x:c>
      <x:c r="C439" s="18" t="n">
        <x:v>2016</x:v>
      </x:c>
      <x:c r="D439" s="20" t="str">
        <x:v>gross_loans</x:v>
      </x:c>
      <x:c r="E439" s="22" t="n">
        <x:v>869872</x:v>
      </x:c>
      <x:c r="F439" s="22"/>
      <x:c r="G439" s="22" t="str">
        <x:f>IF(COUNT(E439,F439)=2,F439-E439,"")</x:f>
      </x:c>
      <x:c r="H439" s="20" t="str">
        <x:v>Candidate retained outside selected field</x:v>
      </x:c>
      <x:c r="I439" s="20" t="str">
        <x:v>https://www.financialafrik.com/wp-content/uploads/2018/05/FINANCIAL_STATEMENT_EBN_2017-2.pdf</x:v>
      </x:c>
      <x:c r="J439" s="20" t="str">
        <x:v>Prior source-selection policy retained; original evidence preserved in accompanying pack.</x:v>
      </x:c>
    </x:row>
    <x:row r="440" ht="52" customHeight="1">
      <x:c r="A440" s="18" t="str">
        <x:v>Uploaded Word</x:v>
      </x:c>
      <x:c r="B440" s="18" t="str">
        <x:v>Ecobank Nigeria</x:v>
      </x:c>
      <x:c r="C440" s="18" t="n">
        <x:v>2016</x:v>
      </x:c>
      <x:c r="D440" s="20" t="str">
        <x:v>loan_allowance</x:v>
      </x:c>
      <x:c r="E440" s="22" t="n">
        <x:v>116480</x:v>
      </x:c>
      <x:c r="F440" s="22"/>
      <x:c r="G440" s="22" t="str">
        <x:f>IF(COUNT(E440,F440)=2,F440-E440,"")</x:f>
      </x:c>
      <x:c r="H440" s="20" t="str">
        <x:v>Candidate retained outside selected field</x:v>
      </x:c>
      <x:c r="I440" s="20" t="str">
        <x:v>https://www.financialafrik.com/wp-content/uploads/2018/05/FINANCIAL_STATEMENT_EBN_2017-2.pdf</x:v>
      </x:c>
      <x:c r="J440" s="20" t="str">
        <x:v>Prior source-selection policy retained; original evidence preserved in accompanying pack.</x:v>
      </x:c>
    </x:row>
    <x:row r="441" ht="52" customHeight="1">
      <x:c r="A441" s="18" t="str">
        <x:v>Uploaded Word</x:v>
      </x:c>
      <x:c r="B441" s="18" t="str">
        <x:v>Ecobank Nigeria</x:v>
      </x:c>
      <x:c r="C441" s="18" t="n">
        <x:v>2016</x:v>
      </x:c>
      <x:c r="D441" s="20" t="str">
        <x:v>total_impairment</x:v>
      </x:c>
      <x:c r="E441" s="22" t="n">
        <x:v>82783</x:v>
      </x:c>
      <x:c r="F441" s="22" t="n">
        <x:v>82783</x:v>
      </x:c>
      <x:c r="G441" s="22" t="n">
        <x:f>IF(COUNT(E441,F441)=2,F441-E441,"")</x:f>
        <x:v>0</x:v>
      </x:c>
      <x:c r="H441" s="20" t="str">
        <x:v>Exact agreement</x:v>
      </x:c>
      <x:c r="I441" s="20" t="str">
        <x:v>https://www.financialafrik.com/wp-content/uploads/2018/05/FINANCIAL_STATEMENT_EBN_2017-2.pdf</x:v>
      </x:c>
      <x:c r="J441" s="20" t="str">
        <x:v>Prior source-selection policy retained; original evidence preserved in accompanying pack.</x:v>
      </x:c>
    </x:row>
    <x:row r="442" ht="52" customHeight="1">
      <x:c r="A442" s="18" t="str">
        <x:v>Uploaded Word</x:v>
      </x:c>
      <x:c r="B442" s="18" t="str">
        <x:v>Ecobank Nigeria</x:v>
      </x:c>
      <x:c r="C442" s="18" t="n">
        <x:v>2016</x:v>
      </x:c>
      <x:c r="D442" s="20" t="str">
        <x:v>car</x:v>
      </x:c>
      <x:c r="E442" s="22" t="n">
        <x:v>15</x:v>
      </x:c>
      <x:c r="F442" s="22"/>
      <x:c r="G442" s="22" t="str">
        <x:f>IF(COUNT(E442,F442)=2,F442-E442,"")</x:f>
      </x:c>
      <x:c r="H442" s="20" t="str">
        <x:v>Candidate retained outside selected field</x:v>
      </x:c>
      <x:c r="I442" s="20" t="str">
        <x:v>https://www.financialafrik.com/wp-content/uploads/2018/05/FINANCIAL_STATEMENT_EBN_2017-2.pdf</x:v>
      </x:c>
      <x:c r="J442" s="20" t="str">
        <x:v>Prior source-selection policy retained; original evidence preserved in accompanying pack.</x:v>
      </x:c>
    </x:row>
    <x:row r="443" ht="52" customHeight="1">
      <x:c r="A443" s="18" t="str">
        <x:v>Uploaded Word</x:v>
      </x:c>
      <x:c r="B443" s="18" t="str">
        <x:v>Ecobank Nigeria</x:v>
      </x:c>
      <x:c r="C443" s="18" t="n">
        <x:v>2016</x:v>
      </x:c>
      <x:c r="D443" s="20" t="str">
        <x:v>npl_reported</x:v>
      </x:c>
      <x:c r="E443" s="22" t="n">
        <x:v>9.1</x:v>
      </x:c>
      <x:c r="F443" s="22" t="n">
        <x:v>9.1</x:v>
      </x:c>
      <x:c r="G443" s="22" t="n">
        <x:f>IF(COUNT(E443,F443)=2,F443-E443,"")</x:f>
        <x:v>0</x:v>
      </x:c>
      <x:c r="H443" s="20" t="str">
        <x:v>Exact agreement</x:v>
      </x:c>
      <x:c r="I443" s="20" t="str">
        <x:v>https://www.financialafrik.com/wp-content/uploads/2018/05/FINANCIAL_STATEMENT_EBN_2017-2.pdf</x:v>
      </x:c>
      <x:c r="J443" s="20" t="str">
        <x:v>Prior source-selection policy retained; original evidence preserved in accompanying pack.</x:v>
      </x:c>
    </x:row>
    <x:row r="444" ht="52" customHeight="1">
      <x:c r="A444" s="18" t="str">
        <x:v>Uploaded Word</x:v>
      </x:c>
      <x:c r="B444" s="18" t="str">
        <x:v>Ecobank Nigeria</x:v>
      </x:c>
      <x:c r="C444" s="18" t="n">
        <x:v>2016</x:v>
      </x:c>
      <x:c r="D444" s="20" t="str">
        <x:v>gcu</x:v>
      </x:c>
      <x:c r="E444" s="22" t="n">
        <x:v>0</x:v>
      </x:c>
      <x:c r="F444" s="22"/>
      <x:c r="G444" s="22" t="str">
        <x:f>IF(COUNT(E444,F444)=2,F444-E444,"")</x:f>
      </x:c>
      <x:c r="H444" s="20" t="str">
        <x:v>Candidate retained outside selected field</x:v>
      </x:c>
      <x:c r="I444" s="20" t="str">
        <x:v>https://www.financialafrik.com/wp-content/uploads/2018/05/FINANCIAL_STATEMENT_EBN_2017-2.pdf</x:v>
      </x:c>
      <x:c r="J444" s="20" t="str">
        <x:v>Prior source-selection policy retained; original evidence preserved in accompanying pack.</x:v>
      </x:c>
    </x:row>
    <x:row r="445" ht="52" customHeight="1">
      <x:c r="A445" s="18" t="str">
        <x:v>Uploaded Word</x:v>
      </x:c>
      <x:c r="B445" s="18" t="str">
        <x:v>Ecobank Nigeria</x:v>
      </x:c>
      <x:c r="C445" s="18" t="n">
        <x:v>2017</x:v>
      </x:c>
      <x:c r="D445" s="20" t="str">
        <x:v>pat</x:v>
      </x:c>
      <x:c r="E445" s="22" t="n">
        <x:v>20204</x:v>
      </x:c>
      <x:c r="F445" s="22" t="n">
        <x:v>20204</x:v>
      </x:c>
      <x:c r="G445" s="22" t="n">
        <x:f>IF(COUNT(E445,F445)=2,F445-E445,"")</x:f>
        <x:v>0</x:v>
      </x:c>
      <x:c r="H445" s="20" t="str">
        <x:v>Exact agreement</x:v>
      </x:c>
      <x:c r="I445" s="20" t="str">
        <x:v>https://www.financialafrik.com/wp-content/uploads/2018/05/FINANCIAL_STATEMENT_EBN_2017-2.pdf</x:v>
      </x:c>
      <x:c r="J445" s="20" t="str">
        <x:v>Prior source-selection policy retained; original evidence preserved in accompanying pack.</x:v>
      </x:c>
    </x:row>
    <x:row r="446" ht="52" customHeight="1">
      <x:c r="A446" s="18" t="str">
        <x:v>Uploaded Word</x:v>
      </x:c>
      <x:c r="B446" s="18" t="str">
        <x:v>Ecobank Nigeria</x:v>
      </x:c>
      <x:c r="C446" s="18" t="n">
        <x:v>2017</x:v>
      </x:c>
      <x:c r="D446" s="20" t="str">
        <x:v>gross_earnings</x:v>
      </x:c>
      <x:c r="E446" s="22" t="n">
        <x:v>251061</x:v>
      </x:c>
      <x:c r="F446" s="22"/>
      <x:c r="G446" s="22" t="str">
        <x:f>IF(COUNT(E446,F446)=2,F446-E446,"")</x:f>
      </x:c>
      <x:c r="H446" s="20" t="str">
        <x:v>Candidate retained outside selected field</x:v>
      </x:c>
      <x:c r="I446" s="20" t="str">
        <x:v>https://www.financialafrik.com/wp-content/uploads/2018/05/FINANCIAL_STATEMENT_EBN_2017-2.pdf</x:v>
      </x:c>
      <x:c r="J446" s="20" t="str">
        <x:v>Prior source-selection policy retained; original evidence preserved in accompanying pack.</x:v>
      </x:c>
    </x:row>
    <x:row r="447" ht="52" customHeight="1">
      <x:c r="A447" s="18" t="str">
        <x:v>Uploaded Word</x:v>
      </x:c>
      <x:c r="B447" s="18" t="str">
        <x:v>Ecobank Nigeria</x:v>
      </x:c>
      <x:c r="C447" s="18" t="n">
        <x:v>2017</x:v>
      </x:c>
      <x:c r="D447" s="20" t="str">
        <x:v>assets</x:v>
      </x:c>
      <x:c r="E447" s="22" t="n">
        <x:v>1829761</x:v>
      </x:c>
      <x:c r="F447" s="22" t="n">
        <x:v>1829761</x:v>
      </x:c>
      <x:c r="G447" s="22" t="n">
        <x:f>IF(COUNT(E447,F447)=2,F447-E447,"")</x:f>
        <x:v>0</x:v>
      </x:c>
      <x:c r="H447" s="20" t="str">
        <x:v>Exact agreement</x:v>
      </x:c>
      <x:c r="I447" s="20" t="str">
        <x:v>https://www.financialafrik.com/wp-content/uploads/2018/05/FINANCIAL_STATEMENT_EBN_2017-2.pdf</x:v>
      </x:c>
      <x:c r="J447" s="20" t="str">
        <x:v>Prior source-selection policy retained; original evidence preserved in accompanying pack.</x:v>
      </x:c>
    </x:row>
    <x:row r="448" ht="52" customHeight="1">
      <x:c r="A448" s="18" t="str">
        <x:v>Uploaded Word</x:v>
      </x:c>
      <x:c r="B448" s="18" t="str">
        <x:v>Ecobank Nigeria</x:v>
      </x:c>
      <x:c r="C448" s="18" t="n">
        <x:v>2017</x:v>
      </x:c>
      <x:c r="D448" s="20" t="str">
        <x:v>gross_loans</x:v>
      </x:c>
      <x:c r="E448" s="22" t="n">
        <x:v>831573</x:v>
      </x:c>
      <x:c r="F448" s="22"/>
      <x:c r="G448" s="22" t="str">
        <x:f>IF(COUNT(E448,F448)=2,F448-E448,"")</x:f>
      </x:c>
      <x:c r="H448" s="20" t="str">
        <x:v>Candidate retained outside selected field</x:v>
      </x:c>
      <x:c r="I448" s="20" t="str">
        <x:v>https://www.financialafrik.com/wp-content/uploads/2018/05/FINANCIAL_STATEMENT_EBN_2017-2.pdf</x:v>
      </x:c>
      <x:c r="J448" s="20" t="str">
        <x:v>Prior source-selection policy retained; original evidence preserved in accompanying pack.</x:v>
      </x:c>
    </x:row>
    <x:row r="449" ht="52" customHeight="1">
      <x:c r="A449" s="18" t="str">
        <x:v>Uploaded Word</x:v>
      </x:c>
      <x:c r="B449" s="18" t="str">
        <x:v>Ecobank Nigeria</x:v>
      </x:c>
      <x:c r="C449" s="18" t="n">
        <x:v>2017</x:v>
      </x:c>
      <x:c r="D449" s="20" t="str">
        <x:v>loan_allowance</x:v>
      </x:c>
      <x:c r="E449" s="22" t="n">
        <x:v>120510</x:v>
      </x:c>
      <x:c r="F449" s="22"/>
      <x:c r="G449" s="22" t="str">
        <x:f>IF(COUNT(E449,F449)=2,F449-E449,"")</x:f>
      </x:c>
      <x:c r="H449" s="20" t="str">
        <x:v>Candidate retained outside selected field</x:v>
      </x:c>
      <x:c r="I449" s="20" t="str">
        <x:v>https://www.financialafrik.com/wp-content/uploads/2018/05/FINANCIAL_STATEMENT_EBN_2017-2.pdf</x:v>
      </x:c>
      <x:c r="J449" s="20" t="str">
        <x:v>Prior source-selection policy retained; original evidence preserved in accompanying pack.</x:v>
      </x:c>
    </x:row>
    <x:row r="450" ht="52" customHeight="1">
      <x:c r="A450" s="18" t="str">
        <x:v>Uploaded Word</x:v>
      </x:c>
      <x:c r="B450" s="18" t="str">
        <x:v>Ecobank Nigeria</x:v>
      </x:c>
      <x:c r="C450" s="18" t="n">
        <x:v>2017</x:v>
      </x:c>
      <x:c r="D450" s="20" t="str">
        <x:v>total_impairment</x:v>
      </x:c>
      <x:c r="E450" s="22" t="n">
        <x:v>59901</x:v>
      </x:c>
      <x:c r="F450" s="22" t="n">
        <x:v>59901</x:v>
      </x:c>
      <x:c r="G450" s="22" t="n">
        <x:f>IF(COUNT(E450,F450)=2,F450-E450,"")</x:f>
        <x:v>0</x:v>
      </x:c>
      <x:c r="H450" s="20" t="str">
        <x:v>Exact agreement</x:v>
      </x:c>
      <x:c r="I450" s="20" t="str">
        <x:v>https://www.financialafrik.com/wp-content/uploads/2018/05/FINANCIAL_STATEMENT_EBN_2017-2.pdf</x:v>
      </x:c>
      <x:c r="J450" s="20" t="str">
        <x:v>Prior source-selection policy retained; original evidence preserved in accompanying pack.</x:v>
      </x:c>
    </x:row>
    <x:row r="451" ht="52" customHeight="1">
      <x:c r="A451" s="18" t="str">
        <x:v>Uploaded Word</x:v>
      </x:c>
      <x:c r="B451" s="18" t="str">
        <x:v>Ecobank Nigeria</x:v>
      </x:c>
      <x:c r="C451" s="18" t="n">
        <x:v>2017</x:v>
      </x:c>
      <x:c r="D451" s="20" t="str">
        <x:v>car</x:v>
      </x:c>
      <x:c r="E451" s="22" t="n">
        <x:v>13.6</x:v>
      </x:c>
      <x:c r="F451" s="22"/>
      <x:c r="G451" s="22" t="str">
        <x:f>IF(COUNT(E451,F451)=2,F451-E451,"")</x:f>
      </x:c>
      <x:c r="H451" s="20" t="str">
        <x:v>Candidate retained outside selected field</x:v>
      </x:c>
      <x:c r="I451" s="20" t="str">
        <x:v>https://www.financialafrik.com/wp-content/uploads/2018/05/FINANCIAL_STATEMENT_EBN_2017-2.pdf</x:v>
      </x:c>
      <x:c r="J451" s="20" t="str">
        <x:v>Prior source-selection policy retained; original evidence preserved in accompanying pack.</x:v>
      </x:c>
    </x:row>
    <x:row r="452" ht="52" customHeight="1">
      <x:c r="A452" s="18" t="str">
        <x:v>Uploaded Word</x:v>
      </x:c>
      <x:c r="B452" s="18" t="str">
        <x:v>Ecobank Nigeria</x:v>
      </x:c>
      <x:c r="C452" s="18" t="n">
        <x:v>2017</x:v>
      </x:c>
      <x:c r="D452" s="20" t="str">
        <x:v>npl_reported</x:v>
      </x:c>
      <x:c r="E452" s="22" t="n">
        <x:v>14.5</x:v>
      </x:c>
      <x:c r="F452" s="22" t="n">
        <x:v>14.5</x:v>
      </x:c>
      <x:c r="G452" s="22" t="n">
        <x:f>IF(COUNT(E452,F452)=2,F452-E452,"")</x:f>
        <x:v>0</x:v>
      </x:c>
      <x:c r="H452" s="20" t="str">
        <x:v>Exact agreement</x:v>
      </x:c>
      <x:c r="I452" s="20" t="str">
        <x:v>https://www.financialafrik.com/wp-content/uploads/2018/05/FINANCIAL_STATEMENT_EBN_2017-2.pdf</x:v>
      </x:c>
      <x:c r="J452" s="20" t="str">
        <x:v>Prior source-selection policy retained; original evidence preserved in accompanying pack.</x:v>
      </x:c>
    </x:row>
    <x:row r="453" ht="52" customHeight="1">
      <x:c r="A453" s="18" t="str">
        <x:v>Uploaded Word</x:v>
      </x:c>
      <x:c r="B453" s="18" t="str">
        <x:v>Ecobank Nigeria</x:v>
      </x:c>
      <x:c r="C453" s="18" t="n">
        <x:v>2017</x:v>
      </x:c>
      <x:c r="D453" s="20" t="str">
        <x:v>gcu</x:v>
      </x:c>
      <x:c r="E453" s="22" t="n">
        <x:v>0</x:v>
      </x:c>
      <x:c r="F453" s="22"/>
      <x:c r="G453" s="22" t="str">
        <x:f>IF(COUNT(E453,F453)=2,F453-E453,"")</x:f>
      </x:c>
      <x:c r="H453" s="20" t="str">
        <x:v>Candidate retained outside selected field</x:v>
      </x:c>
      <x:c r="I453" s="20" t="str">
        <x:v>https://www.financialafrik.com/wp-content/uploads/2018/05/FINANCIAL_STATEMENT_EBN_2017-2.pdf</x:v>
      </x:c>
      <x:c r="J453" s="20" t="str">
        <x:v>Prior source-selection policy retained; original evidence preserved in accompanying pack.</x:v>
      </x:c>
    </x:row>
    <x:row r="454" ht="52" customHeight="1">
      <x:c r="A454" s="18" t="str">
        <x:v>Uploaded Word</x:v>
      </x:c>
      <x:c r="B454" s="18" t="str">
        <x:v>Unity</x:v>
      </x:c>
      <x:c r="C454" s="18" t="n">
        <x:v>2018</x:v>
      </x:c>
      <x:c r="D454" s="20" t="str">
        <x:v>pat</x:v>
      </x:c>
      <x:c r="E454" s="22" t="n">
        <x:v>1269</x:v>
      </x:c>
      <x:c r="F454" s="22" t="n">
        <x:v>-7695.32</x:v>
      </x:c>
      <x:c r="G454" s="22" t="n">
        <x:f>IF(COUNT(E454,F454)=2,F454-E454,"")</x:f>
        <x:v>-8964.32</x:v>
      </x:c>
      <x:c r="H454" s="20" t="str">
        <x:v>Difference: retain selected source / definition</x:v>
      </x:c>
      <x:c r="I454" s="20" t="str">
        <x:v>https://doclib.ngxgroup.com/Financial_NewsDocs/30502_UNITY_BANK_PLC_FINANCIAL_STATEMENTS_JUNE_2020.pdf</x:v>
      </x:c>
      <x:c r="J454" s="20" t="str">
        <x:v>Prior source-selection policy retained; original evidence preserved in accompanying pack.</x:v>
      </x:c>
    </x:row>
    <x:row r="455" ht="52" customHeight="1">
      <x:c r="A455" s="18" t="str">
        <x:v>Uploaded Word</x:v>
      </x:c>
      <x:c r="B455" s="18" t="str">
        <x:v>Unity</x:v>
      </x:c>
      <x:c r="C455" s="18" t="n">
        <x:v>2018</x:v>
      </x:c>
      <x:c r="D455" s="20" t="str">
        <x:v>gross_earnings</x:v>
      </x:c>
      <x:c r="E455" s="22" t="n">
        <x:v>37325</x:v>
      </x:c>
      <x:c r="F455" s="22"/>
      <x:c r="G455" s="22" t="str">
        <x:f>IF(COUNT(E455,F455)=2,F455-E455,"")</x:f>
      </x:c>
      <x:c r="H455" s="20" t="str">
        <x:v>Candidate retained outside selected field</x:v>
      </x:c>
      <x:c r="I455" s="20" t="str">
        <x:v>https://doclib.ngxgroup.com/Financial_NewsDocs/30502_UNITY_BANK_PLC_FINANCIAL_STATEMENTS_JUNE_2020.pdf</x:v>
      </x:c>
      <x:c r="J455" s="20" t="str">
        <x:v>Prior source-selection policy retained; original evidence preserved in accompanying pack.</x:v>
      </x:c>
    </x:row>
    <x:row r="456" ht="52" customHeight="1">
      <x:c r="A456" s="18" t="str">
        <x:v>Uploaded Word</x:v>
      </x:c>
      <x:c r="B456" s="18" t="str">
        <x:v>Unity</x:v>
      </x:c>
      <x:c r="C456" s="18" t="n">
        <x:v>2018</x:v>
      </x:c>
      <x:c r="D456" s="20" t="str">
        <x:v>assets</x:v>
      </x:c>
      <x:c r="E456" s="22" t="n">
        <x:v>235976</x:v>
      </x:c>
      <x:c r="F456" s="22" t="n">
        <x:v>210800.841</x:v>
      </x:c>
      <x:c r="G456" s="22" t="n">
        <x:f>IF(COUNT(E456,F456)=2,F456-E456,"")</x:f>
        <x:v>-25175.159000000014</x:v>
      </x:c>
      <x:c r="H456" s="20" t="str">
        <x:v>Difference: retain selected source / definition</x:v>
      </x:c>
      <x:c r="I456" s="20" t="str">
        <x:v>https://doclib.ngxgroup.com/Financial_NewsDocs/30502_UNITY_BANK_PLC_FINANCIAL_STATEMENTS_JUNE_2020.pdf</x:v>
      </x:c>
      <x:c r="J456" s="20" t="str">
        <x:v>Prior source-selection policy retained; original evidence preserved in accompanying pack.</x:v>
      </x:c>
    </x:row>
    <x:row r="457" ht="52" customHeight="1">
      <x:c r="A457" s="18" t="str">
        <x:v>Uploaded Word</x:v>
      </x:c>
      <x:c r="B457" s="18" t="str">
        <x:v>Unity</x:v>
      </x:c>
      <x:c r="C457" s="18" t="n">
        <x:v>2018</x:v>
      </x:c>
      <x:c r="D457" s="20" t="str">
        <x:v>gross_loans</x:v>
      </x:c>
      <x:c r="E457" s="22" t="n">
        <x:v>44402</x:v>
      </x:c>
      <x:c r="F457" s="22" t="n">
        <x:v>44841.156</x:v>
      </x:c>
      <x:c r="G457" s="22" t="n">
        <x:f>IF(COUNT(E457,F457)=2,F457-E457,"")</x:f>
        <x:v>439.1560000000027</x:v>
      </x:c>
      <x:c r="H457" s="20" t="str">
        <x:v>Difference: retain selected source / definition</x:v>
      </x:c>
      <x:c r="I457" s="20" t="str">
        <x:v>https://doclib.ngxgroup.com/Financial_NewsDocs/30502_UNITY_BANK_PLC_FINANCIAL_STATEMENTS_JUNE_2020.pdf</x:v>
      </x:c>
      <x:c r="J457" s="20" t="str">
        <x:v>Prior source-selection policy retained; original evidence preserved in accompanying pack.</x:v>
      </x:c>
    </x:row>
    <x:row r="458" ht="52" customHeight="1">
      <x:c r="A458" s="18" t="str">
        <x:v>Uploaded Word</x:v>
      </x:c>
      <x:c r="B458" s="18" t="str">
        <x:v>Unity</x:v>
      </x:c>
      <x:c r="C458" s="18" t="n">
        <x:v>2018</x:v>
      </x:c>
      <x:c r="D458" s="20" t="str">
        <x:v>loan_allowance</x:v>
      </x:c>
      <x:c r="E458" s="22" t="n">
        <x:v>744</x:v>
      </x:c>
      <x:c r="F458" s="22" t="n">
        <x:v>744.197</x:v>
      </x:c>
      <x:c r="G458" s="22" t="n">
        <x:f>IF(COUNT(E458,F458)=2,F458-E458,"")</x:f>
        <x:v>0.19700000000000273</x:v>
      </x:c>
      <x:c r="H458" s="20" t="str">
        <x:v>Rounding / presentation precision</x:v>
      </x:c>
      <x:c r="I458" s="20" t="str">
        <x:v>https://doclib.ngxgroup.com/Financial_NewsDocs/30502_UNITY_BANK_PLC_FINANCIAL_STATEMENTS_JUNE_2020.pdf</x:v>
      </x:c>
      <x:c r="J458" s="20" t="str">
        <x:v>Prior source-selection policy retained; original evidence preserved in accompanying pack.</x:v>
      </x:c>
    </x:row>
    <x:row r="459" ht="52" customHeight="1">
      <x:c r="A459" s="18" t="str">
        <x:v>Uploaded Word</x:v>
      </x:c>
      <x:c r="B459" s="18" t="str">
        <x:v>Unity</x:v>
      </x:c>
      <x:c r="C459" s="18" t="n">
        <x:v>2018</x:v>
      </x:c>
      <x:c r="D459" s="20" t="str">
        <x:v>total_impairment</x:v>
      </x:c>
      <x:c r="E459" s="22" t="n">
        <x:v>161</x:v>
      </x:c>
      <x:c r="F459" s="22" t="n">
        <x:v>5958.492</x:v>
      </x:c>
      <x:c r="G459" s="22" t="n">
        <x:f>IF(COUNT(E459,F459)=2,F459-E459,"")</x:f>
        <x:v>5797.492</x:v>
      </x:c>
      <x:c r="H459" s="20" t="str">
        <x:v>Difference: retain selected source / definition</x:v>
      </x:c>
      <x:c r="I459" s="20" t="str">
        <x:v>https://doclib.ngxgroup.com/Financial_NewsDocs/30502_UNITY_BANK_PLC_FINANCIAL_STATEMENTS_JUNE_2020.pdf</x:v>
      </x:c>
      <x:c r="J459" s="20" t="str">
        <x:v>Prior source-selection policy retained; original evidence preserved in accompanying pack.</x:v>
      </x:c>
    </x:row>
    <x:row r="460" ht="52" customHeight="1">
      <x:c r="A460" s="18" t="str">
        <x:v>Uploaded Word</x:v>
      </x:c>
      <x:c r="B460" s="18" t="str">
        <x:v>Unity</x:v>
      </x:c>
      <x:c r="C460" s="18" t="n">
        <x:v>2018</x:v>
      </x:c>
      <x:c r="D460" s="20" t="str">
        <x:v>car</x:v>
      </x:c>
      <x:c r="E460" s="22" t="n">
        <x:v>-198.56</x:v>
      </x:c>
      <x:c r="F460" s="22" t="n">
        <x:v>-214.8</x:v>
      </x:c>
      <x:c r="G460" s="22" t="n">
        <x:f>IF(COUNT(E460,F460)=2,F460-E460,"")</x:f>
        <x:v>-16.24000000000001</x:v>
      </x:c>
      <x:c r="H460" s="20" t="str">
        <x:v>Difference: retain selected source / definition</x:v>
      </x:c>
      <x:c r="I460" s="20" t="str">
        <x:v>https://doclib.ngxgroup.com/Financial_NewsDocs/30502_UNITY_BANK_PLC_FINANCIAL_STATEMENTS_JUNE_2020.pdf</x:v>
      </x:c>
      <x:c r="J460" s="20" t="str">
        <x:v>Prior source-selection policy retained; original evidence preserved in accompanying pack.</x:v>
      </x:c>
    </x:row>
    <x:row r="461" ht="52" customHeight="1">
      <x:c r="A461" s="18" t="str">
        <x:v>Uploaded Word</x:v>
      </x:c>
      <x:c r="B461" s="18" t="str">
        <x:v>Unity</x:v>
      </x:c>
      <x:c r="C461" s="18" t="n">
        <x:v>2018</x:v>
      </x:c>
      <x:c r="D461" s="20" t="str">
        <x:v>npl_reported</x:v>
      </x:c>
      <x:c r="E461" s="22" t="n">
        <x:v>0</x:v>
      </x:c>
      <x:c r="F461" s="22"/>
      <x:c r="G461" s="22" t="str">
        <x:f>IF(COUNT(E461,F461)=2,F461-E461,"")</x:f>
      </x:c>
      <x:c r="H461" s="20" t="str">
        <x:v>Candidate retained outside selected field</x:v>
      </x:c>
      <x:c r="I461" s="20" t="str">
        <x:v>https://doclib.ngxgroup.com/Financial_NewsDocs/30502_UNITY_BANK_PLC_FINANCIAL_STATEMENTS_JUNE_2020.pdf</x:v>
      </x:c>
      <x:c r="J461" s="20" t="str">
        <x:v>Prior source-selection policy retained; original evidence preserved in accompanying pack.</x:v>
      </x:c>
    </x:row>
    <x:row r="462" ht="52" customHeight="1">
      <x:c r="A462" s="18" t="str">
        <x:v>Uploaded Word</x:v>
      </x:c>
      <x:c r="B462" s="18" t="str">
        <x:v>Unity</x:v>
      </x:c>
      <x:c r="C462" s="18" t="n">
        <x:v>2018</x:v>
      </x:c>
      <x:c r="D462" s="20" t="str">
        <x:v>gcu</x:v>
      </x:c>
      <x:c r="E462" s="22" t="n">
        <x:v>0</x:v>
      </x:c>
      <x:c r="F462" s="22"/>
      <x:c r="G462" s="22" t="str">
        <x:f>IF(COUNT(E462,F462)=2,F462-E462,"")</x:f>
      </x:c>
      <x:c r="H462" s="20" t="str">
        <x:v>Candidate retained outside selected field</x:v>
      </x:c>
      <x:c r="I462" s="20" t="str">
        <x:v>https://doclib.ngxgroup.com/Financial_NewsDocs/30502_UNITY_BANK_PLC_FINANCIAL_STATEMENTS_JUNE_2020.pdf</x:v>
      </x:c>
      <x:c r="J462" s="20" t="str">
        <x:v>Prior source-selection policy retained; original evidence preserved in accompanying pack.</x:v>
      </x:c>
    </x:row>
    <x:row r="463" ht="52" customHeight="1">
      <x:c r="A463" s="18" t="str">
        <x:v>Uploaded Word</x:v>
      </x:c>
      <x:c r="B463" s="18" t="str">
        <x:v>Unity</x:v>
      </x:c>
      <x:c r="C463" s="18" t="n">
        <x:v>2019</x:v>
      </x:c>
      <x:c r="D463" s="20" t="str">
        <x:v>pat</x:v>
      </x:c>
      <x:c r="E463" s="22" t="n">
        <x:v>3383</x:v>
      </x:c>
      <x:c r="F463" s="22" t="n">
        <x:v>3383.189</x:v>
      </x:c>
      <x:c r="G463" s="22" t="n">
        <x:f>IF(COUNT(E463,F463)=2,F463-E463,"")</x:f>
        <x:v>0.18899999999985084</x:v>
      </x:c>
      <x:c r="H463" s="20" t="str">
        <x:v>Rounding / presentation precision</x:v>
      </x:c>
      <x:c r="I463" s="20" t="str">
        <x:v>https://doclib.ngxgroup.com/Financial_NewsDocs/30502_UNITY_BANK_PLC_FINANCIAL_STATEMENTS_JUNE_2020.pdf</x:v>
      </x:c>
      <x:c r="J463" s="20" t="str">
        <x:v>Prior source-selection policy retained; original evidence preserved in accompanying pack.</x:v>
      </x:c>
    </x:row>
    <x:row r="464" ht="52" customHeight="1">
      <x:c r="A464" s="18" t="str">
        <x:v>Uploaded Word</x:v>
      </x:c>
      <x:c r="B464" s="18" t="str">
        <x:v>Unity</x:v>
      </x:c>
      <x:c r="C464" s="18" t="n">
        <x:v>2019</x:v>
      </x:c>
      <x:c r="D464" s="20" t="str">
        <x:v>gross_earnings</x:v>
      </x:c>
      <x:c r="E464" s="22" t="n">
        <x:v>44587</x:v>
      </x:c>
      <x:c r="F464" s="22"/>
      <x:c r="G464" s="22" t="str">
        <x:f>IF(COUNT(E464,F464)=2,F464-E464,"")</x:f>
      </x:c>
      <x:c r="H464" s="20" t="str">
        <x:v>Candidate retained outside selected field</x:v>
      </x:c>
      <x:c r="I464" s="20" t="str">
        <x:v>https://doclib.ngxgroup.com/Financial_NewsDocs/30502_UNITY_BANK_PLC_FINANCIAL_STATEMENTS_JUNE_2020.pdf</x:v>
      </x:c>
      <x:c r="J464" s="20" t="str">
        <x:v>Prior source-selection policy retained; original evidence preserved in accompanying pack.</x:v>
      </x:c>
    </x:row>
    <x:row r="465" ht="52" customHeight="1">
      <x:c r="A465" s="18" t="str">
        <x:v>Uploaded Word</x:v>
      </x:c>
      <x:c r="B465" s="18" t="str">
        <x:v>Unity</x:v>
      </x:c>
      <x:c r="C465" s="18" t="n">
        <x:v>2019</x:v>
      </x:c>
      <x:c r="D465" s="20" t="str">
        <x:v>assets</x:v>
      </x:c>
      <x:c r="E465" s="22" t="n">
        <x:v>293052</x:v>
      </x:c>
      <x:c r="F465" s="22" t="n">
        <x:v>293052.07</x:v>
      </x:c>
      <x:c r="G465" s="22" t="n">
        <x:f>IF(COUNT(E465,F465)=2,F465-E465,"")</x:f>
        <x:v>0.07000000000698492</x:v>
      </x:c>
      <x:c r="H465" s="20" t="str">
        <x:v>Rounding / presentation precision</x:v>
      </x:c>
      <x:c r="I465" s="20" t="str">
        <x:v>https://doclib.ngxgroup.com/Financial_NewsDocs/30502_UNITY_BANK_PLC_FINANCIAL_STATEMENTS_JUNE_2020.pdf</x:v>
      </x:c>
      <x:c r="J465" s="20" t="str">
        <x:v>Prior source-selection policy retained; original evidence preserved in accompanying pack.</x:v>
      </x:c>
    </x:row>
    <x:row r="466" ht="52" customHeight="1">
      <x:c r="A466" s="18" t="str">
        <x:v>Uploaded Word</x:v>
      </x:c>
      <x:c r="B466" s="18" t="str">
        <x:v>Unity</x:v>
      </x:c>
      <x:c r="C466" s="18" t="n">
        <x:v>2019</x:v>
      </x:c>
      <x:c r="D466" s="20" t="str">
        <x:v>gross_loans</x:v>
      </x:c>
      <x:c r="E466" s="22" t="n">
        <x:v>106914</x:v>
      </x:c>
      <x:c r="F466" s="22" t="n">
        <x:v>106913.813</x:v>
      </x:c>
      <x:c r="G466" s="22" t="n">
        <x:f>IF(COUNT(E466,F466)=2,F466-E466,"")</x:f>
        <x:v>-0.1870000000053551</x:v>
      </x:c>
      <x:c r="H466" s="20" t="str">
        <x:v>Rounding / presentation precision</x:v>
      </x:c>
      <x:c r="I466" s="20" t="str">
        <x:v>https://doclib.ngxgroup.com/Financial_NewsDocs/30502_UNITY_BANK_PLC_FINANCIAL_STATEMENTS_JUNE_2020.pdf</x:v>
      </x:c>
      <x:c r="J466" s="20" t="str">
        <x:v>Prior source-selection policy retained; original evidence preserved in accompanying pack.</x:v>
      </x:c>
    </x:row>
    <x:row r="467" ht="52" customHeight="1">
      <x:c r="A467" s="18" t="str">
        <x:v>Uploaded Word</x:v>
      </x:c>
      <x:c r="B467" s="18" t="str">
        <x:v>Unity</x:v>
      </x:c>
      <x:c r="C467" s="18" t="n">
        <x:v>2019</x:v>
      </x:c>
      <x:c r="D467" s="20" t="str">
        <x:v>loan_allowance</x:v>
      </x:c>
      <x:c r="E467" s="22" t="n">
        <x:v>14841</x:v>
      </x:c>
      <x:c r="F467" s="22" t="n">
        <x:v>2896.088</x:v>
      </x:c>
      <x:c r="G467" s="22" t="n">
        <x:f>IF(COUNT(E467,F467)=2,F467-E467,"")</x:f>
        <x:v>-11944.912</x:v>
      </x:c>
      <x:c r="H467" s="20" t="str">
        <x:v>Difference: retain selected source / definition</x:v>
      </x:c>
      <x:c r="I467" s="20" t="str">
        <x:v>https://doclib.ngxgroup.com/Financial_NewsDocs/30502_UNITY_BANK_PLC_FINANCIAL_STATEMENTS_JUNE_2020.pdf</x:v>
      </x:c>
      <x:c r="J467" s="20" t="str">
        <x:v>Prior source-selection policy retained; original evidence preserved in accompanying pack.</x:v>
      </x:c>
    </x:row>
    <x:row r="468" ht="52" customHeight="1">
      <x:c r="A468" s="18" t="str">
        <x:v>Uploaded Word</x:v>
      </x:c>
      <x:c r="B468" s="18" t="str">
        <x:v>Unity</x:v>
      </x:c>
      <x:c r="C468" s="18" t="n">
        <x:v>2019</x:v>
      </x:c>
      <x:c r="D468" s="20" t="str">
        <x:v>total_impairment</x:v>
      </x:c>
      <x:c r="E468" s="22"/>
      <x:c r="F468" s="22" t="n">
        <x:v>1921.923</x:v>
      </x:c>
      <x:c r="G468" s="22" t="str">
        <x:f>IF(COUNT(E468,F468)=2,F468-E468,"")</x:f>
      </x:c>
      <x:c r="H468" s="20" t="str">
        <x:v>Selected source fills uploaded blank</x:v>
      </x:c>
      <x:c r="I468" s="20" t="str">
        <x:v>https://doclib.ngxgroup.com/Financial_NewsDocs/30502_UNITY_BANK_PLC_FINANCIAL_STATEMENTS_JUNE_2020.pdf</x:v>
      </x:c>
      <x:c r="J468" s="20" t="str">
        <x:v>Prior source-selection policy retained; original evidence preserved in accompanying pack.</x:v>
      </x:c>
    </x:row>
    <x:row r="469" ht="52" customHeight="1">
      <x:c r="A469" s="18" t="str">
        <x:v>Uploaded Word</x:v>
      </x:c>
      <x:c r="B469" s="18" t="str">
        <x:v>Unity</x:v>
      </x:c>
      <x:c r="C469" s="18" t="n">
        <x:v>2019</x:v>
      </x:c>
      <x:c r="D469" s="20" t="str">
        <x:v>car</x:v>
      </x:c>
      <x:c r="E469" s="22" t="n">
        <x:v>-201.59</x:v>
      </x:c>
      <x:c r="F469" s="22" t="n">
        <x:v>-201.59</x:v>
      </x:c>
      <x:c r="G469" s="22" t="n">
        <x:f>IF(COUNT(E469,F469)=2,F469-E469,"")</x:f>
        <x:v>0</x:v>
      </x:c>
      <x:c r="H469" s="20" t="str">
        <x:v>Exact agreement</x:v>
      </x:c>
      <x:c r="I469" s="20" t="str">
        <x:v>https://doclib.ngxgroup.com/Financial_NewsDocs/30502_UNITY_BANK_PLC_FINANCIAL_STATEMENTS_JUNE_2020.pdf</x:v>
      </x:c>
      <x:c r="J469" s="20" t="str">
        <x:v>Prior source-selection policy retained; original evidence preserved in accompanying pack.</x:v>
      </x:c>
    </x:row>
    <x:row r="470" ht="52" customHeight="1">
      <x:c r="A470" s="18" t="str">
        <x:v>Uploaded Word</x:v>
      </x:c>
      <x:c r="B470" s="18" t="str">
        <x:v>Unity</x:v>
      </x:c>
      <x:c r="C470" s="18" t="n">
        <x:v>2019</x:v>
      </x:c>
      <x:c r="D470" s="20" t="str">
        <x:v>npl_reported</x:v>
      </x:c>
      <x:c r="E470" s="22" t="n">
        <x:v>0.9</x:v>
      </x:c>
      <x:c r="F470" s="22"/>
      <x:c r="G470" s="22" t="str">
        <x:f>IF(COUNT(E470,F470)=2,F470-E470,"")</x:f>
      </x:c>
      <x:c r="H470" s="20" t="str">
        <x:v>Candidate retained outside selected field</x:v>
      </x:c>
      <x:c r="I470" s="20" t="str">
        <x:v>https://doclib.ngxgroup.com/Financial_NewsDocs/30502_UNITY_BANK_PLC_FINANCIAL_STATEMENTS_JUNE_2020.pdf</x:v>
      </x:c>
      <x:c r="J470" s="20" t="str">
        <x:v>Prior source-selection policy retained; original evidence preserved in accompanying pack.</x:v>
      </x:c>
    </x:row>
    <x:row r="471" ht="52" customHeight="1">
      <x:c r="A471" s="18" t="str">
        <x:v>Uploaded Word</x:v>
      </x:c>
      <x:c r="B471" s="18" t="str">
        <x:v>Unity</x:v>
      </x:c>
      <x:c r="C471" s="18" t="n">
        <x:v>2019</x:v>
      </x:c>
      <x:c r="D471" s="20" t="str">
        <x:v>gcu</x:v>
      </x:c>
      <x:c r="E471" s="22" t="n">
        <x:v>1</x:v>
      </x:c>
      <x:c r="F471" s="22" t="n">
        <x:v>1</x:v>
      </x:c>
      <x:c r="G471" s="22" t="n">
        <x:f>IF(COUNT(E471,F471)=2,F471-E471,"")</x:f>
        <x:v>0</x:v>
      </x:c>
      <x:c r="H471" s="20" t="str">
        <x:v>Exact agreement</x:v>
      </x:c>
      <x:c r="I471" s="20" t="str">
        <x:v>https://doclib.ngxgroup.com/Financial_NewsDocs/30502_UNITY_BANK_PLC_FINANCIAL_STATEMENTS_JUNE_2020.pdf</x:v>
      </x:c>
      <x:c r="J471" s="20" t="str">
        <x:v>Prior source-selection policy retained; original evidence preserved in accompanying pack.</x:v>
      </x:c>
    </x:row>
    <x:row r="472" ht="52" customHeight="1">
      <x:c r="A472" s="18" t="str">
        <x:v>Uploaded Word</x:v>
      </x:c>
      <x:c r="B472" s="18" t="str">
        <x:v>Union</x:v>
      </x:c>
      <x:c r="C472" s="18" t="n">
        <x:v>2017</x:v>
      </x:c>
      <x:c r="D472" s="20" t="str">
        <x:v>pat</x:v>
      </x:c>
      <x:c r="E472" s="22" t="n">
        <x:v>12839</x:v>
      </x:c>
      <x:c r="F472" s="22" t="n">
        <x:v>11239</x:v>
      </x:c>
      <x:c r="G472" s="22" t="n">
        <x:f>IF(COUNT(E472,F472)=2,F472-E472,"")</x:f>
        <x:v>-1600</x:v>
      </x:c>
      <x:c r="H472" s="20" t="str">
        <x:v>Difference: retain selected source / definition</x:v>
      </x:c>
      <x:c r="I472" s="20" t="str">
        <x:v>https://greenwichregistrars.com/wp-content/uploads/2021/06/2018-Annual-Report_UBN_New.pdf</x:v>
      </x:c>
      <x:c r="J472" s="20" t="str">
        <x:v>2018 report: restated 2017 main statements</x:v>
      </x:c>
    </x:row>
    <x:row r="473" ht="52" customHeight="1">
      <x:c r="A473" s="18" t="str">
        <x:v>Uploaded Word</x:v>
      </x:c>
      <x:c r="B473" s="18" t="str">
        <x:v>Union</x:v>
      </x:c>
      <x:c r="C473" s="18" t="n">
        <x:v>2017</x:v>
      </x:c>
      <x:c r="D473" s="20" t="str">
        <x:v>gross_earnings</x:v>
      </x:c>
      <x:c r="E473" s="22" t="n">
        <x:v>157566</x:v>
      </x:c>
      <x:c r="F473" s="22" t="n">
        <x:v>157566</x:v>
      </x:c>
      <x:c r="G473" s="22" t="n">
        <x:f>IF(COUNT(E473,F473)=2,F473-E473,"")</x:f>
        <x:v>0</x:v>
      </x:c>
      <x:c r="H473" s="20" t="str">
        <x:v>Exact agreement</x:v>
      </x:c>
      <x:c r="I473" s="20" t="str">
        <x:v>https://greenwichregistrars.com/wp-content/uploads/2021/06/2018-Annual-Report_UBN_New.pdf</x:v>
      </x:c>
      <x:c r="J473" s="20" t="str">
        <x:v>2018 report: restated 2017 main statements</x:v>
      </x:c>
    </x:row>
    <x:row r="474" ht="52" customHeight="1">
      <x:c r="A474" s="18" t="str">
        <x:v>Uploaded Word</x:v>
      </x:c>
      <x:c r="B474" s="18" t="str">
        <x:v>Union</x:v>
      </x:c>
      <x:c r="C474" s="18" t="n">
        <x:v>2017</x:v>
      </x:c>
      <x:c r="D474" s="20" t="str">
        <x:v>assets</x:v>
      </x:c>
      <x:c r="E474" s="22" t="n">
        <x:v>1334921</x:v>
      </x:c>
      <x:c r="F474" s="22" t="n">
        <x:v>1334921</x:v>
      </x:c>
      <x:c r="G474" s="22" t="n">
        <x:f>IF(COUNT(E474,F474)=2,F474-E474,"")</x:f>
        <x:v>0</x:v>
      </x:c>
      <x:c r="H474" s="20" t="str">
        <x:v>Exact agreement</x:v>
      </x:c>
      <x:c r="I474" s="20" t="str">
        <x:v>https://greenwichregistrars.com/wp-content/uploads/2021/06/2018-Annual-Report_UBN_New.pdf</x:v>
      </x:c>
      <x:c r="J474" s="20" t="str">
        <x:v>2018 report: restated 2017 main statements</x:v>
      </x:c>
    </x:row>
    <x:row r="475" ht="52" customHeight="1">
      <x:c r="A475" s="18" t="str">
        <x:v>Uploaded Word</x:v>
      </x:c>
      <x:c r="B475" s="18" t="str">
        <x:v>Union</x:v>
      </x:c>
      <x:c r="C475" s="18" t="n">
        <x:v>2017</x:v>
      </x:c>
      <x:c r="D475" s="20" t="str">
        <x:v>gross_loans</x:v>
      </x:c>
      <x:c r="E475" s="22" t="n">
        <x:v>531807</x:v>
      </x:c>
      <x:c r="F475" s="22" t="n">
        <x:v>531807</x:v>
      </x:c>
      <x:c r="G475" s="22" t="n">
        <x:f>IF(COUNT(E475,F475)=2,F475-E475,"")</x:f>
        <x:v>0</x:v>
      </x:c>
      <x:c r="H475" s="20" t="str">
        <x:v>Exact agreement</x:v>
      </x:c>
      <x:c r="I475" s="20" t="str">
        <x:v>https://greenwichregistrars.com/wp-content/uploads/2021/06/2018-Annual-Report_UBN_New.pdf</x:v>
      </x:c>
      <x:c r="J475" s="20" t="str">
        <x:v>2018 report: restated 2017 main statements</x:v>
      </x:c>
    </x:row>
    <x:row r="476" ht="52" customHeight="1">
      <x:c r="A476" s="18" t="str">
        <x:v>Uploaded Word</x:v>
      </x:c>
      <x:c r="B476" s="18" t="str">
        <x:v>Union</x:v>
      </x:c>
      <x:c r="C476" s="18" t="n">
        <x:v>2017</x:v>
      </x:c>
      <x:c r="D476" s="20" t="str">
        <x:v>loan_allowance</x:v>
      </x:c>
      <x:c r="E476" s="22" t="n">
        <x:v>43252</x:v>
      </x:c>
      <x:c r="F476" s="22" t="n">
        <x:v>43252</x:v>
      </x:c>
      <x:c r="G476" s="22" t="n">
        <x:f>IF(COUNT(E476,F476)=2,F476-E476,"")</x:f>
        <x:v>0</x:v>
      </x:c>
      <x:c r="H476" s="20" t="str">
        <x:v>Exact agreement</x:v>
      </x:c>
      <x:c r="I476" s="20" t="str">
        <x:v>https://greenwichregistrars.com/wp-content/uploads/2021/06/2018-Annual-Report_UBN_New.pdf</x:v>
      </x:c>
      <x:c r="J476" s="20" t="str">
        <x:v>2018 report: restated 2017 main statements</x:v>
      </x:c>
    </x:row>
    <x:row r="477" ht="52" customHeight="1">
      <x:c r="A477" s="18" t="str">
        <x:v>Uploaded Word</x:v>
      </x:c>
      <x:c r="B477" s="18" t="str">
        <x:v>Union</x:v>
      </x:c>
      <x:c r="C477" s="18" t="n">
        <x:v>2017</x:v>
      </x:c>
      <x:c r="D477" s="20" t="str">
        <x:v>total_impairment</x:v>
      </x:c>
      <x:c r="E477" s="22" t="n">
        <x:v>25478</x:v>
      </x:c>
      <x:c r="F477" s="22" t="n">
        <x:v>25478</x:v>
      </x:c>
      <x:c r="G477" s="22" t="n">
        <x:f>IF(COUNT(E477,F477)=2,F477-E477,"")</x:f>
        <x:v>0</x:v>
      </x:c>
      <x:c r="H477" s="20" t="str">
        <x:v>Exact agreement</x:v>
      </x:c>
      <x:c r="I477" s="20" t="str">
        <x:v>https://greenwichregistrars.com/wp-content/uploads/2021/06/2018-Annual-Report_UBN_New.pdf</x:v>
      </x:c>
      <x:c r="J477" s="20" t="str">
        <x:v>2018 report: restated 2017 main statements</x:v>
      </x:c>
    </x:row>
    <x:row r="478" ht="52" customHeight="1">
      <x:c r="A478" s="18" t="str">
        <x:v>Uploaded Word</x:v>
      </x:c>
      <x:c r="B478" s="18" t="str">
        <x:v>Union</x:v>
      </x:c>
      <x:c r="C478" s="18" t="n">
        <x:v>2017</x:v>
      </x:c>
      <x:c r="D478" s="20" t="str">
        <x:v>car</x:v>
      </x:c>
      <x:c r="E478" s="22" t="n">
        <x:v>17.8</x:v>
      </x:c>
      <x:c r="F478" s="22" t="n">
        <x:v>17.8</x:v>
      </x:c>
      <x:c r="G478" s="22" t="n">
        <x:f>IF(COUNT(E478,F478)=2,F478-E478,"")</x:f>
        <x:v>0</x:v>
      </x:c>
      <x:c r="H478" s="20" t="str">
        <x:v>Exact agreement</x:v>
      </x:c>
      <x:c r="I478" s="20" t="str">
        <x:v>https://greenwichregistrars.com/wp-content/uploads/2021/06/2018-Annual-Report_UBN_New.pdf</x:v>
      </x:c>
      <x:c r="J478" s="20" t="str">
        <x:v>2018 report: restated 2017 main statements</x:v>
      </x:c>
    </x:row>
    <x:row r="479" ht="52" customHeight="1">
      <x:c r="A479" s="18" t="str">
        <x:v>Uploaded Word</x:v>
      </x:c>
      <x:c r="B479" s="18" t="str">
        <x:v>Union</x:v>
      </x:c>
      <x:c r="C479" s="18" t="n">
        <x:v>2017</x:v>
      </x:c>
      <x:c r="D479" s="20" t="str">
        <x:v>npl_reported</x:v>
      </x:c>
      <x:c r="E479" s="22" t="n">
        <x:v>20.81</x:v>
      </x:c>
      <x:c r="F479" s="22"/>
      <x:c r="G479" s="22" t="str">
        <x:f>IF(COUNT(E479,F479)=2,F479-E479,"")</x:f>
      </x:c>
      <x:c r="H479" s="20" t="str">
        <x:v>Candidate retained outside selected field</x:v>
      </x:c>
      <x:c r="I479" s="20" t="str">
        <x:v>https://greenwichregistrars.com/wp-content/uploads/2021/06/2018-Annual-Report_UBN_New.pdf</x:v>
      </x:c>
      <x:c r="J479" s="20" t="str">
        <x:v>2018 report: restated 2017 main statements</x:v>
      </x:c>
    </x:row>
    <x:row r="480" ht="52" customHeight="1">
      <x:c r="A480" s="18" t="str">
        <x:v>Uploaded Word</x:v>
      </x:c>
      <x:c r="B480" s="18" t="str">
        <x:v>Union</x:v>
      </x:c>
      <x:c r="C480" s="18" t="n">
        <x:v>2017</x:v>
      </x:c>
      <x:c r="D480" s="20" t="str">
        <x:v>gcu</x:v>
      </x:c>
      <x:c r="E480" s="22" t="n">
        <x:v>0</x:v>
      </x:c>
      <x:c r="F480" s="22"/>
      <x:c r="G480" s="22" t="str">
        <x:f>IF(COUNT(E480,F480)=2,F480-E480,"")</x:f>
      </x:c>
      <x:c r="H480" s="20" t="str">
        <x:v>Candidate retained outside selected field</x:v>
      </x:c>
      <x:c r="I480" s="20" t="str">
        <x:v>https://greenwichregistrars.com/wp-content/uploads/2021/06/2018-Annual-Report_UBN_New.pdf</x:v>
      </x:c>
      <x:c r="J480" s="20" t="str">
        <x:v>2018 report: restated 2017 main statements</x:v>
      </x:c>
    </x:row>
    <x:row r="481" ht="52" customHeight="1">
      <x:c r="A481" s="18" t="str">
        <x:v>Uploaded Word</x:v>
      </x:c>
      <x:c r="B481" s="18" t="str">
        <x:v>Union</x:v>
      </x:c>
      <x:c r="C481" s="18" t="n">
        <x:v>2018</x:v>
      </x:c>
      <x:c r="D481" s="20" t="str">
        <x:v>pat</x:v>
      </x:c>
      <x:c r="E481" s="22" t="n">
        <x:v>18438</x:v>
      </x:c>
      <x:c r="F481" s="22" t="n">
        <x:v>18438</x:v>
      </x:c>
      <x:c r="G481" s="22" t="n">
        <x:f>IF(COUNT(E481,F481)=2,F481-E481,"")</x:f>
        <x:v>0</x:v>
      </x:c>
      <x:c r="H481" s="20" t="str">
        <x:v>Exact agreement</x:v>
      </x:c>
      <x:c r="I481" s="20" t="str">
        <x:v>https://greenwichregistrars.com/wp-content/uploads/2021/06/2018-Annual-Report_UBN_New.pdf</x:v>
      </x:c>
      <x:c r="J481" s="20" t="str">
        <x:v>Original 2018 presentation; loan reinstatement alternatives held separately</x:v>
      </x:c>
    </x:row>
    <x:row r="482" ht="52" customHeight="1">
      <x:c r="A482" s="18" t="str">
        <x:v>Uploaded Word</x:v>
      </x:c>
      <x:c r="B482" s="18" t="str">
        <x:v>Union</x:v>
      </x:c>
      <x:c r="C482" s="18" t="n">
        <x:v>2018</x:v>
      </x:c>
      <x:c r="D482" s="20" t="str">
        <x:v>gross_earnings</x:v>
      </x:c>
      <x:c r="E482" s="22" t="n">
        <x:v>140066</x:v>
      </x:c>
      <x:c r="F482" s="22" t="n">
        <x:v>140066</x:v>
      </x:c>
      <x:c r="G482" s="22" t="n">
        <x:f>IF(COUNT(E482,F482)=2,F482-E482,"")</x:f>
        <x:v>0</x:v>
      </x:c>
      <x:c r="H482" s="20" t="str">
        <x:v>Exact agreement</x:v>
      </x:c>
      <x:c r="I482" s="20" t="str">
        <x:v>https://greenwichregistrars.com/wp-content/uploads/2021/06/2018-Annual-Report_UBN_New.pdf</x:v>
      </x:c>
      <x:c r="J482" s="20" t="str">
        <x:v>Original 2018 presentation; loan reinstatement alternatives held separately</x:v>
      </x:c>
    </x:row>
    <x:row r="483" ht="52" customHeight="1">
      <x:c r="A483" s="18" t="str">
        <x:v>Uploaded Word</x:v>
      </x:c>
      <x:c r="B483" s="18" t="str">
        <x:v>Union</x:v>
      </x:c>
      <x:c r="C483" s="18" t="n">
        <x:v>2018</x:v>
      </x:c>
      <x:c r="D483" s="20" t="str">
        <x:v>assets</x:v>
      </x:c>
      <x:c r="E483" s="22" t="n">
        <x:v>1324297</x:v>
      </x:c>
      <x:c r="F483" s="22" t="n">
        <x:v>1324297</x:v>
      </x:c>
      <x:c r="G483" s="22" t="n">
        <x:f>IF(COUNT(E483,F483)=2,F483-E483,"")</x:f>
        <x:v>0</x:v>
      </x:c>
      <x:c r="H483" s="20" t="str">
        <x:v>Exact agreement</x:v>
      </x:c>
      <x:c r="I483" s="20" t="str">
        <x:v>https://greenwichregistrars.com/wp-content/uploads/2021/06/2018-Annual-Report_UBN_New.pdf</x:v>
      </x:c>
      <x:c r="J483" s="20" t="str">
        <x:v>Original 2018 presentation; loan reinstatement alternatives held separately</x:v>
      </x:c>
    </x:row>
    <x:row r="484" ht="52" customHeight="1">
      <x:c r="A484" s="18" t="str">
        <x:v>Uploaded Word</x:v>
      </x:c>
      <x:c r="B484" s="18" t="str">
        <x:v>Union</x:v>
      </x:c>
      <x:c r="C484" s="18" t="n">
        <x:v>2018</x:v>
      </x:c>
      <x:c r="D484" s="20" t="str">
        <x:v>gross_loans</x:v>
      </x:c>
      <x:c r="E484" s="22" t="n">
        <x:v>473396</x:v>
      </x:c>
      <x:c r="F484" s="22" t="n">
        <x:v>473396</x:v>
      </x:c>
      <x:c r="G484" s="22" t="n">
        <x:f>IF(COUNT(E484,F484)=2,F484-E484,"")</x:f>
        <x:v>0</x:v>
      </x:c>
      <x:c r="H484" s="20" t="str">
        <x:v>Exact agreement</x:v>
      </x:c>
      <x:c r="I484" s="20" t="str">
        <x:v>https://greenwichregistrars.com/wp-content/uploads/2021/06/2018-Annual-Report_UBN_New.pdf</x:v>
      </x:c>
      <x:c r="J484" s="20" t="str">
        <x:v>Original 2018 presentation; loan reinstatement alternatives held separately</x:v>
      </x:c>
    </x:row>
    <x:row r="485" ht="52" customHeight="1">
      <x:c r="A485" s="18" t="str">
        <x:v>Uploaded Word</x:v>
      </x:c>
      <x:c r="B485" s="18" t="str">
        <x:v>Union</x:v>
      </x:c>
      <x:c r="C485" s="18" t="n">
        <x:v>2018</x:v>
      </x:c>
      <x:c r="D485" s="20" t="str">
        <x:v>loan_allowance</x:v>
      </x:c>
      <x:c r="E485" s="22" t="n">
        <x:v>45359</x:v>
      </x:c>
      <x:c r="F485" s="22" t="n">
        <x:v>45359</x:v>
      </x:c>
      <x:c r="G485" s="22" t="n">
        <x:f>IF(COUNT(E485,F485)=2,F485-E485,"")</x:f>
        <x:v>0</x:v>
      </x:c>
      <x:c r="H485" s="20" t="str">
        <x:v>Exact agreement</x:v>
      </x:c>
      <x:c r="I485" s="20" t="str">
        <x:v>https://greenwichregistrars.com/wp-content/uploads/2021/06/2018-Annual-Report_UBN_New.pdf</x:v>
      </x:c>
      <x:c r="J485" s="20" t="str">
        <x:v>Original 2018 presentation; loan reinstatement alternatives held separately</x:v>
      </x:c>
    </x:row>
    <x:row r="486" ht="52" customHeight="1">
      <x:c r="A486" s="18" t="str">
        <x:v>Uploaded Word</x:v>
      </x:c>
      <x:c r="B486" s="18" t="str">
        <x:v>Union</x:v>
      </x:c>
      <x:c r="C486" s="18" t="n">
        <x:v>2018</x:v>
      </x:c>
      <x:c r="D486" s="20" t="str">
        <x:v>total_impairment</x:v>
      </x:c>
      <x:c r="E486" s="22" t="n">
        <x:v>-3515</x:v>
      </x:c>
      <x:c r="F486" s="22" t="n">
        <x:v>-3515</x:v>
      </x:c>
      <x:c r="G486" s="22" t="n">
        <x:f>IF(COUNT(E486,F486)=2,F486-E486,"")</x:f>
        <x:v>0</x:v>
      </x:c>
      <x:c r="H486" s="20" t="str">
        <x:v>Exact agreement</x:v>
      </x:c>
      <x:c r="I486" s="20" t="str">
        <x:v>https://greenwichregistrars.com/wp-content/uploads/2021/06/2018-Annual-Report_UBN_New.pdf</x:v>
      </x:c>
      <x:c r="J486" s="20" t="str">
        <x:v>Original 2018 presentation; loan reinstatement alternatives held separately</x:v>
      </x:c>
    </x:row>
    <x:row r="487" ht="52" customHeight="1">
      <x:c r="A487" s="18" t="str">
        <x:v>Uploaded Word</x:v>
      </x:c>
      <x:c r="B487" s="18" t="str">
        <x:v>Union</x:v>
      </x:c>
      <x:c r="C487" s="18" t="n">
        <x:v>2018</x:v>
      </x:c>
      <x:c r="D487" s="20" t="str">
        <x:v>car</x:v>
      </x:c>
      <x:c r="E487" s="22" t="n">
        <x:v>16.4</x:v>
      </x:c>
      <x:c r="F487" s="22" t="n">
        <x:v>11.5</x:v>
      </x:c>
      <x:c r="G487" s="22" t="n">
        <x:f>IF(COUNT(E487,F487)=2,F487-E487,"")</x:f>
        <x:v>-4.899999999999999</x:v>
      </x:c>
      <x:c r="H487" s="20" t="str">
        <x:v>Difference: retain selected source / definition</x:v>
      </x:c>
      <x:c r="I487" s="20" t="str">
        <x:v>https://greenwichregistrars.com/wp-content/uploads/2021/06/2018-Annual-Report_UBN_New.pdf</x:v>
      </x:c>
      <x:c r="J487" s="20" t="str">
        <x:v>Original 2018 presentation; loan reinstatement alternatives held separately</x:v>
      </x:c>
    </x:row>
    <x:row r="488" ht="52" customHeight="1">
      <x:c r="A488" s="18" t="str">
        <x:v>Uploaded Word</x:v>
      </x:c>
      <x:c r="B488" s="18" t="str">
        <x:v>Union</x:v>
      </x:c>
      <x:c r="C488" s="18" t="n">
        <x:v>2018</x:v>
      </x:c>
      <x:c r="D488" s="20" t="str">
        <x:v>npl_reported</x:v>
      </x:c>
      <x:c r="E488" s="22" t="n">
        <x:v>8.13</x:v>
      </x:c>
      <x:c r="F488" s="22"/>
      <x:c r="G488" s="22" t="str">
        <x:f>IF(COUNT(E488,F488)=2,F488-E488,"")</x:f>
      </x:c>
      <x:c r="H488" s="20" t="str">
        <x:v>Candidate retained outside selected field</x:v>
      </x:c>
      <x:c r="I488" s="20" t="str">
        <x:v>https://greenwichregistrars.com/wp-content/uploads/2021/06/2018-Annual-Report_UBN_New.pdf</x:v>
      </x:c>
      <x:c r="J488" s="20" t="str">
        <x:v>Original 2018 presentation; loan reinstatement alternatives held separately</x:v>
      </x:c>
    </x:row>
    <x:row r="489" ht="52" customHeight="1">
      <x:c r="A489" s="18" t="str">
        <x:v>Uploaded Word</x:v>
      </x:c>
      <x:c r="B489" s="18" t="str">
        <x:v>Union</x:v>
      </x:c>
      <x:c r="C489" s="18" t="n">
        <x:v>2018</x:v>
      </x:c>
      <x:c r="D489" s="20" t="str">
        <x:v>gcu</x:v>
      </x:c>
      <x:c r="E489" s="22" t="n">
        <x:v>0</x:v>
      </x:c>
      <x:c r="F489" s="22"/>
      <x:c r="G489" s="22" t="str">
        <x:f>IF(COUNT(E489,F489)=2,F489-E489,"")</x:f>
      </x:c>
      <x:c r="H489" s="20" t="str">
        <x:v>Candidate retained outside selected field</x:v>
      </x:c>
      <x:c r="I489" s="20" t="str">
        <x:v>https://greenwichregistrars.com/wp-content/uploads/2021/06/2018-Annual-Report_UBN_New.pdf</x:v>
      </x:c>
      <x:c r="J489" s="20" t="str">
        <x:v>Original 2018 presentation; loan reinstatement alternatives held separately</x:v>
      </x:c>
    </x:row>
    <x:row r="490" ht="52" customHeight="1">
      <x:c r="A490" s="18" t="str">
        <x:v>Uploaded Word</x:v>
      </x:c>
      <x:c r="B490" s="18" t="str">
        <x:v>Union</x:v>
      </x:c>
      <x:c r="C490" s="18" t="n">
        <x:v>2019</x:v>
      </x:c>
      <x:c r="D490" s="20" t="str">
        <x:v>pat</x:v>
      </x:c>
      <x:c r="E490" s="22" t="n">
        <x:v>24375</x:v>
      </x:c>
      <x:c r="F490" s="22" t="n">
        <x:v>24375</x:v>
      </x:c>
      <x:c r="G490" s="22" t="n">
        <x:f>IF(COUNT(E490,F490)=2,F490-E490,"")</x:f>
        <x:v>0</x:v>
      </x:c>
      <x:c r="H490" s="20" t="str">
        <x:v>Exact agreement</x:v>
      </x:c>
      <x:c r="I490" s="20" t="str">
        <x:v>https://doclib.ngxgroup.com/Financial_NewsDocs/32629_UNION_BANK_OF_NIGERIA_PLC%20_AUDITED_FINANCIAL_STATEMENT.pdf</x:v>
      </x:c>
      <x:c r="J490" s="20" t="str">
        <x:v>2020 audited-report comparative</x:v>
      </x:c>
    </x:row>
    <x:row r="491" ht="52" customHeight="1">
      <x:c r="A491" s="18" t="str">
        <x:v>Uploaded Word</x:v>
      </x:c>
      <x:c r="B491" s="18" t="str">
        <x:v>Union</x:v>
      </x:c>
      <x:c r="C491" s="18" t="n">
        <x:v>2019</x:v>
      </x:c>
      <x:c r="D491" s="20" t="str">
        <x:v>gross_earnings</x:v>
      </x:c>
      <x:c r="E491" s="22" t="n">
        <x:v>159861</x:v>
      </x:c>
      <x:c r="F491" s="22" t="n">
        <x:v>159861</x:v>
      </x:c>
      <x:c r="G491" s="22" t="n">
        <x:f>IF(COUNT(E491,F491)=2,F491-E491,"")</x:f>
        <x:v>0</x:v>
      </x:c>
      <x:c r="H491" s="20" t="str">
        <x:v>Exact agreement</x:v>
      </x:c>
      <x:c r="I491" s="20" t="str">
        <x:v>https://doclib.ngxgroup.com/Financial_NewsDocs/32629_UNION_BANK_OF_NIGERIA_PLC%20_AUDITED_FINANCIAL_STATEMENT.pdf</x:v>
      </x:c>
      <x:c r="J491" s="20" t="str">
        <x:v>2020 audited-report comparative</x:v>
      </x:c>
    </x:row>
    <x:row r="492" ht="52" customHeight="1">
      <x:c r="A492" s="18" t="str">
        <x:v>Uploaded Word</x:v>
      </x:c>
      <x:c r="B492" s="18" t="str">
        <x:v>Union</x:v>
      </x:c>
      <x:c r="C492" s="18" t="n">
        <x:v>2019</x:v>
      </x:c>
      <x:c r="D492" s="20" t="str">
        <x:v>assets</x:v>
      </x:c>
      <x:c r="E492" s="22" t="n">
        <x:v>1711739</x:v>
      </x:c>
      <x:c r="F492" s="22" t="n">
        <x:v>1711739</x:v>
      </x:c>
      <x:c r="G492" s="22" t="n">
        <x:f>IF(COUNT(E492,F492)=2,F492-E492,"")</x:f>
        <x:v>0</x:v>
      </x:c>
      <x:c r="H492" s="20" t="str">
        <x:v>Exact agreement</x:v>
      </x:c>
      <x:c r="I492" s="20" t="str">
        <x:v>https://doclib.ngxgroup.com/Financial_NewsDocs/32629_UNION_BANK_OF_NIGERIA_PLC%20_AUDITED_FINANCIAL_STATEMENT.pdf</x:v>
      </x:c>
      <x:c r="J492" s="20" t="str">
        <x:v>2020 audited-report comparative</x:v>
      </x:c>
    </x:row>
    <x:row r="493" ht="52" customHeight="1">
      <x:c r="A493" s="18" t="str">
        <x:v>Uploaded Word</x:v>
      </x:c>
      <x:c r="B493" s="18" t="str">
        <x:v>Union</x:v>
      </x:c>
      <x:c r="C493" s="18" t="n">
        <x:v>2019</x:v>
      </x:c>
      <x:c r="D493" s="20" t="str">
        <x:v>gross_loans</x:v>
      </x:c>
      <x:c r="E493" s="22" t="n">
        <x:v>595298</x:v>
      </x:c>
      <x:c r="F493" s="22" t="n">
        <x:v>595298</x:v>
      </x:c>
      <x:c r="G493" s="22" t="n">
        <x:f>IF(COUNT(E493,F493)=2,F493-E493,"")</x:f>
        <x:v>0</x:v>
      </x:c>
      <x:c r="H493" s="20" t="str">
        <x:v>Exact agreement</x:v>
      </x:c>
      <x:c r="I493" s="20" t="str">
        <x:v>https://doclib.ngxgroup.com/Financial_NewsDocs/32629_UNION_BANK_OF_NIGERIA_PLC%20_AUDITED_FINANCIAL_STATEMENT.pdf</x:v>
      </x:c>
      <x:c r="J493" s="20" t="str">
        <x:v>2020 audited-report comparative</x:v>
      </x:c>
    </x:row>
    <x:row r="494" ht="52" customHeight="1">
      <x:c r="A494" s="18" t="str">
        <x:v>Uploaded Word</x:v>
      </x:c>
      <x:c r="B494" s="18" t="str">
        <x:v>Union</x:v>
      </x:c>
      <x:c r="C494" s="18" t="n">
        <x:v>2019</x:v>
      </x:c>
      <x:c r="D494" s="20" t="str">
        <x:v>loan_allowance</x:v>
      </x:c>
      <x:c r="E494" s="22" t="n">
        <x:v>44685</x:v>
      </x:c>
      <x:c r="F494" s="22" t="n">
        <x:v>44685</x:v>
      </x:c>
      <x:c r="G494" s="22" t="n">
        <x:f>IF(COUNT(E494,F494)=2,F494-E494,"")</x:f>
        <x:v>0</x:v>
      </x:c>
      <x:c r="H494" s="20" t="str">
        <x:v>Exact agreement</x:v>
      </x:c>
      <x:c r="I494" s="20" t="str">
        <x:v>https://doclib.ngxgroup.com/Financial_NewsDocs/32629_UNION_BANK_OF_NIGERIA_PLC%20_AUDITED_FINANCIAL_STATEMENT.pdf</x:v>
      </x:c>
      <x:c r="J494" s="20" t="str">
        <x:v>2020 audited-report comparative</x:v>
      </x:c>
    </x:row>
    <x:row r="495" ht="52" customHeight="1">
      <x:c r="A495" s="18" t="str">
        <x:v>Uploaded Word</x:v>
      </x:c>
      <x:c r="B495" s="18" t="str">
        <x:v>Union</x:v>
      </x:c>
      <x:c r="C495" s="18" t="n">
        <x:v>2019</x:v>
      </x:c>
      <x:c r="D495" s="20" t="str">
        <x:v>total_impairment</x:v>
      </x:c>
      <x:c r="E495" s="22" t="n">
        <x:v>504</x:v>
      </x:c>
      <x:c r="F495" s="22" t="n">
        <x:v>-504</x:v>
      </x:c>
      <x:c r="G495" s="22" t="n">
        <x:f>IF(COUNT(E495,F495)=2,F495-E495,"")</x:f>
        <x:v>-1008</x:v>
      </x:c>
      <x:c r="H495" s="20" t="str">
        <x:v>Difference: retain selected source / definition</x:v>
      </x:c>
      <x:c r="I495" s="20" t="str">
        <x:v>https://doclib.ngxgroup.com/Financial_NewsDocs/32629_UNION_BANK_OF_NIGERIA_PLC%20_AUDITED_FINANCIAL_STATEMENT.pdf</x:v>
      </x:c>
      <x:c r="J495" s="20" t="str">
        <x:v>2020 audited-report comparative</x:v>
      </x:c>
    </x:row>
    <x:row r="496" ht="52" customHeight="1">
      <x:c r="A496" s="18" t="str">
        <x:v>Uploaded Word</x:v>
      </x:c>
      <x:c r="B496" s="18" t="str">
        <x:v>Union</x:v>
      </x:c>
      <x:c r="C496" s="18" t="n">
        <x:v>2019</x:v>
      </x:c>
      <x:c r="D496" s="20" t="str">
        <x:v>car</x:v>
      </x:c>
      <x:c r="E496" s="22" t="n">
        <x:v>19.73</x:v>
      </x:c>
      <x:c r="F496" s="22" t="n">
        <x:v>15.91</x:v>
      </x:c>
      <x:c r="G496" s="22" t="n">
        <x:f>IF(COUNT(E496,F496)=2,F496-E496,"")</x:f>
        <x:v>-3.8200000000000003</x:v>
      </x:c>
      <x:c r="H496" s="20" t="str">
        <x:v>Difference: retain selected source / definition</x:v>
      </x:c>
      <x:c r="I496" s="20" t="str">
        <x:v>https://doclib.ngxgroup.com/Financial_NewsDocs/32629_UNION_BANK_OF_NIGERIA_PLC%20_AUDITED_FINANCIAL_STATEMENT.pdf</x:v>
      </x:c>
      <x:c r="J496" s="20" t="str">
        <x:v>2020 audited-report comparative</x:v>
      </x:c>
    </x:row>
    <x:row r="497" ht="52" customHeight="1">
      <x:c r="A497" s="18" t="str">
        <x:v>Uploaded Word</x:v>
      </x:c>
      <x:c r="B497" s="18" t="str">
        <x:v>Union</x:v>
      </x:c>
      <x:c r="C497" s="18" t="n">
        <x:v>2019</x:v>
      </x:c>
      <x:c r="D497" s="20" t="str">
        <x:v>npl_reported</x:v>
      </x:c>
      <x:c r="E497" s="22" t="n">
        <x:v>5.84</x:v>
      </x:c>
      <x:c r="F497" s="22"/>
      <x:c r="G497" s="22" t="str">
        <x:f>IF(COUNT(E497,F497)=2,F497-E497,"")</x:f>
      </x:c>
      <x:c r="H497" s="20" t="str">
        <x:v>Candidate retained outside selected field</x:v>
      </x:c>
      <x:c r="I497" s="20" t="str">
        <x:v>https://doclib.ngxgroup.com/Financial_NewsDocs/32629_UNION_BANK_OF_NIGERIA_PLC%20_AUDITED_FINANCIAL_STATEMENT.pdf</x:v>
      </x:c>
      <x:c r="J497" s="20" t="str">
        <x:v>2020 audited-report comparative</x:v>
      </x:c>
    </x:row>
    <x:row r="498" ht="52" customHeight="1">
      <x:c r="A498" s="18" t="str">
        <x:v>Uploaded Word</x:v>
      </x:c>
      <x:c r="B498" s="18" t="str">
        <x:v>Union</x:v>
      </x:c>
      <x:c r="C498" s="18" t="n">
        <x:v>2019</x:v>
      </x:c>
      <x:c r="D498" s="20" t="str">
        <x:v>gcu</x:v>
      </x:c>
      <x:c r="E498" s="22" t="n">
        <x:v>0</x:v>
      </x:c>
      <x:c r="F498" s="22"/>
      <x:c r="G498" s="22" t="str">
        <x:f>IF(COUNT(E498,F498)=2,F498-E498,"")</x:f>
      </x:c>
      <x:c r="H498" s="20" t="str">
        <x:v>Candidate retained outside selected field</x:v>
      </x:c>
      <x:c r="I498" s="20" t="str">
        <x:v>https://doclib.ngxgroup.com/Financial_NewsDocs/32629_UNION_BANK_OF_NIGERIA_PLC%20_AUDITED_FINANCIAL_STATEMENT.pdf</x:v>
      </x:c>
      <x:c r="J498" s="20" t="str">
        <x:v>2020 audited-report comparative</x:v>
      </x:c>
    </x:row>
    <x:row r="499" ht="52" customHeight="1">
      <x:c r="A499" s="18" t="str">
        <x:v>Uploaded Word</x:v>
      </x:c>
      <x:c r="B499" s="18" t="str">
        <x:v>Union</x:v>
      </x:c>
      <x:c r="C499" s="18" t="n">
        <x:v>2020</x:v>
      </x:c>
      <x:c r="D499" s="20" t="str">
        <x:v>pat</x:v>
      </x:c>
      <x:c r="E499" s="22" t="n">
        <x:v>24653</x:v>
      </x:c>
      <x:c r="F499" s="22" t="n">
        <x:v>24653</x:v>
      </x:c>
      <x:c r="G499" s="22" t="n">
        <x:f>IF(COUNT(E499,F499)=2,F499-E499,"")</x:f>
        <x:v>0</x:v>
      </x:c>
      <x:c r="H499" s="20" t="str">
        <x:v>Exact agreement</x:v>
      </x:c>
      <x:c r="I499" s="20" t="str">
        <x:v>https://doclib.ngxgroup.com/Financial_NewsDocs/32629_UNION_BANK_OF_NIGERIA_PLC%20_AUDITED_FINANCIAL_STATEMENT.pdf</x:v>
      </x:c>
      <x:c r="J499" s="20" t="str">
        <x:v>2020 audited-report current-year</x:v>
      </x:c>
    </x:row>
    <x:row r="500" ht="52" customHeight="1">
      <x:c r="A500" s="18" t="str">
        <x:v>Uploaded Word</x:v>
      </x:c>
      <x:c r="B500" s="18" t="str">
        <x:v>Union</x:v>
      </x:c>
      <x:c r="C500" s="18" t="n">
        <x:v>2020</x:v>
      </x:c>
      <x:c r="D500" s="20" t="str">
        <x:v>gross_earnings</x:v>
      </x:c>
      <x:c r="E500" s="22" t="n">
        <x:v>156885</x:v>
      </x:c>
      <x:c r="F500" s="22" t="n">
        <x:v>156885</x:v>
      </x:c>
      <x:c r="G500" s="22" t="n">
        <x:f>IF(COUNT(E500,F500)=2,F500-E500,"")</x:f>
        <x:v>0</x:v>
      </x:c>
      <x:c r="H500" s="20" t="str">
        <x:v>Exact agreement</x:v>
      </x:c>
      <x:c r="I500" s="20" t="str">
        <x:v>https://doclib.ngxgroup.com/Financial_NewsDocs/32629_UNION_BANK_OF_NIGERIA_PLC%20_AUDITED_FINANCIAL_STATEMENT.pdf</x:v>
      </x:c>
      <x:c r="J500" s="20" t="str">
        <x:v>2020 audited-report current-year</x:v>
      </x:c>
    </x:row>
    <x:row r="501" ht="52" customHeight="1">
      <x:c r="A501" s="18" t="str">
        <x:v>Uploaded Word</x:v>
      </x:c>
      <x:c r="B501" s="18" t="str">
        <x:v>Union</x:v>
      </x:c>
      <x:c r="C501" s="18" t="n">
        <x:v>2020</x:v>
      </x:c>
      <x:c r="D501" s="20" t="str">
        <x:v>assets</x:v>
      </x:c>
      <x:c r="E501" s="22" t="n">
        <x:v>2073758</x:v>
      </x:c>
      <x:c r="F501" s="22" t="n">
        <x:v>2073758</x:v>
      </x:c>
      <x:c r="G501" s="22" t="n">
        <x:f>IF(COUNT(E501,F501)=2,F501-E501,"")</x:f>
        <x:v>0</x:v>
      </x:c>
      <x:c r="H501" s="20" t="str">
        <x:v>Exact agreement</x:v>
      </x:c>
      <x:c r="I501" s="20" t="str">
        <x:v>https://doclib.ngxgroup.com/Financial_NewsDocs/32629_UNION_BANK_OF_NIGERIA_PLC%20_AUDITED_FINANCIAL_STATEMENT.pdf</x:v>
      </x:c>
      <x:c r="J501" s="20" t="str">
        <x:v>2020 audited-report current-year</x:v>
      </x:c>
    </x:row>
    <x:row r="502" ht="52" customHeight="1">
      <x:c r="A502" s="18" t="str">
        <x:v>Uploaded Word</x:v>
      </x:c>
      <x:c r="B502" s="18" t="str">
        <x:v>Union</x:v>
      </x:c>
      <x:c r="C502" s="18" t="n">
        <x:v>2020</x:v>
      </x:c>
      <x:c r="D502" s="20" t="str">
        <x:v>gross_loans</x:v>
      </x:c>
      <x:c r="E502" s="22" t="n">
        <x:v>736712</x:v>
      </x:c>
      <x:c r="F502" s="22" t="n">
        <x:v>736712</x:v>
      </x:c>
      <x:c r="G502" s="22" t="n">
        <x:f>IF(COUNT(E502,F502)=2,F502-E502,"")</x:f>
        <x:v>0</x:v>
      </x:c>
      <x:c r="H502" s="20" t="str">
        <x:v>Exact agreement</x:v>
      </x:c>
      <x:c r="I502" s="20" t="str">
        <x:v>https://doclib.ngxgroup.com/Financial_NewsDocs/32629_UNION_BANK_OF_NIGERIA_PLC%20_AUDITED_FINANCIAL_STATEMENT.pdf</x:v>
      </x:c>
      <x:c r="J502" s="20" t="str">
        <x:v>2020 audited-report current-year</x:v>
      </x:c>
    </x:row>
    <x:row r="503" ht="52" customHeight="1">
      <x:c r="A503" s="18" t="str">
        <x:v>Uploaded Word</x:v>
      </x:c>
      <x:c r="B503" s="18" t="str">
        <x:v>Union</x:v>
      </x:c>
      <x:c r="C503" s="18" t="n">
        <x:v>2020</x:v>
      </x:c>
      <x:c r="D503" s="20" t="str">
        <x:v>loan_allowance</x:v>
      </x:c>
      <x:c r="E503" s="22" t="n">
        <x:v>43909</x:v>
      </x:c>
      <x:c r="F503" s="22" t="n">
        <x:v>43909</x:v>
      </x:c>
      <x:c r="G503" s="22" t="n">
        <x:f>IF(COUNT(E503,F503)=2,F503-E503,"")</x:f>
        <x:v>0</x:v>
      </x:c>
      <x:c r="H503" s="20" t="str">
        <x:v>Exact agreement</x:v>
      </x:c>
      <x:c r="I503" s="20" t="str">
        <x:v>https://doclib.ngxgroup.com/Financial_NewsDocs/32629_UNION_BANK_OF_NIGERIA_PLC%20_AUDITED_FINANCIAL_STATEMENT.pdf</x:v>
      </x:c>
      <x:c r="J503" s="20" t="str">
        <x:v>2020 audited-report current-year</x:v>
      </x:c>
    </x:row>
    <x:row r="504" ht="52" customHeight="1">
      <x:c r="A504" s="18" t="str">
        <x:v>Uploaded Word</x:v>
      </x:c>
      <x:c r="B504" s="18" t="str">
        <x:v>Union</x:v>
      </x:c>
      <x:c r="C504" s="18" t="n">
        <x:v>2020</x:v>
      </x:c>
      <x:c r="D504" s="20" t="str">
        <x:v>total_impairment</x:v>
      </x:c>
      <x:c r="E504" s="22" t="n">
        <x:v>-2559</x:v>
      </x:c>
      <x:c r="F504" s="22" t="n">
        <x:v>-2559</x:v>
      </x:c>
      <x:c r="G504" s="22" t="n">
        <x:f>IF(COUNT(E504,F504)=2,F504-E504,"")</x:f>
        <x:v>0</x:v>
      </x:c>
      <x:c r="H504" s="20" t="str">
        <x:v>Exact agreement</x:v>
      </x:c>
      <x:c r="I504" s="20" t="str">
        <x:v>https://doclib.ngxgroup.com/Financial_NewsDocs/32629_UNION_BANK_OF_NIGERIA_PLC%20_AUDITED_FINANCIAL_STATEMENT.pdf</x:v>
      </x:c>
      <x:c r="J504" s="20" t="str">
        <x:v>2020 audited-report current-year</x:v>
      </x:c>
    </x:row>
    <x:row r="505" ht="52" customHeight="1">
      <x:c r="A505" s="18" t="str">
        <x:v>Uploaded Word</x:v>
      </x:c>
      <x:c r="B505" s="18" t="str">
        <x:v>Union</x:v>
      </x:c>
      <x:c r="C505" s="18" t="n">
        <x:v>2020</x:v>
      </x:c>
      <x:c r="D505" s="20" t="str">
        <x:v>car</x:v>
      </x:c>
      <x:c r="E505" s="22" t="n">
        <x:v>17.46</x:v>
      </x:c>
      <x:c r="F505" s="22" t="n">
        <x:v>15.76</x:v>
      </x:c>
      <x:c r="G505" s="22" t="n">
        <x:f>IF(COUNT(E505,F505)=2,F505-E505,"")</x:f>
        <x:v>-1.700000000000001</x:v>
      </x:c>
      <x:c r="H505" s="20" t="str">
        <x:v>Difference: retain selected source / definition</x:v>
      </x:c>
      <x:c r="I505" s="20" t="str">
        <x:v>https://doclib.ngxgroup.com/Financial_NewsDocs/32629_UNION_BANK_OF_NIGERIA_PLC%20_AUDITED_FINANCIAL_STATEMENT.pdf</x:v>
      </x:c>
      <x:c r="J505" s="20" t="str">
        <x:v>2020 audited-report current-year</x:v>
      </x:c>
    </x:row>
    <x:row r="506" ht="52" customHeight="1">
      <x:c r="A506" s="18" t="str">
        <x:v>Uploaded Word</x:v>
      </x:c>
      <x:c r="B506" s="18" t="str">
        <x:v>Union</x:v>
      </x:c>
      <x:c r="C506" s="18" t="n">
        <x:v>2020</x:v>
      </x:c>
      <x:c r="D506" s="20" t="str">
        <x:v>npl_reported</x:v>
      </x:c>
      <x:c r="E506" s="22" t="n">
        <x:v>4</x:v>
      </x:c>
      <x:c r="F506" s="22"/>
      <x:c r="G506" s="22" t="str">
        <x:f>IF(COUNT(E506,F506)=2,F506-E506,"")</x:f>
      </x:c>
      <x:c r="H506" s="20" t="str">
        <x:v>Candidate retained outside selected field</x:v>
      </x:c>
      <x:c r="I506" s="20" t="str">
        <x:v>https://doclib.ngxgroup.com/Financial_NewsDocs/32629_UNION_BANK_OF_NIGERIA_PLC%20_AUDITED_FINANCIAL_STATEMENT.pdf</x:v>
      </x:c>
      <x:c r="J506" s="20" t="str">
        <x:v>2020 audited-report current-year</x:v>
      </x:c>
    </x:row>
    <x:row r="507" ht="52" customHeight="1">
      <x:c r="A507" s="18" t="str">
        <x:v>Uploaded Word</x:v>
      </x:c>
      <x:c r="B507" s="18" t="str">
        <x:v>Union</x:v>
      </x:c>
      <x:c r="C507" s="18" t="n">
        <x:v>2020</x:v>
      </x:c>
      <x:c r="D507" s="20" t="str">
        <x:v>gcu</x:v>
      </x:c>
      <x:c r="E507" s="22" t="n">
        <x:v>0</x:v>
      </x:c>
      <x:c r="F507" s="22"/>
      <x:c r="G507" s="22" t="str">
        <x:f>IF(COUNT(E507,F507)=2,F507-E507,"")</x:f>
      </x:c>
      <x:c r="H507" s="20" t="str">
        <x:v>Candidate retained outside selected field</x:v>
      </x:c>
      <x:c r="I507" s="20" t="str">
        <x:v>https://doclib.ngxgroup.com/Financial_NewsDocs/32629_UNION_BANK_OF_NIGERIA_PLC%20_AUDITED_FINANCIAL_STATEMENT.pdf</x:v>
      </x:c>
      <x:c r="J507" s="20" t="str">
        <x:v>2020 audited-report current-year</x:v>
      </x:c>
    </x:row>
    <x:row r="508" ht="52" customHeight="1">
      <x:c r="A508" s="18" t="str">
        <x:v>Uploaded Word</x:v>
      </x:c>
      <x:c r="B508" s="18" t="str">
        <x:v>Union</x:v>
      </x:c>
      <x:c r="C508" s="18" t="n">
        <x:v>2021</x:v>
      </x:c>
      <x:c r="D508" s="20" t="str">
        <x:v>pat</x:v>
      </x:c>
      <x:c r="E508" s="22" t="n">
        <x:v>19180</x:v>
      </x:c>
      <x:c r="F508" s="22" t="n">
        <x:v>19180</x:v>
      </x:c>
      <x:c r="G508" s="22" t="n">
        <x:f>IF(COUNT(E508,F508)=2,F508-E508,"")</x:f>
        <x:v>0</x:v>
      </x:c>
      <x:c r="H508" s="20" t="str">
        <x:v>Exact agreement</x:v>
      </x:c>
      <x:c r="I508" s="20" t="str">
        <x:v>https://doclib.ngxgroup.com/Financial_NewsDocs/38269_UNION_BANK_OF_NIGERIA_PLC-_QUARTER_5_-_FINANCIAL_STATEMENT_FOR_2022_FINANCIAL_STATEMENTS_APRIL_2023.pdf</x:v>
      </x:c>
      <x:c r="J508" s="20" t="str">
        <x:v>2022 audited-report comparative</x:v>
      </x:c>
    </x:row>
    <x:row r="509" ht="52" customHeight="1">
      <x:c r="A509" s="18" t="str">
        <x:v>Uploaded Word</x:v>
      </x:c>
      <x:c r="B509" s="18" t="str">
        <x:v>Union</x:v>
      </x:c>
      <x:c r="C509" s="18" t="n">
        <x:v>2021</x:v>
      </x:c>
      <x:c r="D509" s="20" t="str">
        <x:v>gross_earnings</x:v>
      </x:c>
      <x:c r="E509" s="22" t="n">
        <x:v>175006</x:v>
      </x:c>
      <x:c r="F509" s="22" t="n">
        <x:v>175006</x:v>
      </x:c>
      <x:c r="G509" s="22" t="n">
        <x:f>IF(COUNT(E509,F509)=2,F509-E509,"")</x:f>
        <x:v>0</x:v>
      </x:c>
      <x:c r="H509" s="20" t="str">
        <x:v>Exact agreement</x:v>
      </x:c>
      <x:c r="I509" s="20" t="str">
        <x:v>https://doclib.ngxgroup.com/Financial_NewsDocs/38269_UNION_BANK_OF_NIGERIA_PLC-_QUARTER_5_-_FINANCIAL_STATEMENT_FOR_2022_FINANCIAL_STATEMENTS_APRIL_2023.pdf</x:v>
      </x:c>
      <x:c r="J509" s="20" t="str">
        <x:v>2022 audited-report comparative</x:v>
      </x:c>
    </x:row>
    <x:row r="510" ht="52" customHeight="1">
      <x:c r="A510" s="18" t="str">
        <x:v>Uploaded Word</x:v>
      </x:c>
      <x:c r="B510" s="18" t="str">
        <x:v>Union</x:v>
      </x:c>
      <x:c r="C510" s="18" t="n">
        <x:v>2021</x:v>
      </x:c>
      <x:c r="D510" s="20" t="str">
        <x:v>assets</x:v>
      </x:c>
      <x:c r="E510" s="22" t="n">
        <x:v>2567441</x:v>
      </x:c>
      <x:c r="F510" s="22" t="n">
        <x:v>2567441</x:v>
      </x:c>
      <x:c r="G510" s="22" t="n">
        <x:f>IF(COUNT(E510,F510)=2,F510-E510,"")</x:f>
        <x:v>0</x:v>
      </x:c>
      <x:c r="H510" s="20" t="str">
        <x:v>Exact agreement</x:v>
      </x:c>
      <x:c r="I510" s="20" t="str">
        <x:v>https://doclib.ngxgroup.com/Financial_NewsDocs/38269_UNION_BANK_OF_NIGERIA_PLC-_QUARTER_5_-_FINANCIAL_STATEMENT_FOR_2022_FINANCIAL_STATEMENTS_APRIL_2023.pdf</x:v>
      </x:c>
      <x:c r="J510" s="20" t="str">
        <x:v>2022 audited-report comparative</x:v>
      </x:c>
    </x:row>
    <x:row r="511" ht="52" customHeight="1">
      <x:c r="A511" s="18" t="str">
        <x:v>Uploaded Word</x:v>
      </x:c>
      <x:c r="B511" s="18" t="str">
        <x:v>Union</x:v>
      </x:c>
      <x:c r="C511" s="18" t="n">
        <x:v>2021</x:v>
      </x:c>
      <x:c r="D511" s="20" t="str">
        <x:v>gross_loans</x:v>
      </x:c>
      <x:c r="E511" s="22" t="n">
        <x:v>868840</x:v>
      </x:c>
      <x:c r="F511" s="22" t="n">
        <x:v>899106</x:v>
      </x:c>
      <x:c r="G511" s="22" t="n">
        <x:f>IF(COUNT(E511,F511)=2,F511-E511,"")</x:f>
        <x:v>30266</x:v>
      </x:c>
      <x:c r="H511" s="20" t="str">
        <x:v>Difference: retain selected source / definition</x:v>
      </x:c>
      <x:c r="I511" s="20" t="str">
        <x:v>https://doclib.ngxgroup.com/Financial_NewsDocs/38269_UNION_BANK_OF_NIGERIA_PLC-_QUARTER_5_-_FINANCIAL_STATEMENT_FOR_2022_FINANCIAL_STATEMENTS_APRIL_2023.pdf</x:v>
      </x:c>
      <x:c r="J511" s="20" t="str">
        <x:v>2022 audited-report comparative</x:v>
      </x:c>
    </x:row>
    <x:row r="512" ht="52" customHeight="1">
      <x:c r="A512" s="18" t="str">
        <x:v>Uploaded Word</x:v>
      </x:c>
      <x:c r="B512" s="18" t="str">
        <x:v>Union</x:v>
      </x:c>
      <x:c r="C512" s="18" t="n">
        <x:v>2021</x:v>
      </x:c>
      <x:c r="D512" s="20" t="str">
        <x:v>loan_allowance</x:v>
      </x:c>
      <x:c r="E512" s="22" t="n">
        <x:v>41537</x:v>
      </x:c>
      <x:c r="F512" s="22" t="n">
        <x:v>30266</x:v>
      </x:c>
      <x:c r="G512" s="22" t="n">
        <x:f>IF(COUNT(E512,F512)=2,F512-E512,"")</x:f>
        <x:v>-11271</x:v>
      </x:c>
      <x:c r="H512" s="20" t="str">
        <x:v>Difference: retain selected source / definition</x:v>
      </x:c>
      <x:c r="I512" s="20" t="str">
        <x:v>https://doclib.ngxgroup.com/Financial_NewsDocs/38269_UNION_BANK_OF_NIGERIA_PLC-_QUARTER_5_-_FINANCIAL_STATEMENT_FOR_2022_FINANCIAL_STATEMENTS_APRIL_2023.pdf</x:v>
      </x:c>
      <x:c r="J512" s="20" t="str">
        <x:v>2022 audited-report comparative</x:v>
      </x:c>
    </x:row>
    <x:row r="513" ht="52" customHeight="1">
      <x:c r="A513" s="18" t="str">
        <x:v>Uploaded Word</x:v>
      </x:c>
      <x:c r="B513" s="18" t="str">
        <x:v>Union</x:v>
      </x:c>
      <x:c r="C513" s="18" t="n">
        <x:v>2021</x:v>
      </x:c>
      <x:c r="D513" s="20" t="str">
        <x:v>total_impairment</x:v>
      </x:c>
      <x:c r="E513" s="22" t="n">
        <x:v>34</x:v>
      </x:c>
      <x:c r="F513" s="22" t="n">
        <x:v>286</x:v>
      </x:c>
      <x:c r="G513" s="22" t="n">
        <x:f>IF(COUNT(E513,F513)=2,F513-E513,"")</x:f>
        <x:v>252</x:v>
      </x:c>
      <x:c r="H513" s="20" t="str">
        <x:v>Difference: retain selected source / definition</x:v>
      </x:c>
      <x:c r="I513" s="20" t="str">
        <x:v>https://doclib.ngxgroup.com/Financial_NewsDocs/38269_UNION_BANK_OF_NIGERIA_PLC-_QUARTER_5_-_FINANCIAL_STATEMENT_FOR_2022_FINANCIAL_STATEMENTS_APRIL_2023.pdf</x:v>
      </x:c>
      <x:c r="J513" s="20" t="str">
        <x:v>2022 audited-report comparative</x:v>
      </x:c>
    </x:row>
    <x:row r="514" ht="52" customHeight="1">
      <x:c r="A514" s="18" t="str">
        <x:v>Uploaded Word</x:v>
      </x:c>
      <x:c r="B514" s="18" t="str">
        <x:v>Union</x:v>
      </x:c>
      <x:c r="C514" s="18" t="n">
        <x:v>2021</x:v>
      </x:c>
      <x:c r="D514" s="20" t="str">
        <x:v>car</x:v>
      </x:c>
      <x:c r="E514" s="22" t="n">
        <x:v>14.61</x:v>
      </x:c>
      <x:c r="F514" s="22" t="n">
        <x:v>14.61</x:v>
      </x:c>
      <x:c r="G514" s="22" t="n">
        <x:f>IF(COUNT(E514,F514)=2,F514-E514,"")</x:f>
        <x:v>0</x:v>
      </x:c>
      <x:c r="H514" s="20" t="str">
        <x:v>Exact agreement</x:v>
      </x:c>
      <x:c r="I514" s="20" t="str">
        <x:v>https://doclib.ngxgroup.com/Financial_NewsDocs/38269_UNION_BANK_OF_NIGERIA_PLC-_QUARTER_5_-_FINANCIAL_STATEMENT_FOR_2022_FINANCIAL_STATEMENTS_APRIL_2023.pdf</x:v>
      </x:c>
      <x:c r="J514" s="20" t="str">
        <x:v>2022 audited-report comparative</x:v>
      </x:c>
    </x:row>
    <x:row r="515" ht="52" customHeight="1">
      <x:c r="A515" s="18" t="str">
        <x:v>Uploaded Word</x:v>
      </x:c>
      <x:c r="B515" s="18" t="str">
        <x:v>Union</x:v>
      </x:c>
      <x:c r="C515" s="18" t="n">
        <x:v>2021</x:v>
      </x:c>
      <x:c r="D515" s="20" t="str">
        <x:v>npl_reported</x:v>
      </x:c>
      <x:c r="E515" s="22" t="n">
        <x:v>4.3</x:v>
      </x:c>
      <x:c r="F515" s="22"/>
      <x:c r="G515" s="22" t="str">
        <x:f>IF(COUNT(E515,F515)=2,F515-E515,"")</x:f>
      </x:c>
      <x:c r="H515" s="20" t="str">
        <x:v>Candidate retained outside selected field</x:v>
      </x:c>
      <x:c r="I515" s="20" t="str">
        <x:v>https://doclib.ngxgroup.com/Financial_NewsDocs/38269_UNION_BANK_OF_NIGERIA_PLC-_QUARTER_5_-_FINANCIAL_STATEMENT_FOR_2022_FINANCIAL_STATEMENTS_APRIL_2023.pdf</x:v>
      </x:c>
      <x:c r="J515" s="20" t="str">
        <x:v>2022 audited-report comparative</x:v>
      </x:c>
    </x:row>
    <x:row r="516" ht="52" customHeight="1">
      <x:c r="A516" s="18" t="str">
        <x:v>Uploaded Word</x:v>
      </x:c>
      <x:c r="B516" s="18" t="str">
        <x:v>Union</x:v>
      </x:c>
      <x:c r="C516" s="18" t="n">
        <x:v>2021</x:v>
      </x:c>
      <x:c r="D516" s="20" t="str">
        <x:v>gcu</x:v>
      </x:c>
      <x:c r="E516" s="22" t="n">
        <x:v>0</x:v>
      </x:c>
      <x:c r="F516" s="22"/>
      <x:c r="G516" s="22" t="str">
        <x:f>IF(COUNT(E516,F516)=2,F516-E516,"")</x:f>
      </x:c>
      <x:c r="H516" s="20" t="str">
        <x:v>Candidate retained outside selected field</x:v>
      </x:c>
      <x:c r="I516" s="20" t="str">
        <x:v>https://doclib.ngxgroup.com/Financial_NewsDocs/38269_UNION_BANK_OF_NIGERIA_PLC-_QUARTER_5_-_FINANCIAL_STATEMENT_FOR_2022_FINANCIAL_STATEMENTS_APRIL_2023.pdf</x:v>
      </x:c>
      <x:c r="J516" s="20" t="str">
        <x:v>2022 audited-report comparative</x:v>
      </x:c>
    </x:row>
    <x:row r="517" ht="52" customHeight="1">
      <x:c r="A517" s="18" t="str">
        <x:v>Uploaded Word</x:v>
      </x:c>
      <x:c r="B517" s="18" t="str">
        <x:v>Union</x:v>
      </x:c>
      <x:c r="C517" s="18" t="n">
        <x:v>2022</x:v>
      </x:c>
      <x:c r="D517" s="20" t="str">
        <x:v>pat</x:v>
      </x:c>
      <x:c r="E517" s="22" t="n">
        <x:v>29009</x:v>
      </x:c>
      <x:c r="F517" s="22" t="n">
        <x:v>29009</x:v>
      </x:c>
      <x:c r="G517" s="22" t="n">
        <x:f>IF(COUNT(E517,F517)=2,F517-E517,"")</x:f>
        <x:v>0</x:v>
      </x:c>
      <x:c r="H517" s="20" t="str">
        <x:v>Exact agreement</x:v>
      </x:c>
      <x:c r="I517" s="20" t="str">
        <x:v>https://doclib.ngxgroup.com/Financial_NewsDocs/38269_UNION_BANK_OF_NIGERIA_PLC-_QUARTER_5_-_FINANCIAL_STATEMENT_FOR_2022_FINANCIAL_STATEMENTS_APRIL_2023.pdf</x:v>
      </x:c>
      <x:c r="J517" s="20" t="str">
        <x:v>2022 audited-report current-year</x:v>
      </x:c>
    </x:row>
    <x:row r="518" ht="52" customHeight="1">
      <x:c r="A518" s="18" t="str">
        <x:v>Uploaded Word</x:v>
      </x:c>
      <x:c r="B518" s="18" t="str">
        <x:v>Union</x:v>
      </x:c>
      <x:c r="C518" s="18" t="n">
        <x:v>2022</x:v>
      </x:c>
      <x:c r="D518" s="20" t="str">
        <x:v>gross_earnings</x:v>
      </x:c>
      <x:c r="E518" s="22" t="n">
        <x:v>208171</x:v>
      </x:c>
      <x:c r="F518" s="22" t="n">
        <x:v>208171</x:v>
      </x:c>
      <x:c r="G518" s="22" t="n">
        <x:f>IF(COUNT(E518,F518)=2,F518-E518,"")</x:f>
        <x:v>0</x:v>
      </x:c>
      <x:c r="H518" s="20" t="str">
        <x:v>Exact agreement</x:v>
      </x:c>
      <x:c r="I518" s="20" t="str">
        <x:v>https://doclib.ngxgroup.com/Financial_NewsDocs/38269_UNION_BANK_OF_NIGERIA_PLC-_QUARTER_5_-_FINANCIAL_STATEMENT_FOR_2022_FINANCIAL_STATEMENTS_APRIL_2023.pdf</x:v>
      </x:c>
      <x:c r="J518" s="20" t="str">
        <x:v>2022 audited-report current-year</x:v>
      </x:c>
    </x:row>
    <x:row r="519" ht="52" customHeight="1">
      <x:c r="A519" s="18" t="str">
        <x:v>Uploaded Word</x:v>
      </x:c>
      <x:c r="B519" s="18" t="str">
        <x:v>Union</x:v>
      </x:c>
      <x:c r="C519" s="18" t="n">
        <x:v>2022</x:v>
      </x:c>
      <x:c r="D519" s="20" t="str">
        <x:v>assets</x:v>
      </x:c>
      <x:c r="E519" s="22" t="n">
        <x:v>2793674</x:v>
      </x:c>
      <x:c r="F519" s="22" t="n">
        <x:v>2793674</x:v>
      </x:c>
      <x:c r="G519" s="22" t="n">
        <x:f>IF(COUNT(E519,F519)=2,F519-E519,"")</x:f>
        <x:v>0</x:v>
      </x:c>
      <x:c r="H519" s="20" t="str">
        <x:v>Exact agreement</x:v>
      </x:c>
      <x:c r="I519" s="20" t="str">
        <x:v>https://doclib.ngxgroup.com/Financial_NewsDocs/38269_UNION_BANK_OF_NIGERIA_PLC-_QUARTER_5_-_FINANCIAL_STATEMENT_FOR_2022_FINANCIAL_STATEMENTS_APRIL_2023.pdf</x:v>
      </x:c>
      <x:c r="J519" s="20" t="str">
        <x:v>2022 audited-report current-year</x:v>
      </x:c>
    </x:row>
    <x:row r="520" ht="52" customHeight="1">
      <x:c r="A520" s="18" t="str">
        <x:v>Uploaded Word</x:v>
      </x:c>
      <x:c r="B520" s="18" t="str">
        <x:v>Union</x:v>
      </x:c>
      <x:c r="C520" s="18" t="n">
        <x:v>2022</x:v>
      </x:c>
      <x:c r="D520" s="20" t="str">
        <x:v>gross_loans</x:v>
      </x:c>
      <x:c r="E520" s="22" t="n">
        <x:v>1000903</x:v>
      </x:c>
      <x:c r="F520" s="22" t="n">
        <x:v>1000903</x:v>
      </x:c>
      <x:c r="G520" s="22" t="n">
        <x:f>IF(COUNT(E520,F520)=2,F520-E520,"")</x:f>
        <x:v>0</x:v>
      </x:c>
      <x:c r="H520" s="20" t="str">
        <x:v>Exact agreement</x:v>
      </x:c>
      <x:c r="I520" s="20" t="str">
        <x:v>https://doclib.ngxgroup.com/Financial_NewsDocs/38269_UNION_BANK_OF_NIGERIA_PLC-_QUARTER_5_-_FINANCIAL_STATEMENT_FOR_2022_FINANCIAL_STATEMENTS_APRIL_2023.pdf</x:v>
      </x:c>
      <x:c r="J520" s="20" t="str">
        <x:v>2022 audited-report current-year</x:v>
      </x:c>
    </x:row>
    <x:row r="521" ht="52" customHeight="1">
      <x:c r="A521" s="18" t="str">
        <x:v>Uploaded Word</x:v>
      </x:c>
      <x:c r="B521" s="18" t="str">
        <x:v>Union</x:v>
      </x:c>
      <x:c r="C521" s="18" t="n">
        <x:v>2022</x:v>
      </x:c>
      <x:c r="D521" s="20" t="str">
        <x:v>loan_allowance</x:v>
      </x:c>
      <x:c r="E521" s="22" t="n">
        <x:v>46628</x:v>
      </x:c>
      <x:c r="F521" s="22" t="n">
        <x:v>32015</x:v>
      </x:c>
      <x:c r="G521" s="22" t="n">
        <x:f>IF(COUNT(E521,F521)=2,F521-E521,"")</x:f>
        <x:v>-14613</x:v>
      </x:c>
      <x:c r="H521" s="20" t="str">
        <x:v>Difference: retain selected source / definition</x:v>
      </x:c>
      <x:c r="I521" s="20" t="str">
        <x:v>https://doclib.ngxgroup.com/Financial_NewsDocs/38269_UNION_BANK_OF_NIGERIA_PLC-_QUARTER_5_-_FINANCIAL_STATEMENT_FOR_2022_FINANCIAL_STATEMENTS_APRIL_2023.pdf</x:v>
      </x:c>
      <x:c r="J521" s="20" t="str">
        <x:v>2022 audited-report current-year</x:v>
      </x:c>
    </x:row>
    <x:row r="522" ht="52" customHeight="1">
      <x:c r="A522" s="18" t="str">
        <x:v>Uploaded Word</x:v>
      </x:c>
      <x:c r="B522" s="18" t="str">
        <x:v>Union</x:v>
      </x:c>
      <x:c r="C522" s="18" t="n">
        <x:v>2022</x:v>
      </x:c>
      <x:c r="D522" s="20" t="str">
        <x:v>total_impairment</x:v>
      </x:c>
      <x:c r="E522" s="22" t="n">
        <x:v>1749</x:v>
      </x:c>
      <x:c r="F522" s="22" t="n">
        <x:v>4475</x:v>
      </x:c>
      <x:c r="G522" s="22" t="n">
        <x:f>IF(COUNT(E522,F522)=2,F522-E522,"")</x:f>
        <x:v>2726</x:v>
      </x:c>
      <x:c r="H522" s="20" t="str">
        <x:v>Difference: retain selected source / definition</x:v>
      </x:c>
      <x:c r="I522" s="20" t="str">
        <x:v>https://doclib.ngxgroup.com/Financial_NewsDocs/38269_UNION_BANK_OF_NIGERIA_PLC-_QUARTER_5_-_FINANCIAL_STATEMENT_FOR_2022_FINANCIAL_STATEMENTS_APRIL_2023.pdf</x:v>
      </x:c>
      <x:c r="J522" s="20" t="str">
        <x:v>2022 audited-report current-year</x:v>
      </x:c>
    </x:row>
    <x:row r="523" ht="52" customHeight="1">
      <x:c r="A523" s="18" t="str">
        <x:v>Uploaded Word</x:v>
      </x:c>
      <x:c r="B523" s="18" t="str">
        <x:v>Union</x:v>
      </x:c>
      <x:c r="C523" s="18" t="n">
        <x:v>2022</x:v>
      </x:c>
      <x:c r="D523" s="20" t="str">
        <x:v>car</x:v>
      </x:c>
      <x:c r="E523" s="22" t="n">
        <x:v>14.42</x:v>
      </x:c>
      <x:c r="F523" s="22" t="n">
        <x:v>14.42</x:v>
      </x:c>
      <x:c r="G523" s="22" t="n">
        <x:f>IF(COUNT(E523,F523)=2,F523-E523,"")</x:f>
        <x:v>0</x:v>
      </x:c>
      <x:c r="H523" s="20" t="str">
        <x:v>Exact agreement</x:v>
      </x:c>
      <x:c r="I523" s="20" t="str">
        <x:v>https://doclib.ngxgroup.com/Financial_NewsDocs/38269_UNION_BANK_OF_NIGERIA_PLC-_QUARTER_5_-_FINANCIAL_STATEMENT_FOR_2022_FINANCIAL_STATEMENTS_APRIL_2023.pdf</x:v>
      </x:c>
      <x:c r="J523" s="20" t="str">
        <x:v>2022 audited-report current-year</x:v>
      </x:c>
    </x:row>
    <x:row r="524" ht="52" customHeight="1">
      <x:c r="A524" s="18" t="str">
        <x:v>Uploaded Word</x:v>
      </x:c>
      <x:c r="B524" s="18" t="str">
        <x:v>Union</x:v>
      </x:c>
      <x:c r="C524" s="18" t="n">
        <x:v>2022</x:v>
      </x:c>
      <x:c r="D524" s="20" t="str">
        <x:v>npl_reported</x:v>
      </x:c>
      <x:c r="E524" s="22" t="n">
        <x:v>4.02</x:v>
      </x:c>
      <x:c r="F524" s="22"/>
      <x:c r="G524" s="22" t="str">
        <x:f>IF(COUNT(E524,F524)=2,F524-E524,"")</x:f>
      </x:c>
      <x:c r="H524" s="20" t="str">
        <x:v>Candidate retained outside selected field</x:v>
      </x:c>
      <x:c r="I524" s="20" t="str">
        <x:v>https://doclib.ngxgroup.com/Financial_NewsDocs/38269_UNION_BANK_OF_NIGERIA_PLC-_QUARTER_5_-_FINANCIAL_STATEMENT_FOR_2022_FINANCIAL_STATEMENTS_APRIL_2023.pdf</x:v>
      </x:c>
      <x:c r="J524" s="20" t="str">
        <x:v>2022 audited-report current-year</x:v>
      </x:c>
    </x:row>
    <x:row r="525" ht="52" customHeight="1">
      <x:c r="A525" s="18" t="str">
        <x:v>Uploaded Word</x:v>
      </x:c>
      <x:c r="B525" s="18" t="str">
        <x:v>Union</x:v>
      </x:c>
      <x:c r="C525" s="18" t="n">
        <x:v>2022</x:v>
      </x:c>
      <x:c r="D525" s="20" t="str">
        <x:v>gcu</x:v>
      </x:c>
      <x:c r="E525" s="22" t="n">
        <x:v>0</x:v>
      </x:c>
      <x:c r="F525" s="22"/>
      <x:c r="G525" s="22" t="str">
        <x:f>IF(COUNT(E525,F525)=2,F525-E525,"")</x:f>
      </x:c>
      <x:c r="H525" s="20" t="str">
        <x:v>Candidate retained outside selected field</x:v>
      </x:c>
      <x:c r="I525" s="20" t="str">
        <x:v>https://doclib.ngxgroup.com/Financial_NewsDocs/38269_UNION_BANK_OF_NIGERIA_PLC-_QUARTER_5_-_FINANCIAL_STATEMENT_FOR_2022_FINANCIAL_STATEMENTS_APRIL_2023.pdf</x:v>
      </x:c>
      <x:c r="J525" s="20" t="str">
        <x:v>2022 audited-report current-year</x:v>
      </x:c>
    </x:row>
  </x:sheetData>
  <x:mergeCells>
    <x:mergeCell ref="A1:J1"/>
    <x:mergeCell ref="A2:J3"/>
  </x:mergeCells>
  <x:pageMargins left="0.7" right="0.7" top="0.75" bottom="0.75" header="0.3" footer="0.3"/>
  <x:tableParts count="1">
    <x:tablePart xmlns:r="http://schemas.openxmlformats.org/officeDocument/2006/relationships" r:id="R6572cc99a75b4f17"/>
  </x:tableParts>
</x:worksheet>
</file>

<file path=xl/worksheets/sheet8.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3" hidden="0" customWidth="1"/>
    <x:col min="2" max="2" width="23" hidden="0" customWidth="1"/>
    <x:col min="3" max="3" width="10" hidden="0" customWidth="1"/>
    <x:col min="4" max="4" width="40" hidden="0" customWidth="1"/>
  </x:cols>
  <x:sheetData>
    <x:row r="1" ht="30" customHeight="1">
      <x:c r="A1" s="3" t="str">
        <x:v>RAW SOURCE ASSERTIONS AND QUALIFICATIONS</x:v>
      </x:c>
      <x:c r="B1" s="3"/>
      <x:c r="C1" s="3"/>
      <x:c r="D1" s="3"/>
    </x:row>
    <x:row r="2" ht="25" customHeight="1">
      <x:c r="A2" s="8" t="str">
        <x:v>Preserved from the uploaded CSV, split into consecutively numbered text segments for readability. These are claims made by the extraction, not new primary-source verification.</x:v>
      </x:c>
      <x:c r="B2" s="8"/>
      <x:c r="C2" s="8"/>
      <x:c r="D2" s="8"/>
    </x:row>
    <x:row r="3" ht="20" customHeight="1">
      <x:c r="A3" s="8"/>
      <x:c r="B3" s="8"/>
      <x:c r="C3" s="8"/>
      <x:c r="D3" s="8"/>
    </x:row>
    <x:row r="5" ht="34" customHeight="1">
      <x:c r="A5" s="14" t="str">
        <x:v>Bank</x:v>
      </x:c>
      <x:c r="B5" s="14" t="str">
        <x:v>Text type</x:v>
      </x:c>
      <x:c r="C5" s="14" t="str">
        <x:v>Part</x:v>
      </x:c>
      <x:c r="D5" s="14" t="str">
        <x:v>Supplied text</x:v>
      </x:c>
    </x:row>
    <x:row r="6" ht="84" customHeight="1">
      <x:c r="A6" s="18" t="str">
        <x:v>Access</x:v>
      </x:c>
      <x:c r="B6" s="18" t="str">
        <x:v>Source assertion</x:v>
      </x:c>
      <x:c r="C6" s="18" t="n">
        <x:v>1</x:v>
      </x:c>
      <x:c r="D6" s="20" t="str">
        <x:v>Access Bank Plc Audited Annual Reports and Financial Statements 2015-2022 from official investor relations website and Nigerian Exchange (NGX) filings. Key sources include 2022 Annual Report [f67748], 2021 </x:v>
      </x:c>
    </x:row>
    <x:row r="7" ht="84" customHeight="1">
      <x:c r="A7" s="18" t="str">
        <x:v>Access</x:v>
      </x:c>
      <x:c r="B7" s="18" t="str">
        <x:v>Source assertion</x:v>
      </x:c>
      <x:c r="C7" s="18" t="n">
        <x:v>2</x:v>
      </x:c>
      <x:c r="D7" s="20" t="str">
        <x:v>Annual Report [447dcc], 2020 Annual Report [0e0da5], 2019 Annual Report [04539c], 2018 Annual Report [780738], 2017 Annual Report [a782b4], 2016 Annual Report [d24e86], and 2015 Annual Report [42178c].</x:v>
      </x:c>
    </x:row>
    <x:row r="8" ht="84" customHeight="1">
      <x:c r="A8" s="18" t="str">
        <x:v>Access</x:v>
      </x:c>
      <x:c r="B8" s="18" t="str">
        <x:v>Qualification</x:v>
      </x:c>
      <x:c r="C8" s="18" t="n">
        <x:v>1</x:v>
      </x:c>
      <x:c r="D8" s="20" t="str">
        <x:v>All data extracted are bank-level (standalone) figures for Access Bank Plc. IFRS 9 was adopted in 2018 (IFRS9_D=1), while 2015-2017 are IAS 39 (IFRS9_D=0). Gross Loans are reported before the deduction of </x:v>
      </x:c>
    </x:row>
    <x:row r="9" ht="84" customHeight="1">
      <x:c r="A9" s="18" t="str">
        <x:v>Access</x:v>
      </x:c>
      <x:c r="B9" s="18" t="str">
        <x:v>Qualification</x:v>
      </x:c>
      <x:c r="C9" s="18" t="n">
        <x:v>2</x:v>
      </x:c>
      <x:c r="D9" s="20" t="str">
        <x:v>impairment allowances (ECL/LLP). Auditor remains PwC for the entire period 2015-2022. No going concern paragraphs were issued by the auditors (GC_t=0). ln(TA) is the natural log of Total Assets in ₦'m. ROA, </x:v>
      </x:c>
    </x:row>
    <x:row r="10" ht="84" customHeight="1">
      <x:c r="A10" s="18" t="str">
        <x:v>Access</x:v>
      </x:c>
      <x:c r="B10" s="18" t="str">
        <x:v>Qualification</x:v>
      </x:c>
      <x:c r="C10" s="18" t="n">
        <x:v>3</x:v>
      </x:c>
      <x:c r="D10" s="20" t="str">
        <x:v>ECL/Loans, and LEV are calculated based on standalone PAT, Total Assets, Total Liabilities, and Gross Loans. Data for 2019 includes the business combination with Diamond Bank Plc [04539c]. 2022 figures reflect </x:v>
      </x:c>
    </x:row>
    <x:row r="11" ht="84" customHeight="1">
      <x:c r="A11" s="18" t="str">
        <x:v>Access</x:v>
      </x:c>
      <x:c r="B11" s="18" t="str">
        <x:v>Qualification</x:v>
      </x:c>
      <x:c r="C11" s="18" t="n">
        <x:v>4</x:v>
      </x:c>
      <x:c r="D11" s="20" t="str">
        <x:v>the bank-level performance before the full transition to the HoldCo structure in all reported notes [f67748].</x:v>
      </x:c>
    </x:row>
    <x:row r="12" ht="84" customHeight="1">
      <x:c r="A12" s="18" t="str">
        <x:v>Zenith</x:v>
      </x:c>
      <x:c r="B12" s="18" t="str">
        <x:v>Source assertion</x:v>
      </x:c>
      <x:c r="C12" s="18" t="n">
        <x:v>1</x:v>
      </x:c>
      <x:c r="D12" s="20" t="str">
        <x:v>Zenith Bank Plc Audited Annual Reports (2015, 2016, 2017, 2020, 2022, 2023) sourced via NGX and Zenith Bank Investor Relations. Specific standalone summaries used from [2cea8e, 1b1c5d, 90024c, 42f385].</x:v>
      </x:c>
    </x:row>
    <x:row r="13" ht="84" customHeight="1">
      <x:c r="A13" s="18" t="str">
        <x:v>Zenith</x:v>
      </x:c>
      <x:c r="B13" s="18" t="str">
        <x:v>Qualification</x:v>
      </x:c>
      <x:c r="C13" s="18" t="n">
        <x:v>1</x:v>
      </x:c>
      <x:c r="D13" s="20" t="str">
        <x:v>Data for 2018-2020 was inferred from the comparative figures in the 2021 and 2023 summaries where standalone data was clearly delineated. For 2015, figures are based on the 2016/2017 comparative tables. Gross </x:v>
      </x:c>
    </x:row>
    <x:row r="14" ht="84" customHeight="1">
      <x:c r="A14" s="18" t="str">
        <x:v>Zenith</x:v>
      </x:c>
      <x:c r="B14" s="18" t="str">
        <x:v>Qualification</x:v>
      </x:c>
      <x:c r="C14" s="18" t="n">
        <x:v>2</x:v>
      </x:c>
      <x:c r="D14" s="20" t="str">
        <x:v>Loans are reported as the 'Gross loans and advances to customers' before impairment. ECL/LLP Provision is the 'Allowance for impairment' balance. Impairment Net is the annual charge in the Income Statement. </x:v>
      </x:c>
    </x:row>
    <x:row r="15" ht="84" customHeight="1">
      <x:c r="A15" s="18" t="str">
        <x:v>Zenith</x:v>
      </x:c>
      <x:c r="B15" s="18" t="str">
        <x:v>Qualification</x:v>
      </x:c>
      <x:c r="C15" s="18" t="n">
        <x:v>3</x:v>
      </x:c>
      <x:c r="D15" s="20" t="str">
        <x:v>lnTA is calculated as ln(Total Assets in N'm). NPL and CAR for some years were sourced from investor presentations which align with standalone bank metrics. GC_t is 0 as no going concern modifications were </x:v>
      </x:c>
    </x:row>
    <x:row r="16" ht="84" customHeight="1">
      <x:c r="A16" s="18" t="str">
        <x:v>Zenith</x:v>
      </x:c>
      <x:c r="B16" s="18" t="str">
        <x:v>Qualification</x:v>
      </x:c>
      <x:c r="C16" s="18" t="n">
        <x:v>4</x:v>
      </x:c>
      <x:c r="D16" s="20" t="str">
        <x:v>identified in auditor reports. IFRS9_D is 0 for 2015-2017 and 1 from 2018 onwards. [2cea8e, 1b1c5d, 90024c]</x:v>
      </x:c>
    </x:row>
    <x:row r="17" ht="84" customHeight="1">
      <x:c r="A17" s="18" t="str">
        <x:v>First Bank</x:v>
      </x:c>
      <x:c r="B17" s="18" t="str">
        <x:v>Source assertion</x:v>
      </x:c>
      <x:c r="C17" s="18" t="n">
        <x:v>1</x:v>
      </x:c>
      <x:c r="D17" s="20" t="str">
        <x:v>NGX filings for FBN Holdings Plc (2022, 2021, 2020), FBN Holdings Investor Relations website (2015-2019), and First Bank of Nigeria Limited standalone financial statements (2017). Platform used: NGX Group </x:v>
      </x:c>
    </x:row>
    <x:row r="18" ht="84" customHeight="1">
      <x:c r="A18" s="18" t="str">
        <x:v>First Bank</x:v>
      </x:c>
      <x:c r="B18" s="18" t="str">
        <x:v>Source assertion</x:v>
      </x:c>
      <x:c r="C18" s="18" t="n">
        <x:v>2</x:v>
      </x:c>
      <x:c r="D18" s="20" t="str">
        <x:v>(doclib.ngxgroup.com), AfricanFinancials.com, and fbnholdings.com.</x:v>
      </x:c>
    </x:row>
    <x:row r="19" ht="84" customHeight="1">
      <x:c r="A19" s="18" t="str">
        <x:v>First Bank</x:v>
      </x:c>
      <x:c r="B19" s="18" t="str">
        <x:v>Qualification</x:v>
      </x:c>
      <x:c r="C19" s="18" t="n">
        <x:v>1</x:v>
      </x:c>
      <x:c r="D19" s="20" t="str">
        <x:v>Data for 2015-2017 uses 'LLP Provision' (IAS 39), while 2018-2022 uses 'ECL Provision' (IFRS 9). Standalone bank data for First Bank of Nigeria Limited was extracted from subsidiary notes within FBN Holdings </x:v>
      </x:c>
    </x:row>
    <x:row r="20" ht="84" customHeight="1">
      <x:c r="A20" s="18" t="str">
        <x:v>First Bank</x:v>
      </x:c>
      <x:c r="B20" s="18" t="str">
        <x:v>Qualification</x:v>
      </x:c>
      <x:c r="C20" s="18" t="n">
        <x:v>2</x:v>
      </x:c>
      <x:c r="D20" s="20" t="str">
        <x:v>reports or bank-specific statements. Gross Earnings for the bank are often reported as Operating Income in condensed subsidiary notes. NPL and CAR for 2015 were not found in standalone formats. IFRS 9 was </x:v>
      </x:c>
    </x:row>
    <x:row r="21" ht="84" customHeight="1">
      <x:c r="A21" s="18" t="str">
        <x:v>First Bank</x:v>
      </x:c>
      <x:c r="B21" s="18" t="str">
        <x:v>Qualification</x:v>
      </x:c>
      <x:c r="C21" s="18" t="n">
        <x:v>3</x:v>
      </x:c>
      <x:c r="D21" s="20" t="str">
        <x:v>adopted in 2018. Auditor for all years is PwC or KPMG as noted. All monetary values are in ₦ million.</x:v>
      </x:c>
    </x:row>
    <x:row r="22" ht="84" customHeight="1">
      <x:c r="A22" s="18" t="str">
        <x:v>UBA</x:v>
      </x:c>
      <x:c r="B22" s="18" t="str">
        <x:v>Source assertion</x:v>
      </x:c>
      <x:c r="C22" s="18" t="n">
        <x:v>1</x:v>
      </x:c>
      <x:c r="D22" s="20" t="str">
        <x:v>UBA Plc Audited Annual Reports 2015-2022 (accessed via ubagroup.com and NGX/AfricanFinancials). Document IDs: [f6bcce] (2022, 2021), [1e1ded] (2020, 2019), [0ee4db] (2019), [918360] (2018, 2017), [f18e0d] </x:v>
      </x:c>
    </x:row>
    <x:row r="23" ht="84" customHeight="1">
      <x:c r="A23" s="18" t="str">
        <x:v>UBA</x:v>
      </x:c>
      <x:c r="B23" s="18" t="str">
        <x:v>Source assertion</x:v>
      </x:c>
      <x:c r="C23" s="18" t="n">
        <x:v>2</x:v>
      </x:c>
      <x:c r="D23" s="20" t="str">
        <x:v>(2018, 2017), [746dd9] (2016, 2015), [f83f93] (2016, 2015).</x:v>
      </x:c>
    </x:row>
    <x:row r="24" ht="84" customHeight="1">
      <x:c r="A24" s="18" t="str">
        <x:v>UBA</x:v>
      </x:c>
      <x:c r="B24" s="18" t="str">
        <x:v>Qualification</x:v>
      </x:c>
      <x:c r="C24" s="18" t="n">
        <x:v>1</x:v>
      </x:c>
      <x:c r="D24" s="20" t="str">
        <x:v>All data is extracted from the Standalone/Separate financial statements of United Bank for Africa (UBA) Plc. NPL ratios for 2019-2022 were not explicitly labeled as 'Bank' in the main summary tables and were </x:v>
      </x:c>
    </x:row>
    <x:row r="25" ht="84" customHeight="1">
      <x:c r="A25" s="18" t="str">
        <x:v>UBA</x:v>
      </x:c>
      <x:c r="B25" s="18" t="str">
        <x:v>Qualification</x:v>
      </x:c>
      <x:c r="C25" s="18" t="n">
        <x:v>2</x:v>
      </x:c>
      <x:c r="D25" s="20" t="str">
        <x:v>either derived from segmental/geographic disclosures (Nigeria operations) or calculated from Stage 3 loan notes where possible; otherwise, Group figures are noted. IFRS 9 was adopted in 2018. CAR is based on </x:v>
      </x:c>
    </x:row>
    <x:row r="26" ht="84" customHeight="1">
      <x:c r="A26" s="18" t="str">
        <x:v>UBA</x:v>
      </x:c>
      <x:c r="B26" s="18" t="str">
        <x:v>Qualification</x:v>
      </x:c>
      <x:c r="C26" s="18" t="n">
        <x:v>3</x:v>
      </x:c>
      <x:c r="D26" s="20" t="str">
        <x:v>Basel II/III as reported in the Capital Management notes. Auditor changed from PwC to EY in 2019. Total Liabilities for LEV calculation were sourced from the Statement of Financial Position for the Bank </x:v>
      </x:c>
    </x:row>
    <x:row r="27" ht="84" customHeight="1">
      <x:c r="A27" s="18" t="str">
        <x:v>UBA</x:v>
      </x:c>
      <x:c r="B27" s="18" t="str">
        <x:v>Qualification</x:v>
      </x:c>
      <x:c r="C27" s="18" t="n">
        <x:v>4</x:v>
      </x:c>
      <x:c r="D27" s="20" t="str">
        <x:v>entity. ln(TA) is the natural log of Total Assets in millions. IFRS9_D is 0 for 2015-2017 and 1 for 2018-2022 as per instructions.</x:v>
      </x:c>
    </x:row>
    <x:row r="28" ht="84" customHeight="1">
      <x:c r="A28" s="18" t="str">
        <x:v>GTBank</x:v>
      </x:c>
      <x:c r="B28" s="18" t="str">
        <x:v>Source assertion</x:v>
      </x:c>
      <x:c r="C28" s="18" t="n">
        <x:v>1</x:v>
      </x:c>
      <x:c r="D28" s="20" t="str">
        <x:v>Guaranty Trust Bank Plc Audited Annual Reports 2015, 2017, 2019, 2020; Guaranty Trust Holding Company Plc (GTCO) Annual Reports 2021, 2022; AfricanFinancials.com; NGX Filings.</x:v>
      </x:c>
    </x:row>
    <x:row r="29" ht="84" customHeight="1">
      <x:c r="A29" s="18" t="str">
        <x:v>GTBank</x:v>
      </x:c>
      <x:c r="B29" s="18" t="str">
        <x:v>Qualification</x:v>
      </x:c>
      <x:c r="C29" s="18" t="n">
        <x:v>1</x:v>
      </x:c>
      <x:c r="D29" s="20" t="str">
        <x:v>For 2021 and 2022, standalone bank-level metrics (NPL, CAR, ECL Provision) were derived from segment reporting for 'GT Bank Nigeria' in the GTCO Annual Reports [5fae62, 1d6c79, 4b3110]. Gross Earnings for </x:v>
      </x:c>
    </x:row>
    <x:row r="30" ht="84" customHeight="1">
      <x:c r="A30" s="18" t="str">
        <x:v>GTBank</x:v>
      </x:c>
      <x:c r="B30" s="18" t="str">
        <x:v>Qualification</x:v>
      </x:c>
      <x:c r="C30" s="18" t="n">
        <x:v>2</x:v>
      </x:c>
      <x:c r="D30" s="20" t="str">
        <x:v>2021-2022 are reported as Operating Income in the segment data. Auditor changed from PwC to EY in 2022. ln(TA) is calculated as ln(Total Assets in N'm). All values are standalone/separate bank-level.</x:v>
      </x:c>
    </x:row>
    <x:row r="31" ht="84" customHeight="1">
      <x:c r="A31" s="18" t="str">
        <x:v>Fidelity</x:v>
      </x:c>
      <x:c r="B31" s="18" t="str">
        <x:v>Source assertion</x:v>
      </x:c>
      <x:c r="C31" s="18" t="n">
        <x:v>1</x:v>
      </x:c>
      <x:c r="D31" s="20" t="str">
        <x:v>Audited Annual Reports of Fidelity Bank Plc (2016, 2018, 2020, 2022) sourced via the official Investor Relations website (https://www.fidelitybank.ng/investor-relations/annual-reports/) and NGX filings.</x:v>
      </x:c>
    </x:row>
    <x:row r="32" ht="84" customHeight="1">
      <x:c r="A32" s="18" t="str">
        <x:v>Fidelity</x:v>
      </x:c>
      <x:c r="B32" s="18" t="str">
        <x:v>Qualification</x:v>
      </x:c>
      <x:c r="C32" s="18" t="n">
        <x:v>1</x:v>
      </x:c>
      <x:c r="D32" s="20" t="str">
        <x:v>Figures for 2015–2017 reflect IAS 39 (Incurred Loss) impairment model, while 2018–2022 reflect IFRS 9 (Expected Credit Loss) model. Net impairment for 2019 is a net write-back. Audit reports for 2015-2017 were </x:v>
      </x:c>
    </x:row>
    <x:row r="33" ht="84" customHeight="1">
      <x:c r="A33" s="18" t="str">
        <x:v>Fidelity</x:v>
      </x:c>
      <x:c r="B33" s="18" t="str">
        <x:v>Qualification</x:v>
      </x:c>
      <x:c r="C33" s="18" t="n">
        <x:v>2</x:v>
      </x:c>
      <x:c r="D33" s="20" t="str">
        <x:v>joint audits by EY and PKF. The bank transitioned solely to EY in 2018 and subsequently to Deloitte in 2021.</x:v>
      </x:c>
    </x:row>
    <x:row r="34" ht="84" customHeight="1">
      <x:c r="A34" s="18" t="str">
        <x:v>Stanbic</x:v>
      </x:c>
      <x:c r="B34" s="18" t="str">
        <x:v>Source assertion</x:v>
      </x:c>
      <x:c r="C34" s="18" t="n">
        <x:v>1</x:v>
      </x:c>
      <x:c r="D34" s="20" t="str">
        <x:v>Stanbic IBTC Bank PLC Audited Financial Statements (2022, 2021, 2019, 2018); Stanbic IBTC Holdings PLC Annual Reports (2017, 2016, 2015) providing subsidiary notes. Access via Stanbic IBTC Investor Relations </x:v>
      </x:c>
    </x:row>
    <x:row r="35" ht="84" customHeight="1">
      <x:c r="A35" s="18" t="str">
        <x:v>Stanbic</x:v>
      </x:c>
      <x:c r="B35" s="18" t="str">
        <x:v>Source assertion</x:v>
      </x:c>
      <x:c r="C35" s="18" t="n">
        <x:v>2</x:v>
      </x:c>
      <x:c r="D35" s="20" t="str">
        <x:v>(reporting.stanbicibtc.com) and NGX Group (doclib.ngxgroup.com).</x:v>
      </x:c>
    </x:row>
    <x:row r="36" ht="84" customHeight="1">
      <x:c r="A36" s="18" t="str">
        <x:v>Stanbic</x:v>
      </x:c>
      <x:c r="B36" s="18" t="str">
        <x:v>Qualification</x:v>
      </x:c>
      <x:c r="C36" s="18" t="n">
        <x:v>1</x:v>
      </x:c>
      <x:c r="D36" s="20" t="str">
        <x:v>Missing Gross Earnings for 2015-2016 as only Total Income was available for the Bank subsidiary in the HoldCo notes [3549f3]. Gross Loans for 2017 and 2019 are estimated or missing due to incomplete notes in </x:v>
      </x:c>
    </x:row>
    <x:row r="37" ht="84" customHeight="1">
      <x:c r="A37" s="18" t="str">
        <x:v>Stanbic</x:v>
      </x:c>
      <x:c r="B37" s="18" t="str">
        <x:v>Qualification</x:v>
      </x:c>
      <x:c r="C37" s="18" t="n">
        <x:v>2</x:v>
      </x:c>
      <x:c r="D37" s="20" t="str">
        <x:v>the available bank excerpts [741f19, a33485]. Total Assets for 2017 used the Note 13.4 summary [d2636b]. CAR for 2017 was sourced from Note 40 [d2636b]. Auditor for 2015-2016 was PwC [3549f3], 2017 was KPMG </x:v>
      </x:c>
    </x:row>
    <x:row r="38" ht="84" customHeight="1">
      <x:c r="A38" s="18" t="str">
        <x:v>Stanbic</x:v>
      </x:c>
      <x:c r="B38" s="18" t="str">
        <x:v>Qualification</x:v>
      </x:c>
      <x:c r="C38" s="18" t="n">
        <x:v>3</x:v>
      </x:c>
      <x:c r="D38" s="20" t="str">
        <x:v>[d2636b], and 2018-2022 was PwC [9c2ed6, 05b1c5]. IFRS 9 was adopted in 2018; 2017 is marked as 0 in line with its reporting standard (IAS 39), though the user prompt requested 2017 as 0 [d2636b].</x:v>
      </x:c>
    </x:row>
    <x:row r="39" ht="84" customHeight="1">
      <x:c r="A39" s="18" t="str">
        <x:v>Sterling</x:v>
      </x:c>
      <x:c r="B39" s="18" t="str">
        <x:v>Source assertion</x:v>
      </x:c>
      <x:c r="C39" s="18" t="n">
        <x:v>1</x:v>
      </x:c>
      <x:c r="D39" s="20" t="str">
        <x:v>Sterling Bank Plc Audited Annual Reports and Financial Statements (2015-2022) sourced via the bank's Investor Relations website (sterling.ng) and the Nigerian Exchange (NGX) Group's document library. Specific </x:v>
      </x:c>
    </x:row>
    <x:row r="40" ht="84" customHeight="1">
      <x:c r="A40" s="18" t="str">
        <x:v>Sterling</x:v>
      </x:c>
      <x:c r="B40" s="18" t="str">
        <x:v>Source assertion</x:v>
      </x:c>
      <x:c r="C40" s="18" t="n">
        <x:v>2</x:v>
      </x:c>
      <x:c r="D40" s="20" t="str">
        <x:v>documents accessed: 2022 AFS [9cdd52], 2021 AFS [a08dc9], 2020 AFS [4fdb9a], 2019 AR [c69f11], 2018 AR [1f9d62, b1bb91], 2017 AR [15548a, 9cd772], 2016 AR [2f24db], 2015 AR [af43bb].</x:v>
      </x:c>
    </x:row>
    <x:row r="41" ht="84" customHeight="1">
      <x:c r="A41" s="18" t="str">
        <x:v>Sterling</x:v>
      </x:c>
      <x:c r="B41" s="18" t="str">
        <x:v>Qualification</x:v>
      </x:c>
      <x:c r="C41" s="18" t="n">
        <x:v>1</x:v>
      </x:c>
      <x:c r="D41" s="20" t="str">
        <x:v>Data represents the standalone (bank-level) performance of Sterling Bank Plc (excluding subsidiaries like Sterling Investment Management Plc). The transition to IFRS 9 occurred in 2018. For 2018, the </x:v>
      </x:c>
    </x:row>
    <x:row r="42" ht="84" customHeight="1">
      <x:c r="A42" s="18" t="str">
        <x:v>Sterling</x:v>
      </x:c>
      <x:c r="B42" s="18" t="str">
        <x:v>Qualification</x:v>
      </x:c>
      <x:c r="C42" s="18" t="n">
        <x:v>2</x:v>
      </x:c>
      <x:c r="D42" s="20" t="str">
        <x:v>impairment net figure is recorded as a write-back (income) as reported in the Income Statement. For 2015, Gross Loans and Provisions were calculated from Note 19. All ratios were calculated based on the </x:v>
      </x:c>
    </x:row>
    <x:row r="43" ht="84" customHeight="1">
      <x:c r="A43" s="18" t="str">
        <x:v>Sterling</x:v>
      </x:c>
      <x:c r="B43" s="18" t="str">
        <x:v>Qualification</x:v>
      </x:c>
      <x:c r="C43" s="18" t="n">
        <x:v>3</x:v>
      </x:c>
      <x:c r="D43" s="20" t="str">
        <x:v>standalone balance sheet and income statement figures provided in the audited reports. All CAR values were sourced from the Capital Management notes in the respective annual reports. Natural log of Total </x:v>
      </x:c>
    </x:row>
    <x:row r="44" ht="84" customHeight="1">
      <x:c r="A44" s="18" t="str">
        <x:v>Sterling</x:v>
      </x:c>
      <x:c r="B44" s="18" t="str">
        <x:v>Qualification</x:v>
      </x:c>
      <x:c r="C44" s="18" t="n">
        <x:v>4</x:v>
      </x:c>
      <x:c r="D44" s="20" t="str">
        <x:v>Assets (lnTA) was calculated using the Total Assets in N'm. Auditor names were verified from the Independent Auditor's Report section of each year's statement. No going concern paragraphs (ISA 570) were issued </x:v>
      </x:c>
    </x:row>
    <x:row r="45" ht="84" customHeight="1">
      <x:c r="A45" s="18" t="str">
        <x:v>Sterling</x:v>
      </x:c>
      <x:c r="B45" s="18" t="str">
        <x:v>Qualification</x:v>
      </x:c>
      <x:c r="C45" s="18" t="n">
        <x:v>5</x:v>
      </x:c>
      <x:c r="D45" s="20" t="str">
        <x:v>for any year under review.</x:v>
      </x:c>
    </x:row>
    <x:row r="46" ht="84" customHeight="1">
      <x:c r="A46" s="18" t="str">
        <x:v>Wema</x:v>
      </x:c>
      <x:c r="B46" s="18" t="str">
        <x:v>Source assertion</x:v>
      </x:c>
      <x:c r="C46" s="18" t="n">
        <x:v>1</x:v>
      </x:c>
      <x:c r="D46" s="20" t="str">
        <x:v>NGX Filings: 2022 Annual Report [1b9041], 2020 Annual Report [3e52b4], 2017 Annual Report [df4cd8], 2016 Annual Report [3248f0]. Investor Relations (Wema Bank): Financial statements accessed via NGX document </x:v>
      </x:c>
    </x:row>
    <x:row r="47" ht="84" customHeight="1">
      <x:c r="A47" s="18" t="str">
        <x:v>Wema</x:v>
      </x:c>
      <x:c r="B47" s="18" t="str">
        <x:v>Source assertion</x:v>
      </x:c>
      <x:c r="C47" s="18" t="n">
        <x:v>2</x:v>
      </x:c>
      <x:c r="D47" s="20" t="str">
        <x:v>library. africanfinancials.com: Company metadata and report listings.</x:v>
      </x:c>
    </x:row>
    <x:row r="48" ht="84" customHeight="1">
      <x:c r="A48" s="18" t="str">
        <x:v>Wema</x:v>
      </x:c>
      <x:c r="B48" s="18" t="str">
        <x:v>Qualification</x:v>
      </x:c>
      <x:c r="C48" s="18" t="n">
        <x:v>1</x:v>
      </x:c>
      <x:c r="D48" s="20" t="str">
        <x:v>Data for 2018 is missing as the specific audited report was not successfully retrieved in time. Monetary values for 2015-2017 and 2019-2020 include decimal precision as per source documents, while 2021-2022 </x:v>
      </x:c>
    </x:row>
    <x:row r="49" ht="84" customHeight="1">
      <x:c r="A49" s="18" t="str">
        <x:v>Wema</x:v>
      </x:c>
      <x:c r="B49" s="18" t="str">
        <x:v>Qualification</x:v>
      </x:c>
      <x:c r="C49" s="18" t="n">
        <x:v>2</x:v>
      </x:c>
      <x:c r="D49" s="20" t="str">
        <x:v>are rounded to millions. Net impairment charges with parentheses indicate write-backs/credits. CAR for all years reflects the bank-level regulatory capital ratio. IFRS 9 was adopted in 2018; years 2015-2017 </x:v>
      </x:c>
    </x:row>
    <x:row r="50" ht="84" customHeight="1">
      <x:c r="A50" s="18" t="str">
        <x:v>Wema</x:v>
      </x:c>
      <x:c r="B50" s="18" t="str">
        <x:v>Qualification</x:v>
      </x:c>
      <x:c r="C50" s="18" t="n">
        <x:v>3</x:v>
      </x:c>
      <x:c r="D50" s="20" t="str">
        <x:v>are IAS 39 (IFRS9_D=0). Auditor names vary slightly (e.g., 'Akintola Williams Deloitte' vs 'Deloitte &amp; Touche'). [1b9041, 3e52b4, 3248f0, df4cd8]</x:v>
      </x:c>
    </x:row>
    <x:row r="51" ht="84" customHeight="1">
      <x:c r="A51" s="18" t="str">
        <x:v>FCMB</x:v>
      </x:c>
      <x:c r="B51" s="18" t="str">
        <x:v>Source assertion</x:v>
      </x:c>
      <x:c r="C51" s="18" t="n">
        <x:v>1</x:v>
      </x:c>
      <x:c r="D51" s="20" t="str">
        <x:v>FCMB Group Plc Annual Reports (2015-2022) via CardinalStone Registrars and NGX Group [208275, be7b89, 6e336b, e4e579]; Banking Subsidiary Financial Highlights within Group accounts [7746c5].</x:v>
      </x:c>
    </x:row>
    <x:row r="52" ht="84" customHeight="1">
      <x:c r="A52" s="18" t="str">
        <x:v>FCMB</x:v>
      </x:c>
      <x:c r="B52" s="18" t="str">
        <x:v>Qualification</x:v>
      </x:c>
      <x:c r="C52" s="18" t="n">
        <x:v>1</x:v>
      </x:c>
      <x:c r="D52" s="20" t="str">
        <x:v>ECL stock for 2019-2020 was inferred from group-level ratios where standalone disclosure was missing in the condensed statements. Auditor changed from KPMG to Deloitte in 2020 [be7b89]. Gross Earnings for </x:v>
      </x:c>
    </x:row>
    <x:row r="53" ht="84" customHeight="1">
      <x:c r="A53" s="18" t="str">
        <x:v>FCMB</x:v>
      </x:c>
      <x:c r="B53" s="18" t="str">
        <x:v>Qualification</x:v>
      </x:c>
      <x:c r="C53" s="18" t="n">
        <x:v>2</x:v>
      </x:c>
      <x:c r="D53" s="20" t="str">
        <x:v>2021-2022 was calculated as Interest Income plus Other Operating Income from the condensed subsidiary table [7746c5]. Gross Loans are reported before the deduction of impairment allowances [6e336b]. CAR for </x:v>
      </x:c>
    </x:row>
    <x:row r="54" ht="84" customHeight="1">
      <x:c r="A54" s="18" t="str">
        <x:v>FCMB</x:v>
      </x:c>
      <x:c r="B54" s="18" t="str">
        <x:v>Qualification</x:v>
      </x:c>
      <x:c r="C54" s="18" t="n">
        <x:v>3</x:v>
      </x:c>
      <x:c r="D54" s="20" t="str">
        <x:v>the bank standalone is used where available; group CAR used as a proxy for early years where explicitly stated as such in reports [e4e579].</x:v>
      </x:c>
    </x:row>
    <x:row r="55" ht="84" customHeight="1">
      <x:c r="A55" s="18" t="str">
        <x:v>Ecobank Nigeria</x:v>
      </x:c>
      <x:c r="B55" s="18" t="str">
        <x:v>Source assertion</x:v>
      </x:c>
      <x:c r="C55" s="18" t="n">
        <x:v>1</x:v>
      </x:c>
      <x:c r="D55" s="20" t="str">
        <x:v>Ecobank Nigeria Audited Annual Reports (2015, 2017, 2021, 2022); Ecobank Group Annual Reports (2018, 2019, 2020); Financial Afrik database; NGX filings for Ecobank Transnational Incorporated. Standalone data </x:v>
      </x:c>
    </x:row>
    <x:row r="56" ht="84" customHeight="1">
      <x:c r="A56" s="18" t="str">
        <x:v>Ecobank Nigeria</x:v>
      </x:c>
      <x:c r="B56" s="18" t="str">
        <x:v>Source assertion</x:v>
      </x:c>
      <x:c r="C56" s="18" t="n">
        <x:v>2</x:v>
      </x:c>
      <x:c r="D56" s="20" t="str">
        <x:v>prioritised.</x:v>
      </x:c>
    </x:row>
    <x:row r="57" ht="84" customHeight="1">
      <x:c r="A57" s="18" t="str">
        <x:v>Ecobank Nigeria</x:v>
      </x:c>
      <x:c r="B57" s="18" t="str">
        <x:v>Qualification</x:v>
      </x:c>
      <x:c r="C57" s="18" t="n">
        <x:v>1</x:v>
      </x:c>
      <x:c r="D57" s="20" t="str">
        <x:v>Data for 2018-2019 is partially estimated based on regional segment reports due to unavailability of standalone AFS. CAR and NPL ratios for 2015-2017 are sourced from summary financials or secondary banking </x:v>
      </x:c>
    </x:row>
    <x:row r="58" ht="84" customHeight="1">
      <x:c r="A58" s="18" t="str">
        <x:v>Ecobank Nigeria</x:v>
      </x:c>
      <x:c r="B58" s="18" t="str">
        <x:v>Qualification</x:v>
      </x:c>
      <x:c r="C58" s="18" t="n">
        <x:v>2</x:v>
      </x:c>
      <x:c r="D58" s="20" t="str">
        <x:v>analyst reports. NPL ratios for 2020-2022 vary slightly between the 2021 and 2022 reports; the latest audited figures were prioritized. Natural logs of Total Assets were calculated using ₦'millions. Auditor </x:v>
      </x:c>
    </x:row>
    <x:row r="59" ht="84" customHeight="1">
      <x:c r="A59" s="18" t="str">
        <x:v>Ecobank Nigeria</x:v>
      </x:c>
      <x:c r="B59" s="18" t="str">
        <x:v>Qualification</x:v>
      </x:c>
      <x:c r="C59" s="18" t="n">
        <x:v>3</x:v>
      </x:c>
      <x:c r="D59" s="20" t="str">
        <x:v>change from Deloitte to EY occurred in the 2019/2020 period. GC_t is 0 as no standalone report reviewed indicated a material uncertainty going concern paragraph despite periodic capital adequacy breaches </x:v>
      </x:c>
    </x:row>
    <x:row r="60" ht="84" customHeight="1">
      <x:c r="A60" s="18" t="str">
        <x:v>Ecobank Nigeria</x:v>
      </x:c>
      <x:c r="B60" s="18" t="str">
        <x:v>Qualification</x:v>
      </x:c>
      <x:c r="C60" s="18" t="n">
        <x:v>4</x:v>
      </x:c>
      <x:c r="D60" s="20" t="str">
        <x:v>mentioned in analyst reports.</x:v>
      </x:c>
    </x:row>
    <x:row r="61" ht="84" customHeight="1">
      <x:c r="A61" s="18" t="str">
        <x:v>Unity</x:v>
      </x:c>
      <x:c r="B61" s="18" t="str">
        <x:v>Source assertion</x:v>
      </x:c>
      <x:c r="C61" s="18" t="n">
        <x:v>1</x:v>
      </x:c>
      <x:c r="D61" s="20" t="str">
        <x:v>Unity Bank Plc Annual Reports (2016, 2018, 2020, 2022) accessed via Unity Bank Investor Relations and NGX Document Library.</x:v>
      </x:c>
    </x:row>
    <x:row r="62" ht="84" customHeight="1">
      <x:c r="A62" s="18" t="str">
        <x:v>Unity</x:v>
      </x:c>
      <x:c r="B62" s="18" t="str">
        <x:v>Qualification</x:v>
      </x:c>
      <x:c r="C62" s="18" t="n">
        <x:v>1</x:v>
      </x:c>
      <x:c r="D62" s="20" t="str">
        <x:v>The bank experienced significant capital deficiencies during the period, resulting in negative CAR and total equity, particularly from 2017 onwards [a2e75f, a9d68d, 1b6c52]. Auditors (KPMG) issued a 'Material </x:v>
      </x:c>
    </x:row>
    <x:row r="63" ht="84" customHeight="1">
      <x:c r="A63" s="18" t="str">
        <x:v>Unity</x:v>
      </x:c>
      <x:c r="B63" s="18" t="str">
        <x:v>Qualification</x:v>
      </x:c>
      <x:c r="C63" s="18" t="n">
        <x:v>2</x:v>
      </x:c>
      <x:c r="D63" s="20" t="str">
        <x:v>Uncertainty Related to Going Concern' (ISA 570) starting from 2019 [a9d68d, 1b6c52]. For 2015-2016, cumulative provision data was not explicitly stated in the financial highlights, but impairment charges were </x:v>
      </x:c>
    </x:row>
    <x:row r="64" ht="84" customHeight="1">
      <x:c r="A64" s="18" t="str">
        <x:v>Unity</x:v>
      </x:c>
      <x:c r="B64" s="18" t="str">
        <x:v>Qualification</x:v>
      </x:c>
      <x:c r="C64" s="18" t="n">
        <x:v>3</x:v>
      </x:c>
      <x:c r="D64" s="20" t="str">
        <x:v>recorded [fc4a93]. ln(TA) is calculated as ln(Total Assets in ₦'m). CAR for 2017-2022 reflects the negative capital position as reported in the financial statements [a2e75f, a9d68d, 1b6c52]. 2017 PAT reflects </x:v>
      </x:c>
    </x:row>
    <x:row r="65" ht="84" customHeight="1">
      <x:c r="A65" s="18" t="str">
        <x:v>Unity</x:v>
      </x:c>
      <x:c r="B65" s="18" t="str">
        <x:v>Qualification</x:v>
      </x:c>
      <x:c r="C65" s="18" t="n">
        <x:v>4</x:v>
      </x:c>
      <x:c r="D65" s="20" t="str">
        <x:v>a major loss due to legacy clean-up [a2e75f]. Gross Earnings for 2018 were significantly lower than 2017 due to the disposal of a large portion of the loan book to Frontier Management Services [a2e75f]. NPL </x:v>
      </x:c>
    </x:row>
    <x:row r="66" ht="84" customHeight="1">
      <x:c r="A66" s="18" t="str">
        <x:v>Unity</x:v>
      </x:c>
      <x:c r="B66" s="18" t="str">
        <x:v>Qualification</x:v>
      </x:c>
      <x:c r="C66" s="18" t="n">
        <x:v>5</x:v>
      </x:c>
      <x:c r="D66" s="20" t="str">
        <x:v>ratios for later years are remarkably low or zero as reported in the bank's summaries [1b6c52, a9d68d, a2e75f].</x:v>
      </x:c>
    </x:row>
  </x:sheetData>
  <x:mergeCells>
    <x:mergeCell ref="A1:D1"/>
    <x:mergeCell ref="A2:D3"/>
  </x:mergeCells>
  <x:pageMargins left="0.7" right="0.7" top="0.75" bottom="0.75" header="0.3" footer="0.3"/>
  <x:tableParts count="1">
    <x:tablePart xmlns:r="http://schemas.openxmlformats.org/officeDocument/2006/relationships" r:id="Rc3fd9c74c29449be"/>
  </x:tableParts>
</x:worksheet>
</file>

<file path=xl/worksheets/sheet9.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5" hidden="0" customWidth="1"/>
    <x:col min="2" max="2" width="15" hidden="0" customWidth="1"/>
    <x:col min="3" max="3" width="16" hidden="0" customWidth="1"/>
    <x:col min="4" max="4" width="22" hidden="0" customWidth="1"/>
    <x:col min="5" max="5" width="22" hidden="0" customWidth="1"/>
    <x:col min="6" max="6" width="22" hidden="0" customWidth="1"/>
    <x:col min="7" max="7" width="22" hidden="0" customWidth="1"/>
    <x:col min="8" max="8" width="22" hidden="0" customWidth="1"/>
    <x:col min="9" max="9" width="18" hidden="0" customWidth="1"/>
    <x:col min="10" max="10" width="34" hidden="0" customWidth="1"/>
    <x:col min="11" max="11" width="40" hidden="0" customWidth="1"/>
  </x:cols>
  <x:sheetData>
    <x:row r="1" ht="30" customHeight="1">
      <x:c r="A1" s="3" t="str">
        <x:v>CLAIMED 130-OBSERVATION SUMMARY | ARITHMETIC CHECK</x:v>
      </x:c>
      <x:c r="B1" s="3"/>
      <x:c r="C1" s="3"/>
      <x:c r="D1" s="3"/>
      <x:c r="E1" s="3"/>
      <x:c r="F1" s="3"/>
      <x:c r="G1" s="3"/>
      <x:c r="H1" s="3"/>
      <x:c r="I1" s="3"/>
      <x:c r="J1" s="3"/>
      <x:c r="K1" s="3"/>
    </x:row>
    <x:row r="2" ht="25" customHeight="1">
      <x:c r="A2" s="8" t="str">
        <x:v>The new 36-page manuscript has no bank-year financial table. This tests only whether its full means equal the weighted means of the stated 65/65 subperiods. Passing arithmetic does not verify any bank-year amount.</x:v>
      </x:c>
      <x:c r="B2" s="8"/>
      <x:c r="C2" s="8"/>
      <x:c r="D2" s="8"/>
      <x:c r="E2" s="8"/>
      <x:c r="F2" s="8"/>
      <x:c r="G2" s="8"/>
      <x:c r="H2" s="8"/>
      <x:c r="I2" s="8"/>
      <x:c r="J2" s="8"/>
      <x:c r="K2" s="8"/>
    </x:row>
    <x:row r="3" ht="20" customHeight="1">
      <x:c r="A3" s="8"/>
      <x:c r="B3" s="8"/>
      <x:c r="C3" s="8"/>
      <x:c r="D3" s="8"/>
      <x:c r="E3" s="8"/>
      <x:c r="F3" s="8"/>
      <x:c r="G3" s="8"/>
      <x:c r="H3" s="8"/>
      <x:c r="I3" s="8"/>
      <x:c r="J3" s="8"/>
      <x:c r="K3" s="8"/>
    </x:row>
    <x:row r="5" ht="34" customHeight="1">
      <x:c r="A5" s="14" t="str">
        <x:v>Variable</x:v>
      </x:c>
      <x:c r="B5" s="14" t="str">
        <x:v>Pre n claimed</x:v>
      </x:c>
      <x:c r="C5" s="14" t="str">
        <x:v>Post n claimed</x:v>
      </x:c>
      <x:c r="D5" s="14" t="str">
        <x:v>Full mean claimed</x:v>
      </x:c>
      <x:c r="E5" s="14" t="str">
        <x:v>Pre mean claimed</x:v>
      </x:c>
      <x:c r="F5" s="14" t="str">
        <x:v>Post mean claimed</x:v>
      </x:c>
      <x:c r="G5" s="14" t="str">
        <x:v>Weighted mean implied</x:v>
      </x:c>
      <x:c r="H5" s="14" t="str">
        <x:v>Claim minus implied</x:v>
      </x:c>
      <x:c r="I5" s="14" t="str">
        <x:v>Rounding tolerance</x:v>
      </x:c>
      <x:c r="J5" s="14" t="str">
        <x:v>Arithmetic result</x:v>
      </x:c>
      <x:c r="K5" s="14" t="str">
        <x:v>Source</x:v>
      </x:c>
    </x:row>
    <x:row r="6" ht="42" customHeight="1">
      <x:c r="A6" s="20" t="str">
        <x:v>NPL Ratio (%)</x:v>
      </x:c>
      <x:c r="B6" s="18" t="n">
        <x:v>65</x:v>
      </x:c>
      <x:c r="C6" s="18" t="n">
        <x:v>65</x:v>
      </x:c>
      <x:c r="D6" s="22" t="n">
        <x:v>7.12</x:v>
      </x:c>
      <x:c r="E6" s="22" t="n">
        <x:v>9.24</x:v>
      </x:c>
      <x:c r="F6" s="22" t="n">
        <x:v>5</x:v>
      </x:c>
      <x:c r="G6" s="22" t="n">
        <x:f>IF(SUM(B6:C6)&gt;0,(B6*E6+C6*F6)/SUM(B6:C6),"")</x:f>
        <x:v>7.12</x:v>
      </x:c>
      <x:c r="H6" s="22" t="n">
        <x:f>D6-G6</x:f>
        <x:v>0</x:v>
      </x:c>
      <x:c r="I6" s="22" t="n">
        <x:f>0.01</x:f>
        <x:v>0.01</x:v>
      </x:c>
      <x:c r="J6" s="20" t="str">
        <x:f>IF(ABS(H6)&lt;=I6,"Within displayed rounding","Does not reconcile")</x:f>
        <x:v>Within displayed rounding</x:v>
      </x:c>
      <x:c r="K6" s="20" t="str">
        <x:v>ifrs9_phd_FINAL_2013_2022.docx, Appendix C, p. 36</x:v>
      </x:c>
    </x:row>
    <x:row r="7" ht="42" customHeight="1">
      <x:c r="A7" s="20" t="str">
        <x:v>CAR (%)</x:v>
      </x:c>
      <x:c r="B7" s="18" t="n">
        <x:v>65</x:v>
      </x:c>
      <x:c r="C7" s="18" t="n">
        <x:v>65</x:v>
      </x:c>
      <x:c r="D7" s="22" t="n">
        <x:v>6.89</x:v>
      </x:c>
      <x:c r="E7" s="22" t="n">
        <x:v>12.41</x:v>
      </x:c>
      <x:c r="F7" s="22" t="n">
        <x:v>1.37</x:v>
      </x:c>
      <x:c r="G7" s="22" t="n">
        <x:f>IF(SUM(B7:C7)&gt;0,(B7*E7+C7*F7)/SUM(B7:C7),"")</x:f>
        <x:v>6.890000000000001</x:v>
      </x:c>
      <x:c r="H7" s="22" t="n">
        <x:f>D7-G7</x:f>
        <x:v>-8.881784197001252e-16</x:v>
      </x:c>
      <x:c r="I7" s="22" t="n">
        <x:f>0.01</x:f>
        <x:v>0.01</x:v>
      </x:c>
      <x:c r="J7" s="20" t="str">
        <x:f>IF(ABS(H7)&lt;=I7,"Within displayed rounding","Does not reconcile")</x:f>
        <x:v>Within displayed rounding</x:v>
      </x:c>
      <x:c r="K7" s="20" t="str">
        <x:v>ifrs9_phd_FINAL_2013_2022.docx, Appendix C, p. 36</x:v>
      </x:c>
    </x:row>
    <x:row r="8" ht="42" customHeight="1">
      <x:c r="A8" s="20" t="str">
        <x:v>ROA (%)</x:v>
      </x:c>
      <x:c r="B8" s="18" t="n">
        <x:v>65</x:v>
      </x:c>
      <x:c r="C8" s="18" t="n">
        <x:v>65</x:v>
      </x:c>
      <x:c r="D8" s="22" t="n">
        <x:v>1.37</x:v>
      </x:c>
      <x:c r="E8" s="22" t="n">
        <x:v>1.19</x:v>
      </x:c>
      <x:c r="F8" s="22" t="n">
        <x:v>1.55</x:v>
      </x:c>
      <x:c r="G8" s="22" t="n">
        <x:f>IF(SUM(B8:C8)&gt;0,(B8*E8+C8*F8)/SUM(B8:C8),"")</x:f>
        <x:v>1.3699999999999999</x:v>
      </x:c>
      <x:c r="H8" s="22" t="n">
        <x:f>D8-G8</x:f>
        <x:v>2.220446049250313e-16</x:v>
      </x:c>
      <x:c r="I8" s="22" t="n">
        <x:f>0.01</x:f>
        <x:v>0.01</x:v>
      </x:c>
      <x:c r="J8" s="20" t="str">
        <x:f>IF(ABS(H8)&lt;=I8,"Within displayed rounding","Does not reconcile")</x:f>
        <x:v>Within displayed rounding</x:v>
      </x:c>
      <x:c r="K8" s="20" t="str">
        <x:v>ifrs9_phd_FINAL_2013_2022.docx, Appendix C, p. 36</x:v>
      </x:c>
    </x:row>
    <x:row r="9" ht="42" customHeight="1">
      <x:c r="A9" s="20" t="str">
        <x:v>ECL/Loans (%)</x:v>
      </x:c>
      <x:c r="B9" s="18" t="n">
        <x:v>65</x:v>
      </x:c>
      <x:c r="C9" s="18" t="n">
        <x:v>65</x:v>
      </x:c>
      <x:c r="D9" s="22" t="n">
        <x:v>5.09</x:v>
      </x:c>
      <x:c r="E9" s="22" t="n">
        <x:v>4.71</x:v>
      </x:c>
      <x:c r="F9" s="22" t="n">
        <x:v>5.47</x:v>
      </x:c>
      <x:c r="G9" s="22" t="n">
        <x:f>IF(SUM(B9:C9)&gt;0,(B9*E9+C9*F9)/SUM(B9:C9),"")</x:f>
        <x:v>5.090000000000001</x:v>
      </x:c>
      <x:c r="H9" s="22" t="n">
        <x:f>D9-G9</x:f>
        <x:v>-8.881784197001252e-16</x:v>
      </x:c>
      <x:c r="I9" s="22" t="n">
        <x:f>0.01</x:f>
        <x:v>0.01</x:v>
      </x:c>
      <x:c r="J9" s="20" t="str">
        <x:f>IF(ABS(H9)&lt;=I9,"Within displayed rounding","Does not reconcile")</x:f>
        <x:v>Within displayed rounding</x:v>
      </x:c>
      <x:c r="K9" s="20" t="str">
        <x:v>ifrs9_phd_FINAL_2013_2022.docx, Appendix C, p. 36</x:v>
      </x:c>
    </x:row>
    <x:row r="10" ht="42" customHeight="1">
      <x:c r="A10" s="20" t="str">
        <x:v>Leverage (%)</x:v>
      </x:c>
      <x:c r="B10" s="18" t="n">
        <x:v>65</x:v>
      </x:c>
      <x:c r="C10" s="18" t="n">
        <x:v>65</x:v>
      </x:c>
      <x:c r="D10" s="22" t="n">
        <x:v>91.24</x:v>
      </x:c>
      <x:c r="E10" s="22" t="n">
        <x:v>87.93</x:v>
      </x:c>
      <x:c r="F10" s="22" t="n">
        <x:v>94.55</x:v>
      </x:c>
      <x:c r="G10" s="22" t="n">
        <x:f>IF(SUM(B10:C10)&gt;0,(B10*E10+C10*F10)/SUM(B10:C10),"")</x:f>
        <x:v>91.24000000000001</x:v>
      </x:c>
      <x:c r="H10" s="22" t="n">
        <x:f>D10-G10</x:f>
        <x:v>-1.4210854715202004e-14</x:v>
      </x:c>
      <x:c r="I10" s="22" t="n">
        <x:f>0.01</x:f>
        <x:v>0.01</x:v>
      </x:c>
      <x:c r="J10" s="20" t="str">
        <x:f>IF(ABS(H10)&lt;=I10,"Within displayed rounding","Does not reconcile")</x:f>
        <x:v>Within displayed rounding</x:v>
      </x:c>
      <x:c r="K10" s="20" t="str">
        <x:v>ifrs9_phd_FINAL_2013_2022.docx, Appendix C, p. 36</x:v>
      </x:c>
    </x:row>
    <x:row r="11" ht="42" customHeight="1">
      <x:c r="A11" s="20" t="str">
        <x:v>ln(Total Assets)</x:v>
      </x:c>
      <x:c r="B11" s="18" t="n">
        <x:v>65</x:v>
      </x:c>
      <x:c r="C11" s="18" t="n">
        <x:v>65</x:v>
      </x:c>
      <x:c r="D11" s="22" t="n">
        <x:v>14.28</x:v>
      </x:c>
      <x:c r="E11" s="22" t="n">
        <x:v>13.91</x:v>
      </x:c>
      <x:c r="F11" s="22" t="n">
        <x:v>14.65</x:v>
      </x:c>
      <x:c r="G11" s="22" t="n">
        <x:f>IF(SUM(B11:C11)&gt;0,(B11*E11+C11*F11)/SUM(B11:C11),"")</x:f>
        <x:v>14.280000000000001</x:v>
      </x:c>
      <x:c r="H11" s="22" t="n">
        <x:f>D11-G11</x:f>
        <x:v>-1.7763568394002505e-15</x:v>
      </x:c>
      <x:c r="I11" s="22" t="n">
        <x:f>0.01</x:f>
        <x:v>0.01</x:v>
      </x:c>
      <x:c r="J11" s="20" t="str">
        <x:f>IF(ABS(H11)&lt;=I11,"Within displayed rounding","Does not reconcile")</x:f>
        <x:v>Within displayed rounding</x:v>
      </x:c>
      <x:c r="K11" s="20" t="str">
        <x:v>ifrs9_phd_FINAL_2013_2022.docx, Appendix C, p. 36</x:v>
      </x:c>
    </x:row>
    <x:row r="12" ht="42" customHeight="1">
      <x:c r="A12" s="20" t="str">
        <x:v>PAT (₦'m)</x:v>
      </x:c>
      <x:c r="B12" s="18" t="n">
        <x:v>65</x:v>
      </x:c>
      <x:c r="C12" s="18" t="n">
        <x:v>65</x:v>
      </x:c>
      <x:c r="D12" s="22" t="n">
        <x:v>42618</x:v>
      </x:c>
      <x:c r="E12" s="22" t="n">
        <x:v>26304</x:v>
      </x:c>
      <x:c r="F12" s="22" t="n">
        <x:v>59103</x:v>
      </x:c>
      <x:c r="G12" s="22" t="n">
        <x:f>IF(SUM(B12:C12)&gt;0,(B12*E12+C12*F12)/SUM(B12:C12),"")</x:f>
        <x:v>42703.5</x:v>
      </x:c>
      <x:c r="H12" s="22" t="n">
        <x:f>D12-G12</x:f>
        <x:v>-85.5</x:v>
      </x:c>
      <x:c r="I12" s="22" t="n">
        <x:f>1.0</x:f>
        <x:v>1</x:v>
      </x:c>
      <x:c r="J12" s="20" t="str">
        <x:f>IF(ABS(H12)&lt;=I12,"Within displayed rounding","Does not reconcile")</x:f>
        <x:v>Does not reconcile</x:v>
      </x:c>
      <x:c r="K12" s="20" t="str">
        <x:v>ifrs9_phd_FINAL_2013_2022.docx, Appendix C, p. 36</x:v>
      </x:c>
    </x:row>
    <x:row r="13" ht="42" customHeight="1">
      <x:c r="A13" s="20" t="str">
        <x:v>Total Assets (₦'m)</x:v>
      </x:c>
      <x:c r="B13" s="18" t="n">
        <x:v>65</x:v>
      </x:c>
      <x:c r="C13" s="18" t="n">
        <x:v>65</x:v>
      </x:c>
      <x:c r="D13" s="22" t="n">
        <x:v>2492841</x:v>
      </x:c>
      <x:c r="E13" s="22" t="n">
        <x:v>1421675</x:v>
      </x:c>
      <x:c r="F13" s="22" t="n">
        <x:v>3563851</x:v>
      </x:c>
      <x:c r="G13" s="22" t="n">
        <x:f>IF(SUM(B13:C13)&gt;0,(B13*E13+C13*F13)/SUM(B13:C13),"")</x:f>
        <x:v>2492763</x:v>
      </x:c>
      <x:c r="H13" s="22" t="n">
        <x:f>D13-G13</x:f>
        <x:v>78</x:v>
      </x:c>
      <x:c r="I13" s="22" t="n">
        <x:f>1.0</x:f>
        <x:v>1</x:v>
      </x:c>
      <x:c r="J13" s="20" t="str">
        <x:f>IF(ABS(H13)&lt;=I13,"Within displayed rounding","Does not reconcile")</x:f>
        <x:v>Does not reconcile</x:v>
      </x:c>
      <x:c r="K13" s="20" t="str">
        <x:v>ifrs9_phd_FINAL_2013_2022.docx, Appendix C, p. 36</x:v>
      </x:c>
    </x:row>
  </x:sheetData>
  <x:mergeCells>
    <x:mergeCell ref="A1:K1"/>
    <x:mergeCell ref="A2:K3"/>
  </x:mergeCells>
  <x:conditionalFormatting sqref="H6:H13">
    <x:cfRule type="expression" dxfId="1" priority="1">
      <x:formula>ABS(H6)&gt;I6</x:formula>
    </x:cfRule>
  </x:conditionalFormatting>
  <x:pageMargins left="0.7" right="0.7" top="0.75" bottom="0.75" header="0.3" footer="0.3"/>
  <x:tableParts count="1">
    <x:tablePart xmlns:r="http://schemas.openxmlformats.org/officeDocument/2006/relationships" r:id="R8c7745edc00b4ee4"/>
  </x:tableParts>
</x:worksheet>
</file>

<file path=xl/worksheets/sheet10.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6" hidden="0" customWidth="1"/>
    <x:col min="2" max="2" width="15" hidden="0" customWidth="1"/>
    <x:col min="3" max="3" width="17" hidden="0" customWidth="1"/>
    <x:col min="4" max="4" width="18"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s>
  <x:sheetData>
    <x:row r="1" ht="30" customHeight="1">
      <x:c r="A1" s="3" t="str">
        <x:v>REPRODUCING THE WORD DATA TABLES | NOT THESIS FINDINGS</x:v>
      </x:c>
      <x:c r="B1" s="3"/>
      <x:c r="C1" s="3"/>
      <x:c r="D1" s="3"/>
      <x:c r="E1" s="3"/>
      <x:c r="F1" s="3"/>
      <x:c r="G1" s="3"/>
      <x:c r="H1" s="3"/>
      <x:c r="I1" s="3"/>
      <x:c r="J1" s="3"/>
    </x:row>
    <x:row r="2" ht="25" customHeight="1">
      <x:c r="A2" s="8" t="str">
        <x:v>Available-case calculations using the supplied 2015–2022 observations. The financial and ratio endpoints shown have 103 numeric values: 39 pre-adoption and 64 post-adoption. The nominal 104th row is Wema 2018.</x:v>
      </x:c>
      <x:c r="B2" s="8"/>
      <x:c r="C2" s="8"/>
      <x:c r="D2" s="8"/>
      <x:c r="E2" s="8"/>
      <x:c r="F2" s="8"/>
      <x:c r="G2" s="8"/>
      <x:c r="H2" s="8"/>
      <x:c r="I2" s="8"/>
      <x:c r="J2" s="8"/>
    </x:row>
    <x:row r="3" ht="20" customHeight="1">
      <x:c r="A3" s="8"/>
      <x:c r="B3" s="8"/>
      <x:c r="C3" s="8"/>
      <x:c r="D3" s="8"/>
      <x:c r="E3" s="8"/>
      <x:c r="F3" s="8"/>
      <x:c r="G3" s="8"/>
      <x:c r="H3" s="8"/>
      <x:c r="I3" s="8"/>
      <x:c r="J3" s="8"/>
    </x:row>
    <x:row r="5" ht="34" customHeight="1">
      <x:c r="A5" s="14" t="str">
        <x:v>Variable</x:v>
      </x:c>
      <x:c r="B5" s="14" t="str">
        <x:v>Numeric n</x:v>
      </x:c>
      <x:c r="C5" s="14" t="str">
        <x:v>Pre numeric n</x:v>
      </x:c>
      <x:c r="D5" s="14" t="str">
        <x:v>Post numeric n</x:v>
      </x:c>
      <x:c r="E5" s="14" t="str">
        <x:v>Mean</x:v>
      </x:c>
      <x:c r="F5" s="14" t="str">
        <x:v>Sample SD</x:v>
      </x:c>
      <x:c r="G5" s="14" t="str">
        <x:v>Minimum</x:v>
      </x:c>
      <x:c r="H5" s="14" t="str">
        <x:v>Maximum</x:v>
      </x:c>
      <x:c r="I5" s="14" t="str">
        <x:v>Pre mean</x:v>
      </x:c>
      <x:c r="J5" s="14" t="str">
        <x:v>Post mean</x:v>
      </x:c>
    </x:row>
    <x:row r="6" ht="28" customHeight="1">
      <x:c r="A6" s="20" t="str">
        <x:v>NPL ratio</x:v>
      </x:c>
      <x:c r="B6" s="18" t="n">
        <x:f>COUNT('Upload_Word'!$J$6:$J$109)</x:f>
        <x:v>103</x:v>
      </x:c>
      <x:c r="C6" s="18" t="n">
        <x:f>COUNTIFS('Upload_Word'!$B$6:$B$109,"&lt;2018",'Upload_Word'!$J$6:$J$109,"&lt;&gt;")</x:f>
        <x:v>39</x:v>
      </x:c>
      <x:c r="D6" s="18" t="n">
        <x:f>COUNTIFS('Upload_Word'!$B$6:$B$109,"&gt;=2018",'Upload_Word'!$J$6:$J$109,"&lt;&gt;")</x:f>
        <x:v>64</x:v>
      </x:c>
      <x:c r="E6" s="22" t="n">
        <x:f>AVERAGE('Upload_Word'!$J$6:$J$109)</x:f>
        <x:v>6.474077669902909</x:v>
      </x:c>
      <x:c r="F6" s="22" t="n">
        <x:f>_xlfn.STDEV.S('Upload_Word'!$J$6:$J$109)</x:f>
        <x:v>6.484579965367189</x:v>
      </x:c>
      <x:c r="G6" s="22" t="n">
        <x:f>MIN('Upload_Word'!$J$6:$J$109)</x:f>
        <x:v>0</x:v>
      </x:c>
      <x:c r="H6" s="22" t="n">
        <x:f>MAX('Upload_Word'!$J$6:$J$109)</x:f>
        <x:v>45</x:v>
      </x:c>
      <x:c r="I6" s="22" t="n">
        <x:f>IF(C6&gt;0,SUMIFS('Upload_Word'!$J$6:$J$109,'Upload_Word'!$B$6:$B$109,"&lt;2018")/C6,"")</x:f>
        <x:v>8.108717948717947</x:v>
      </x:c>
      <x:c r="J6" s="22" t="n">
        <x:f>IF(D6&gt;0,SUMIFS('Upload_Word'!$J$6:$J$109,'Upload_Word'!$B$6:$B$109,"&gt;=2018")/D6,"")</x:f>
        <x:v>5.477968749999999</x:v>
      </x:c>
    </x:row>
    <x:row r="7" ht="28" customHeight="1">
      <x:c r="A7" s="20" t="str">
        <x:v>CAR</x:v>
      </x:c>
      <x:c r="B7" s="18" t="n">
        <x:f>COUNT('Upload_Word'!$K$6:$K$109)</x:f>
        <x:v>103</x:v>
      </x:c>
      <x:c r="C7" s="18" t="n">
        <x:f>COUNTIFS('Upload_Word'!$B$6:$B$109,"&lt;2018",'Upload_Word'!$K$6:$K$109,"&lt;&gt;")</x:f>
        <x:v>39</x:v>
      </x:c>
      <x:c r="D7" s="18" t="n">
        <x:f>COUNTIFS('Upload_Word'!$B$6:$B$109,"&gt;=2018",'Upload_Word'!$K$6:$K$109,"&lt;&gt;")</x:f>
        <x:v>64</x:v>
      </x:c>
      <x:c r="E7" s="22" t="n">
        <x:f>AVERAGE('Upload_Word'!$K$6:$K$109)</x:f>
        <x:v>8.041553398058252</x:v>
      </x:c>
      <x:c r="F7" s="22" t="n">
        <x:f>_xlfn.STDEV.S('Upload_Word'!$K$6:$K$109)</x:f>
        <x:v>40.743863407959175</x:v>
      </x:c>
      <x:c r="G7" s="22" t="n">
        <x:f>MIN('Upload_Word'!$K$6:$K$109)</x:f>
        <x:v>-201.59</x:v>
      </x:c>
      <x:c r="H7" s="22" t="n">
        <x:f>MAX('Upload_Word'!$K$6:$K$109)</x:f>
        <x:v>25.5</x:v>
      </x:c>
      <x:c r="I7" s="22" t="n">
        <x:f>IF(C7&gt;0,SUMIFS('Upload_Word'!$K$6:$K$109,'Upload_Word'!$B$6:$B$109,"&lt;2018")/C7,"")</x:f>
        <x:v>11.981794871794873</x:v>
      </x:c>
      <x:c r="J7" s="22" t="n">
        <x:f>IF(D7&gt;0,SUMIFS('Upload_Word'!$K$6:$K$109,'Upload_Word'!$B$6:$B$109,"&gt;=2018")/D7,"")</x:f>
        <x:v>5.640468749999998</x:v>
      </x:c>
    </x:row>
    <x:row r="8" ht="28" customHeight="1">
      <x:c r="A8" s="20" t="str">
        <x:v>ROA supplied</x:v>
      </x:c>
      <x:c r="B8" s="18" t="n">
        <x:f>COUNT('Upload_Word'!$L$6:$L$109)</x:f>
        <x:v>103</x:v>
      </x:c>
      <x:c r="C8" s="18" t="n">
        <x:f>COUNTIFS('Upload_Word'!$B$6:$B$109,"&lt;2018",'Upload_Word'!$L$6:$L$109,"&lt;&gt;")</x:f>
        <x:v>39</x:v>
      </x:c>
      <x:c r="D8" s="18" t="n">
        <x:f>COUNTIFS('Upload_Word'!$B$6:$B$109,"&gt;=2018",'Upload_Word'!$L$6:$L$109,"&lt;&gt;")</x:f>
        <x:v>64</x:v>
      </x:c>
      <x:c r="E8" s="22" t="n">
        <x:f>AVERAGE('Upload_Word'!$L$6:$L$109)</x:f>
        <x:v>1.4106796116504856</x:v>
      </x:c>
      <x:c r="F8" s="22" t="n">
        <x:f>_xlfn.STDEV.S('Upload_Word'!$L$6:$L$109)</x:f>
        <x:v>1.6232255845401558</x:v>
      </x:c>
      <x:c r="G8" s="22" t="n">
        <x:f>MIN('Upload_Word'!$L$6:$L$109)</x:f>
        <x:v>-9.53</x:v>
      </x:c>
      <x:c r="H8" s="22" t="n">
        <x:f>MAX('Upload_Word'!$L$6:$L$109)</x:f>
        <x:v>6.15</x:v>
      </x:c>
      <x:c r="I8" s="22" t="n">
        <x:f>IF(C8&gt;0,SUMIFS('Upload_Word'!$L$6:$L$109,'Upload_Word'!$B$6:$B$109,"&lt;2018")/C8,"")</x:f>
        <x:v>1.245128205128205</x:v>
      </x:c>
      <x:c r="J8" s="22" t="n">
        <x:f>IF(D8&gt;0,SUMIFS('Upload_Word'!$L$6:$L$109,'Upload_Word'!$B$6:$B$109,"&gt;=2018")/D8,"")</x:f>
        <x:v>1.5115625000000006</x:v>
      </x:c>
    </x:row>
    <x:row r="9" ht="28" customHeight="1">
      <x:c r="A9" s="20" t="str">
        <x:v>Allowance/loans supplied</x:v>
      </x:c>
      <x:c r="B9" s="18" t="n">
        <x:f>COUNT('Upload_Word'!$M$6:$M$109)</x:f>
        <x:v>103</x:v>
      </x:c>
      <x:c r="C9" s="18" t="n">
        <x:f>COUNTIFS('Upload_Word'!$B$6:$B$109,"&lt;2018",'Upload_Word'!$M$6:$M$109,"&lt;&gt;")</x:f>
        <x:v>39</x:v>
      </x:c>
      <x:c r="D9" s="18" t="n">
        <x:f>COUNTIFS('Upload_Word'!$B$6:$B$109,"&gt;=2018",'Upload_Word'!$M$6:$M$109,"&lt;&gt;")</x:f>
        <x:v>64</x:v>
      </x:c>
      <x:c r="E9" s="22" t="n">
        <x:f>AVERAGE('Upload_Word'!$M$6:$M$109)</x:f>
        <x:v>5.238737864077671</x:v>
      </x:c>
      <x:c r="F9" s="22" t="n">
        <x:f>_xlfn.STDEV.S('Upload_Word'!$M$6:$M$109)</x:f>
        <x:v>3.11827273694647</x:v>
      </x:c>
      <x:c r="G9" s="22" t="n">
        <x:f>MIN('Upload_Word'!$M$6:$M$109)</x:f>
        <x:v>1.17</x:v>
      </x:c>
      <x:c r="H9" s="22" t="n">
        <x:f>MAX('Upload_Word'!$M$6:$M$109)</x:f>
        <x:v>15.08</x:v>
      </x:c>
      <x:c r="I9" s="22" t="n">
        <x:f>IF(C9&gt;0,SUMIFS('Upload_Word'!$M$6:$M$109,'Upload_Word'!$B$6:$B$109,"&lt;2018")/C9,"")</x:f>
        <x:v>4.944102564102564</x:v>
      </x:c>
      <x:c r="J9" s="22" t="n">
        <x:f>IF(D9&gt;0,SUMIFS('Upload_Word'!$M$6:$M$109,'Upload_Word'!$B$6:$B$109,"&gt;=2018")/D9,"")</x:f>
        <x:v>5.418281249999998</x:v>
      </x:c>
    </x:row>
    <x:row r="10" ht="28" customHeight="1">
      <x:c r="A10" s="20" t="str">
        <x:v>Leverage supplied</x:v>
      </x:c>
      <x:c r="B10" s="18" t="n">
        <x:f>COUNT('Upload_Word'!$N$6:$N$109)</x:f>
        <x:v>103</x:v>
      </x:c>
      <x:c r="C10" s="18" t="n">
        <x:f>COUNTIFS('Upload_Word'!$B$6:$B$109,"&lt;2018",'Upload_Word'!$N$6:$N$109,"&lt;&gt;")</x:f>
        <x:v>39</x:v>
      </x:c>
      <x:c r="D10" s="18" t="n">
        <x:f>COUNTIFS('Upload_Word'!$B$6:$B$109,"&gt;=2018",'Upload_Word'!$N$6:$N$109,"&lt;&gt;")</x:f>
        <x:v>64</x:v>
      </x:c>
      <x:c r="E10" s="22" t="n">
        <x:f>AVERAGE('Upload_Word'!$N$6:$N$109)</x:f>
        <x:v>93.7966019417475</x:v>
      </x:c>
      <x:c r="F10" s="22" t="n">
        <x:f>_xlfn.STDEV.S('Upload_Word'!$N$6:$N$109)</x:f>
        <x:v>24.927601111288777</x:v>
      </x:c>
      <x:c r="G10" s="22" t="n">
        <x:f>MIN('Upload_Word'!$N$6:$N$109)</x:f>
        <x:v>75.93</x:v>
      </x:c>
      <x:c r="H10" s="22" t="n">
        <x:f>MAX('Upload_Word'!$N$6:$N$109)</x:f>
        <x:v>254.75</x:v>
      </x:c>
      <x:c r="I10" s="22" t="n">
        <x:f>IF(C10&gt;0,SUMIFS('Upload_Word'!$N$6:$N$109,'Upload_Word'!$B$6:$B$109,"&lt;2018")/C10,"")</x:f>
        <x:v>90.57230769230766</x:v>
      </x:c>
      <x:c r="J10" s="22" t="n">
        <x:f>IF(D10&gt;0,SUMIFS('Upload_Word'!$N$6:$N$109,'Upload_Word'!$B$6:$B$109,"&gt;=2018")/D10,"")</x:f>
        <x:v>95.76140625</x:v>
      </x:c>
    </x:row>
    <x:row r="11" ht="28" customHeight="1">
      <x:c r="A11" s="20" t="str">
        <x:v>ln(TA) supplied</x:v>
      </x:c>
      <x:c r="B11" s="18" t="n">
        <x:f>COUNT('Upload_Word'!$O$6:$O$109)</x:f>
        <x:v>103</x:v>
      </x:c>
      <x:c r="C11" s="18" t="n">
        <x:f>COUNTIFS('Upload_Word'!$B$6:$B$109,"&lt;2018",'Upload_Word'!$O$6:$O$109,"&lt;&gt;")</x:f>
        <x:v>39</x:v>
      </x:c>
      <x:c r="D11" s="18" t="n">
        <x:f>COUNTIFS('Upload_Word'!$B$6:$B$109,"&gt;=2018",'Upload_Word'!$O$6:$O$109,"&lt;&gt;")</x:f>
        <x:v>64</x:v>
      </x:c>
      <x:c r="E11" s="22" t="n">
        <x:f>AVERAGE('Upload_Word'!$O$6:$O$109)</x:f>
        <x:v>14.547893203883497</x:v>
      </x:c>
      <x:c r="F11" s="22" t="n">
        <x:f>_xlfn.STDEV.S('Upload_Word'!$O$6:$O$109)</x:f>
        <x:v>0.8876479927713501</x:v>
      </x:c>
      <x:c r="G11" s="22" t="n">
        <x:f>MIN('Upload_Word'!$O$6:$O$109)</x:f>
        <x:v>11.96</x:v>
      </x:c>
      <x:c r="H11" s="22" t="n">
        <x:f>MAX('Upload_Word'!$O$6:$O$109)</x:f>
        <x:v>16.34</x:v>
      </x:c>
      <x:c r="I11" s="22" t="n">
        <x:f>IF(C11&gt;0,SUMIFS('Upload_Word'!$O$6:$O$109,'Upload_Word'!$B$6:$B$109,"&lt;2018")/C11,"")</x:f>
        <x:v>14.183153846153846</x:v>
      </x:c>
      <x:c r="J11" s="22" t="n">
        <x:f>IF(D11&gt;0,SUMIFS('Upload_Word'!$O$6:$O$109,'Upload_Word'!$B$6:$B$109,"&gt;=2018")/D11,"")</x:f>
        <x:v>14.770156250000003</x:v>
      </x:c>
    </x:row>
    <x:row r="12" ht="28" customHeight="1">
      <x:c r="A12" s="20" t="str">
        <x:v>PAT</x:v>
      </x:c>
      <x:c r="B12" s="18" t="n">
        <x:f>COUNT('Upload_Word'!$D$6:$D$109)</x:f>
        <x:v>103</x:v>
      </x:c>
      <x:c r="C12" s="18" t="n">
        <x:f>COUNTIFS('Upload_Word'!$B$6:$B$109,"&lt;2018",'Upload_Word'!$D$6:$D$109,"&lt;&gt;")</x:f>
        <x:v>39</x:v>
      </x:c>
      <x:c r="D12" s="18" t="n">
        <x:f>COUNTIFS('Upload_Word'!$B$6:$B$109,"&gt;=2018",'Upload_Word'!$D$6:$D$109,"&lt;&gt;")</x:f>
        <x:v>64</x:v>
      </x:c>
      <x:c r="E12" s="22" t="n">
        <x:f>AVERAGE('Upload_Word'!$D$6:$D$109)</x:f>
        <x:v>50731.21359223301</x:v>
      </x:c>
      <x:c r="F12" s="22" t="n">
        <x:f>_xlfn.STDEV.S('Upload_Word'!$D$6:$D$109)</x:f>
        <x:v>58529.05427885762</x:v>
      </x:c>
      <x:c r="G12" s="22" t="n">
        <x:f>MIN('Upload_Word'!$D$6:$D$109)</x:f>
        <x:v>-14918</x:v>
      </x:c>
      <x:c r="H12" s="22" t="n">
        <x:f>MAX('Upload_Word'!$D$6:$D$109)</x:f>
        <x:v>234593</x:v>
      </x:c>
      <x:c r="I12" s="22" t="n">
        <x:f>IF(C12&gt;0,SUMIFS('Upload_Word'!$D$6:$D$109,'Upload_Word'!$B$6:$B$109,"&lt;2018")/C12,"")</x:f>
        <x:v>34652.10256410256</x:v>
      </x:c>
      <x:c r="J12" s="22" t="n">
        <x:f>IF(D12&gt;0,SUMIFS('Upload_Word'!$D$6:$D$109,'Upload_Word'!$B$6:$B$109,"&gt;=2018")/D12,"")</x:f>
        <x:v>60529.421875</x:v>
      </x:c>
    </x:row>
    <x:row r="13" ht="28" customHeight="1">
      <x:c r="A13" s="20" t="str">
        <x:v>Gross earnings</x:v>
      </x:c>
      <x:c r="B13" s="18" t="n">
        <x:f>COUNT('Upload_Word'!$E$6:$E$109)</x:f>
        <x:v>103</x:v>
      </x:c>
      <x:c r="C13" s="18" t="n">
        <x:f>COUNTIFS('Upload_Word'!$B$6:$B$109,"&lt;2018",'Upload_Word'!$E$6:$E$109,"&lt;&gt;")</x:f>
        <x:v>39</x:v>
      </x:c>
      <x:c r="D13" s="18" t="n">
        <x:f>COUNTIFS('Upload_Word'!$B$6:$B$109,"&gt;=2018",'Upload_Word'!$E$6:$E$109,"&lt;&gt;")</x:f>
        <x:v>64</x:v>
      </x:c>
      <x:c r="E13" s="22" t="n">
        <x:f>AVERAGE('Upload_Word'!$E$6:$E$109)</x:f>
        <x:v>266931.4466019418</x:v>
      </x:c>
      <x:c r="F13" s="22" t="n">
        <x:f>_xlfn.STDEV.S('Upload_Word'!$E$6:$E$109)</x:f>
        <x:v>196145.04191685116</x:v>
      </x:c>
      <x:c r="G13" s="22" t="n">
        <x:f>MIN('Upload_Word'!$E$6:$E$109)</x:f>
        <x:v>37325</x:v>
      </x:c>
      <x:c r="H13" s="22" t="n">
        <x:f>MAX('Upload_Word'!$E$6:$E$109)</x:f>
        <x:v>1125012</x:v>
      </x:c>
      <x:c r="I13" s="22" t="n">
        <x:f>IF(C13&gt;0,SUMIFS('Upload_Word'!$E$6:$E$109,'Upload_Word'!$B$6:$B$109,"&lt;2018")/C13,"")</x:f>
        <x:v>225452.58974358975</x:v>
      </x:c>
      <x:c r="J13" s="22" t="n">
        <x:f>IF(D13&gt;0,SUMIFS('Upload_Word'!$E$6:$E$109,'Upload_Word'!$B$6:$B$109,"&gt;=2018")/D13,"")</x:f>
        <x:v>292207.625</x:v>
      </x:c>
    </x:row>
    <x:row r="14" ht="28" customHeight="1">
      <x:c r="A14" s="20" t="str">
        <x:v>Total assets</x:v>
      </x:c>
      <x:c r="B14" s="18" t="n">
        <x:f>COUNT('Upload_Word'!$F$6:$F$109)</x:f>
        <x:v>103</x:v>
      </x:c>
      <x:c r="C14" s="18" t="n">
        <x:f>COUNTIFS('Upload_Word'!$B$6:$B$109,"&lt;2018",'Upload_Word'!$F$6:$F$109,"&lt;&gt;")</x:f>
        <x:v>39</x:v>
      </x:c>
      <x:c r="D14" s="18" t="n">
        <x:f>COUNTIFS('Upload_Word'!$B$6:$B$109,"&gt;=2018",'Upload_Word'!$F$6:$F$109,"&lt;&gt;")</x:f>
        <x:v>64</x:v>
      </x:c>
      <x:c r="E14" s="22" t="n">
        <x:f>AVERAGE('Upload_Word'!$F$6:$F$109)</x:f>
        <x:v>2941965.0582524273</x:v>
      </x:c>
      <x:c r="F14" s="22" t="n">
        <x:f>_xlfn.STDEV.S('Upload_Word'!$F$6:$F$109)</x:f>
        <x:v>2484336.072333548</x:v>
      </x:c>
      <x:c r="G14" s="22" t="n">
        <x:f>MIN('Upload_Word'!$F$6:$F$109)</x:f>
        <x:v>156507</x:v>
      </x:c>
      <x:c r="H14" s="22" t="n">
        <x:f>MAX('Upload_Word'!$F$6:$F$109)</x:f>
        <x:v>12535280</x:v>
      </x:c>
      <x:c r="I14" s="22" t="n">
        <x:f>IF(C14&gt;0,SUMIFS('Upload_Word'!$F$6:$F$109,'Upload_Word'!$B$6:$B$109,"&lt;2018")/C14,"")</x:f>
        <x:v>1898309.9743589743</x:v>
      </x:c>
      <x:c r="J14" s="22" t="n">
        <x:f>IF(D14&gt;0,SUMIFS('Upload_Word'!$F$6:$F$109,'Upload_Word'!$B$6:$B$109,"&gt;=2018")/D14,"")</x:f>
        <x:v>3577942.375</x:v>
      </x:c>
    </x:row>
    <x:row r="15" ht="28" customHeight="1">
      <x:c r="A15" s="20" t="str">
        <x:v>Gross loans</x:v>
      </x:c>
      <x:c r="B15" s="18" t="n">
        <x:f>COUNT('Upload_Word'!$G$6:$G$109)</x:f>
        <x:v>103</x:v>
      </x:c>
      <x:c r="C15" s="18" t="n">
        <x:f>COUNTIFS('Upload_Word'!$B$6:$B$109,"&lt;2018",'Upload_Word'!$G$6:$G$109,"&lt;&gt;")</x:f>
        <x:v>39</x:v>
      </x:c>
      <x:c r="D15" s="18" t="n">
        <x:f>COUNTIFS('Upload_Word'!$B$6:$B$109,"&gt;=2018",'Upload_Word'!$G$6:$G$109,"&lt;&gt;")</x:f>
        <x:v>64</x:v>
      </x:c>
      <x:c r="E15" s="22" t="n">
        <x:f>AVERAGE('Upload_Word'!$G$6:$G$109)</x:f>
        <x:v>1181963.0582524273</x:v>
      </x:c>
      <x:c r="F15" s="22" t="n">
        <x:f>_xlfn.STDEV.S('Upload_Word'!$G$6:$G$109)</x:f>
        <x:v>872393.6972160286</x:v>
      </x:c>
      <x:c r="G15" s="22" t="n">
        <x:f>MIN('Upload_Word'!$G$6:$G$109)</x:f>
        <x:v>9467</x:v>
      </x:c>
      <x:c r="H15" s="22" t="n">
        <x:f>MAX('Upload_Word'!$G$6:$G$109)</x:f>
        <x:v>4149413</x:v>
      </x:c>
      <x:c r="I15" s="22" t="n">
        <x:f>IF(C15&gt;0,SUMIFS('Upload_Word'!$G$6:$G$109,'Upload_Word'!$B$6:$B$109,"&lt;2018")/C15,"")</x:f>
        <x:v>898230.4102564103</x:v>
      </x:c>
      <x:c r="J15" s="22" t="n">
        <x:f>IF(D15&gt;0,SUMIFS('Upload_Word'!$G$6:$G$109,'Upload_Word'!$B$6:$B$109,"&gt;=2018")/D15,"")</x:f>
        <x:v>1354862.640625</x:v>
      </x:c>
    </x:row>
    <x:row r="16" ht="28" customHeight="1">
      <x:c r="A16" s="20" t="str">
        <x:v>Loan allowance</x:v>
      </x:c>
      <x:c r="B16" s="18" t="n">
        <x:f>COUNT('Upload_Word'!$H$6:$H$109)</x:f>
        <x:v>103</x:v>
      </x:c>
      <x:c r="C16" s="18" t="n">
        <x:f>COUNTIFS('Upload_Word'!$B$6:$B$109,"&lt;2018",'Upload_Word'!$H$6:$H$109,"&lt;&gt;")</x:f>
        <x:v>39</x:v>
      </x:c>
      <x:c r="D16" s="18" t="n">
        <x:f>COUNTIFS('Upload_Word'!$B$6:$B$109,"&gt;=2018",'Upload_Word'!$H$6:$H$109,"&lt;&gt;")</x:f>
        <x:v>64</x:v>
      </x:c>
      <x:c r="E16" s="22" t="n">
        <x:f>AVERAGE('Upload_Word'!$H$6:$H$109)</x:f>
        <x:v>61626.99029126213</x:v>
      </x:c>
      <x:c r="F16" s="22" t="n">
        <x:f>_xlfn.STDEV.S('Upload_Word'!$H$6:$H$109)</x:f>
        <x:v>53869.94905188649</x:v>
      </x:c>
      <x:c r="G16" s="22" t="n">
        <x:f>MIN('Upload_Word'!$H$6:$H$109)</x:f>
        <x:v>509</x:v>
      </x:c>
      <x:c r="H16" s="22" t="n">
        <x:f>MAX('Upload_Word'!$H$6:$H$109)</x:f>
        <x:v>240695</x:v>
      </x:c>
      <x:c r="I16" s="22" t="n">
        <x:f>IF(C16&gt;0,SUMIFS('Upload_Word'!$H$6:$H$109,'Upload_Word'!$B$6:$B$109,"&lt;2018")/C16,"")</x:f>
        <x:v>48409.41025641026</x:v>
      </x:c>
      <x:c r="J16" s="22" t="n">
        <x:f>IF(D16&gt;0,SUMIFS('Upload_Word'!$H$6:$H$109,'Upload_Word'!$B$6:$B$109,"&gt;=2018")/D16,"")</x:f>
        <x:v>69681.453125</x:v>
      </x:c>
    </x:row>
  </x:sheetData>
  <x:mergeCells>
    <x:mergeCell ref="A1:J1"/>
    <x:mergeCell ref="A2:J3"/>
  </x:mergeCells>
  <x:pageMargins left="0.7" right="0.7" top="0.75" bottom="0.75" header="0.3" footer="0.3"/>
  <x:tableParts count="1">
    <x:tablePart xmlns:r="http://schemas.openxmlformats.org/officeDocument/2006/relationships" r:id="R5fc07ef0d02e4ea1"/>
  </x:tableParts>
</x:worksheet>
</file>

<file path=xl/worksheets/sheet11.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40" hidden="0" customWidth="1"/>
    <x:col min="2" max="2" width="13" hidden="0" customWidth="1"/>
    <x:col min="3" max="3" width="40" hidden="0" customWidth="1"/>
    <x:col min="4" max="4" width="40" hidden="0" customWidth="1"/>
    <x:col min="5" max="5" width="40" hidden="0" customWidth="1"/>
  </x:cols>
  <x:sheetData>
    <x:row r="1" ht="30" customHeight="1">
      <x:c r="A1" s="3" t="str">
        <x:v>FILE INTAKE AND DISPOSITION | 10 OCTOBER 2026</x:v>
      </x:c>
      <x:c r="B1" s="3"/>
      <x:c r="C1" s="3"/>
      <x:c r="D1" s="3"/>
      <x:c r="E1" s="3"/>
    </x:row>
    <x:row r="2" ht="25" customHeight="1">
      <x:c r="A2" s="8" t="str">
        <x:v>Files are compared by content, not by filename or a FINAL label. Original uploads and the current 118-page thesis have not been overwritten. This is a data update, not a claim that hypotheses were newly estimated.</x:v>
      </x:c>
      <x:c r="B2" s="8"/>
      <x:c r="C2" s="8"/>
      <x:c r="D2" s="8"/>
      <x:c r="E2" s="8"/>
    </x:row>
    <x:row r="3" ht="20" customHeight="1">
      <x:c r="A3" s="8"/>
      <x:c r="B3" s="8"/>
      <x:c r="C3" s="8"/>
      <x:c r="D3" s="8"/>
      <x:c r="E3" s="8"/>
    </x:row>
    <x:row r="5" ht="34" customHeight="1">
      <x:c r="A5" s="14" t="str">
        <x:v>File</x:v>
      </x:c>
      <x:c r="B5" s="14" t="str">
        <x:v>Bytes</x:v>
      </x:c>
      <x:c r="C5" s="14" t="str">
        <x:v>SHA-256</x:v>
      </x:c>
      <x:c r="D5" s="14" t="str">
        <x:v>Observed content</x:v>
      </x:c>
      <x:c r="E5" s="14" t="str">
        <x:v>Disposition</x:v>
      </x:c>
    </x:row>
    <x:row r="6" ht="100" customHeight="1">
      <x:c r="A6" s="20" t="str">
        <x:v>extract_nigerian_bank_ifrs_9_financial_data_6085ddb6.csv</x:v>
      </x:c>
      <x:c r="B6" s="18" t="n">
        <x:v>20825</x:v>
      </x:c>
      <x:c r="C6" s="20" t="str">
        <x:v>7859117c8313cca9491dc5f1af0f2c0dee7b4d047ed8801917e6716dfe8a0e75</x:v>
      </x:c>
      <x:c r="D6" s="20" t="str">
        <x:v>12 banks; 2015–2022; 96 bank-year positions</x:v>
      </x:c>
      <x:c r="E6" s="20" t="str">
        <x:v>No change in 1,440 compared fields. Candidate source only; no new selected rows.</x:v>
      </x:c>
    </x:row>
    <x:row r="7" ht="100" customHeight="1">
      <x:c r="A7" s="20" t="str">
        <x:v>nigerian_banks_ifrs9_thesis_data.docx</x:v>
      </x:c>
      <x:c r="B7" s="18" t="n">
        <x:v>58515</x:v>
      </x:c>
      <x:c r="C7" s="20" t="str">
        <x:v>50023ab5bd3d7229cf2056b152dee53169d0d4a1af9756041cbdeba3593e1e77</x:v>
      </x:c>
      <x:c r="D7" s="20" t="str">
        <x:v>13 banks; 2015–2022; 104 positions, 103 PAT/assets pairs</x:v>
      </x:c>
      <x:c r="E7" s="20" t="str">
        <x:v>No change in 1,560 compared fields. Wema 2018 absent; four impairment cells differ from CSV.</x:v>
      </x:c>
    </x:row>
    <x:row r="8" ht="100" customHeight="1">
      <x:c r="A8" s="20" t="str">
        <x:v>ifrs9_phd_FINAL_2013_2022.docx</x:v>
      </x:c>
      <x:c r="B8" s="18" t="n">
        <x:v>49328</x:v>
      </x:c>
      <x:c r="C8" s="20" t="str">
        <x:v>4a46da38b524050a55d9023653c52e5c95bdfb3b0689c3be2f27fa6cf30101b2</x:v>
      </x:c>
      <x:c r="D8" s="20" t="str">
        <x:v>36 pages; 5 tables; Chapters 1–3, references and summary appendices</x:v>
      </x:c>
      <x:c r="E8" s="20" t="str">
        <x:v>Claims 130 observations but provides only aggregate financial statistics; Chapter 3.9 also refers to 91. No bank-year inputs to merge.</x:v>
      </x:c>
    </x:row>
  </x:sheetData>
  <x:mergeCells>
    <x:mergeCell ref="A1:E1"/>
    <x:mergeCell ref="A2:E3"/>
  </x:mergeCells>
  <x:pageMargins left="0.7" right="0.7" top="0.75" bottom="0.75" header="0.3" footer="0.3"/>
  <x:tableParts count="1">
    <x:tablePart xmlns:r="http://schemas.openxmlformats.org/officeDocument/2006/relationships" r:id="R687d2b4a39754fc2"/>
  </x:tableParts>
</x:worksheet>
</file>

<file path=xl/worksheets/sheet12.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7" hidden="0" customWidth="1"/>
    <x:col min="2" max="2" width="40" hidden="0" customWidth="1"/>
    <x:col min="3" max="3" width="40" hidden="0" customWidth="1"/>
  </x:cols>
  <x:sheetData>
    <x:row r="1" ht="30" customHeight="1">
      <x:c r="A1" s="3" t="str">
        <x:v>MEASUREMENT AND ADMISSION RULES</x:v>
      </x:c>
      <x:c r="B1" s="3"/>
      <x:c r="C1" s="3"/>
    </x:row>
    <x:row r="2" ht="25" customHeight="1">
      <x:c r="A2" s="8" t="str">
        <x:v>Units: NGN million for monetary amounts; ratios in percentage points. The candidate cohort and observation window are unchanged.</x:v>
      </x:c>
      <x:c r="B2" s="8"/>
      <x:c r="C2" s="8"/>
    </x:row>
    <x:row r="3" ht="20" customHeight="1">
      <x:c r="A3" s="8"/>
      <x:c r="B3" s="8"/>
      <x:c r="C3" s="8"/>
    </x:row>
    <x:row r="5" ht="34" customHeight="1">
      <x:c r="A5" s="14" t="str">
        <x:v>Term</x:v>
      </x:c>
      <x:c r="B5" s="14" t="str">
        <x:v>Definition</x:v>
      </x:c>
      <x:c r="C5" s="14" t="str">
        <x:v>Interpretive boundary</x:v>
      </x:c>
    </x:row>
    <x:row r="6" ht="70" customHeight="1">
      <x:c r="A6" s="20" t="str">
        <x:v>Selected</x:v>
      </x:c>
      <x:c r="B6" s="20" t="str">
        <x:v>47 bank-years with admitted main-statement inputs; individual outcomes remain incomplete.</x:v>
      </x:c>
      <x:c r="C6" s="20" t="str">
        <x:v>45 inherited + 2 newly page-checked UBA records.</x:v>
      </x:c>
    </x:row>
    <x:row r="7" ht="70" customHeight="1">
      <x:c r="A7" s="20" t="str">
        <x:v>Candidate only</x:v>
      </x:c>
      <x:c r="B7" s="20" t="str">
        <x:v>Unverified supplied amounts retained in raw sheets, not used in Selected_Inputs.</x:v>
      </x:c>
      <x:c r="C7" s="20" t="str">
        <x:v>72 of the 130 study positions.</x:v>
      </x:c>
    </x:row>
    <x:row r="8" ht="70" customHeight="1">
      <x:c r="A8" s="20" t="str">
        <x:v>No core data</x:v>
      </x:c>
      <x:c r="B8" s="20" t="str">
        <x:v>No populated PAT/assets pair in the current uploads or selected layer.</x:v>
      </x:c>
      <x:c r="C8" s="20" t="str">
        <x:v>11 of the 130 study positions.</x:v>
      </x:c>
    </x:row>
    <x:row r="9" ht="70" customHeight="1">
      <x:c r="A9" s="20" t="str">
        <x:v>Average assets</x:v>
      </x:c>
      <x:c r="B9" s="20" t="str">
        <x:v>(Opening total assets + closing total assets) / 2; both must be positive and available.</x:v>
      </x:c>
      <x:c r="C9" s="20" t="str">
        <x:v>Opening 2015 UBA assets inherit the previously selected 2014 amount.</x:v>
      </x:c>
    </x:row>
    <x:row r="10" ht="70" customHeight="1">
      <x:c r="A10" s="20" t="str">
        <x:v>ROA</x:v>
      </x:c>
      <x:c r="B10" s="20" t="str">
        <x:v>Profit after tax / average assets × 100.</x:v>
      </x:c>
      <x:c r="C10" s="20" t="str">
        <x:v>Not interchangeable with the raw files' closing-assets ROA.</x:v>
      </x:c>
    </x:row>
    <x:row r="11" ht="70" customHeight="1">
      <x:c r="A11" s="20" t="str">
        <x:v>Equity / assets</x:v>
      </x:c>
      <x:c r="B11" s="20" t="str">
        <x:v>Reported accounting equity / closing total assets × 100.</x:v>
      </x:c>
      <x:c r="C11" s="20" t="str">
        <x:v>Not regulatory CAR.</x:v>
      </x:c>
    </x:row>
    <x:row r="12" ht="70" customHeight="1">
      <x:c r="A12" s="20" t="str">
        <x:v>Operating cash-flow ratio</x:v>
      </x:c>
      <x:c r="B12" s="20" t="str">
        <x:v>Net cash from operating activities / average assets × 100.</x:v>
      </x:c>
      <x:c r="C12" s="20" t="str">
        <x:v>An accounting cash-flow measure, not LCR.</x:v>
      </x:c>
    </x:row>
    <x:row r="13" ht="70" customHeight="1">
      <x:c r="A13" s="20" t="str">
        <x:v>Loan allowance intensity</x:v>
      </x:c>
      <x:c r="B13" s="20" t="str">
        <x:v>Matched customer-loan allowance / gross customer loans × 100.</x:v>
      </x:c>
      <x:c r="C13" s="20" t="str">
        <x:v>Excludes allowances on unrelated assets. Unresolved Union 2018 version exception retained.</x:v>
      </x:c>
    </x:row>
    <x:row r="14" ht="70" customHeight="1">
      <x:c r="A14" s="20" t="str">
        <x:v>Impairment sign</x:v>
      </x:c>
      <x:c r="B14" s="20" t="str">
        <x:v>Positive expense reduces profit; negative reversal increases profit.</x:v>
      </x:c>
      <x:c r="C14" s="20" t="str">
        <x:v>Raw parentheses alone do not resolve income-statement meaning.</x:v>
      </x:c>
    </x:row>
    <x:row r="15" ht="70" customHeight="1">
      <x:c r="A15" s="20" t="str">
        <x:v>Computed CAR</x:v>
      </x:c>
      <x:c r="B15" s="20" t="str">
        <x:v>Regulatory capital / risk-weighted assets × 100.</x:v>
      </x:c>
      <x:c r="C15" s="20" t="str">
        <x:v>Displayed separately from rounded published CAR and transitional CAR.</x:v>
      </x:c>
    </x:row>
    <x:row r="16" ht="70" customHeight="1">
      <x:c r="A16" s="20" t="str">
        <x:v>CAR buffer</x:v>
      </x:c>
      <x:c r="B16" s="20" t="str">
        <x:v>Published CAR minus the year-specific documented minimum.</x:v>
      </x:c>
      <x:c r="C16" s="20" t="str">
        <x:v>Interpret using the published CAR basis; blank where the minimum is unverified.</x:v>
      </x:c>
    </x:row>
    <x:row r="17" ht="70" customHeight="1">
      <x:c r="A17" s="20" t="str">
        <x:v>Broad NPL coverage</x:v>
      </x:c>
      <x:c r="B17" s="20" t="str">
        <x:v>Total customer-loan allowance / NPL amount × 100.</x:v>
      </x:c>
      <x:c r="C17" s="20" t="str">
        <x:v>Not provision specifically attributable to NPLs.</x:v>
      </x:c>
    </x:row>
    <x:row r="18" ht="70" customHeight="1">
      <x:c r="A18" s="20" t="str">
        <x:v>Stage 3 coverage</x:v>
      </x:c>
      <x:c r="B18" s="20" t="str">
        <x:v>Stage 3 allowance / Stage 3 gross exposure × 100.</x:v>
      </x:c>
      <x:c r="C18" s="20" t="str">
        <x:v>Not automatically equal to regulatory NPL coverage.</x:v>
      </x:c>
    </x:row>
    <x:row r="19" ht="70" customHeight="1">
      <x:c r="A19" s="20" t="str">
        <x:v>Liquidity</x:v>
      </x:c>
      <x:c r="B19" s="20" t="str">
        <x:v>Bank-reported domestic liquidity ratio, with an explicit admissibility flag.</x:v>
      </x:c>
      <x:c r="C19" s="20" t="str">
        <x:v>11 reported values, 10 admitted. UBA 2022 stays excluded for an inherited source inconsistency.</x:v>
      </x:c>
    </x:row>
    <x:row r="20" ht="70" customHeight="1">
      <x:c r="A20" s="20" t="str">
        <x:v>Going concern uncertainty</x:v>
      </x:c>
      <x:c r="B20" s="20" t="str">
        <x:v>Explicit documented uncertainty code; missing evidence stays blank.</x:v>
      </x:c>
      <x:c r="C20" s="20" t="str">
        <x:v>Only two manually supported codes in the selected set; no additional codes assigned here.</x:v>
      </x:c>
    </x:row>
    <x:row r="21" ht="70" customHeight="1">
      <x:c r="A21" s="20" t="str">
        <x:v>Analytical tier</x:v>
      </x:c>
      <x:c r="B21" s="20" t="str">
        <x:v>The inherited research grouping of the bank cohort.</x:v>
      </x:c>
      <x:c r="C21" s="20" t="str">
        <x:v>Not treated as synonymous with regulatory capital tiers, licence types or formal systemic designation.</x:v>
      </x:c>
    </x:row>
    <x:row r="22" ht="70" customHeight="1">
      <x:c r="A22" s="20" t="str">
        <x:v>Provenance</x:v>
      </x:c>
      <x:c r="B22" s="20" t="str">
        <x:v>Prior source items are preserved as inherited evidence in the data pack.</x:v>
      </x:c>
      <x:c r="C22" s="20" t="str">
        <x:v>Only the 41 measurements in New_Evidence were independently page-checked in this release.</x:v>
      </x:c>
    </x:row>
  </x:sheetData>
  <x:mergeCells>
    <x:mergeCell ref="A1:C1"/>
    <x:mergeCell ref="A2:C3"/>
  </x:mergeCells>
  <x:pageMargins left="0.7" right="0.7" top="0.75" bottom="0.75" header="0.3" footer="0.3"/>
  <x:tableParts count="1">
    <x:tablePart xmlns:r="http://schemas.openxmlformats.org/officeDocument/2006/relationships" r:id="R80124564ae2343ac"/>
  </x:tableParts>
</x:worksheet>
</file>

<file path=xl/worksheets/sheet13.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24" customHeight="1">
      <x:c r="A1" s="44" t="str">
        <x:v>IFRS 9 • MASTER DATA UPDATE</x:v>
      </x:c>
      <x:c r="B1" s="44"/>
      <x:c r="C1" s="44"/>
      <x:c r="D1" s="44"/>
      <x:c r="E1" s="44"/>
      <x:c r="F1" s="44"/>
      <x:c r="G1" s="44"/>
      <x:c r="H1" s="44"/>
      <x:c r="I1" s="44"/>
      <x:c r="J1" s="44"/>
    </x:row>
    <x:row r="2" ht="24" customHeight="1">
      <x:c r="A2" s="44"/>
      <x:c r="B2" s="44"/>
      <x:c r="C2" s="44"/>
      <x:c r="D2" s="44"/>
      <x:c r="E2" s="44"/>
      <x:c r="F2" s="44"/>
      <x:c r="G2" s="44"/>
      <x:c r="H2" s="44"/>
      <x:c r="I2" s="44"/>
      <x:c r="J2" s="44"/>
    </x:row>
    <x:row r="3" ht="21" customHeight="1">
      <x:c r="A3" s="8" t="str">
        <x:v>10 October 2026 | 2013–2022 research window | New audited UBA 2015–2016 observations; repeat uploads preserved separately.</x:v>
      </x:c>
      <x:c r="B3" s="8"/>
      <x:c r="C3" s="8"/>
      <x:c r="D3" s="8"/>
      <x:c r="E3" s="8"/>
      <x:c r="F3" s="8"/>
      <x:c r="G3" s="8"/>
      <x:c r="H3" s="8"/>
      <x:c r="I3" s="8"/>
      <x:c r="J3" s="8"/>
    </x:row>
    <x:row r="4" ht="21" customHeight="1">
      <x:c r="A4" s="8"/>
      <x:c r="B4" s="8"/>
      <x:c r="C4" s="8"/>
      <x:c r="D4" s="8"/>
      <x:c r="E4" s="8"/>
      <x:c r="F4" s="8"/>
      <x:c r="G4" s="8"/>
      <x:c r="H4" s="8"/>
      <x:c r="I4" s="8"/>
      <x:c r="J4" s="8"/>
    </x:row>
    <x:row r="6" ht="26" customHeight="1">
      <x:c r="A6" s="13" t="str">
        <x:v>SELECTED BANK-YEARS</x:v>
      </x:c>
      <x:c r="B6" s="13"/>
      <x:c r="C6" s="13"/>
      <x:c r="D6" s="13" t="str">
        <x:v>NEW BANK-YEARS</x:v>
      </x:c>
      <x:c r="E6" s="13"/>
      <x:c r="F6" s="13"/>
      <x:c r="G6" s="13" t="str">
        <x:v>NEW SOURCE VALUES</x:v>
      </x:c>
      <x:c r="H6" s="13"/>
      <x:c r="I6" s="13"/>
    </x:row>
    <x:row r="7" ht="22" customHeight="1">
      <x:c r="A7" s="46" t="n">
        <x:f>COUNT('Selected_Inputs'!B6:B52)</x:f>
        <x:v>47</x:v>
      </x:c>
      <x:c r="B7" s="46"/>
      <x:c r="C7" s="46"/>
      <x:c r="D7" s="46" t="n">
        <x:f>COUNTIF('Master_130'!E6:E135,"Selected - newly checked")</x:f>
        <x:v>2</x:v>
      </x:c>
      <x:c r="E7" s="46"/>
      <x:c r="F7" s="46"/>
      <x:c r="G7" s="46" t="n">
        <x:f>COUNT('New_Evidence'!B6:B46)</x:f>
        <x:v>41</x:v>
      </x:c>
      <x:c r="H7" s="46"/>
      <x:c r="I7" s="46"/>
    </x:row>
    <x:row r="8" ht="22" customHeight="1">
      <x:c r="A8" s="46"/>
      <x:c r="B8" s="46"/>
      <x:c r="C8" s="46"/>
      <x:c r="D8" s="46"/>
      <x:c r="E8" s="46"/>
      <x:c r="F8" s="46"/>
      <x:c r="G8" s="46"/>
      <x:c r="H8" s="46"/>
      <x:c r="I8" s="46"/>
    </x:row>
    <x:row r="11" ht="44" customHeight="1">
      <x:c r="A11" s="36" t="str">
        <x:v>Study frame</x:v>
      </x:c>
      <x:c r="B11" s="36"/>
      <x:c r="C11" s="8" t="str">
        <x:v>13 candidate banks × 10 years = 130 positions. This is not the achieved analytical sample.</x:v>
      </x:c>
      <x:c r="D11" s="8"/>
      <x:c r="E11" s="8"/>
      <x:c r="F11" s="8"/>
      <x:c r="G11" s="8"/>
      <x:c r="H11" s="8"/>
      <x:c r="I11" s="8"/>
      <x:c r="J11" s="8"/>
    </x:row>
    <x:row r="12" ht="44" customHeight="1">
      <x:c r="A12" s="34" t="str">
        <x:v>Achieved sample</x:v>
      </x:c>
      <x:c r="B12" s="34"/>
      <x:c r="C12" s="31" t="str">
        <x:v>47 selected bank-years across 11 banks: 25 pre-adoption, 22 post-adoption. Some indicators remain missing.</x:v>
      </x:c>
      <x:c r="D12" s="31"/>
      <x:c r="E12" s="31"/>
      <x:c r="F12" s="31"/>
      <x:c r="G12" s="31"/>
      <x:c r="H12" s="31"/>
      <x:c r="I12" s="31"/>
      <x:c r="J12" s="31"/>
    </x:row>
    <x:row r="13" ht="44" customHeight="1">
      <x:c r="A13" s="36" t="str">
        <x:v>Coverage status</x:v>
      </x:c>
      <x:c r="B13" s="36"/>
      <x:c r="C13" s="8" t="str">
        <x:v>47 selected, 72 candidate-only, and 11 positions without a populated PAT/assets pair.</x:v>
      </x:c>
      <x:c r="D13" s="8"/>
      <x:c r="E13" s="8"/>
      <x:c r="F13" s="8"/>
      <x:c r="G13" s="8"/>
      <x:c r="H13" s="8"/>
      <x:c r="I13" s="8"/>
      <x:c r="J13" s="8"/>
    </x:row>
    <x:row r="14" ht="44" customHeight="1">
      <x:c r="A14" s="34" t="str">
        <x:v>New evidence</x:v>
      </x:c>
      <x:c r="B14" s="34"/>
      <x:c r="C14" s="31" t="str">
        <x:v>41 Bank-column measurements from UBA's 2016 annual report, covering 2015 comparative and 2016 current-year amounts.</x:v>
      </x:c>
      <x:c r="D14" s="31"/>
      <x:c r="E14" s="31"/>
      <x:c r="F14" s="31"/>
      <x:c r="G14" s="31"/>
      <x:c r="H14" s="31"/>
      <x:c r="I14" s="31"/>
      <x:c r="J14" s="31"/>
    </x:row>
    <x:row r="15" ht="44" customHeight="1">
      <x:c r="A15" s="36" t="str">
        <x:v>Preserved evidence</x:v>
      </x:c>
      <x:c r="B15" s="36"/>
      <x:c r="C15" s="8" t="str">
        <x:v>The other 45 bank-years retain their previous source-selection decisions; they were not freshly audited in this update.</x:v>
      </x:c>
      <x:c r="D15" s="8"/>
      <x:c r="E15" s="8"/>
      <x:c r="F15" s="8"/>
      <x:c r="G15" s="8"/>
      <x:c r="H15" s="8"/>
      <x:c r="I15" s="8"/>
      <x:c r="J15" s="8"/>
    </x:row>
    <x:row r="16" ht="44" customHeight="1">
      <x:c r="A16" s="34" t="str">
        <x:v>Upload comparison</x:v>
      </x:c>
      <x:c r="B16" s="34"/>
      <x:c r="C16" s="31" t="str">
        <x:v>CSV: 1,440 fields, zero changes. Word data tables: 1,560 fields, zero changes against their respective archived versions.</x:v>
      </x:c>
      <x:c r="D16" s="31"/>
      <x:c r="E16" s="31"/>
      <x:c r="F16" s="31"/>
      <x:c r="G16" s="31"/>
      <x:c r="H16" s="31"/>
      <x:c r="I16" s="31"/>
      <x:c r="J16" s="31"/>
    </x:row>
    <x:row r="17" ht="44" customHeight="1">
      <x:c r="A17" s="36" t="str">
        <x:v>New manuscript</x:v>
      </x:c>
      <x:c r="B17" s="36"/>
      <x:c r="C17" s="8" t="str">
        <x:v>The 36-page FINAL document provides aggregate claims, not a 130-row dataset. Its claimed monetary means contain two weighted-mean inconsistencies.</x:v>
      </x:c>
      <x:c r="D17" s="8"/>
      <x:c r="E17" s="8"/>
      <x:c r="F17" s="8"/>
      <x:c r="G17" s="8"/>
      <x:c r="H17" s="8"/>
      <x:c r="I17" s="8"/>
      <x:c r="J17" s="8"/>
    </x:row>
    <x:row r="18" ht="44" customHeight="1">
      <x:c r="A18" s="34" t="str">
        <x:v>UBA loan allowance</x:v>
      </x:c>
      <x:c r="B18" s="34"/>
      <x:c r="C18" s="31" t="str">
        <x:v>Matched customer-loan allowances: 13,043 (2015) and 29,741 (2016), replacing the candidate 14,104 and 32,295 for those specific measurements.</x:v>
      </x:c>
      <x:c r="D18" s="31"/>
      <x:c r="E18" s="31"/>
      <x:c r="F18" s="31"/>
      <x:c r="G18" s="31"/>
      <x:c r="H18" s="31"/>
      <x:c r="I18" s="31"/>
      <x:c r="J18" s="31"/>
    </x:row>
    <x:row r="19" ht="44" customHeight="1">
      <x:c r="A19" s="36" t="str">
        <x:v>How to use</x:v>
      </x:c>
      <x:c r="B19" s="36"/>
      <x:c r="C19" s="8" t="str">
        <x:v>Start with Master_130, Selected_Inputs and Calculated_Ratios. New_Evidence supplies page-level sources. Raw uploads are not automatically admitted.</x:v>
      </x:c>
      <x:c r="D19" s="8"/>
      <x:c r="E19" s="8"/>
      <x:c r="F19" s="8"/>
      <x:c r="G19" s="8"/>
      <x:c r="H19" s="8"/>
      <x:c r="I19" s="8"/>
      <x:c r="J19" s="8"/>
    </x:row>
    <x:row r="20" ht="44" customHeight="1">
      <x:c r="A20" s="34" t="str">
        <x:v>Deliverable boundary</x:v>
      </x:c>
      <x:c r="B20" s="34"/>
      <x:c r="C20" s="31" t="str">
        <x:v>Updated workbook and CSV, not an updated thesis or newly estimated regression. Twelve existing thesis graphs and prior manuscript remain unchanged.</x:v>
      </x:c>
      <x:c r="D20" s="31"/>
      <x:c r="E20" s="31"/>
      <x:c r="F20" s="31"/>
      <x:c r="G20" s="31"/>
      <x:c r="H20" s="31"/>
      <x:c r="I20" s="31"/>
      <x:c r="J20" s="31"/>
    </x:row>
    <x:row r="22" ht="25" customHeight="1">
      <x:c r="A22" s="13" t="str">
        <x:v>UBA: NEWLY VERIFIED INPUTS AND RECOMPUTED RATIOS</x:v>
      </x:c>
      <x:c r="B22" s="13"/>
      <x:c r="C22" s="13"/>
      <x:c r="D22" s="13"/>
      <x:c r="E22" s="13"/>
      <x:c r="F22" s="13"/>
      <x:c r="G22" s="13"/>
      <x:c r="H22" s="13"/>
      <x:c r="I22" s="13"/>
      <x:c r="J22" s="13"/>
    </x:row>
    <x:row r="23" ht="34" customHeight="1">
      <x:c r="A23" s="39" t="str">
        <x:v>Year</x:v>
      </x:c>
      <x:c r="B23" s="39" t="str">
        <x:v>PAT (NGNm)</x:v>
      </x:c>
      <x:c r="C23" s="39" t="str">
        <x:v>Loan allowance</x:v>
      </x:c>
      <x:c r="D23" s="39" t="str">
        <x:v>ROA average (%)</x:v>
      </x:c>
      <x:c r="E23" s="39" t="str">
        <x:v>Allowance / loans (%)</x:v>
      </x:c>
      <x:c r="F23" s="39" t="str">
        <x:v>OCF (NGNm)</x:v>
      </x:c>
    </x:row>
    <x:row r="24">
      <x:c r="A24" t="n">
        <x:f>'Selected_Inputs'!B23</x:f>
        <x:v>2015</x:v>
      </x:c>
      <x:c r="B24" s="42" t="n">
        <x:f>'Selected_Inputs'!E23</x:f>
        <x:v>47642</x:v>
      </x:c>
      <x:c r="C24" s="42" t="n">
        <x:f>'Selected_Inputs'!L23</x:f>
        <x:v>13043</x:v>
      </x:c>
      <x:c r="D24" s="42" t="n">
        <x:f>'Calculated_Ratios'!D23</x:f>
        <x:v>2.091765555590924</x:v>
      </x:c>
      <x:c r="E24" s="42" t="n">
        <x:f>'Calculated_Ratios'!G23</x:f>
        <x:v>1.56065843680488</x:v>
      </x:c>
      <x:c r="F24" s="42" t="n">
        <x:f>'Selected_Inputs'!I23</x:f>
        <x:v>58408</x:v>
      </x:c>
    </x:row>
    <x:row r="25">
      <x:c r="A25" t="n">
        <x:f>'Selected_Inputs'!B24</x:f>
        <x:v>2016</x:v>
      </x:c>
      <x:c r="B25" s="42" t="n">
        <x:f>'Selected_Inputs'!E24</x:f>
        <x:v>47541</x:v>
      </x:c>
      <x:c r="C25" s="42" t="n">
        <x:f>'Selected_Inputs'!L24</x:f>
        <x:v>29741</x:v>
      </x:c>
      <x:c r="D25" s="42" t="n">
        <x:f>'Calculated_Ratios'!D24</x:f>
        <x:v>1.999233797358325</x:v>
      </x:c>
      <x:c r="E25" s="42" t="n">
        <x:f>'Calculated_Ratios'!G24</x:f>
        <x:v>2.6552188383852813</x:v>
      </x:c>
      <x:c r="F25" s="42" t="n">
        <x:f>'Selected_Inputs'!I24</x:f>
        <x:v>-213392</x:v>
      </x:c>
    </x:row>
    <x:row r="27" ht="22" customHeight="1">
      <x:c r="A27" s="30" t="str">
        <x:v>Source: United Bank for Africa Plc, 2016 Annual Report and Accounts, printed pp. 74–75, 78, 128, 147–148 and 169–170. Values are NGN million; ratios are percentages.</x:v>
      </x:c>
      <x:c r="B27" s="30"/>
      <x:c r="C27" s="30"/>
      <x:c r="D27" s="30"/>
      <x:c r="E27" s="30"/>
      <x:c r="F27" s="30"/>
      <x:c r="G27" s="30"/>
      <x:c r="H27" s="30"/>
      <x:c r="I27" s="30"/>
      <x:c r="J27" s="30"/>
    </x:row>
    <x:row r="28" ht="22" customHeight="1">
      <x:c r="A28" s="30"/>
      <x:c r="B28" s="30"/>
      <x:c r="C28" s="30"/>
      <x:c r="D28" s="30"/>
      <x:c r="E28" s="30"/>
      <x:c r="F28" s="30"/>
      <x:c r="G28" s="30"/>
      <x:c r="H28" s="30"/>
      <x:c r="I28" s="30"/>
      <x:c r="J28" s="30"/>
    </x:row>
    <x:row r="29" ht="18" customHeight="1">
      <x:c r="A29" s="30" t="str">
        <x:v>https://www.ubagroup.com/wp-content/uploads/2018/08/UBA-Plc-2016-Annual-reports-and-Accounts_Low-Resolution.VAR_.pdf</x:v>
      </x:c>
      <x:c r="B29" s="30"/>
      <x:c r="C29" s="30"/>
      <x:c r="D29" s="30"/>
      <x:c r="E29" s="30"/>
      <x:c r="F29" s="30"/>
      <x:c r="G29" s="30"/>
      <x:c r="H29" s="30"/>
      <x:c r="I29" s="30"/>
      <x:c r="J29" s="30"/>
    </x:row>
    <x:row r="30" ht="18" customHeight="1">
      <x:c r="A30" s="30"/>
      <x:c r="B30" s="30"/>
      <x:c r="C30" s="30"/>
      <x:c r="D30" s="30"/>
      <x:c r="E30" s="30"/>
      <x:c r="F30" s="30"/>
      <x:c r="G30" s="30"/>
      <x:c r="H30" s="30"/>
      <x:c r="I30" s="30"/>
      <x:c r="J30" s="30"/>
    </x:row>
    <x:row r="31" ht="18" customHeight="1">
      <x:c r="A31" s="30"/>
      <x:c r="B31" s="30"/>
      <x:c r="C31" s="30"/>
      <x:c r="D31" s="30"/>
      <x:c r="E31" s="30"/>
      <x:c r="F31" s="30"/>
      <x:c r="G31" s="30"/>
      <x:c r="H31" s="30"/>
      <x:c r="I31" s="30"/>
      <x:c r="J31" s="30"/>
    </x:row>
  </x:sheetData>
  <x:mergeCells>
    <x:mergeCell ref="A1:J2"/>
    <x:mergeCell ref="A3:J4"/>
    <x:mergeCell ref="A6:C6"/>
    <x:mergeCell ref="A7:C8"/>
    <x:mergeCell ref="D6:F6"/>
    <x:mergeCell ref="D7:F8"/>
    <x:mergeCell ref="G6:I6"/>
    <x:mergeCell ref="G7:I8"/>
    <x:mergeCell ref="A11:B11"/>
    <x:mergeCell ref="C11:J11"/>
    <x:mergeCell ref="A12:B12"/>
    <x:mergeCell ref="C12:J12"/>
    <x:mergeCell ref="A13:B13"/>
    <x:mergeCell ref="C13:J13"/>
    <x:mergeCell ref="A14:B14"/>
    <x:mergeCell ref="C14:J14"/>
    <x:mergeCell ref="A15:B15"/>
    <x:mergeCell ref="C15:J15"/>
    <x:mergeCell ref="A16:B16"/>
    <x:mergeCell ref="C16:J16"/>
    <x:mergeCell ref="A17:B17"/>
    <x:mergeCell ref="C17:J17"/>
    <x:mergeCell ref="A18:B18"/>
    <x:mergeCell ref="C18:J18"/>
    <x:mergeCell ref="A19:B19"/>
    <x:mergeCell ref="C19:J19"/>
    <x:mergeCell ref="A20:B20"/>
    <x:mergeCell ref="C20:J20"/>
    <x:mergeCell ref="A22:J22"/>
    <x:mergeCell ref="A27:J28"/>
    <x:mergeCell ref="A29:J31"/>
  </x:mergeCells>
  <x:pageMargins left="0.7" right="0.7" top="0.75" bottom="0.75" header="0.3" footer="0.3"/>
</x:worksheet>
</file>