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Exceptions" sheetId="16" state="visible" r:id="rId18"/>
    <sheet name="Conflicts" sheetId="17" state="visible" r:id="rId19"/>
    <sheet name="Unresolved_Gaps" sheetId="18" state="visible" r:id="rId20"/>
    <sheet name="Source_Register" sheetId="19" state="visible" r:id="rId21"/>
    <sheet name="Evidence_Long" sheetId="20" state="visible" r:id="rId22"/>
    <sheet name="Evidence_Backing" sheetId="21" state="visible" r:id="rId23"/>
    <sheet name="Task_Queue" sheetId="22" state="visible" r:id="rId24"/>
    <sheet name="Candidates" sheetId="23" state="visible" r:id="rId2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<sst xmlns="http://schemas.openxmlformats.org/spreadsheetml/2006/main" count="53076" uniqueCount="3899">
  <si>
    <t xml:space="preserve">IFRS 9 VERIFIED MASTER</t>
  </si>
  <si>
    <t xml:space="preserve">Generated (UTC)</t>
  </si>
  <si>
    <t xml:space="preserve">2026-10-10T21:24:32+00:00</t>
  </si>
  <si>
    <t xml:space="preserve">Baseline</t>
  </si>
  <si>
    <t xml:space="preserve">47 selected bank-years (inputs/IFRS9_Selected_Data_Updated_20261010.csv, unchanged; SHA-256 verified).</t>
  </si>
  <si>
    <t xml:space="preserve">This run</t>
  </si>
  <si>
    <t xml:space="preserve">25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</si>
  <si>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</si>
  <si>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</si>
  <si>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</si>
  <si>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</si>
  <si>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</si>
  <si>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</si>
  <si>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</si>
  <si>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</si>
  <si>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</si>
  <si>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</si>
  <si>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</si>
  <si>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</si>
  <si>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</si>
  <si>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</si>
  <si>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</si>
  <si>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</si>
  <si>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</si>
  <si>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</si>
  <si>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</si>
  <si>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</si>
  <si>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</si>
  <si>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</si>
  <si>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</si>
  <si>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</si>
  <si>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</si>
  <si>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</si>
  <si>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</si>
  <si>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</si>
  <si>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</si>
  <si>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</si>
  <si>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</si>
  <si>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</si>
  <si>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</si>
  <si>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</si>
  <si>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</si>
  <si>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</si>
  <si>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</si>
  <si>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</si>
  <si>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</si>
  <si>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</si>
  <si>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</si>
  <si>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</si>
  <si>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</si>
  <si>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</si>
  <si>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</si>
  <si>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</si>
  <si>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</si>
  <si>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</si>
  <si>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</si>
  <si>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</si>
  <si>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</si>
  <si>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</si>
  <si>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</si>
  <si>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</si>
  <si>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</si>
  <si>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</si>
  <si>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</si>
  <si>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</si>
  <si>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</si>
  <si>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</si>
  <si>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</si>
  <si>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</si>
  <si>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</si>
  <si>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</si>
  <si>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</si>
  <si>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</si>
  <si>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</si>
  <si>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</si>
  <si>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</si>
  <si>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</si>
  <si>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</si>
  <si>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</si>
  <si>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</si>
  <si>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</si>
  <si>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</si>
  <si>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</si>
  <si>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</si>
  <si>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</si>
  <si>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</si>
  <si>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</si>
  <si>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</si>
  <si>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</si>
  <si>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</si>
  <si>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Admitted this run</t>
  </si>
  <si>
    <t xml:space="preserve">https://www.annualreports.com/HostedData/AnnualReportArchive/f/fidelity-bank-plc_2015.pdf</t>
  </si>
  <si>
    <t xml:space="preserve">2015 annual report, as originally reported</t>
  </si>
  <si>
    <t xml:space="preserve">https://www.annualreports.com/HostedData/AnnualReportArchive/f/fidelity-bank-plc_2016.pdf</t>
  </si>
  <si>
    <t xml:space="preserve">2016 annual report, as originally reported</t>
  </si>
  <si>
    <t xml:space="preserve">https://www.annualreports.com/HostedData/AnnualReportArchive/f/fidelity-bank-plc_2017.pdf</t>
  </si>
  <si>
    <t xml:space="preserve">2017 annual report, as originally reported</t>
  </si>
  <si>
    <t xml:space="preserve">IFRS 9</t>
  </si>
  <si>
    <t xml:space="preserve">https://www.fidelitybank.ng/documents/2019%20Annual%20report%20Final%20Web%20Version.pdf</t>
  </si>
  <si>
    <t xml:space="preserve">https://www.annualreports.com/HostedData/AnnualReportArchive/f/fidelity-bank-plc_2020.pdf</t>
  </si>
  <si>
    <t xml:space="preserve">2020 annual report, as originally reported</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</si>
  <si>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</si>
  <si>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</si>
  <si>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</si>
  <si>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</si>
  <si>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</si>
  <si>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</si>
  <si>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</si>
  <si>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</si>
  <si>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</si>
  <si>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</si>
  <si>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</si>
  <si>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</si>
  <si>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</si>
  <si>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</si>
  <si>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2019 annual report, as originally reported</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</si>
  <si>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</si>
  <si>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</si>
  <si>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</si>
  <si>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</si>
  <si>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</si>
  <si>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</si>
  <si>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</si>
  <si>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</si>
  <si>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</si>
  <si>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</si>
  <si>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</si>
  <si>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</si>
  <si>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https://sterling.ng/wp-content/uploads/2020/03/FY-%E2%80%93-2019-Audited-Financials.pdf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</si>
  <si>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</si>
  <si>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</si>
  <si>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</si>
  <si>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</si>
  <si>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</si>
  <si>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</si>
  <si>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</si>
  <si>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</si>
  <si>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</si>
  <si>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</si>
  <si>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</si>
  <si>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</si>
  <si>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</si>
  <si>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</si>
  <si>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</si>
  <si>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</si>
  <si>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</si>
  <si>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</si>
  <si>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</si>
  <si>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</si>
  <si>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</si>
  <si>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</si>
  <si>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</si>
  <si>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</si>
  <si>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https://doclib.ngxgroup.com/Financial_NewsDocs/30502_UNITY_BANK_PLC_FINANCIAL_STATEMENTS_JUNE_2020.pdf</t>
  </si>
  <si>
    <t xml:space="preserve">Wema</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</si>
  <si>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</si>
  <si>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</si>
  <si>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</si>
  <si>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</si>
  <si>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</si>
  <si>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</si>
  <si>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</si>
  <si>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</si>
  <si>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</si>
  <si>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</si>
  <si>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</si>
  <si>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</si>
  <si>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</si>
  <si>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</si>
  <si>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</si>
  <si>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</si>
  <si>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</si>
  <si>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</si>
  <si>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</si>
  <si>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</si>
  <si>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</si>
  <si>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</si>
  <si>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</si>
  <si>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</si>
  <si>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</si>
  <si>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</si>
  <si>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</si>
  <si>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</si>
  <si>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</si>
  <si>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</si>
  <si>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</si>
  <si>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</si>
  <si>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</si>
  <si>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</si>
  <si>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</si>
  <si>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</si>
  <si>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</si>
  <si>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</si>
  <si>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</si>
  <si>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</si>
  <si>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</si>
  <si>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</si>
  <si>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</si>
  <si>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</si>
  <si>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</si>
  <si>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</si>
  <si>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</si>
  <si>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</si>
  <si>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</si>
  <si>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</si>
  <si>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</si>
  <si>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</si>
  <si>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</si>
  <si>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</si>
  <si>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</si>
  <si>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</si>
  <si>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</si>
  <si>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</si>
  <si>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</si>
  <si>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</si>
  <si>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</si>
  <si>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</si>
  <si>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</si>
  <si>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</si>
  <si>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25</t>
  </si>
  <si>
    <t xml:space="preserve">  pre-adoption / post-adoption</t>
  </si>
  <si>
    <t xml:space="preserve">36 / 36</t>
  </si>
  <si>
    <t xml:space="preserve">Banks represented</t>
  </si>
  <si>
    <t xml:space="preserve">Blank baseline cells filled (logged)</t>
  </si>
  <si>
    <t xml:space="preserve">Corrections to non-blank baseline values</t>
  </si>
  <si>
    <t xml:space="preserve">Admissions accepted / rejected</t>
  </si>
  <si>
    <t xml:space="preserve">433 / 0</t>
  </si>
  <si>
    <t xml:space="preserve">Reconciliation pass / fail / documented exception</t>
  </si>
  <si>
    <t xml:space="preserve">151 / 0 / 2</t>
  </si>
  <si>
    <t xml:space="preserve">Evidence lineage matched / checked</t>
  </si>
  <si>
    <t xml:space="preserve">1027 / 1027</t>
  </si>
  <si>
    <t xml:space="preserve">Going-concern reviews recorded (coded 1)</t>
  </si>
  <si>
    <t xml:space="preserve">25 (1)</t>
  </si>
  <si>
    <t xml:space="preserve">Panel GCU coded / unknown</t>
  </si>
  <si>
    <t xml:space="preserve">26 / 46</t>
  </si>
  <si>
    <t xml:space="preserve">Remaining bank-year positions</t>
  </si>
  <si>
    <t xml:space="preserve">Remaining field requests in selected rows</t>
  </si>
  <si>
    <t xml:space="preserve">PDFs archived and hashed (not in zip)</t>
  </si>
  <si>
    <t xml:space="preserve">Nimble REST attempts / plugin invocations</t>
  </si>
  <si>
    <t xml:space="preserve">0 / 23</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</si>
  <si>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</si>
  <si>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</si>
  <si>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</si>
  <si>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</si>
  <si>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</si>
  <si>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</si>
  <si>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</si>
  <si>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</si>
  <si>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</si>
  <si>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</si>
  <si>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</si>
  <si>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</si>
  <si>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</si>
  <si>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</si>
  <si>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</si>
  <si>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</si>
  <si>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</si>
  <si>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</si>
  <si>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</si>
  <si>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</si>
  <si>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</si>
  <si>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</si>
  <si>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</si>
  <si>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</si>
  <si>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</si>
  <si>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</si>
  <si>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</si>
  <si>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</si>
  <si>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</si>
  <si>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</si>
  <si>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</si>
  <si>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</si>
  <si>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</si>
  <si>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</si>
  <si>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</si>
  <si>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</si>
  <si>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</si>
  <si>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</si>
  <si>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</si>
  <si>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</si>
  <si>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</si>
  <si>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</si>
  <si>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</si>
  <si>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</si>
  <si>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</si>
  <si>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</si>
  <si>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</si>
  <si>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</si>
  <si>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</si>
  <si>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</si>
  <si>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</si>
  <si>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</si>
  <si>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</si>
  <si>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</si>
  <si>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</si>
  <si>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</si>
  <si>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</si>
  <si>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</si>
  <si>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</si>
  <si>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</si>
  <si>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</si>
  <si>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</si>
  <si>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</si>
  <si>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</si>
  <si>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</si>
  <si>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</si>
  <si>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</si>
  <si>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</si>
  <si>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</si>
  <si>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</si>
  <si>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</si>
  <si>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</si>
  <si>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</si>
  <si>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</si>
  <si>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</si>
  <si>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</si>
  <si>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</si>
  <si>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</si>
  <si>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</si>
  <si>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</si>
  <si>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</si>
  <si>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</si>
  <si>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</si>
  <si>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</si>
  <si>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</si>
  <si>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</si>
  <si>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</si>
  <si>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</si>
  <si>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</si>
  <si>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</si>
  <si>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</si>
  <si>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</si>
  <si>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</si>
  <si>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</si>
  <si>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</si>
  <si>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</si>
  <si>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</si>
  <si>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</si>
  <si>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</si>
  <si>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</si>
  <si>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</si>
  <si>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</si>
  <si>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</si>
  <si>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</si>
  <si>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</si>
  <si>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</si>
  <si>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</si>
  <si>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</si>
  <si>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</si>
  <si>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</si>
  <si>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</si>
  <si>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</si>
  <si>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</si>
  <si>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</si>
  <si>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</si>
  <si>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</si>
  <si>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</si>
  <si>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</si>
  <si>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</si>
  <si>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</si>
  <si>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</si>
  <si>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</si>
  <si>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</si>
  <si>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</si>
  <si>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</si>
  <si>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</si>
  <si>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</si>
  <si>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</si>
  <si>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</si>
  <si>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</si>
  <si>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</si>
  <si>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</si>
  <si>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</si>
  <si>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</si>
  <si>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</si>
  <si>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</si>
  <si>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</si>
  <si>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</si>
  <si>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</si>
  <si>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</si>
  <si>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</si>
  <si>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</si>
  <si>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</si>
  <si>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</si>
  <si>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</si>
  <si>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</si>
  <si>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</si>
  <si>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</si>
  <si>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</si>
  <si>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</si>
  <si>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</si>
  <si>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</si>
  <si>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</si>
  <si>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</si>
  <si>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</si>
  <si>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</si>
  <si>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</si>
  <si>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</si>
  <si>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</si>
  <si>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</si>
  <si>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manual_transcription</t>
  </si>
  <si>
    <t xml:space="preserve">GC-Fidelity2014</t>
  </si>
  <si>
    <t xml:space="preserve">pbt</t>
  </si>
  <si>
    <t xml:space="preserve">FID14-PBT</t>
  </si>
  <si>
    <t xml:space="preserve">specific_allowance</t>
  </si>
  <si>
    <t xml:space="preserve">FID14-SA</t>
  </si>
  <si>
    <t xml:space="preserve">collective_allowance</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</si>
  <si>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</si>
  <si>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</si>
  <si>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</si>
  <si>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</si>
  <si>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</si>
  <si>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</si>
  <si>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</si>
  <si>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</si>
  <si>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</si>
  <si>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</si>
  <si>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</si>
  <si>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</si>
  <si>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</si>
  <si>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</si>
  <si>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</si>
  <si>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</si>
  <si>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</si>
  <si>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</si>
  <si>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</si>
  <si>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</si>
  <si>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</si>
  <si>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</si>
  <si>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</si>
  <si>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</si>
  <si>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</si>
  <si>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</si>
  <si>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</si>
  <si>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</si>
  <si>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</si>
  <si>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</si>
  <si>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</si>
  <si>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</si>
  <si>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</si>
  <si>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</si>
  <si>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</si>
  <si>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</si>
  <si>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</si>
  <si>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</si>
  <si>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</si>
  <si>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</si>
  <si>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</si>
  <si>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</si>
  <si>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</si>
  <si>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</si>
  <si>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</si>
  <si>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</si>
  <si>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</si>
  <si>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</si>
  <si>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</si>
  <si>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</si>
  <si>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</si>
  <si>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</si>
  <si>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</si>
  <si>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</si>
  <si>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</si>
  <si>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</si>
  <si>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</si>
  <si>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</si>
  <si>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</si>
  <si>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</si>
  <si>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</si>
  <si>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</si>
  <si>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</si>
  <si>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</si>
  <si>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</si>
  <si>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</si>
  <si>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</si>
  <si>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</si>
  <si>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</si>
  <si>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</si>
  <si>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</si>
  <si>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</si>
  <si>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</si>
  <si>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reported_text_layer+restated_comparative</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</si>
  <si>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</si>
  <si>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</si>
  <si>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</si>
  <si>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</si>
  <si>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</si>
  <si>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</si>
  <si>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</si>
  <si>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</si>
  <si>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</si>
  <si>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</si>
  <si>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</si>
  <si>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</si>
  <si>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</si>
  <si>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</si>
  <si>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</si>
  <si>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</si>
  <si>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</si>
  <si>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</si>
  <si>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</si>
  <si>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</si>
  <si>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</si>
  <si>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</si>
  <si>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</si>
  <si>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</si>
  <si>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</si>
  <si>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</si>
  <si>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</si>
  <si>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</si>
  <si>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</si>
  <si>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</si>
  <si>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</si>
  <si>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</si>
  <si>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</si>
  <si>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</si>
  <si>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</si>
  <si>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</si>
  <si>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</si>
  <si>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</si>
  <si>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</si>
  <si>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</si>
  <si>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</si>
  <si>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</si>
  <si>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</si>
  <si>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</si>
  <si>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</si>
  <si>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</si>
  <si>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</si>
  <si>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</si>
  <si>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</si>
  <si>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</si>
  <si>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</si>
  <si>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</si>
  <si>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</si>
  <si>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</si>
  <si>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</si>
  <si>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</si>
  <si>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</si>
  <si>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</si>
  <si>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</si>
  <si>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</si>
  <si>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</si>
  <si>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</si>
  <si>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</si>
  <si>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</si>
  <si>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</si>
  <si>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</si>
  <si>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</si>
  <si>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</si>
  <si>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</si>
  <si>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</si>
  <si>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</si>
  <si>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</si>
  <si>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</si>
  <si>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</si>
  <si>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</si>
  <si>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</si>
  <si>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</si>
  <si>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</si>
  <si>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</si>
  <si>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</si>
  <si>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</si>
  <si>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</si>
  <si>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</si>
  <si>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</si>
  <si>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</si>
  <si>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</si>
  <si>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</si>
  <si>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</si>
  <si>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</si>
  <si>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</si>
  <si>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</si>
  <si>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</si>
  <si>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</si>
  <si>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</si>
  <si>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</si>
  <si>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</si>
  <si>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</si>
  <si>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</si>
  <si>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</si>
  <si>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</si>
  <si>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</si>
  <si>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</si>
  <si>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</si>
  <si>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</si>
  <si>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</si>
  <si>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</si>
  <si>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</si>
  <si>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</si>
  <si>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</si>
  <si>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</si>
  <si>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car_transitional</t>
  </si>
  <si>
    <t xml:space="preserve">GTB19-CCART</t>
  </si>
  <si>
    <t xml:space="preserve">GTB19-CRC</t>
  </si>
  <si>
    <t xml:space="preserve">GTB19-CRWA</t>
  </si>
  <si>
    <t xml:space="preserve">capital_transitional</t>
  </si>
  <si>
    <t xml:space="preserve">GTB19-CRCT</t>
  </si>
  <si>
    <t xml:space="preserve">GC-GTBank2019</t>
  </si>
  <si>
    <t xml:space="preserve">GTB19-S3A</t>
  </si>
  <si>
    <t xml:space="preserve">GTB19-PBT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</si>
  <si>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</si>
  <si>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</si>
  <si>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</si>
  <si>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</si>
  <si>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</si>
  <si>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</si>
  <si>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</si>
  <si>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</si>
  <si>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</si>
  <si>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</si>
  <si>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</si>
  <si>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</si>
  <si>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</si>
  <si>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</si>
  <si>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</si>
  <si>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</si>
  <si>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</si>
  <si>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</si>
  <si>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</si>
  <si>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</si>
  <si>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</si>
  <si>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</si>
  <si>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</si>
  <si>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</si>
  <si>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</si>
  <si>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</si>
  <si>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</si>
  <si>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</si>
  <si>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</si>
  <si>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</si>
  <si>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</si>
  <si>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</si>
  <si>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</si>
  <si>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</si>
  <si>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</si>
  <si>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</si>
  <si>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</si>
  <si>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</si>
  <si>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</si>
  <si>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</si>
  <si>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</si>
  <si>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</si>
  <si>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</si>
  <si>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</si>
  <si>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</si>
  <si>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</si>
  <si>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</si>
  <si>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</si>
  <si>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</si>
  <si>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</si>
  <si>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</si>
  <si>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</si>
  <si>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</si>
  <si>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</si>
  <si>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</si>
  <si>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</si>
  <si>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</si>
  <si>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</si>
  <si>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</si>
  <si>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</si>
  <si>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</si>
  <si>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</si>
  <si>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</si>
  <si>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</si>
  <si>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</si>
  <si>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</si>
  <si>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</si>
  <si>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</si>
  <si>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</si>
  <si>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</si>
  <si>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</si>
  <si>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</si>
  <si>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</si>
  <si>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</si>
  <si>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</si>
  <si>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</si>
  <si>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</si>
  <si>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</si>
  <si>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</si>
  <si>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</si>
  <si>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</si>
  <si>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</si>
  <si>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</si>
  <si>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</si>
  <si>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</si>
  <si>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</si>
  <si>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</si>
  <si>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</si>
  <si>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</si>
  <si>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</si>
  <si>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</si>
  <si>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</si>
  <si>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</si>
  <si>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</si>
  <si>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</si>
  <si>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</si>
  <si>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</si>
  <si>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</si>
  <si>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</si>
  <si>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</si>
  <si>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</si>
  <si>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</si>
  <si>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</si>
  <si>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</si>
  <si>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</si>
  <si>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</si>
  <si>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</si>
  <si>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</si>
  <si>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</si>
  <si>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</si>
  <si>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</si>
  <si>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</si>
  <si>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</si>
  <si>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GC-Unity2019</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</si>
  <si>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</si>
  <si>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</si>
  <si>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</si>
  <si>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</si>
  <si>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</si>
  <si>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</si>
  <si>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</si>
  <si>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</si>
  <si>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</si>
  <si>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</si>
  <si>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</si>
  <si>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</si>
  <si>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</si>
  <si>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</si>
  <si>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</si>
  <si>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</si>
  <si>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</si>
  <si>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</si>
  <si>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</si>
  <si>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</si>
  <si>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</si>
  <si>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</si>
  <si>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</si>
  <si>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</si>
  <si>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</si>
  <si>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</si>
  <si>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</si>
  <si>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</si>
  <si>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</si>
  <si>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</si>
  <si>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</si>
  <si>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</si>
  <si>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</si>
  <si>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</si>
  <si>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</si>
  <si>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</si>
  <si>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</si>
  <si>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</si>
  <si>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</si>
  <si>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</si>
  <si>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</si>
  <si>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</si>
  <si>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</si>
  <si>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</si>
  <si>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</si>
  <si>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</si>
  <si>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</si>
  <si>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</si>
  <si>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</si>
  <si>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</si>
  <si>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</si>
  <si>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</si>
  <si>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</si>
  <si>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</si>
  <si>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</si>
  <si>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</si>
  <si>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</si>
  <si>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</si>
  <si>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</si>
  <si>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</si>
  <si>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</si>
  <si>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</si>
  <si>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</si>
  <si>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</si>
  <si>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</si>
  <si>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</si>
  <si>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</si>
  <si>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</si>
  <si>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</si>
  <si>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</si>
  <si>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</si>
  <si>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</si>
  <si>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</si>
  <si>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</si>
  <si>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</si>
  <si>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</si>
  <si>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</si>
  <si>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</si>
  <si>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</si>
  <si>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</si>
  <si>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</si>
  <si>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</si>
  <si>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</si>
  <si>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</si>
  <si>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</si>
  <si>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</si>
  <si>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</si>
  <si>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</si>
  <si>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</si>
  <si>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</si>
  <si>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</si>
  <si>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</si>
  <si>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</si>
  <si>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</si>
  <si>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</si>
  <si>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</si>
  <si>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</si>
  <si>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</si>
  <si>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</si>
  <si>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</si>
  <si>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</si>
  <si>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</si>
  <si>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</si>
  <si>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</si>
  <si>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</si>
  <si>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</si>
  <si>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</si>
  <si>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</si>
  <si>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</si>
  <si>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</si>
  <si>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</si>
  <si>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</si>
  <si>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vs 2022 report PDF p143; no restatement note located</t>
  </si>
  <si>
    <t xml:space="preserve">primary rule (original-year)</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</si>
  <si>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</si>
  <si>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</si>
  <si>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</si>
  <si>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</si>
  <si>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</si>
  <si>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</si>
  <si>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</si>
  <si>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</si>
  <si>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</si>
  <si>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</si>
  <si>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</si>
  <si>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</si>
  <si>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</si>
  <si>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</si>
  <si>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</si>
  <si>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</si>
  <si>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</si>
  <si>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</si>
  <si>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</si>
  <si>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</si>
  <si>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</si>
  <si>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</si>
  <si>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</si>
  <si>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</si>
  <si>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</si>
  <si>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</si>
  <si>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</si>
  <si>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</si>
  <si>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</si>
  <si>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</si>
  <si>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</si>
  <si>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</si>
  <si>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</si>
  <si>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</si>
  <si>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</si>
  <si>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</si>
  <si>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</si>
  <si>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</si>
  <si>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</si>
  <si>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</si>
  <si>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</si>
  <si>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</si>
  <si>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</si>
  <si>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</si>
  <si>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</si>
  <si>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possible scope incompatibility with 2022</t>
  </si>
  <si>
    <t xml:space="preserve">Wema 2021 impairment from the original-presentation basis may include non-credit items like the 2022 litigation claim; not verified</t>
  </si>
  <si>
    <t xml:space="preserve">flag for consecutive-year comparisons</t>
  </si>
  <si>
    <t xml:space="preserve">exclude 2021-2022 impairment change from inference until reconciled</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</si>
  <si>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</si>
  <si>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</si>
  <si>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</si>
  <si>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</si>
  <si>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</si>
  <si>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</si>
  <si>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</si>
  <si>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</si>
  <si>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</si>
  <si>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</si>
  <si>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</si>
  <si>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</si>
  <si>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</si>
  <si>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</si>
  <si>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</si>
  <si>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</si>
  <si>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</si>
  <si>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</si>
  <si>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</si>
  <si>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</si>
  <si>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</si>
  <si>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</si>
  <si>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</si>
  <si>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</si>
  <si>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</si>
  <si>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</si>
  <si>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</si>
  <si>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</si>
  <si>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</si>
  <si>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</si>
  <si>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</si>
  <si>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</si>
  <si>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</si>
  <si>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</si>
  <si>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</si>
  <si>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</si>
  <si>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</si>
  <si>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</si>
  <si>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</si>
  <si>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</si>
  <si>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</si>
  <si>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</si>
  <si>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</si>
  <si>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</si>
  <si>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</si>
  <si>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</si>
  <si>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</si>
  <si>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</si>
  <si>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</si>
  <si>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</si>
  <si>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</si>
  <si>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</si>
  <si>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</si>
  <si>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</si>
  <si>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</si>
  <si>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</si>
  <si>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</si>
  <si>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</si>
  <si>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</si>
  <si>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</si>
  <si>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</si>
  <si>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</si>
  <si>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</si>
  <si>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</si>
  <si>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</si>
  <si>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</si>
  <si>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</si>
  <si>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</si>
  <si>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</si>
  <si>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</si>
  <si>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</si>
  <si>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</si>
  <si>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</si>
  <si>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</si>
  <si>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</si>
  <si>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</si>
  <si>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</si>
  <si>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</si>
  <si>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</si>
  <si>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</si>
  <si>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</si>
  <si>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</si>
  <si>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</si>
  <si>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</si>
  <si>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</si>
  <si>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</si>
  <si>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</si>
  <si>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</si>
  <si>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</si>
  <si>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</si>
  <si>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</si>
  <si>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</si>
  <si>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</si>
  <si>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</si>
  <si>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</si>
  <si>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</si>
  <si>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</si>
  <si>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</si>
  <si>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</si>
  <si>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</si>
  <si>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</si>
  <si>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</si>
  <si>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</si>
  <si>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</si>
  <si>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</si>
  <si>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</si>
  <si>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</si>
  <si>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</si>
  <si>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</si>
  <si>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</si>
  <si>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</si>
  <si>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</si>
  <si>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</si>
  <si>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</si>
  <si>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</si>
  <si>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</si>
  <si>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</si>
  <si>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</si>
  <si>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</si>
  <si>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</si>
  <si>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</si>
  <si>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</si>
  <si>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</si>
  <si>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</si>
  <si>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</si>
  <si>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</si>
  <si>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</si>
  <si>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</si>
  <si>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</si>
  <si>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</si>
  <si>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</si>
  <si>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</si>
  <si>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</si>
  <si>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</si>
  <si>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</si>
  <si>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</si>
  <si>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</si>
  <si>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</si>
  <si>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</si>
  <si>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</si>
  <si>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</si>
  <si>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</si>
  <si>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</si>
  <si>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</si>
  <si>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</si>
  <si>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</si>
  <si>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</si>
  <si>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</si>
  <si>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</si>
  <si>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</si>
  <si>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</si>
  <si>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</si>
  <si>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</si>
  <si>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</si>
  <si>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</si>
  <si>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</si>
  <si>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</si>
  <si>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</si>
  <si>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</si>
  <si>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</si>
  <si>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</si>
  <si>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</si>
  <si>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</si>
  <si>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</si>
  <si>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</si>
  <si>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</si>
  <si>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</si>
  <si>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</si>
  <si>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</si>
  <si>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</si>
  <si>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</si>
  <si>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</si>
  <si>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</si>
  <si>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</si>
  <si>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</si>
  <si>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</si>
  <si>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</si>
  <si>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</si>
  <si>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</si>
  <si>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</si>
  <si>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</si>
  <si>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</si>
  <si>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</si>
  <si>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</si>
  <si>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</si>
  <si>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</si>
  <si>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</si>
  <si>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</si>
  <si>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</si>
  <si>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</si>
  <si>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</si>
  <si>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</si>
  <si>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</si>
  <si>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</si>
  <si>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</si>
  <si>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</si>
  <si>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</si>
  <si>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</si>
  <si>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</si>
  <si>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</si>
  <si>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</si>
  <si>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</si>
  <si>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</si>
  <si>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</si>
  <si>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</si>
  <si>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</si>
  <si>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</si>
  <si>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</si>
  <si>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</si>
  <si>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</si>
  <si>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</si>
  <si>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</si>
  <si>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</si>
  <si>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</si>
  <si>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</si>
  <si>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</si>
  <si>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</si>
  <si>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</si>
  <si>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</si>
  <si>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</si>
  <si>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</si>
  <si>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</si>
  <si>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</si>
  <si>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</si>
  <si>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</si>
  <si>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</si>
  <si>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</si>
  <si>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</si>
  <si>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</si>
  <si>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</si>
  <si>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</si>
  <si>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</si>
  <si>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</si>
  <si>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</si>
  <si>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</si>
  <si>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</si>
  <si>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</si>
  <si>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</si>
  <si>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</si>
  <si>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</si>
  <si>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</si>
  <si>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</si>
  <si>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</si>
  <si>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</si>
  <si>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</si>
  <si>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</si>
  <si>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</si>
  <si>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</si>
  <si>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</si>
  <si>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</si>
  <si>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</si>
  <si>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</si>
  <si>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</si>
  <si>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</si>
  <si>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</si>
  <si>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</si>
  <si>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</si>
  <si>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2016 original not retrieved</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</si>
  <si>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</si>
  <si>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</si>
  <si>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</si>
  <si>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</si>
  <si>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</si>
  <si>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</si>
  <si>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</si>
  <si>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</si>
  <si>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</si>
  <si>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</si>
  <si>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</si>
  <si>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</si>
  <si>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</si>
  <si>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</si>
  <si>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</si>
  <si>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</si>
  <si>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</si>
  <si>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</si>
  <si>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</si>
  <si>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</si>
  <si>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</si>
  <si>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</si>
  <si>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</si>
  <si>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</si>
  <si>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</si>
  <si>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</si>
  <si>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</si>
  <si>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</si>
  <si>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</si>
  <si>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</si>
  <si>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</si>
  <si>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</si>
  <si>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</si>
  <si>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</si>
  <si>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</si>
  <si>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</si>
  <si>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</si>
  <si>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</si>
  <si>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</si>
  <si>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</si>
  <si>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</si>
  <si>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</si>
  <si>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</si>
  <si>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</si>
  <si>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</si>
  <si>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</si>
  <si>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</si>
  <si>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</si>
  <si>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</si>
  <si>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</si>
  <si>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</si>
  <si>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</si>
  <si>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</si>
  <si>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</si>
  <si>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</si>
  <si>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</si>
  <si>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</si>
  <si>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</si>
  <si>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</si>
  <si>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</si>
  <si>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</si>
  <si>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</si>
  <si>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</si>
  <si>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</si>
  <si>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</si>
  <si>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</si>
  <si>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</si>
  <si>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</si>
  <si>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</si>
  <si>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</si>
  <si>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</si>
  <si>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</si>
  <si>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</si>
  <si>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</si>
  <si>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</si>
  <si>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</si>
  <si>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</si>
  <si>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</si>
  <si>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</si>
  <si>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</si>
  <si>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</si>
  <si>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</si>
  <si>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</si>
  <si>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</si>
  <si>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</si>
  <si>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</si>
  <si>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</si>
  <si>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</si>
  <si>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</si>
  <si>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</si>
  <si>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</si>
  <si>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</si>
  <si>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</si>
  <si>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</si>
  <si>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</si>
  <si>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</si>
  <si>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</si>
  <si>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</si>
  <si>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</si>
  <si>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</si>
  <si>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</si>
  <si>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</si>
  <si>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</si>
  <si>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</si>
  <si>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</si>
  <si>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</si>
  <si>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</si>
  <si>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</si>
  <si>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</si>
  <si>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</si>
  <si>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</si>
  <si>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</si>
  <si>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</si>
  <si>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</si>
  <si>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</si>
  <si>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</si>
  <si>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</si>
  <si>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</si>
  <si>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</si>
  <si>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</si>
  <si>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</si>
  <si>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</si>
  <si>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</si>
  <si>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</si>
  <si>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</si>
  <si>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</si>
  <si>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</si>
  <si>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</si>
  <si>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</si>
  <si>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</si>
  <si>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</si>
  <si>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</si>
  <si>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</si>
  <si>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</si>
  <si>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</si>
  <si>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</si>
  <si>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</si>
  <si>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</si>
  <si>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</si>
  <si>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</si>
  <si>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</si>
  <si>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</si>
  <si>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</si>
  <si>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</si>
  <si>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</si>
  <si>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</si>
  <si>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</si>
  <si>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</si>
  <si>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</si>
  <si>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</si>
  <si>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</si>
  <si>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</si>
  <si>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</si>
  <si>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</si>
  <si>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</si>
  <si>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</si>
  <si>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</si>
  <si>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</si>
  <si>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</si>
  <si>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</si>
  <si>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</si>
  <si>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</si>
  <si>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</si>
  <si>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</si>
  <si>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</si>
  <si>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</si>
  <si>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</si>
  <si>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</si>
  <si>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</si>
  <si>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</si>
  <si>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</si>
  <si>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</si>
  <si>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</si>
  <si>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</si>
  <si>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</si>
  <si>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</si>
  <si>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</si>
  <si>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</si>
  <si>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</si>
  <si>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</si>
  <si>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</si>
  <si>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</si>
  <si>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</si>
  <si>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</si>
  <si>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</si>
  <si>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</si>
  <si>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</si>
  <si>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</si>
  <si>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</si>
  <si>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</si>
  <si>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</si>
  <si>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</si>
  <si>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</si>
  <si>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</si>
  <si>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</si>
  <si>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</si>
  <si>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</si>
  <si>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</si>
  <si>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</si>
  <si>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</si>
  <si>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</si>
  <si>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</si>
  <si>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</si>
  <si>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</si>
  <si>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</si>
  <si>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</si>
  <si>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</si>
  <si>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</si>
  <si>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</si>
  <si>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</si>
  <si>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</si>
  <si>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</si>
  <si>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</si>
  <si>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</si>
  <si>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</si>
  <si>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</si>
  <si>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</si>
  <si>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</si>
  <si>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</si>
  <si>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</si>
  <si>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</si>
  <si>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</si>
  <si>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</si>
  <si>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</si>
  <si>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</si>
  <si>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</si>
  <si>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</si>
  <si>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</si>
  <si>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</si>
  <si>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</si>
  <si>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</si>
  <si>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</si>
  <si>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</si>
  <si>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</si>
  <si>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</si>
  <si>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</si>
  <si>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</si>
  <si>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</si>
  <si>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</si>
  <si>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</si>
  <si>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</si>
  <si>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</si>
  <si>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</si>
  <si>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</si>
  <si>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</si>
  <si>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</si>
  <si>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</si>
  <si>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</si>
  <si>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</si>
  <si>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</si>
  <si>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</si>
  <si>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</si>
  <si>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</si>
  <si>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</si>
  <si>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</si>
  <si>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</si>
  <si>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</si>
  <si>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</si>
  <si>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</si>
  <si>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</si>
  <si>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</si>
  <si>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</si>
  <si>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No core data</t>
  </si>
  <si>
    <t xml:space="preserve">not_admitted</t>
  </si>
  <si>
    <t xml:space="preserve">search-f159a68476:blocked</t>
  </si>
  <si>
    <t xml:space="preserve">Recover source-backed main statements; check prior archives too</t>
  </si>
  <si>
    <t xml:space="preserve">Candidate only</t>
  </si>
  <si>
    <t xml:space="preserve">search-d15bd8342e:blocked</t>
  </si>
  <si>
    <t xml:space="preserve">Verify source and reporting version</t>
  </si>
  <si>
    <t xml:space="preserve">search-8857da32c4:blocked</t>
  </si>
  <si>
    <t xml:space="preserve">search-ba4ad592aa:blocked</t>
  </si>
  <si>
    <t xml:space="preserve">search-7a2b66a2cc:blocked</t>
  </si>
  <si>
    <t xml:space="preserve">search-ca5fd0a69b:blocked</t>
  </si>
  <si>
    <t xml:space="preserve">search-fd07b26477:blocked</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</si>
  <si>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</si>
  <si>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</si>
  <si>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</si>
  <si>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</si>
  <si>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</si>
  <si>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</si>
  <si>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</si>
  <si>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</si>
  <si>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</si>
  <si>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</si>
  <si>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</si>
  <si>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</si>
  <si>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</si>
  <si>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</si>
  <si>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search-be11416116:blocked</t>
  </si>
  <si>
    <t xml:space="preserve">search-c397d298cd:blocked</t>
  </si>
  <si>
    <t xml:space="preserve">search-9aaaea360b:blocked</t>
  </si>
  <si>
    <t xml:space="preserve">search-19621b121f:blocked</t>
  </si>
  <si>
    <t xml:space="preserve">search-a227cc0523:blocked</t>
  </si>
  <si>
    <t xml:space="preserve">search-4855a6726e:blocked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</si>
  <si>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</si>
  <si>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</si>
  <si>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</si>
  <si>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</si>
  <si>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</si>
  <si>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search-391f2e777a:blocked</t>
  </si>
  <si>
    <t xml:space="preserve">search-f95bf31cce:blocked</t>
  </si>
  <si>
    <t xml:space="preserve">search-2763fcd30c:blocked</t>
  </si>
  <si>
    <t xml:space="preserve">search-03d711f3b0:blocked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</si>
  <si>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</si>
  <si>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</si>
  <si>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</si>
  <si>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</si>
  <si>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</si>
  <si>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</si>
  <si>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</si>
  <si>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</si>
  <si>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search-85d4d11ed5:blocked</t>
  </si>
  <si>
    <t xml:space="preserve">search-32306379d1:blocked</t>
  </si>
  <si>
    <t xml:space="preserve">search-186da57375:blocked</t>
  </si>
  <si>
    <t xml:space="preserve">search-bc3f64969b:blocked</t>
  </si>
  <si>
    <t xml:space="preserve">search-af73e8ba05:blocked</t>
  </si>
  <si>
    <t xml:space="preserve">search-6d5cbdf720:blocked</t>
  </si>
  <si>
    <t xml:space="preserve">search-f38d366a13:blocked</t>
  </si>
  <si>
    <t xml:space="preserve">search-075baa5ce4:blocked</t>
  </si>
  <si>
    <t xml:space="preserve">search-271313562e:blocked</t>
  </si>
  <si>
    <t xml:space="preserve">search-fdb16ac18f:blocked</t>
  </si>
  <si>
    <t xml:space="preserve">search-3c2f803f99:blocked</t>
  </si>
  <si>
    <t xml:space="preserve">search-97f6f80ed2:blocked</t>
  </si>
  <si>
    <t xml:space="preserve">search-c34d97c75a:blocked</t>
  </si>
  <si>
    <t xml:space="preserve">search-51507d79ab:blocked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</si>
  <si>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</si>
  <si>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</si>
  <si>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</si>
  <si>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</si>
  <si>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</si>
  <si>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</si>
  <si>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</si>
  <si>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</si>
  <si>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</si>
  <si>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</si>
  <si>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</si>
  <si>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</si>
  <si>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</si>
  <si>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</si>
  <si>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</si>
  <si>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</si>
  <si>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</si>
  <si>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</si>
  <si>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</si>
  <si>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</si>
  <si>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</si>
  <si>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</si>
  <si>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</si>
  <si>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</si>
  <si>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</si>
  <si>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</si>
  <si>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</si>
  <si>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</si>
  <si>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</si>
  <si>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</si>
  <si>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</si>
  <si>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</si>
  <si>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</si>
  <si>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</si>
  <si>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</si>
  <si>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</si>
  <si>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</si>
  <si>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</si>
  <si>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</si>
  <si>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</si>
  <si>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</si>
  <si>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</si>
  <si>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</si>
  <si>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</si>
  <si>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</si>
  <si>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</si>
  <si>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</si>
  <si>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</si>
  <si>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</si>
  <si>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ACCESS2014A</t>
  </si>
  <si>
    <t xml:space="preserve">Inherited source link; not rechecked in this handoff</t>
  </si>
  <si>
    <t xml:space="preserve">seed</t>
  </si>
  <si>
    <t xml:space="preserve">HTTP 403</t>
  </si>
  <si>
    <t xml:space="preserve">2026-10-10T17:04:17+00:00</t>
  </si>
  <si>
    <t xml:space="preserve">DS_ECO17</t>
  </si>
  <si>
    <t xml:space="preserve">reports/ecobank_nigeria/ecobank_nigeria_pdf-814c8760db_c1c873b15d7c.pdf</t>
  </si>
  <si>
    <t xml:space="preserve">2026-10-10T16:39:50+00:00</t>
  </si>
  <si>
    <t xml:space="preserve">FID2013</t>
  </si>
  <si>
    <t xml:space="preserve">reports/fidelity/fidelity_pdf-2f1102a9ec_c1b25f6d7504.pdf</t>
  </si>
  <si>
    <t xml:space="preserve">2026-10-10T16:39:51+00:00</t>
  </si>
  <si>
    <t xml:space="preserve">FID2019</t>
  </si>
  <si>
    <t xml:space="preserve">reports/fidelity/fidelity_pdf-6a28e37003_448187770f22.pdf</t>
  </si>
  <si>
    <t xml:space="preserve">DS_FBN14</t>
  </si>
  <si>
    <t xml:space="preserve">reports/first_bank/first_bank_pdf-8c6ba74d82_e2f5a39555a2.pdf</t>
  </si>
  <si>
    <t xml:space="preserve">2026-10-10T16:39:44+00:00</t>
  </si>
  <si>
    <t xml:space="preserve">GT2014A</t>
  </si>
  <si>
    <t xml:space="preserve">reports/gtbank/gtbank_pdf-4b54f6c2e2_2545e592914e.pdf</t>
  </si>
  <si>
    <t xml:space="preserve">2026-10-10T16:39:45+00:00</t>
  </si>
  <si>
    <t xml:space="preserve">STER2014</t>
  </si>
  <si>
    <t xml:space="preserve">reports/sterling/sterling_pdf-97d85c8249_32cbd03e856c.pdf</t>
  </si>
  <si>
    <t xml:space="preserve">2026-10-10T16:39:53+00:00</t>
  </si>
  <si>
    <t xml:space="preserve">STER2019</t>
  </si>
  <si>
    <t xml:space="preserve">reports/sterling/sterling_pdf-ad59107fe3_9440f1ef2e04.pdf</t>
  </si>
  <si>
    <t xml:space="preserve">2026-10-10T16:39:54+00:00</t>
  </si>
  <si>
    <t xml:space="preserve">UBA2014</t>
  </si>
  <si>
    <t xml:space="preserve">reports/uba/uba_pdf-ae443af9ba_0c2b6e411d7b.pdf</t>
  </si>
  <si>
    <t xml:space="preserve">UBA16_UPDATE; UBA2014</t>
  </si>
  <si>
    <t xml:space="preserve">reports/uba/uba_pdf-9fd693dc62_69a658fbe7be.pdf</t>
  </si>
  <si>
    <t xml:space="preserve">2026-10-10T16:39:55+00:00</t>
  </si>
  <si>
    <t xml:space="preserve">UBA18</t>
  </si>
  <si>
    <t xml:space="preserve">reports/uba/uba_pdf-7d502060b5_e52de43a596c.pdf</t>
  </si>
  <si>
    <t xml:space="preserve">2026-10-10T16:39:56+00:00</t>
  </si>
  <si>
    <t xml:space="preserve">UBA20</t>
  </si>
  <si>
    <t xml:space="preserve">reports/uba/uba_pdf-436e6b6084_a3f2acbf1b49.pdf</t>
  </si>
  <si>
    <t xml:space="preserve">2026-10-10T16:39:57+00:00</t>
  </si>
  <si>
    <t xml:space="preserve">UBA22</t>
  </si>
  <si>
    <t xml:space="preserve">reports/uba/uba_pdf-75d2be508b_ff9f6deb12de.pdf</t>
  </si>
  <si>
    <t xml:space="preserve">2026-10-10T16:39:59+00:00</t>
  </si>
  <si>
    <t xml:space="preserve">DS_UNION14</t>
  </si>
  <si>
    <t xml:space="preserve">reports/union/union_pdf-7735ca4999_76fd171a3acd.pdf</t>
  </si>
  <si>
    <t xml:space="preserve">2026-10-10T16:39:19+00:00</t>
  </si>
  <si>
    <t xml:space="preserve">UNION18</t>
  </si>
  <si>
    <t xml:space="preserve">reports/union/union_pdf-ba47d7103a_34acce333bfe.pdf</t>
  </si>
  <si>
    <t xml:space="preserve">2026-10-10T16:39:23+00:00</t>
  </si>
  <si>
    <t xml:space="preserve">UNION18; UNION19; UNION20</t>
  </si>
  <si>
    <t xml:space="preserve">reports/union/union_pdf-713d41ccbc_6bfdfbd2701b.pdf</t>
  </si>
  <si>
    <t xml:space="preserve">UNION20; UNION22</t>
  </si>
  <si>
    <t xml:space="preserve">reports/union/union_pdf-58341f6714_ba3b2866fb7d.pdf</t>
  </si>
  <si>
    <t xml:space="preserve">2026-10-10T16:39:26+00:00</t>
  </si>
  <si>
    <t xml:space="preserve">UNITY2019</t>
  </si>
  <si>
    <t xml:space="preserve">reports/unity/unity_pdf-ae85bb854d_ef5ce4fa3fcd.pdf</t>
  </si>
  <si>
    <t xml:space="preserve">2026-10-10T16:40:00+00:00</t>
  </si>
  <si>
    <t xml:space="preserve">DS_WEMA15</t>
  </si>
  <si>
    <t xml:space="preserve">reports/wema/wema_pdf-22363eee3a_ebf2841f28f9.pdf</t>
  </si>
  <si>
    <t xml:space="preserve">2026-10-10T16:39:30+00:00</t>
  </si>
  <si>
    <t xml:space="preserve">DS_WEMA15; WEMA2016</t>
  </si>
  <si>
    <t xml:space="preserve">reports/wema/wema_pdf-e7989b2bda_c57237be8b72.pdf</t>
  </si>
  <si>
    <t xml:space="preserve">WEMA2018</t>
  </si>
  <si>
    <t xml:space="preserve">reports/wema/wema_pdf-4eaed043bc_fd6a3b8f8f57.pdf</t>
  </si>
  <si>
    <t xml:space="preserve">2026-10-10T16:39:31+00:00</t>
  </si>
  <si>
    <t xml:space="preserve">WEMA20</t>
  </si>
  <si>
    <t xml:space="preserve">reports/wema/wema_pdf-95f2afb334_3c780c6c38ec.pdf</t>
  </si>
  <si>
    <t xml:space="preserve">2026-10-10T16:39:32+00:00</t>
  </si>
  <si>
    <t xml:space="preserve">WEMA23</t>
  </si>
  <si>
    <t xml:space="preserve">reports/wema/wema_pdf-a4d84d3ca3_a7470b5b5d3f.pdf</t>
  </si>
  <si>
    <t xml:space="preserve">2026-10-10T16:39:35+00:00</t>
  </si>
  <si>
    <t xml:space="preserve">DS_ZEN15</t>
  </si>
  <si>
    <t xml:space="preserve">reports/zenith/zenith_pdf-796a228c2c_e5173df78220.pdf</t>
  </si>
  <si>
    <t xml:space="preserve">ZEN22</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</si>
  <si>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</si>
  <si>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</si>
  <si>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</si>
  <si>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</si>
  <si>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</si>
  <si>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</si>
  <si>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</si>
  <si>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</si>
  <si>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</si>
  <si>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</si>
  <si>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</si>
  <si>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</si>
  <si>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</si>
  <si>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</si>
  <si>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</si>
  <si>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</si>
  <si>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</si>
  <si>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</si>
  <si>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</si>
  <si>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</si>
  <si>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</si>
  <si>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</si>
  <si>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</si>
  <si>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</si>
  <si>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</si>
  <si>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</si>
  <si>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</si>
  <si>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</si>
  <si>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</si>
  <si>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</si>
  <si>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</si>
  <si>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</si>
  <si>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</si>
  <si>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</si>
  <si>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</si>
  <si>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</si>
  <si>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</si>
  <si>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</si>
  <si>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</si>
  <si>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</si>
  <si>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</si>
  <si>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</si>
  <si>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</si>
  <si>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</si>
  <si>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</si>
  <si>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</si>
  <si>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</si>
  <si>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</si>
  <si>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</si>
  <si>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</si>
  <si>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</si>
  <si>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</si>
  <si>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</si>
  <si>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</si>
  <si>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</si>
  <si>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</si>
  <si>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</si>
  <si>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</si>
  <si>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</si>
  <si>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</si>
  <si>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</si>
  <si>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</si>
  <si>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</si>
  <si>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</si>
  <si>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</si>
  <si>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</si>
  <si>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</si>
  <si>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</si>
  <si>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</si>
  <si>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</si>
  <si>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</si>
  <si>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</si>
  <si>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</si>
  <si>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</si>
  <si>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</si>
  <si>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</si>
  <si>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</si>
  <si>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</si>
  <si>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</si>
  <si>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</si>
  <si>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</si>
  <si>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</si>
  <si>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</si>
  <si>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</si>
  <si>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</si>
  <si>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</si>
  <si>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</si>
  <si>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</si>
  <si>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</si>
  <si>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</si>
  <si>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</si>
  <si>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</si>
  <si>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</si>
  <si>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</si>
  <si>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</si>
  <si>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</si>
  <si>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</si>
  <si>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</si>
  <si>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</si>
  <si>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</si>
  <si>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</si>
  <si>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</si>
  <si>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</si>
  <si>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</si>
  <si>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</si>
  <si>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</si>
  <si>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</si>
  <si>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</si>
  <si>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</si>
  <si>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</si>
  <si>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</si>
  <si>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</si>
  <si>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</si>
  <si>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</si>
  <si>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</si>
  <si>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</si>
  <si>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</si>
  <si>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</si>
  <si>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</si>
  <si>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</si>
  <si>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</si>
  <si>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</si>
  <si>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</si>
  <si>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</si>
  <si>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</si>
  <si>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</si>
  <si>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</si>
  <si>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</si>
  <si>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</si>
  <si>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</si>
  <si>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</si>
  <si>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</si>
  <si>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</si>
  <si>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</si>
  <si>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</si>
  <si>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</si>
  <si>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</si>
  <si>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</si>
  <si>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</si>
  <si>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</si>
  <si>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</si>
  <si>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</si>
  <si>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</si>
  <si>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</si>
  <si>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</si>
  <si>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</si>
  <si>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</si>
  <si>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</si>
  <si>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</si>
  <si>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</si>
  <si>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</si>
  <si>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</si>
  <si>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</si>
  <si>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</si>
  <si>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</si>
  <si>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</si>
  <si>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</si>
  <si>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</si>
  <si>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</si>
  <si>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</si>
  <si>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</si>
  <si>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</si>
  <si>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</si>
  <si>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</si>
  <si>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</si>
  <si>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</si>
  <si>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</si>
  <si>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</si>
  <si>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</si>
  <si>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</si>
  <si>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</si>
  <si>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</si>
  <si>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</si>
  <si>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</si>
  <si>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</si>
  <si>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</si>
  <si>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</si>
  <si>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</si>
  <si>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</si>
  <si>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</si>
  <si>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</si>
  <si>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</si>
  <si>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</si>
  <si>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</si>
  <si>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</si>
  <si>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</si>
  <si>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</si>
  <si>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</si>
  <si>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</si>
  <si>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</si>
  <si>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</si>
  <si>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</si>
  <si>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</si>
  <si>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</si>
  <si>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</si>
  <si>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</si>
  <si>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</si>
  <si>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</si>
  <si>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</si>
  <si>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</si>
  <si>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</si>
  <si>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</si>
  <si>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</si>
  <si>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</si>
  <si>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</si>
  <si>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</si>
  <si>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</si>
  <si>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</si>
  <si>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</si>
  <si>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</si>
  <si>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</si>
  <si>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</si>
  <si>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</si>
  <si>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</si>
  <si>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</si>
  <si>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</si>
  <si>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</si>
  <si>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</si>
  <si>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</si>
  <si>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</si>
  <si>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</si>
  <si>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</si>
  <si>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</si>
  <si>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</si>
  <si>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</si>
  <si>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</si>
  <si>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</si>
  <si>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</si>
  <si>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</si>
  <si>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</si>
  <si>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</si>
  <si>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</si>
  <si>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</si>
  <si>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</si>
  <si>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</si>
  <si>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</si>
  <si>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</si>
  <si>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</si>
  <si>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</si>
  <si>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</si>
  <si>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</si>
  <si>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</si>
  <si>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</si>
  <si>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</si>
  <si>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</si>
  <si>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</si>
  <si>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</si>
  <si>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</si>
  <si>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</si>
  <si>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</si>
  <si>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</si>
  <si>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</si>
  <si>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</si>
  <si>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</si>
  <si>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</si>
  <si>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</si>
  <si>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</si>
  <si>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</si>
  <si>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</si>
  <si>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</si>
  <si>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</si>
  <si>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</si>
  <si>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</si>
  <si>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</si>
  <si>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</si>
  <si>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</si>
  <si>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</si>
  <si>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</si>
  <si>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</si>
  <si>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</si>
  <si>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</si>
  <si>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</si>
  <si>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</si>
  <si>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</si>
  <si>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</si>
  <si>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</si>
  <si>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</si>
  <si>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</si>
  <si>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</si>
  <si>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</si>
  <si>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</si>
  <si>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</si>
  <si>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</si>
  <si>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</si>
  <si>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WEMA2016</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</si>
  <si>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</si>
  <si>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</si>
  <si>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</si>
  <si>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</si>
  <si>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</si>
  <si>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</si>
  <si>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</si>
  <si>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</si>
  <si>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</si>
  <si>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</si>
  <si>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</si>
  <si>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</si>
  <si>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</si>
  <si>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</si>
  <si>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</si>
  <si>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</si>
  <si>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</si>
  <si>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</si>
  <si>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</si>
  <si>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</si>
  <si>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</si>
  <si>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</si>
  <si>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</si>
  <si>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</si>
  <si>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</si>
  <si>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</si>
  <si>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</si>
  <si>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</si>
  <si>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</si>
  <si>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</si>
  <si>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</si>
  <si>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</si>
  <si>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</si>
  <si>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</si>
  <si>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</si>
  <si>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</si>
  <si>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</si>
  <si>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</si>
  <si>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</si>
  <si>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</si>
  <si>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</si>
  <si>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</si>
  <si>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</si>
  <si>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</si>
  <si>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</si>
  <si>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</si>
  <si>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</si>
  <si>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</si>
  <si>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</si>
  <si>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</si>
  <si>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</si>
  <si>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</si>
  <si>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</si>
  <si>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</si>
  <si>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</si>
  <si>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</si>
  <si>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</si>
  <si>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</si>
  <si>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</si>
  <si>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</si>
  <si>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</si>
  <si>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</si>
  <si>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</si>
  <si>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</si>
  <si>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</si>
  <si>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</si>
  <si>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</si>
  <si>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</si>
  <si>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</si>
  <si>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</si>
  <si>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</si>
  <si>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</si>
  <si>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</si>
  <si>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</si>
  <si>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</si>
  <si>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</si>
  <si>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</si>
  <si>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</si>
  <si>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</si>
  <si>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</si>
  <si>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</si>
  <si>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</si>
  <si>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</si>
  <si>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</si>
  <si>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</si>
  <si>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</si>
  <si>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</si>
  <si>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</si>
  <si>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</si>
  <si>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</si>
  <si>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</si>
  <si>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</si>
  <si>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</si>
  <si>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</si>
  <si>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</si>
  <si>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</si>
  <si>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</si>
  <si>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</si>
  <si>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</si>
  <si>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</si>
  <si>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</si>
  <si>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</si>
  <si>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</si>
  <si>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</si>
  <si>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</si>
  <si>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</si>
  <si>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</si>
  <si>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</si>
  <si>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</si>
  <si>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</si>
  <si>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</si>
  <si>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</si>
  <si>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</si>
  <si>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</si>
  <si>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</si>
  <si>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</si>
  <si>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</si>
  <si>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</si>
  <si>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</si>
  <si>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</si>
  <si>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</si>
  <si>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</si>
  <si>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</si>
  <si>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</si>
  <si>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</si>
  <si>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</si>
  <si>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</si>
  <si>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</si>
  <si>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</si>
  <si>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</si>
  <si>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</si>
  <si>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</si>
  <si>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</si>
  <si>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</si>
  <si>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</si>
  <si>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</si>
  <si>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</si>
  <si>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</si>
  <si>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</si>
  <si>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</si>
  <si>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</si>
  <si>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</si>
  <si>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</si>
  <si>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</si>
  <si>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</si>
  <si>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</si>
  <si>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</si>
  <si>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</si>
  <si>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</si>
  <si>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</si>
  <si>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</si>
  <si>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</si>
  <si>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</si>
  <si>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</si>
  <si>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</si>
  <si>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</si>
  <si>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</si>
  <si>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</si>
  <si>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</si>
  <si>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</si>
  <si>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</si>
  <si>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</si>
  <si>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</si>
  <si>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</si>
  <si>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</si>
  <si>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</si>
  <si>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</si>
  <si>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</si>
  <si>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</si>
  <si>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</si>
  <si>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</si>
  <si>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</si>
  <si>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</si>
  <si>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</si>
  <si>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</si>
  <si>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</si>
  <si>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</si>
  <si>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</si>
  <si>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</si>
  <si>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</si>
  <si>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</si>
  <si>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</si>
  <si>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</si>
  <si>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</si>
  <si>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</si>
  <si>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</si>
  <si>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</si>
  <si>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</si>
  <si>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</si>
  <si>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</si>
  <si>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</si>
  <si>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</si>
  <si>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</si>
  <si>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</si>
  <si>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</si>
  <si>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</si>
  <si>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</si>
  <si>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</si>
  <si>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</si>
  <si>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</si>
  <si>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</si>
  <si>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</si>
  <si>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</si>
  <si>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</si>
  <si>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</si>
  <si>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</si>
  <si>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</si>
  <si>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</si>
  <si>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</si>
  <si>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</si>
  <si>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</si>
  <si>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</si>
  <si>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</si>
  <si>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</si>
  <si>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</si>
  <si>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</si>
  <si>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</si>
  <si>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</si>
  <si>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</si>
  <si>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</si>
  <si>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</si>
  <si>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</si>
  <si>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</si>
  <si>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</si>
  <si>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</si>
  <si>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</si>
  <si>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</si>
  <si>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</si>
  <si>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</si>
  <si>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</si>
  <si>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</si>
  <si>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</si>
  <si>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</si>
  <si>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</si>
  <si>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</si>
  <si>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</si>
  <si>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</si>
  <si>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</si>
  <si>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</si>
  <si>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</si>
  <si>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</si>
  <si>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</si>
  <si>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</si>
  <si>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</si>
  <si>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</si>
  <si>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</si>
  <si>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</si>
  <si>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</si>
  <si>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</si>
  <si>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</si>
  <si>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</si>
  <si>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</si>
  <si>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</si>
  <si>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</si>
  <si>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</si>
  <si>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</si>
  <si>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</si>
  <si>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</si>
  <si>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</si>
  <si>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</si>
  <si>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</si>
  <si>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</si>
  <si>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</si>
  <si>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</si>
  <si>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</si>
  <si>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</si>
  <si>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</si>
  <si>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</si>
  <si>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</si>
  <si>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</si>
  <si>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</si>
  <si>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</si>
  <si>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</si>
  <si>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</si>
  <si>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</si>
  <si>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</si>
  <si>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</si>
  <si>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</si>
  <si>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</si>
  <si>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</si>
  <si>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</si>
  <si>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</si>
  <si>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</si>
  <si>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</si>
  <si>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</si>
  <si>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</si>
  <si>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</si>
  <si>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</si>
  <si>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</si>
  <si>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</si>
  <si>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</si>
  <si>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</si>
  <si>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</si>
  <si>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</si>
  <si>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</si>
  <si>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</si>
  <si>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</si>
  <si>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</si>
  <si>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</si>
  <si>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</si>
  <si>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</si>
  <si>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</si>
  <si>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</si>
  <si>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</si>
  <si>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</si>
  <si>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</si>
  <si>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</si>
  <si>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</si>
  <si>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</si>
  <si>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</si>
  <si>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</si>
  <si>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</si>
  <si>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</si>
  <si>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</si>
  <si>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</si>
  <si>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</si>
  <si>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</si>
  <si>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</si>
  <si>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</si>
  <si>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</si>
  <si>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</si>
  <si>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</si>
  <si>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</si>
  <si>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</si>
  <si>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</si>
  <si>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</si>
  <si>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</si>
  <si>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</si>
  <si>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</si>
  <si>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</si>
  <si>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</si>
  <si>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</si>
  <si>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</si>
  <si>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</si>
  <si>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</si>
  <si>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</si>
  <si>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</si>
  <si>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</si>
  <si>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</si>
  <si>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</si>
  <si>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</si>
  <si>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</si>
  <si>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</si>
  <si>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</si>
  <si>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</si>
  <si>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</si>
  <si>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</si>
  <si>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</si>
  <si>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</si>
  <si>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</si>
  <si>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</si>
  <si>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</si>
  <si>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</si>
  <si>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</si>
  <si>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</si>
  <si>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</si>
  <si>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</si>
  <si>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</si>
  <si>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</si>
  <si>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</si>
  <si>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</si>
  <si>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</si>
  <si>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</si>
  <si>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</si>
  <si>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</si>
  <si>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</si>
  <si>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</si>
  <si>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</si>
  <si>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</si>
  <si>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</si>
  <si>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</si>
  <si>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</si>
  <si>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</si>
  <si>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</si>
  <si>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</si>
  <si>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</si>
  <si>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</si>
  <si>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</si>
  <si>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</si>
  <si>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</si>
  <si>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</si>
  <si>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</si>
  <si>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</si>
  <si>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</si>
  <si>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</si>
  <si>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</si>
  <si>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</si>
  <si>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</si>
  <si>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</si>
  <si>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</si>
  <si>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</si>
  <si>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</si>
  <si>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</si>
  <si>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</si>
  <si>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</si>
  <si>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</si>
  <si>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</si>
  <si>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</si>
  <si>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</si>
  <si>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</si>
  <si>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</si>
  <si>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</si>
  <si>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</si>
  <si>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</si>
  <si>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</si>
  <si>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</si>
  <si>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</si>
  <si>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</si>
  <si>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</si>
  <si>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</si>
  <si>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</si>
  <si>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</si>
  <si>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</si>
  <si>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</si>
  <si>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</si>
  <si>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</si>
  <si>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</si>
  <si>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</si>
  <si>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</si>
  <si>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</si>
  <si>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</si>
  <si>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</si>
  <si>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</si>
  <si>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</si>
  <si>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</si>
  <si>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</si>
  <si>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</si>
  <si>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</si>
  <si>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</si>
  <si>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</si>
  <si>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</si>
  <si>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</si>
  <si>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</si>
  <si>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</si>
  <si>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</si>
  <si>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</si>
  <si>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</si>
  <si>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</si>
  <si>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</si>
  <si>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</si>
  <si>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</si>
  <si>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</si>
  <si>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</si>
  <si>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</si>
  <si>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</si>
  <si>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</si>
  <si>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</si>
  <si>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</si>
  <si>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</si>
  <si>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</si>
  <si>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</si>
  <si>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</si>
  <si>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</si>
  <si>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</si>
  <si>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</si>
  <si>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</si>
  <si>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</si>
  <si>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</si>
  <si>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</si>
  <si>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</si>
  <si>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</si>
  <si>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</si>
  <si>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</si>
  <si>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</si>
  <si>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</si>
  <si>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</si>
  <si>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</si>
  <si>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</si>
  <si>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</si>
  <si>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</si>
  <si>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</si>
  <si>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</si>
  <si>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</si>
  <si>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</si>
  <si>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</si>
  <si>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</si>
  <si>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</si>
  <si>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</si>
  <si>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</si>
  <si>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</si>
  <si>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</si>
  <si>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</si>
  <si>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</si>
  <si>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</si>
  <si>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</si>
  <si>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</si>
  <si>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</si>
  <si>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</si>
  <si>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</si>
  <si>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</si>
  <si>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</si>
  <si>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</si>
  <si>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</si>
  <si>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</si>
  <si>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</si>
  <si>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</si>
  <si>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</si>
  <si>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</si>
  <si>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</si>
  <si>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</si>
  <si>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</si>
  <si>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</si>
  <si>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</si>
  <si>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</si>
  <si>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</si>
  <si>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</si>
  <si>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</si>
  <si>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</si>
  <si>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</si>
  <si>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</si>
  <si>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</si>
  <si>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</si>
  <si>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</si>
  <si>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</si>
  <si>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</si>
  <si>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</si>
  <si>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</si>
  <si>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</si>
  <si>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</si>
  <si>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</si>
  <si>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</si>
  <si>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</si>
  <si>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</si>
  <si>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</si>
  <si>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</si>
  <si>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</si>
  <si>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</si>
  <si>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</si>
  <si>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</si>
  <si>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</si>
  <si>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</si>
  <si>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</si>
  <si>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</si>
  <si>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</si>
  <si>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</si>
  <si>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</si>
  <si>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</si>
  <si>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</si>
  <si>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</si>
  <si>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</si>
  <si>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</si>
  <si>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</si>
  <si>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</si>
  <si>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</si>
  <si>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</si>
  <si>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</si>
  <si>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</si>
  <si>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</si>
  <si>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</si>
  <si>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</si>
  <si>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</si>
  <si>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</si>
  <si>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</si>
  <si>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</si>
  <si>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</si>
  <si>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</si>
  <si>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</si>
  <si>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</si>
  <si>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</si>
  <si>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</si>
  <si>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</si>
  <si>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</si>
  <si>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</si>
  <si>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</si>
  <si>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</si>
  <si>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</si>
  <si>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</si>
  <si>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</si>
  <si>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</si>
  <si>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</si>
  <si>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</si>
  <si>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</si>
  <si>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</si>
  <si>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</si>
  <si>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</si>
  <si>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</si>
  <si>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</si>
  <si>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</si>
  <si>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</si>
  <si>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</si>
  <si>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</si>
  <si>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</si>
  <si>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</si>
  <si>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</si>
  <si>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</si>
  <si>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</si>
  <si>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</si>
  <si>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</si>
  <si>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</si>
  <si>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</si>
  <si>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</si>
  <si>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</si>
  <si>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</si>
  <si>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</si>
  <si>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</si>
  <si>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</si>
  <si>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</si>
  <si>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</si>
  <si>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</si>
  <si>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</si>
  <si>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</si>
  <si>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</si>
  <si>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</si>
  <si>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</si>
  <si>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</si>
  <si>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</si>
  <si>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</si>
  <si>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</si>
  <si>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</si>
  <si>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</si>
  <si>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</si>
  <si>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</si>
  <si>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</si>
  <si>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</si>
  <si>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</si>
  <si>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</si>
  <si>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</si>
  <si>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</si>
  <si>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</si>
  <si>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</si>
  <si>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</si>
  <si>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</si>
  <si>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</si>
  <si>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</si>
  <si>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</si>
  <si>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</si>
  <si>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</si>
  <si>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</si>
  <si>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</si>
  <si>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</si>
  <si>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</si>
  <si>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</si>
  <si>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UNION20</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</si>
  <si>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</si>
  <si>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</si>
  <si>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</si>
  <si>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</si>
  <si>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</si>
  <si>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</si>
  <si>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</si>
  <si>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</si>
  <si>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</si>
  <si>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</si>
  <si>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</si>
  <si>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</si>
  <si>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</si>
  <si>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</si>
  <si>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</si>
  <si>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</si>
  <si>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</si>
  <si>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</si>
  <si>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</si>
  <si>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</si>
  <si>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</si>
  <si>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</si>
  <si>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</si>
  <si>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</si>
  <si>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</si>
  <si>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</si>
  <si>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</si>
  <si>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</si>
  <si>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</si>
  <si>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</si>
  <si>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</si>
  <si>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</si>
  <si>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</si>
  <si>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</si>
  <si>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</si>
  <si>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</si>
  <si>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</si>
  <si>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</si>
  <si>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</si>
  <si>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</si>
  <si>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</si>
  <si>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</si>
  <si>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</si>
  <si>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</si>
  <si>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</si>
  <si>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</si>
  <si>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</si>
  <si>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</si>
  <si>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</si>
  <si>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</si>
  <si>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</si>
  <si>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</si>
  <si>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UNION22</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</si>
  <si>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</si>
  <si>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</si>
  <si>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</si>
  <si>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</si>
  <si>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</si>
  <si>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</si>
  <si>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</si>
  <si>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</si>
  <si>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</si>
  <si>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</si>
  <si>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</si>
  <si>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</si>
  <si>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</si>
  <si>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</si>
  <si>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</si>
  <si>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</si>
  <si>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</si>
  <si>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</si>
  <si>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</si>
  <si>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</si>
  <si>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</si>
  <si>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</si>
  <si>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</si>
  <si>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</si>
  <si>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</si>
  <si>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</si>
  <si>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</si>
  <si>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</si>
  <si>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</si>
  <si>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</si>
  <si>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</si>
  <si>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</si>
  <si>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</si>
  <si>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</si>
  <si>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</si>
  <si>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</si>
  <si>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</si>
  <si>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</si>
  <si>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</si>
  <si>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</si>
  <si>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</si>
  <si>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</si>
  <si>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</si>
  <si>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</si>
  <si>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</si>
  <si>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</si>
  <si>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</si>
  <si>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</si>
  <si>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</si>
  <si>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</si>
  <si>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</si>
  <si>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</si>
  <si>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</si>
  <si>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</si>
  <si>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</si>
  <si>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</si>
  <si>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</si>
  <si>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</si>
  <si>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</si>
  <si>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</si>
  <si>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</si>
  <si>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</si>
  <si>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</si>
  <si>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</si>
  <si>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</si>
  <si>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</si>
  <si>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</si>
  <si>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</si>
  <si>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</si>
  <si>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</si>
  <si>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</si>
  <si>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</si>
  <si>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</si>
  <si>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</si>
  <si>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</si>
  <si>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</si>
  <si>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</si>
  <si>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</si>
  <si>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</si>
  <si>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</si>
  <si>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</si>
  <si>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</si>
  <si>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</si>
  <si>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</si>
  <si>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</si>
  <si>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</si>
  <si>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</si>
  <si>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</si>
  <si>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</si>
  <si>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</si>
  <si>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</si>
  <si>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</si>
  <si>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</si>
  <si>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</si>
  <si>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</si>
  <si>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</si>
  <si>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</si>
  <si>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</si>
  <si>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</si>
  <si>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</si>
  <si>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</si>
  <si>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</si>
  <si>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</si>
  <si>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</si>
  <si>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</si>
  <si>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</si>
  <si>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</si>
  <si>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</si>
  <si>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</si>
  <si>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</si>
  <si>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</si>
  <si>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</si>
  <si>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</si>
  <si>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</si>
  <si>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</si>
  <si>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</si>
  <si>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</si>
  <si>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</si>
  <si>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</si>
  <si>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</si>
  <si>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</si>
  <si>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</si>
  <si>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</si>
  <si>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</si>
  <si>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</si>
  <si>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</si>
  <si>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</si>
  <si>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</si>
  <si>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</si>
  <si>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</si>
  <si>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</si>
  <si>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</si>
  <si>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</si>
  <si>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</si>
  <si>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</si>
  <si>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</si>
  <si>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UBA16_UPDATE</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</si>
  <si>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</si>
  <si>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</si>
  <si>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</si>
  <si>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</si>
  <si>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</si>
  <si>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</si>
  <si>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</si>
  <si>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</si>
  <si>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</si>
  <si>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</si>
  <si>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</si>
  <si>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</si>
  <si>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</si>
  <si>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</si>
  <si>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</si>
  <si>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</si>
  <si>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</si>
  <si>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</si>
  <si>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</si>
  <si>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</si>
  <si>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</si>
  <si>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</si>
  <si>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</si>
  <si>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</si>
  <si>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</si>
  <si>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</si>
  <si>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</si>
  <si>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</si>
  <si>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</si>
  <si>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</si>
  <si>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</si>
  <si>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</si>
  <si>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</si>
  <si>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</si>
  <si>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</si>
  <si>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</si>
  <si>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</si>
  <si>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</si>
  <si>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</si>
  <si>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</si>
  <si>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</si>
  <si>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</si>
  <si>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</si>
  <si>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</si>
  <si>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</si>
  <si>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</si>
  <si>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</si>
  <si>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</si>
  <si>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</si>
  <si>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</si>
  <si>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</si>
  <si>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</si>
  <si>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</si>
  <si>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</si>
  <si>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comparative</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</si>
  <si>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</si>
  <si>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</si>
  <si>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</si>
  <si>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</si>
  <si>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</si>
  <si>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</si>
  <si>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</si>
  <si>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</si>
  <si>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</si>
  <si>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</si>
  <si>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</si>
  <si>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</si>
  <si>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</si>
  <si>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</si>
  <si>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</si>
  <si>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</si>
  <si>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</si>
  <si>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</si>
  <si>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</si>
  <si>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</si>
  <si>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</si>
  <si>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</si>
  <si>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</si>
  <si>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</si>
  <si>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</si>
  <si>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</si>
  <si>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</si>
  <si>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</si>
  <si>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</si>
  <si>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</si>
  <si>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</si>
  <si>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</si>
  <si>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</si>
  <si>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</si>
  <si>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</si>
  <si>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</si>
  <si>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</si>
  <si>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</si>
  <si>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</si>
  <si>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</si>
  <si>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</si>
  <si>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</si>
  <si>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</si>
  <si>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</si>
  <si>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</si>
  <si>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</si>
  <si>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</si>
  <si>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</si>
  <si>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</si>
  <si>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</si>
  <si>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</si>
  <si>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Union Bank of Nigeria Plc Annual Report 31 December 2016 (NSE filing mirrored by Nairametrics)</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</si>
  <si>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</si>
  <si>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</si>
  <si>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</si>
  <si>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</si>
  <si>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</si>
  <si>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</si>
  <si>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</si>
  <si>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</si>
  <si>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</si>
  <si>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</si>
  <si>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</si>
  <si>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</si>
  <si>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</si>
  <si>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</si>
  <si>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</si>
  <si>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</si>
  <si>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</si>
  <si>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</si>
  <si>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</si>
  <si>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</si>
  <si>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</si>
  <si>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</si>
  <si>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</si>
  <si>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</si>
  <si>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</si>
  <si>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</si>
  <si>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</si>
  <si>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</si>
  <si>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</si>
  <si>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</si>
  <si>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</si>
  <si>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</si>
  <si>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</si>
  <si>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</si>
  <si>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</si>
  <si>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</si>
  <si>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</si>
  <si>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</si>
  <si>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</si>
  <si>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</si>
  <si>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</si>
  <si>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</si>
  <si>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</si>
  <si>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</si>
  <si>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</si>
  <si>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</si>
  <si>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</si>
  <si>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</si>
  <si>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</si>
  <si>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</si>
  <si>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</si>
  <si>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</si>
  <si>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</si>
  <si>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</si>
  <si>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</si>
  <si>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</si>
  <si>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</si>
  <si>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</si>
  <si>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</si>
  <si>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</si>
  <si>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</si>
  <si>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</si>
  <si>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</si>
  <si>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</si>
  <si>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</si>
  <si>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</si>
  <si>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</si>
  <si>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</si>
  <si>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</si>
  <si>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</si>
  <si>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</si>
  <si>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</si>
  <si>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</si>
  <si>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</si>
  <si>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</si>
  <si>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</si>
  <si>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</si>
  <si>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</si>
  <si>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</si>
  <si>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</si>
  <si>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</si>
  <si>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</si>
  <si>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</si>
  <si>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</si>
  <si>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</si>
  <si>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</si>
  <si>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</si>
  <si>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</si>
  <si>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</si>
  <si>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</si>
  <si>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</si>
  <si>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</si>
  <si>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</si>
  <si>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</si>
  <si>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</si>
  <si>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</si>
  <si>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</si>
  <si>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</si>
  <si>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</si>
  <si>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</si>
  <si>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</si>
  <si>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</si>
  <si>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</si>
  <si>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</si>
  <si>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</si>
  <si>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</si>
  <si>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</si>
  <si>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</si>
  <si>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</si>
  <si>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</si>
  <si>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</si>
  <si>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</si>
  <si>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</si>
  <si>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</si>
  <si>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</si>
  <si>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</si>
  <si>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</si>
  <si>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</si>
  <si>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</si>
  <si>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</si>
  <si>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</si>
  <si>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</si>
  <si>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</si>
  <si>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</si>
  <si>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</si>
  <si>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</si>
  <si>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</si>
  <si>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</si>
  <si>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</si>
  <si>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</si>
  <si>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</si>
  <si>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</si>
  <si>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</si>
  <si>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</si>
  <si>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</si>
  <si>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</si>
  <si>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</si>
  <si>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</si>
  <si>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</si>
  <si>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</si>
  <si>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</si>
  <si>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</si>
  <si>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</si>
  <si>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</si>
  <si>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</si>
  <si>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</si>
  <si>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</si>
  <si>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</si>
  <si>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</si>
  <si>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</si>
  <si>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</si>
  <si>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Zenith Bank Plc Annual Report 2016</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</si>
  <si>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</si>
  <si>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</si>
  <si>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</si>
  <si>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</si>
  <si>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</si>
  <si>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</si>
  <si>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</si>
  <si>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</si>
  <si>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</si>
  <si>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</si>
  <si>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</si>
  <si>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</si>
  <si>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</si>
  <si>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</si>
  <si>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</si>
  <si>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</si>
  <si>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</si>
  <si>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</si>
  <si>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</si>
  <si>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</si>
  <si>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</si>
  <si>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</si>
  <si>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</si>
  <si>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</si>
  <si>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</si>
  <si>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</si>
  <si>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</si>
  <si>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</si>
  <si>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</si>
  <si>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</si>
  <si>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</si>
  <si>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</si>
  <si>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</si>
  <si>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</si>
  <si>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</si>
  <si>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</si>
  <si>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Zenith Bank Plc Annual Report 2017</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</si>
  <si>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</si>
  <si>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</si>
  <si>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</si>
  <si>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</si>
  <si>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</si>
  <si>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</si>
  <si>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</si>
  <si>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</si>
  <si>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</si>
  <si>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</si>
  <si>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</si>
  <si>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</si>
  <si>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</si>
  <si>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</si>
  <si>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</si>
  <si>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</si>
  <si>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</si>
  <si>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</si>
  <si>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</si>
  <si>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</si>
  <si>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</si>
  <si>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</si>
  <si>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</si>
  <si>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</si>
  <si>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</si>
  <si>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</si>
  <si>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</si>
  <si>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</si>
  <si>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</si>
  <si>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Zenith Bank Plc Annual Report 2018</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</si>
  <si>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</si>
  <si>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</si>
  <si>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</si>
  <si>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</si>
  <si>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</si>
  <si>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</si>
  <si>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</si>
  <si>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</si>
  <si>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</si>
  <si>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</si>
  <si>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</si>
  <si>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</si>
  <si>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</si>
  <si>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</si>
  <si>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</si>
  <si>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</si>
  <si>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</si>
  <si>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</si>
  <si>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</si>
  <si>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</si>
  <si>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</si>
  <si>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</si>
  <si>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</si>
  <si>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</si>
  <si>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</si>
  <si>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</si>
  <si>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</si>
  <si>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</si>
  <si>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</si>
  <si>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</si>
  <si>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</si>
  <si>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</si>
  <si>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</si>
  <si>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</si>
  <si>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</si>
  <si>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</si>
  <si>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</si>
  <si>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</si>
  <si>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</si>
  <si>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</si>
  <si>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</si>
  <si>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</si>
  <si>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</si>
  <si>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</si>
  <si>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</si>
  <si>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</si>
  <si>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</si>
  <si>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</si>
  <si>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</si>
  <si>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</si>
  <si>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</si>
  <si>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</si>
  <si>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</si>
  <si>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</si>
  <si>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</si>
  <si>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</si>
  <si>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</si>
  <si>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</si>
  <si>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</si>
  <si>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</si>
  <si>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</si>
  <si>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</si>
  <si>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</si>
  <si>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</si>
  <si>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</si>
  <si>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</si>
  <si>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</si>
  <si>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</si>
  <si>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</si>
  <si>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</si>
  <si>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</si>
  <si>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</si>
  <si>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</si>
  <si>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</si>
  <si>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</si>
  <si>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</si>
  <si>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</si>
  <si>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</si>
  <si>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</si>
  <si>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</si>
  <si>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</si>
  <si>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</si>
  <si>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</si>
  <si>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</si>
  <si>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</si>
  <si>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</si>
  <si>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</si>
  <si>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</si>
  <si>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</si>
  <si>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</si>
  <si>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</si>
  <si>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</si>
  <si>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</si>
  <si>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</si>
  <si>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</si>
  <si>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</si>
  <si>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</si>
  <si>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</si>
  <si>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</si>
  <si>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</si>
  <si>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</si>
  <si>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</si>
  <si>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</si>
  <si>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</si>
  <si>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</si>
  <si>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</si>
  <si>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</si>
  <si>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</si>
  <si>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</si>
  <si>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</si>
  <si>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</si>
  <si>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</si>
  <si>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</si>
  <si>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</si>
  <si>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</si>
  <si>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</si>
  <si>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</si>
  <si>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</si>
  <si>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</si>
  <si>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</si>
  <si>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</si>
  <si>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</si>
  <si>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</si>
  <si>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</si>
  <si>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</si>
  <si>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</si>
  <si>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</si>
  <si>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</si>
  <si>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</si>
  <si>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</si>
  <si>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</si>
  <si>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</si>
  <si>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</si>
  <si>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</si>
  <si>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</si>
  <si>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</si>
  <si>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</si>
  <si>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</si>
  <si>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</si>
  <si>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</si>
  <si>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</si>
  <si>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</si>
  <si>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</si>
  <si>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</si>
  <si>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</si>
  <si>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</si>
  <si>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</si>
  <si>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</si>
  <si>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</si>
  <si>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</si>
  <si>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</si>
  <si>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</si>
  <si>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</si>
  <si>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</si>
  <si>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</si>
  <si>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</si>
  <si>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</si>
  <si>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</si>
  <si>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</si>
  <si>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</si>
  <si>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</si>
  <si>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</si>
  <si>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</si>
  <si>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</si>
  <si>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</si>
  <si>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</si>
  <si>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</si>
  <si>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</si>
  <si>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First Bank of Nigeria Limited Consolidated and Separate Financial Statements for the year ended 31 December 2017 (FBN Holdings website archive)</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</si>
  <si>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</si>
  <si>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</si>
  <si>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</si>
  <si>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</si>
  <si>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</si>
  <si>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</si>
  <si>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</si>
  <si>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</si>
  <si>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</si>
  <si>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</si>
  <si>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</si>
  <si>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</si>
  <si>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</si>
  <si>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</si>
  <si>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</si>
  <si>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</si>
  <si>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</si>
  <si>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</si>
  <si>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</si>
  <si>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</si>
  <si>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</si>
  <si>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</si>
  <si>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</si>
  <si>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</si>
  <si>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</si>
  <si>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</si>
  <si>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</si>
  <si>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</si>
  <si>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</si>
  <si>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</si>
  <si>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</si>
  <si>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</si>
  <si>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</si>
  <si>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</si>
  <si>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</si>
  <si>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</si>
  <si>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</si>
  <si>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</si>
  <si>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</si>
  <si>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</si>
  <si>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</si>
  <si>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</si>
  <si>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</si>
  <si>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</si>
  <si>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</si>
  <si>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</si>
  <si>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</si>
  <si>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</si>
  <si>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</si>
  <si>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</si>
  <si>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</si>
  <si>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</si>
  <si>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</si>
  <si>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</si>
  <si>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</si>
  <si>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</si>
  <si>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</si>
  <si>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</si>
  <si>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</si>
  <si>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</si>
  <si>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</si>
  <si>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</si>
  <si>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</si>
  <si>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</si>
  <si>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</si>
  <si>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</si>
  <si>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</si>
  <si>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</si>
  <si>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</si>
  <si>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</si>
  <si>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</si>
  <si>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</si>
  <si>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</si>
  <si>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</si>
  <si>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</si>
  <si>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</si>
  <si>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</si>
  <si>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</si>
  <si>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</si>
  <si>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</si>
  <si>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</si>
  <si>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</si>
  <si>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</si>
  <si>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</si>
  <si>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</si>
  <si>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</si>
  <si>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</si>
  <si>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</si>
  <si>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</si>
  <si>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</si>
  <si>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</si>
  <si>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</si>
  <si>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</si>
  <si>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</si>
  <si>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</si>
  <si>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</si>
  <si>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</si>
  <si>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</si>
  <si>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</si>
  <si>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</si>
  <si>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</si>
  <si>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</si>
  <si>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</si>
  <si>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</si>
  <si>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</si>
  <si>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</si>
  <si>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</si>
  <si>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</si>
  <si>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</si>
  <si>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</si>
  <si>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</si>
  <si>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</si>
  <si>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</si>
  <si>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</si>
  <si>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</si>
  <si>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</si>
  <si>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</si>
  <si>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</si>
  <si>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</si>
  <si>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</si>
  <si>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</si>
  <si>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</si>
  <si>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</si>
  <si>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</si>
  <si>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</si>
  <si>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</si>
  <si>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</si>
  <si>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</si>
  <si>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</si>
  <si>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</si>
  <si>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</si>
  <si>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</si>
  <si>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</si>
  <si>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</si>
  <si>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</si>
  <si>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</si>
  <si>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</si>
  <si>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</si>
  <si>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</si>
  <si>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</si>
  <si>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</si>
  <si>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Stanbic IBTC Bank PLC 2018 Annual Report (issuer-hosted extract: auditor's report and primary statements)</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</si>
  <si>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</si>
  <si>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</si>
  <si>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</si>
  <si>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</si>
  <si>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</si>
  <si>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</si>
  <si>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</si>
  <si>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</si>
  <si>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</si>
  <si>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</si>
  <si>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</si>
  <si>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</si>
  <si>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</si>
  <si>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</si>
  <si>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</si>
  <si>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</si>
  <si>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</si>
  <si>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</si>
  <si>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Stanbic IBTC Bank PLC 2019 Annual Report (issuer-hosted extract: auditor's report and primary statements)</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</si>
  <si>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</si>
  <si>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</si>
  <si>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</si>
  <si>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</si>
  <si>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</si>
  <si>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</si>
  <si>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</si>
  <si>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</si>
  <si>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</si>
  <si>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</si>
  <si>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</si>
  <si>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Fidelity Bank Plc 2014 Annual Report</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</si>
  <si>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</si>
  <si>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</si>
  <si>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</si>
  <si>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</si>
  <si>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</si>
  <si>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</si>
  <si>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</si>
  <si>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</si>
  <si>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</si>
  <si>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</si>
  <si>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</si>
  <si>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</si>
  <si>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</si>
  <si>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</si>
  <si>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</si>
  <si>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</si>
  <si>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</si>
  <si>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</si>
  <si>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</si>
  <si>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</si>
  <si>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</si>
  <si>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</si>
  <si>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</si>
  <si>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</si>
  <si>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</si>
  <si>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</si>
  <si>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</si>
  <si>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</si>
  <si>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</si>
  <si>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</si>
  <si>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</si>
  <si>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</si>
  <si>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</si>
  <si>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</si>
  <si>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</si>
  <si>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</si>
  <si>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</si>
  <si>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</si>
  <si>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</si>
  <si>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</si>
  <si>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</si>
  <si>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</si>
  <si>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</si>
  <si>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</si>
  <si>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</si>
  <si>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Fidelity Bank Plc 2015 Annual Report</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</si>
  <si>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</si>
  <si>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</si>
  <si>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</si>
  <si>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</si>
  <si>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</si>
  <si>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</si>
  <si>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</si>
  <si>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</si>
  <si>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</si>
  <si>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</si>
  <si>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</si>
  <si>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</si>
  <si>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</si>
  <si>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</si>
  <si>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</si>
  <si>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</si>
  <si>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</si>
  <si>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</si>
  <si>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</si>
  <si>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</si>
  <si>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</si>
  <si>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</si>
  <si>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</si>
  <si>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</si>
  <si>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</si>
  <si>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</si>
  <si>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</si>
  <si>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</si>
  <si>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</si>
  <si>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</si>
  <si>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</si>
  <si>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</si>
  <si>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</si>
  <si>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</si>
  <si>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</si>
  <si>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</si>
  <si>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</si>
  <si>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</si>
  <si>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</si>
  <si>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</si>
  <si>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</si>
  <si>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</si>
  <si>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</si>
  <si>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</si>
  <si>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</si>
  <si>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</si>
  <si>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</si>
  <si>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</si>
  <si>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</si>
  <si>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</si>
  <si>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</si>
  <si>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</si>
  <si>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Fidelity Bank Plc 2016 Annual Report</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</si>
  <si>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</si>
  <si>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</si>
  <si>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</si>
  <si>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</si>
  <si>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</si>
  <si>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</si>
  <si>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</si>
  <si>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</si>
  <si>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</si>
  <si>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</si>
  <si>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</si>
  <si>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</si>
  <si>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</si>
  <si>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</si>
  <si>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</si>
  <si>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</si>
  <si>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</si>
  <si>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</si>
  <si>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</si>
  <si>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</si>
  <si>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</si>
  <si>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</si>
  <si>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</si>
  <si>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</si>
  <si>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</si>
  <si>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</si>
  <si>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</si>
  <si>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</si>
  <si>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</si>
  <si>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</si>
  <si>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</si>
  <si>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</si>
  <si>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</si>
  <si>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</si>
  <si>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</si>
  <si>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</si>
  <si>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</si>
  <si>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</si>
  <si>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</si>
  <si>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</si>
  <si>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</si>
  <si>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</si>
  <si>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</si>
  <si>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</si>
  <si>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</si>
  <si>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Fidelity Bank Plc 2017 Annual Report</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</si>
  <si>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</si>
  <si>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</si>
  <si>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</si>
  <si>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</si>
  <si>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</si>
  <si>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</si>
  <si>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</si>
  <si>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</si>
  <si>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</si>
  <si>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</si>
  <si>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</si>
  <si>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</si>
  <si>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</si>
  <si>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</si>
  <si>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</si>
  <si>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</si>
  <si>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</si>
  <si>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</si>
  <si>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</si>
  <si>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</si>
  <si>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</si>
  <si>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</si>
  <si>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</si>
  <si>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</si>
  <si>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</si>
  <si>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</si>
  <si>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</si>
  <si>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</si>
  <si>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</si>
  <si>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</si>
  <si>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</si>
  <si>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</si>
  <si>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</si>
  <si>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</si>
  <si>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</si>
  <si>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</si>
  <si>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</si>
  <si>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</si>
  <si>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</si>
  <si>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</si>
  <si>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</si>
  <si>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</si>
  <si>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</si>
  <si>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</si>
  <si>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</si>
  <si>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</si>
  <si>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</si>
  <si>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</si>
  <si>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</si>
  <si>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</si>
  <si>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Fidelity Bank Plc 2020 Annual Report</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</si>
  <si>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</si>
  <si>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</si>
  <si>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</si>
  <si>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</si>
  <si>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</si>
  <si>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</si>
  <si>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</si>
  <si>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</si>
  <si>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</si>
  <si>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</si>
  <si>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</si>
  <si>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</si>
  <si>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</si>
  <si>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</si>
  <si>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</si>
  <si>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</si>
  <si>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</si>
  <si>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</si>
  <si>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</si>
  <si>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</si>
  <si>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</si>
  <si>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</si>
  <si>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</si>
  <si>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</si>
  <si>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</si>
  <si>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</si>
  <si>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</si>
  <si>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</si>
  <si>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</si>
  <si>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</si>
  <si>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</si>
  <si>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</si>
  <si>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</si>
  <si>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</si>
  <si>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</si>
  <si>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</si>
  <si>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</si>
  <si>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</si>
  <si>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</si>
  <si>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</si>
  <si>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</si>
  <si>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</si>
  <si>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</si>
  <si>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</si>
  <si>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</si>
  <si>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</si>
  <si>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</si>
  <si>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</si>
  <si>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</si>
  <si>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</si>
  <si>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</si>
  <si>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</si>
  <si>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</si>
  <si>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</si>
  <si>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</si>
  <si>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</si>
  <si>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</si>
  <si>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</si>
  <si>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</si>
  <si>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</si>
  <si>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</si>
  <si>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</si>
  <si>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</si>
  <si>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</si>
  <si>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</si>
  <si>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</si>
  <si>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</si>
  <si>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</si>
  <si>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</si>
  <si>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</si>
  <si>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</si>
  <si>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</si>
  <si>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</si>
  <si>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</si>
  <si>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</si>
  <si>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</si>
  <si>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</si>
  <si>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</si>
  <si>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</si>
  <si>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</si>
  <si>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</si>
  <si>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</si>
  <si>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</si>
  <si>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</si>
  <si>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</si>
  <si>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</si>
  <si>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</si>
  <si>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</si>
  <si>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2021 audited FS; 2020 comparative</t>
  </si>
  <si>
    <t xml:space="preserve">reviewer reading of rendered page</t>
  </si>
  <si>
    <t xml:space="preserve">review/source_alternatives.csv</t>
  </si>
  <si>
    <t xml:space="preserve">2022 audited FS; 2021 comparative</t>
  </si>
  <si>
    <t xml:space="preserve">original</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</si>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</sst>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83</v>
      </c>
      <c r="B6" s="0" t="n">
        <v>2016</v>
      </c>
      <c r="C6" s="0" t="s">
        <v>84</v>
      </c>
      <c r="D6" s="0" t="s">
        <v>79</v>
      </c>
      <c r="E6" s="0" t="n">
        <v>5780</v>
      </c>
      <c r="F6" s="0" t="n">
        <v>1808503</v>
      </c>
      <c r="G6" s="0" t="n">
        <v>1587728</v>
      </c>
      <c r="H6" s="0" t="n">
        <v>220775</v>
      </c>
      <c r="N6" s="0" t="n">
        <v>82783</v>
      </c>
      <c r="Y6" s="0" t="s">
        <v>85</v>
      </c>
      <c r="Z6" s="0" t="s">
        <v>81</v>
      </c>
      <c r="AA6" s="0" t="s">
        <v>82</v>
      </c>
    </row>
    <row r="7" customFormat="false" ht="15" hidden="false" customHeight="false" outlineLevel="0" collapsed="false">
      <c r="A7" s="0" t="s">
        <v>83</v>
      </c>
      <c r="B7" s="0" t="n">
        <v>2017</v>
      </c>
      <c r="C7" s="0" t="s">
        <v>84</v>
      </c>
      <c r="D7" s="0" t="s">
        <v>79</v>
      </c>
      <c r="E7" s="0" t="n">
        <v>20204</v>
      </c>
      <c r="F7" s="0" t="n">
        <v>1829761</v>
      </c>
      <c r="G7" s="0" t="n">
        <v>1562432</v>
      </c>
      <c r="H7" s="0" t="n">
        <v>267329</v>
      </c>
      <c r="J7" s="0" t="n">
        <v>1808503</v>
      </c>
      <c r="N7" s="0" t="n">
        <v>59901</v>
      </c>
      <c r="Y7" s="0" t="s">
        <v>85</v>
      </c>
      <c r="Z7" s="0" t="s">
        <v>81</v>
      </c>
      <c r="AA7" s="0" t="s">
        <v>82</v>
      </c>
    </row>
    <row r="8" customFormat="false" ht="15" hidden="false" customHeight="false" outlineLevel="0" collapsed="false">
      <c r="A8" s="0" t="s">
        <v>86</v>
      </c>
      <c r="B8" s="0" t="n">
        <v>2013</v>
      </c>
      <c r="C8" s="0" t="s">
        <v>84</v>
      </c>
      <c r="D8" s="0" t="s">
        <v>79</v>
      </c>
      <c r="E8" s="0" t="n">
        <v>7721</v>
      </c>
      <c r="F8" s="0" t="n">
        <v>1081217</v>
      </c>
      <c r="G8" s="0" t="n">
        <v>917762</v>
      </c>
      <c r="H8" s="0" t="n">
        <v>163455</v>
      </c>
      <c r="I8" s="0" t="n">
        <v>15048</v>
      </c>
      <c r="J8" s="0" t="n">
        <v>914360</v>
      </c>
      <c r="K8" s="0" t="n">
        <v>442649</v>
      </c>
      <c r="L8" s="0" t="n">
        <v>16573</v>
      </c>
      <c r="N8" s="0" t="n">
        <v>7630</v>
      </c>
      <c r="T8" s="0" t="n">
        <v>26</v>
      </c>
      <c r="Y8" s="0" t="s">
        <v>87</v>
      </c>
      <c r="Z8" s="0" t="s">
        <v>81</v>
      </c>
      <c r="AA8" s="0" t="s">
        <v>82</v>
      </c>
    </row>
    <row r="9" customFormat="false" ht="15" hidden="false" customHeight="false" outlineLevel="0" collapsed="false">
      <c r="A9" s="0" t="s">
        <v>86</v>
      </c>
      <c r="B9" s="0" t="n">
        <v>2014</v>
      </c>
      <c r="C9" s="0" t="s">
        <v>84</v>
      </c>
      <c r="D9" s="0" t="s">
        <v>79</v>
      </c>
      <c r="E9" s="0" t="n">
        <v>13796</v>
      </c>
      <c r="F9" s="0" t="n">
        <v>1187025</v>
      </c>
      <c r="G9" s="0" t="n">
        <v>1013914</v>
      </c>
      <c r="H9" s="0" t="n">
        <v>173111</v>
      </c>
      <c r="I9" s="0" t="n">
        <v>53565</v>
      </c>
      <c r="J9" s="0" t="n">
        <v>1081217</v>
      </c>
      <c r="K9" s="0" t="n">
        <v>559137</v>
      </c>
      <c r="L9" s="0" t="n">
        <v>17451</v>
      </c>
      <c r="M9" s="0" t="n">
        <v>541686</v>
      </c>
      <c r="N9" s="0" t="n">
        <v>4306</v>
      </c>
      <c r="P9" s="0" t="n">
        <v>198886</v>
      </c>
      <c r="Q9" s="0" t="n">
        <v>821527</v>
      </c>
      <c r="T9" s="0" t="n">
        <v>24.21</v>
      </c>
      <c r="U9" s="0" t="n">
        <v>15</v>
      </c>
      <c r="X9" s="0" t="n">
        <v>0</v>
      </c>
      <c r="Y9" s="0" t="s">
        <v>88</v>
      </c>
      <c r="Z9" s="0" t="s">
        <v>89</v>
      </c>
      <c r="AA9" s="0" t="s">
        <v>90</v>
      </c>
    </row>
    <row r="10" customFormat="false" ht="15" hidden="false" customHeight="false" outlineLevel="0" collapsed="false">
      <c r="A10" s="0" t="s">
        <v>86</v>
      </c>
      <c r="B10" s="0" t="n">
        <v>2015</v>
      </c>
      <c r="C10" s="0" t="s">
        <v>84</v>
      </c>
      <c r="D10" s="0" t="s">
        <v>79</v>
      </c>
      <c r="E10" s="0" t="n">
        <v>13904</v>
      </c>
      <c r="F10" s="0" t="n">
        <v>1231722</v>
      </c>
      <c r="G10" s="0" t="n">
        <v>1048206</v>
      </c>
      <c r="H10" s="0" t="n">
        <v>183516</v>
      </c>
      <c r="I10" s="0" t="n">
        <v>107132</v>
      </c>
      <c r="J10" s="0" t="n">
        <v>1187025</v>
      </c>
      <c r="K10" s="0" t="n">
        <v>598978</v>
      </c>
      <c r="L10" s="0" t="n">
        <v>20776</v>
      </c>
      <c r="M10" s="0" t="n">
        <v>578203</v>
      </c>
      <c r="N10" s="0" t="n">
        <v>5764</v>
      </c>
      <c r="P10" s="0" t="n">
        <v>191595</v>
      </c>
      <c r="Q10" s="0" t="n">
        <v>1012062</v>
      </c>
      <c r="T10" s="0" t="n">
        <v>19</v>
      </c>
      <c r="U10" s="0" t="n">
        <v>15</v>
      </c>
      <c r="X10" s="0" t="n">
        <v>0</v>
      </c>
      <c r="Y10" s="0" t="s">
        <v>91</v>
      </c>
      <c r="Z10" s="0" t="s">
        <v>92</v>
      </c>
      <c r="AA10" s="0" t="s">
        <v>90</v>
      </c>
    </row>
    <row r="11" customFormat="false" ht="15" hidden="false" customHeight="false" outlineLevel="0" collapsed="false">
      <c r="A11" s="0" t="s">
        <v>86</v>
      </c>
      <c r="B11" s="0" t="n">
        <v>2016</v>
      </c>
      <c r="C11" s="0" t="s">
        <v>84</v>
      </c>
      <c r="D11" s="0" t="s">
        <v>79</v>
      </c>
      <c r="E11" s="0" t="n">
        <v>9734</v>
      </c>
      <c r="F11" s="0" t="n">
        <v>1298141</v>
      </c>
      <c r="G11" s="0" t="n">
        <v>1112739</v>
      </c>
      <c r="H11" s="0" t="n">
        <v>185402</v>
      </c>
      <c r="I11" s="0" t="n">
        <v>-56907</v>
      </c>
      <c r="J11" s="0" t="n">
        <v>1231722</v>
      </c>
      <c r="K11" s="0" t="n">
        <v>743120</v>
      </c>
      <c r="L11" s="0" t="n">
        <v>24719</v>
      </c>
      <c r="M11" s="0" t="n">
        <v>718401</v>
      </c>
      <c r="N11" s="0" t="n">
        <v>8671</v>
      </c>
      <c r="P11" s="0" t="n">
        <v>196913</v>
      </c>
      <c r="Q11" s="0" t="n">
        <v>1138258</v>
      </c>
      <c r="T11" s="0" t="n">
        <v>17.22</v>
      </c>
      <c r="U11" s="0" t="n">
        <v>15</v>
      </c>
      <c r="X11" s="0" t="n">
        <v>0</v>
      </c>
      <c r="Y11" s="0" t="s">
        <v>93</v>
      </c>
      <c r="Z11" s="0" t="s">
        <v>94</v>
      </c>
      <c r="AA11" s="0" t="s">
        <v>90</v>
      </c>
    </row>
    <row r="12" customFormat="false" ht="15" hidden="false" customHeight="false" outlineLevel="0" collapsed="false">
      <c r="A12" s="0" t="s">
        <v>86</v>
      </c>
      <c r="B12" s="0" t="n">
        <v>2017</v>
      </c>
      <c r="C12" s="0" t="s">
        <v>84</v>
      </c>
      <c r="D12" s="0" t="s">
        <v>79</v>
      </c>
      <c r="E12" s="0" t="n">
        <v>18857</v>
      </c>
      <c r="F12" s="0" t="n">
        <v>1379214</v>
      </c>
      <c r="G12" s="0" t="n">
        <v>1175899</v>
      </c>
      <c r="H12" s="0" t="n">
        <v>203315</v>
      </c>
      <c r="I12" s="0" t="n">
        <v>-38026</v>
      </c>
      <c r="J12" s="0" t="n">
        <v>1298141</v>
      </c>
      <c r="K12" s="0" t="n">
        <v>795315</v>
      </c>
      <c r="L12" s="0" t="n">
        <v>26578</v>
      </c>
      <c r="M12" s="0" t="n">
        <v>768737</v>
      </c>
      <c r="N12" s="0" t="n">
        <v>11315</v>
      </c>
      <c r="P12" s="0" t="n">
        <v>179341</v>
      </c>
      <c r="Q12" s="0" t="n">
        <v>1118786</v>
      </c>
      <c r="T12" s="0" t="n">
        <v>16.03</v>
      </c>
      <c r="U12" s="0" t="n">
        <v>15</v>
      </c>
      <c r="X12" s="0" t="n">
        <v>0</v>
      </c>
      <c r="Y12" s="0" t="s">
        <v>95</v>
      </c>
      <c r="Z12" s="0" t="s">
        <v>96</v>
      </c>
      <c r="AA12" s="0" t="s">
        <v>90</v>
      </c>
    </row>
    <row r="13" customFormat="false" ht="15" hidden="false" customHeight="false" outlineLevel="0" collapsed="false">
      <c r="A13" s="0" t="s">
        <v>86</v>
      </c>
      <c r="B13" s="0" t="n">
        <v>2018</v>
      </c>
      <c r="C13" s="0" t="s">
        <v>84</v>
      </c>
      <c r="D13" s="0" t="s">
        <v>97</v>
      </c>
      <c r="E13" s="0" t="n">
        <v>22926</v>
      </c>
      <c r="F13" s="0" t="n">
        <v>1719883</v>
      </c>
      <c r="G13" s="0" t="n">
        <v>1525467</v>
      </c>
      <c r="H13" s="0" t="n">
        <v>194416</v>
      </c>
      <c r="N13" s="0" t="n">
        <v>4215</v>
      </c>
      <c r="Y13" s="0" t="s">
        <v>98</v>
      </c>
      <c r="Z13" s="0" t="s">
        <v>81</v>
      </c>
      <c r="AA13" s="0" t="s">
        <v>82</v>
      </c>
    </row>
    <row r="14" customFormat="false" ht="15" hidden="false" customHeight="false" outlineLevel="0" collapsed="false">
      <c r="A14" s="0" t="s">
        <v>86</v>
      </c>
      <c r="B14" s="0" t="n">
        <v>2019</v>
      </c>
      <c r="C14" s="0" t="s">
        <v>84</v>
      </c>
      <c r="D14" s="0" t="s">
        <v>97</v>
      </c>
      <c r="E14" s="0" t="n">
        <v>28425</v>
      </c>
      <c r="F14" s="0" t="n">
        <v>2114037</v>
      </c>
      <c r="G14" s="0" t="n">
        <v>1880007</v>
      </c>
      <c r="H14" s="0" t="n">
        <v>234030</v>
      </c>
      <c r="J14" s="0" t="n">
        <v>1719883</v>
      </c>
      <c r="N14" s="0" t="n">
        <v>-5292</v>
      </c>
      <c r="X14" s="0" t="n">
        <v>0</v>
      </c>
      <c r="Y14" s="0" t="s">
        <v>98</v>
      </c>
      <c r="Z14" s="0" t="s">
        <v>81</v>
      </c>
      <c r="AA14" s="0" t="s">
        <v>82</v>
      </c>
    </row>
    <row r="15" customFormat="false" ht="15" hidden="false" customHeight="false" outlineLevel="0" collapsed="false">
      <c r="A15" s="0" t="s">
        <v>86</v>
      </c>
      <c r="B15" s="0" t="n">
        <v>2020</v>
      </c>
      <c r="C15" s="0" t="s">
        <v>84</v>
      </c>
      <c r="D15" s="0" t="s">
        <v>97</v>
      </c>
      <c r="E15" s="0" t="n">
        <v>26650</v>
      </c>
      <c r="F15" s="0" t="n">
        <v>2758148</v>
      </c>
      <c r="G15" s="0" t="n">
        <v>2484615</v>
      </c>
      <c r="H15" s="0" t="n">
        <v>273533</v>
      </c>
      <c r="I15" s="0" t="n">
        <v>242619</v>
      </c>
      <c r="J15" s="0" t="n">
        <v>2114037</v>
      </c>
      <c r="K15" s="0" t="n">
        <v>1393624</v>
      </c>
      <c r="L15" s="0" t="n">
        <v>67518</v>
      </c>
      <c r="M15" s="0" t="n">
        <v>1326106</v>
      </c>
      <c r="N15" s="0" t="n">
        <v>16858</v>
      </c>
      <c r="P15" s="0" t="n">
        <v>243690</v>
      </c>
      <c r="Q15" s="0" t="n">
        <v>1340211</v>
      </c>
      <c r="T15" s="0" t="n">
        <v>18.18</v>
      </c>
      <c r="U15" s="0" t="n">
        <v>15</v>
      </c>
      <c r="X15" s="0" t="n">
        <v>0</v>
      </c>
      <c r="Y15" s="0" t="s">
        <v>99</v>
      </c>
      <c r="Z15" s="0" t="s">
        <v>100</v>
      </c>
      <c r="AA15" s="0" t="s">
        <v>90</v>
      </c>
    </row>
    <row r="16" customFormat="false" ht="15" hidden="false" customHeight="false" outlineLevel="0" collapsed="false">
      <c r="A16" s="0" t="s">
        <v>86</v>
      </c>
      <c r="B16" s="0" t="n">
        <v>2021</v>
      </c>
      <c r="C16" s="0" t="s">
        <v>84</v>
      </c>
      <c r="D16" s="0" t="s">
        <v>97</v>
      </c>
      <c r="E16" s="0" t="n">
        <v>23104</v>
      </c>
      <c r="F16" s="0" t="n">
        <v>3280454</v>
      </c>
      <c r="G16" s="0" t="n">
        <v>2995160</v>
      </c>
      <c r="H16" s="0" t="n">
        <v>285294</v>
      </c>
      <c r="I16" s="0" t="n">
        <v>-107190</v>
      </c>
      <c r="K16" s="0" t="n">
        <v>1732543</v>
      </c>
      <c r="L16" s="0" t="n">
        <v>74131</v>
      </c>
      <c r="M16" s="0" t="n">
        <v>1658412</v>
      </c>
      <c r="N16" s="0" t="n">
        <v>7034</v>
      </c>
      <c r="P16" s="0" t="n">
        <v>292323</v>
      </c>
      <c r="Q16" s="0" t="n">
        <v>1526722</v>
      </c>
      <c r="T16" s="0" t="n">
        <v>19.15</v>
      </c>
      <c r="U16" s="0" t="n">
        <v>15</v>
      </c>
      <c r="Y16" s="0" t="s">
        <v>101</v>
      </c>
      <c r="Z16" s="0" t="s">
        <v>102</v>
      </c>
      <c r="AA16" s="0" t="s">
        <v>90</v>
      </c>
    </row>
    <row r="17" customFormat="false" ht="15" hidden="false" customHeight="false" outlineLevel="0" collapsed="false">
      <c r="A17" s="0" t="s">
        <v>86</v>
      </c>
      <c r="B17" s="0" t="n">
        <v>2022</v>
      </c>
      <c r="C17" s="0" t="s">
        <v>84</v>
      </c>
      <c r="D17" s="0" t="s">
        <v>97</v>
      </c>
      <c r="E17" s="0" t="n">
        <v>46724</v>
      </c>
      <c r="F17" s="0" t="n">
        <v>3989009</v>
      </c>
      <c r="G17" s="0" t="n">
        <v>3674649</v>
      </c>
      <c r="H17" s="0" t="n">
        <v>314360</v>
      </c>
      <c r="I17" s="0" t="n">
        <v>297592</v>
      </c>
      <c r="J17" s="0" t="n">
        <v>3280454</v>
      </c>
      <c r="K17" s="0" t="n">
        <v>2196760</v>
      </c>
      <c r="L17" s="0" t="n">
        <v>80548</v>
      </c>
      <c r="M17" s="0" t="n">
        <v>2116212</v>
      </c>
      <c r="N17" s="0" t="n">
        <v>5443</v>
      </c>
      <c r="P17" s="0" t="n">
        <v>289500</v>
      </c>
      <c r="Q17" s="0" t="n">
        <v>1595729</v>
      </c>
      <c r="T17" s="0" t="n">
        <v>18.14</v>
      </c>
      <c r="U17" s="0" t="n">
        <v>15</v>
      </c>
      <c r="X17" s="0" t="n">
        <v>0</v>
      </c>
      <c r="Y17" s="0" t="s">
        <v>101</v>
      </c>
      <c r="Z17" s="0" t="s">
        <v>103</v>
      </c>
      <c r="AA17" s="0" t="s">
        <v>90</v>
      </c>
    </row>
    <row r="18" customFormat="false" ht="15" hidden="false" customHeight="false" outlineLevel="0" collapsed="false">
      <c r="A18" s="0" t="s">
        <v>104</v>
      </c>
      <c r="B18" s="0" t="n">
        <v>2013</v>
      </c>
      <c r="C18" s="0" t="s">
        <v>78</v>
      </c>
      <c r="D18" s="0" t="s">
        <v>79</v>
      </c>
      <c r="E18" s="0" t="n">
        <v>59365</v>
      </c>
      <c r="F18" s="0" t="n">
        <v>3246579</v>
      </c>
      <c r="G18" s="0" t="n">
        <v>2895870</v>
      </c>
      <c r="H18" s="0" t="n">
        <v>350709</v>
      </c>
      <c r="I18" s="0" t="n">
        <v>179950</v>
      </c>
      <c r="K18" s="0" t="n">
        <v>1515288</v>
      </c>
      <c r="L18" s="0" t="n">
        <v>41449</v>
      </c>
      <c r="N18" s="0" t="n">
        <v>19838</v>
      </c>
      <c r="T18" s="0" t="n">
        <v>13.54</v>
      </c>
      <c r="Y18" s="0" t="s">
        <v>105</v>
      </c>
      <c r="Z18" s="0" t="s">
        <v>81</v>
      </c>
      <c r="AA18" s="0" t="s">
        <v>82</v>
      </c>
    </row>
    <row r="19" customFormat="false" ht="15" hidden="false" customHeight="false" outlineLevel="0" collapsed="false">
      <c r="A19" s="0" t="s">
        <v>104</v>
      </c>
      <c r="B19" s="0" t="n">
        <v>2014</v>
      </c>
      <c r="C19" s="0" t="s">
        <v>78</v>
      </c>
      <c r="D19" s="0" t="s">
        <v>79</v>
      </c>
      <c r="E19" s="0" t="n">
        <v>79351</v>
      </c>
      <c r="F19" s="0" t="n">
        <v>3490871</v>
      </c>
      <c r="G19" s="0" t="n">
        <v>3067824</v>
      </c>
      <c r="H19" s="0" t="n">
        <v>423047</v>
      </c>
      <c r="I19" s="0" t="n">
        <v>-506665</v>
      </c>
      <c r="J19" s="0" t="n">
        <v>3246579</v>
      </c>
      <c r="K19" s="0" t="n">
        <v>1832107</v>
      </c>
      <c r="L19" s="0" t="n">
        <v>38070</v>
      </c>
      <c r="N19" s="0" t="n">
        <v>20924</v>
      </c>
      <c r="T19" s="0" t="n">
        <v>15.78</v>
      </c>
      <c r="Y19" s="0" t="s">
        <v>105</v>
      </c>
      <c r="Z19" s="0" t="s">
        <v>81</v>
      </c>
      <c r="AA19" s="0" t="s">
        <v>82</v>
      </c>
    </row>
    <row r="20" customFormat="false" ht="15" hidden="false" customHeight="false" outlineLevel="0" collapsed="false">
      <c r="A20" s="0" t="s">
        <v>104</v>
      </c>
      <c r="B20" s="0" t="n">
        <v>2016</v>
      </c>
      <c r="C20" s="0" t="s">
        <v>78</v>
      </c>
      <c r="D20" s="0" t="s">
        <v>79</v>
      </c>
      <c r="E20" s="0" t="n">
        <v>50072</v>
      </c>
      <c r="F20" s="0" t="n">
        <v>3557782</v>
      </c>
      <c r="G20" s="0" t="n">
        <v>3071695</v>
      </c>
      <c r="H20" s="0" t="n">
        <v>486087</v>
      </c>
      <c r="I20" s="0" t="n">
        <v>-171230</v>
      </c>
      <c r="K20" s="0" t="n">
        <v>1933407</v>
      </c>
      <c r="L20" s="0" t="n">
        <v>240695</v>
      </c>
      <c r="M20" s="0" t="n">
        <v>1692712</v>
      </c>
      <c r="P20" s="0" t="n">
        <v>501256</v>
      </c>
      <c r="Q20" s="0" t="n">
        <v>2818158</v>
      </c>
      <c r="T20" s="0" t="n">
        <v>17.79</v>
      </c>
      <c r="U20" s="0" t="n">
        <v>15</v>
      </c>
      <c r="Y20" s="0" t="s">
        <v>106</v>
      </c>
      <c r="Z20" s="0" t="s">
        <v>107</v>
      </c>
      <c r="AA20" s="0" t="s">
        <v>90</v>
      </c>
    </row>
    <row r="21" customFormat="false" ht="15" hidden="false" customHeight="false" outlineLevel="0" collapsed="false">
      <c r="A21" s="0" t="s">
        <v>104</v>
      </c>
      <c r="B21" s="0" t="n">
        <v>2017</v>
      </c>
      <c r="C21" s="0" t="s">
        <v>78</v>
      </c>
      <c r="D21" s="0" t="s">
        <v>79</v>
      </c>
      <c r="E21" s="0" t="n">
        <v>46918</v>
      </c>
      <c r="F21" s="0" t="n">
        <v>3777039</v>
      </c>
      <c r="G21" s="0" t="n">
        <v>3197196</v>
      </c>
      <c r="H21" s="0" t="n">
        <v>579843</v>
      </c>
      <c r="I21" s="0" t="n">
        <v>113212</v>
      </c>
      <c r="J21" s="0" t="n">
        <v>3557782</v>
      </c>
      <c r="K21" s="0" t="n">
        <v>1837515</v>
      </c>
      <c r="L21" s="0" t="n">
        <v>178719</v>
      </c>
      <c r="M21" s="0" t="n">
        <v>1658796</v>
      </c>
      <c r="P21" s="0" t="n">
        <v>535692</v>
      </c>
      <c r="Q21" s="0" t="n">
        <v>3019880</v>
      </c>
      <c r="T21" s="0" t="n">
        <v>17.74</v>
      </c>
      <c r="U21" s="0" t="n">
        <v>15</v>
      </c>
      <c r="Y21" s="0" t="s">
        <v>106</v>
      </c>
      <c r="Z21" s="0" t="s">
        <v>108</v>
      </c>
      <c r="AA21" s="0" t="s">
        <v>90</v>
      </c>
    </row>
    <row r="22" customFormat="false" ht="15" hidden="false" customHeight="false" outlineLevel="0" collapsed="false">
      <c r="A22" s="0" t="s">
        <v>109</v>
      </c>
      <c r="B22" s="0" t="n">
        <v>2013</v>
      </c>
      <c r="C22" s="0" t="s">
        <v>78</v>
      </c>
      <c r="D22" s="0" t="s">
        <v>79</v>
      </c>
      <c r="E22" s="0" t="n">
        <v>85546</v>
      </c>
      <c r="F22" s="0" t="n">
        <v>1904366</v>
      </c>
      <c r="G22" s="0" t="n">
        <v>1574719</v>
      </c>
      <c r="H22" s="0" t="n">
        <v>329647</v>
      </c>
      <c r="O22" s="0" t="n">
        <v>27707</v>
      </c>
      <c r="Y22" s="0" t="s">
        <v>110</v>
      </c>
      <c r="Z22" s="0" t="s">
        <v>81</v>
      </c>
      <c r="AA22" s="0" t="s">
        <v>82</v>
      </c>
    </row>
    <row r="23" customFormat="false" ht="15" hidden="false" customHeight="false" outlineLevel="0" collapsed="false">
      <c r="A23" s="0" t="s">
        <v>109</v>
      </c>
      <c r="B23" s="0" t="n">
        <v>2014</v>
      </c>
      <c r="C23" s="0" t="s">
        <v>78</v>
      </c>
      <c r="D23" s="0" t="s">
        <v>79</v>
      </c>
      <c r="E23" s="0" t="n">
        <v>93432</v>
      </c>
      <c r="F23" s="0" t="n">
        <v>2126608</v>
      </c>
      <c r="G23" s="0" t="n">
        <v>1757078</v>
      </c>
      <c r="H23" s="0" t="n">
        <v>369530</v>
      </c>
      <c r="J23" s="0" t="n">
        <v>1904366</v>
      </c>
      <c r="O23" s="0" t="n">
        <v>32616</v>
      </c>
      <c r="Y23" s="0" t="s">
        <v>110</v>
      </c>
      <c r="Z23" s="0" t="s">
        <v>81</v>
      </c>
      <c r="AA23" s="0" t="s">
        <v>82</v>
      </c>
    </row>
    <row r="24" customFormat="false" ht="15" hidden="false" customHeight="false" outlineLevel="0" collapsed="false">
      <c r="A24" s="0" t="s">
        <v>109</v>
      </c>
      <c r="B24" s="0" t="n">
        <v>2017</v>
      </c>
      <c r="C24" s="0" t="s">
        <v>78</v>
      </c>
      <c r="D24" s="0" t="s">
        <v>79</v>
      </c>
      <c r="E24" s="0" t="n">
        <v>158727.705</v>
      </c>
      <c r="F24" s="0" t="n">
        <v>2824928.985</v>
      </c>
      <c r="G24" s="0" t="n">
        <v>2246352.209</v>
      </c>
      <c r="H24" s="0" t="n">
        <v>578576.776</v>
      </c>
      <c r="I24" s="0" t="n">
        <v>353397.327</v>
      </c>
      <c r="J24" s="0" t="n">
        <v>2613340.074</v>
      </c>
      <c r="K24" s="0" t="n">
        <v>1326250.395</v>
      </c>
      <c r="L24" s="0" t="n">
        <v>60278.707</v>
      </c>
      <c r="M24" s="0" t="n">
        <v>1265971.688</v>
      </c>
      <c r="N24" s="0" t="n">
        <v>11531.292</v>
      </c>
      <c r="Y24" s="0" t="s">
        <v>111</v>
      </c>
      <c r="Z24" s="0" t="s">
        <v>112</v>
      </c>
      <c r="AA24" s="0" t="s">
        <v>90</v>
      </c>
    </row>
    <row r="25" customFormat="false" ht="15" hidden="false" customHeight="false" outlineLevel="0" collapsed="false">
      <c r="A25" s="0" t="s">
        <v>109</v>
      </c>
      <c r="B25" s="0" t="n">
        <v>2018</v>
      </c>
      <c r="C25" s="0" t="s">
        <v>78</v>
      </c>
      <c r="D25" s="0" t="s">
        <v>97</v>
      </c>
      <c r="E25" s="0" t="n">
        <v>166919.765</v>
      </c>
      <c r="F25" s="0" t="n">
        <v>2712521.494</v>
      </c>
      <c r="G25" s="0" t="n">
        <v>2200679.235</v>
      </c>
      <c r="H25" s="0" t="n">
        <v>511842.259</v>
      </c>
      <c r="I25" s="0" t="n">
        <v>224625.664</v>
      </c>
      <c r="J25" s="0" t="n">
        <v>2824928.985</v>
      </c>
      <c r="K25" s="0" t="n">
        <v>1158980.803</v>
      </c>
      <c r="L25" s="0" t="n">
        <v>90981.784</v>
      </c>
      <c r="M25" s="0" t="n">
        <v>1067999.019</v>
      </c>
      <c r="N25" s="0" t="n">
        <v>1384.004</v>
      </c>
      <c r="S25" s="0" t="n">
        <v>74667.995</v>
      </c>
      <c r="X25" s="0" t="n">
        <v>0</v>
      </c>
      <c r="Y25" s="0" t="s">
        <v>111</v>
      </c>
      <c r="Z25" s="0" t="s">
        <v>113</v>
      </c>
      <c r="AA25" s="0" t="s">
        <v>90</v>
      </c>
    </row>
    <row r="26" customFormat="false" ht="15" hidden="false" customHeight="false" outlineLevel="0" collapsed="false">
      <c r="A26" s="0" t="s">
        <v>109</v>
      </c>
      <c r="B26" s="0" t="n">
        <v>2019</v>
      </c>
      <c r="C26" s="0" t="s">
        <v>78</v>
      </c>
      <c r="D26" s="0" t="s">
        <v>97</v>
      </c>
      <c r="E26" s="0" t="n">
        <v>175125.281</v>
      </c>
      <c r="F26" s="0" t="n">
        <v>3097248.495</v>
      </c>
      <c r="G26" s="0" t="n">
        <v>2491358.899</v>
      </c>
      <c r="H26" s="0" t="n">
        <v>605889.596</v>
      </c>
      <c r="I26" s="0" t="n">
        <v>197853.667</v>
      </c>
      <c r="J26" s="0" t="n">
        <v>2712521.494</v>
      </c>
      <c r="K26" s="0" t="n">
        <v>1357066.246</v>
      </c>
      <c r="L26" s="0" t="n">
        <v>56245.599</v>
      </c>
      <c r="M26" s="0" t="n">
        <v>1300820.647</v>
      </c>
      <c r="N26" s="0" t="n">
        <v>1859.247</v>
      </c>
      <c r="P26" s="0" t="n">
        <v>418652.17</v>
      </c>
      <c r="Q26" s="0" t="n">
        <v>2026402.562</v>
      </c>
      <c r="S26" s="0" t="n">
        <v>45503.961</v>
      </c>
      <c r="T26" s="0" t="n">
        <v>20.66</v>
      </c>
      <c r="X26" s="0" t="n">
        <v>0</v>
      </c>
      <c r="Y26" s="0" t="s">
        <v>114</v>
      </c>
      <c r="Z26" s="0" t="s">
        <v>115</v>
      </c>
      <c r="AA26" s="0" t="s">
        <v>90</v>
      </c>
    </row>
    <row r="27" customFormat="false" ht="15" hidden="false" customHeight="false" outlineLevel="0" collapsed="false">
      <c r="A27" s="0" t="s">
        <v>116</v>
      </c>
      <c r="B27" s="0" t="n">
        <v>2018</v>
      </c>
      <c r="C27" s="0" t="s">
        <v>84</v>
      </c>
      <c r="D27" s="0" t="s">
        <v>97</v>
      </c>
      <c r="E27" s="0" t="n">
        <v>49912</v>
      </c>
      <c r="F27" s="0" t="n">
        <v>1599245</v>
      </c>
      <c r="G27" s="0" t="n">
        <v>1428904</v>
      </c>
      <c r="H27" s="0" t="n">
        <v>170341</v>
      </c>
      <c r="J27" s="0" t="n">
        <v>1332723</v>
      </c>
      <c r="M27" s="0" t="n">
        <v>432713</v>
      </c>
      <c r="N27" s="0" t="n">
        <v>-2988</v>
      </c>
      <c r="X27" s="0" t="n">
        <v>0</v>
      </c>
      <c r="Y27" s="0" t="s">
        <v>117</v>
      </c>
      <c r="Z27" s="0" t="s">
        <v>118</v>
      </c>
      <c r="AA27" s="0" t="s">
        <v>90</v>
      </c>
    </row>
    <row r="28" customFormat="false" ht="15" hidden="false" customHeight="false" outlineLevel="0" collapsed="false">
      <c r="A28" s="0" t="s">
        <v>116</v>
      </c>
      <c r="B28" s="0" t="n">
        <v>2019</v>
      </c>
      <c r="C28" s="0" t="s">
        <v>84</v>
      </c>
      <c r="D28" s="0" t="s">
        <v>97</v>
      </c>
      <c r="E28" s="0" t="n">
        <v>52287</v>
      </c>
      <c r="F28" s="0" t="n">
        <v>1792320</v>
      </c>
      <c r="G28" s="0" t="n">
        <v>1590980</v>
      </c>
      <c r="H28" s="0" t="n">
        <v>201340</v>
      </c>
      <c r="J28" s="0" t="n">
        <v>1599245</v>
      </c>
      <c r="M28" s="0" t="n">
        <v>532124</v>
      </c>
      <c r="N28" s="0" t="n">
        <v>1664</v>
      </c>
      <c r="X28" s="0" t="n">
        <v>0</v>
      </c>
      <c r="Y28" s="0" t="s">
        <v>119</v>
      </c>
      <c r="Z28" s="0" t="s">
        <v>120</v>
      </c>
      <c r="AA28" s="0" t="s">
        <v>90</v>
      </c>
    </row>
    <row r="29" customFormat="false" ht="15" hidden="false" customHeight="false" outlineLevel="0" collapsed="false">
      <c r="A29" s="0" t="s">
        <v>116</v>
      </c>
      <c r="B29" s="0" t="n">
        <v>2020</v>
      </c>
      <c r="C29" s="0" t="s">
        <v>84</v>
      </c>
      <c r="D29" s="0" t="s">
        <v>97</v>
      </c>
      <c r="E29" s="0" t="n">
        <v>59489</v>
      </c>
      <c r="F29" s="0" t="n">
        <v>2370347</v>
      </c>
      <c r="G29" s="0" t="n">
        <v>2128226</v>
      </c>
      <c r="H29" s="0" t="n">
        <v>242121</v>
      </c>
      <c r="I29" s="0" t="n">
        <v>465539</v>
      </c>
      <c r="K29" s="0" t="n">
        <v>655292</v>
      </c>
      <c r="L29" s="0" t="n">
        <v>30153</v>
      </c>
      <c r="M29" s="0" t="n">
        <v>625139</v>
      </c>
      <c r="N29" s="0" t="n">
        <v>10170</v>
      </c>
      <c r="P29" s="0" t="n">
        <v>221408</v>
      </c>
      <c r="Q29" s="0" t="n">
        <v>1140396</v>
      </c>
      <c r="S29" s="0" t="n">
        <v>21963</v>
      </c>
      <c r="T29" s="0" t="n">
        <v>19.4</v>
      </c>
      <c r="Y29" s="0" t="s">
        <v>121</v>
      </c>
      <c r="Z29" s="0" t="s">
        <v>122</v>
      </c>
      <c r="AA29" s="0" t="s">
        <v>90</v>
      </c>
    </row>
    <row r="30" customFormat="false" ht="15" hidden="false" customHeight="false" outlineLevel="0" collapsed="false">
      <c r="A30" s="0" t="s">
        <v>116</v>
      </c>
      <c r="B30" s="0" t="n">
        <v>2021</v>
      </c>
      <c r="C30" s="0" t="s">
        <v>84</v>
      </c>
      <c r="D30" s="0" t="s">
        <v>97</v>
      </c>
      <c r="E30" s="0" t="n">
        <v>29570</v>
      </c>
      <c r="F30" s="0" t="n">
        <v>2614087</v>
      </c>
      <c r="G30" s="0" t="n">
        <v>2362312</v>
      </c>
      <c r="H30" s="0" t="n">
        <v>251775</v>
      </c>
      <c r="I30" s="0" t="n">
        <v>55771</v>
      </c>
      <c r="J30" s="0" t="n">
        <v>2370347</v>
      </c>
      <c r="K30" s="0" t="n">
        <v>946259</v>
      </c>
      <c r="L30" s="0" t="n">
        <v>25215</v>
      </c>
      <c r="M30" s="0" t="n">
        <v>921044</v>
      </c>
      <c r="N30" s="0" t="n">
        <v>-1208</v>
      </c>
      <c r="P30" s="0" t="n">
        <v>226940</v>
      </c>
      <c r="Q30" s="0" t="n">
        <v>1405941</v>
      </c>
      <c r="S30" s="0" t="n">
        <v>15907</v>
      </c>
      <c r="T30" s="0" t="n">
        <v>16.1</v>
      </c>
      <c r="X30" s="0" t="n">
        <v>0</v>
      </c>
      <c r="Y30" s="0" t="s">
        <v>121</v>
      </c>
      <c r="Z30" s="0" t="s">
        <v>123</v>
      </c>
      <c r="AA30" s="0" t="s">
        <v>90</v>
      </c>
    </row>
    <row r="31" customFormat="false" ht="15" hidden="false" customHeight="false" outlineLevel="0" collapsed="false">
      <c r="A31" s="0" t="s">
        <v>116</v>
      </c>
      <c r="B31" s="0" t="n">
        <v>2022</v>
      </c>
      <c r="C31" s="0" t="s">
        <v>84</v>
      </c>
      <c r="D31" s="0" t="s">
        <v>97</v>
      </c>
      <c r="E31" s="0" t="n">
        <v>55150</v>
      </c>
      <c r="F31" s="0" t="n">
        <v>2854509</v>
      </c>
      <c r="G31" s="0" t="n">
        <v>2575402</v>
      </c>
      <c r="H31" s="0" t="n">
        <v>279107</v>
      </c>
      <c r="I31" s="0" t="n">
        <v>-144391</v>
      </c>
      <c r="J31" s="0" t="n">
        <v>2614087</v>
      </c>
      <c r="K31" s="0" t="n">
        <v>1238195</v>
      </c>
      <c r="L31" s="0" t="n">
        <v>33410</v>
      </c>
      <c r="M31" s="0" t="n">
        <v>1204785</v>
      </c>
      <c r="N31" s="0" t="n">
        <v>10147</v>
      </c>
      <c r="P31" s="0" t="n">
        <v>284446</v>
      </c>
      <c r="Q31" s="0" t="n">
        <v>1545117</v>
      </c>
      <c r="S31" s="0" t="n">
        <v>20616</v>
      </c>
      <c r="T31" s="0" t="n">
        <v>18.4</v>
      </c>
      <c r="U31" s="0" t="n">
        <v>10</v>
      </c>
      <c r="X31" s="0" t="n">
        <v>0</v>
      </c>
      <c r="Y31" s="0" t="s">
        <v>124</v>
      </c>
      <c r="Z31" s="0" t="s">
        <v>125</v>
      </c>
      <c r="AA31" s="0" t="s">
        <v>90</v>
      </c>
    </row>
    <row r="32" customFormat="false" ht="15" hidden="false" customHeight="false" outlineLevel="0" collapsed="false">
      <c r="A32" s="0" t="s">
        <v>126</v>
      </c>
      <c r="B32" s="0" t="n">
        <v>2013</v>
      </c>
      <c r="C32" s="0" t="s">
        <v>84</v>
      </c>
      <c r="D32" s="0" t="s">
        <v>79</v>
      </c>
      <c r="E32" s="0" t="n">
        <v>8274.864</v>
      </c>
      <c r="F32" s="0" t="n">
        <v>707797.181</v>
      </c>
      <c r="G32" s="0" t="n">
        <v>644339.285</v>
      </c>
      <c r="H32" s="0" t="n">
        <v>63457.896</v>
      </c>
      <c r="I32" s="0" t="n">
        <v>-41953.972</v>
      </c>
      <c r="K32" s="0" t="n">
        <v>328664.904</v>
      </c>
      <c r="L32" s="0" t="n">
        <v>6921.156</v>
      </c>
      <c r="N32" s="0" t="n">
        <v>8259.094</v>
      </c>
      <c r="T32" s="0" t="n">
        <v>14</v>
      </c>
      <c r="Y32" s="0" t="s">
        <v>127</v>
      </c>
      <c r="Z32" s="0" t="s">
        <v>81</v>
      </c>
      <c r="AA32" s="0" t="s">
        <v>82</v>
      </c>
    </row>
    <row r="33" customFormat="false" ht="15" hidden="false" customHeight="false" outlineLevel="0" collapsed="false">
      <c r="A33" s="0" t="s">
        <v>126</v>
      </c>
      <c r="B33" s="0" t="n">
        <v>2014</v>
      </c>
      <c r="C33" s="0" t="s">
        <v>84</v>
      </c>
      <c r="D33" s="0" t="s">
        <v>79</v>
      </c>
      <c r="E33" s="0" t="n">
        <v>9004.973</v>
      </c>
      <c r="F33" s="0" t="n">
        <v>824539.426</v>
      </c>
      <c r="G33" s="0" t="n">
        <v>739824.141</v>
      </c>
      <c r="H33" s="0" t="n">
        <v>84715.285</v>
      </c>
      <c r="I33" s="0" t="n">
        <v>-755.006</v>
      </c>
      <c r="J33" s="0" t="n">
        <v>707797.181</v>
      </c>
      <c r="K33" s="0" t="n">
        <v>380924.4</v>
      </c>
      <c r="L33" s="0" t="n">
        <v>9678.127</v>
      </c>
      <c r="N33" s="0" t="n">
        <v>7389.159</v>
      </c>
      <c r="T33" s="0" t="n">
        <v>14</v>
      </c>
      <c r="V33" s="0" t="n">
        <v>34</v>
      </c>
      <c r="W33" s="0" t="n">
        <v>1</v>
      </c>
      <c r="X33" s="0" t="n">
        <v>0</v>
      </c>
      <c r="Y33" s="0" t="s">
        <v>127</v>
      </c>
      <c r="Z33" s="0" t="s">
        <v>81</v>
      </c>
      <c r="AA33" s="0" t="s">
        <v>82</v>
      </c>
    </row>
    <row r="34" customFormat="false" ht="15" hidden="false" customHeight="false" outlineLevel="0" collapsed="false">
      <c r="A34" s="0" t="s">
        <v>126</v>
      </c>
      <c r="B34" s="0" t="n">
        <v>2018</v>
      </c>
      <c r="C34" s="0" t="s">
        <v>84</v>
      </c>
      <c r="D34" s="0" t="s">
        <v>97</v>
      </c>
      <c r="E34" s="0" t="n">
        <v>9468</v>
      </c>
      <c r="F34" s="0" t="n">
        <v>1085876</v>
      </c>
      <c r="G34" s="0" t="n">
        <v>987867</v>
      </c>
      <c r="H34" s="0" t="n">
        <v>98009</v>
      </c>
      <c r="I34" s="0" t="n">
        <v>35086</v>
      </c>
      <c r="K34" s="0" t="n">
        <v>640678</v>
      </c>
      <c r="L34" s="0" t="n">
        <v>19661</v>
      </c>
      <c r="N34" s="0" t="n">
        <v>5832</v>
      </c>
      <c r="T34" s="0" t="n">
        <v>12.86</v>
      </c>
      <c r="U34" s="0" t="n">
        <v>10</v>
      </c>
      <c r="Y34" s="0" t="s">
        <v>128</v>
      </c>
      <c r="Z34" s="0" t="s">
        <v>81</v>
      </c>
      <c r="AA34" s="0" t="s">
        <v>82</v>
      </c>
    </row>
    <row r="35" customFormat="false" ht="15" hidden="false" customHeight="false" outlineLevel="0" collapsed="false">
      <c r="A35" s="0" t="s">
        <v>126</v>
      </c>
      <c r="B35" s="0" t="n">
        <v>2019</v>
      </c>
      <c r="C35" s="0" t="s">
        <v>84</v>
      </c>
      <c r="D35" s="0" t="s">
        <v>97</v>
      </c>
      <c r="E35" s="0" t="n">
        <v>10163</v>
      </c>
      <c r="F35" s="0" t="n">
        <v>1165509</v>
      </c>
      <c r="G35" s="0" t="n">
        <v>1046181</v>
      </c>
      <c r="H35" s="0" t="n">
        <v>119328</v>
      </c>
      <c r="I35" s="0" t="n">
        <v>114414</v>
      </c>
      <c r="J35" s="0" t="n">
        <v>1085876</v>
      </c>
      <c r="K35" s="0" t="n">
        <v>631698</v>
      </c>
      <c r="L35" s="0" t="n">
        <v>12966</v>
      </c>
      <c r="N35" s="0" t="n">
        <v>5842</v>
      </c>
      <c r="T35" s="0" t="n">
        <v>14.7</v>
      </c>
      <c r="U35" s="0" t="n">
        <v>10</v>
      </c>
      <c r="X35" s="0" t="n">
        <v>0</v>
      </c>
      <c r="Y35" s="0" t="s">
        <v>128</v>
      </c>
      <c r="Z35" s="0" t="s">
        <v>81</v>
      </c>
      <c r="AA35" s="0" t="s">
        <v>82</v>
      </c>
    </row>
    <row r="36" customFormat="false" ht="15" hidden="false" customHeight="false" outlineLevel="0" collapsed="false">
      <c r="A36" s="0" t="s">
        <v>129</v>
      </c>
      <c r="B36" s="0" t="n">
        <v>2013</v>
      </c>
      <c r="C36" s="0" t="s">
        <v>78</v>
      </c>
      <c r="D36" s="0" t="s">
        <v>79</v>
      </c>
      <c r="E36" s="0" t="n">
        <v>46483</v>
      </c>
      <c r="F36" s="0" t="n">
        <v>2217417</v>
      </c>
      <c r="G36" s="0" t="n">
        <v>1957879</v>
      </c>
      <c r="H36" s="0" t="n">
        <v>259538</v>
      </c>
      <c r="I36" s="0" t="n">
        <v>-136104</v>
      </c>
      <c r="K36" s="0" t="n">
        <v>805259</v>
      </c>
      <c r="L36" s="0" t="n">
        <v>8317</v>
      </c>
      <c r="N36" s="0" t="n">
        <v>181</v>
      </c>
      <c r="T36" s="0" t="n">
        <v>20</v>
      </c>
      <c r="Y36" s="0" t="s">
        <v>130</v>
      </c>
      <c r="Z36" s="0" t="s">
        <v>81</v>
      </c>
      <c r="AA36" s="0" t="s">
        <v>82</v>
      </c>
    </row>
    <row r="37" customFormat="false" ht="15" hidden="false" customHeight="false" outlineLevel="0" collapsed="false">
      <c r="A37" s="0" t="s">
        <v>129</v>
      </c>
      <c r="B37" s="0" t="n">
        <v>2014</v>
      </c>
      <c r="C37" s="0" t="s">
        <v>78</v>
      </c>
      <c r="D37" s="0" t="s">
        <v>79</v>
      </c>
      <c r="E37" s="0" t="n">
        <v>40083</v>
      </c>
      <c r="F37" s="0" t="n">
        <v>2338858</v>
      </c>
      <c r="G37" s="0" t="n">
        <v>2056925</v>
      </c>
      <c r="H37" s="0" t="n">
        <v>281933</v>
      </c>
      <c r="I37" s="0" t="n">
        <v>-92619</v>
      </c>
      <c r="J37" s="0" t="n">
        <v>2217417</v>
      </c>
      <c r="K37" s="0" t="n">
        <v>895109</v>
      </c>
      <c r="L37" s="0" t="n">
        <v>10522</v>
      </c>
      <c r="N37" s="0" t="n">
        <v>3073</v>
      </c>
      <c r="T37" s="0" t="n">
        <v>17</v>
      </c>
      <c r="Y37" s="0" t="s">
        <v>130</v>
      </c>
      <c r="Z37" s="0" t="s">
        <v>81</v>
      </c>
      <c r="AA37" s="0" t="s">
        <v>82</v>
      </c>
    </row>
    <row r="38" customFormat="false" ht="15" hidden="false" customHeight="false" outlineLevel="0" collapsed="false">
      <c r="A38" s="0" t="s">
        <v>129</v>
      </c>
      <c r="B38" s="0" t="n">
        <v>2015</v>
      </c>
      <c r="C38" s="0" t="s">
        <v>78</v>
      </c>
      <c r="D38" s="0" t="s">
        <v>79</v>
      </c>
      <c r="E38" s="0" t="n">
        <v>47642</v>
      </c>
      <c r="F38" s="0" t="n">
        <v>2216337</v>
      </c>
      <c r="G38" s="0" t="n">
        <v>1878106</v>
      </c>
      <c r="H38" s="0" t="n">
        <v>338231</v>
      </c>
      <c r="I38" s="0" t="n">
        <v>58408</v>
      </c>
      <c r="J38" s="0" t="n">
        <v>2338858</v>
      </c>
      <c r="K38" s="0" t="n">
        <v>835737</v>
      </c>
      <c r="L38" s="0" t="n">
        <v>13043</v>
      </c>
      <c r="M38" s="0" t="n">
        <v>822694</v>
      </c>
      <c r="N38" s="0" t="n">
        <v>3491</v>
      </c>
      <c r="P38" s="0" t="n">
        <v>241091</v>
      </c>
      <c r="Q38" s="0" t="n">
        <v>1208372</v>
      </c>
      <c r="T38" s="0" t="n">
        <v>20</v>
      </c>
      <c r="V38" s="0" t="n">
        <v>52.57</v>
      </c>
      <c r="W38" s="0" t="n">
        <v>1</v>
      </c>
      <c r="Y38" s="0" t="s">
        <v>131</v>
      </c>
      <c r="Z38" s="0" t="s">
        <v>132</v>
      </c>
      <c r="AA38" s="0" t="s">
        <v>133</v>
      </c>
    </row>
    <row r="39" customFormat="false" ht="15" hidden="false" customHeight="false" outlineLevel="0" collapsed="false">
      <c r="A39" s="0" t="s">
        <v>129</v>
      </c>
      <c r="B39" s="0" t="n">
        <v>2016</v>
      </c>
      <c r="C39" s="0" t="s">
        <v>78</v>
      </c>
      <c r="D39" s="0" t="s">
        <v>79</v>
      </c>
      <c r="E39" s="0" t="n">
        <v>47541</v>
      </c>
      <c r="F39" s="0" t="n">
        <v>2539585</v>
      </c>
      <c r="G39" s="0" t="n">
        <v>2148685</v>
      </c>
      <c r="H39" s="0" t="n">
        <v>390900</v>
      </c>
      <c r="I39" s="0" t="n">
        <v>-213392</v>
      </c>
      <c r="J39" s="0" t="n">
        <v>2216337</v>
      </c>
      <c r="K39" s="0" t="n">
        <v>1120096</v>
      </c>
      <c r="L39" s="0" t="n">
        <v>29741</v>
      </c>
      <c r="M39" s="0" t="n">
        <v>1090355</v>
      </c>
      <c r="N39" s="0" t="n">
        <v>25521</v>
      </c>
      <c r="P39" s="0" t="n">
        <v>262423</v>
      </c>
      <c r="Q39" s="0" t="n">
        <v>1331901</v>
      </c>
      <c r="T39" s="0" t="n">
        <v>20</v>
      </c>
      <c r="U39" s="0" t="n">
        <v>15</v>
      </c>
      <c r="V39" s="0" t="n">
        <v>38.57</v>
      </c>
      <c r="W39" s="0" t="n">
        <v>1</v>
      </c>
      <c r="Y39" s="0" t="s">
        <v>131</v>
      </c>
      <c r="Z39" s="0" t="s">
        <v>134</v>
      </c>
      <c r="AA39" s="0" t="s">
        <v>133</v>
      </c>
    </row>
    <row r="40" customFormat="false" ht="15" hidden="false" customHeight="false" outlineLevel="0" collapsed="false">
      <c r="A40" s="0" t="s">
        <v>129</v>
      </c>
      <c r="B40" s="0" t="n">
        <v>2017</v>
      </c>
      <c r="C40" s="0" t="s">
        <v>78</v>
      </c>
      <c r="D40" s="0" t="s">
        <v>79</v>
      </c>
      <c r="E40" s="0" t="n">
        <v>41396</v>
      </c>
      <c r="F40" s="0" t="n">
        <v>2931826</v>
      </c>
      <c r="G40" s="0" t="n">
        <v>2530966</v>
      </c>
      <c r="H40" s="0" t="n">
        <v>400860</v>
      </c>
      <c r="I40" s="0" t="n">
        <v>59151</v>
      </c>
      <c r="J40" s="0" t="n">
        <v>2539585</v>
      </c>
      <c r="K40" s="0" t="n">
        <v>1204426</v>
      </c>
      <c r="L40" s="0" t="n">
        <v>31212</v>
      </c>
      <c r="M40" s="0" t="n">
        <v>1173214</v>
      </c>
      <c r="N40" s="0" t="n">
        <v>30433</v>
      </c>
      <c r="P40" s="0" t="n">
        <v>255027</v>
      </c>
      <c r="Q40" s="0" t="n">
        <v>1265087</v>
      </c>
      <c r="T40" s="0" t="n">
        <v>20</v>
      </c>
      <c r="V40" s="0" t="n">
        <v>49.69</v>
      </c>
      <c r="W40" s="0" t="n">
        <v>1</v>
      </c>
      <c r="Y40" s="0" t="s">
        <v>135</v>
      </c>
      <c r="Z40" s="0" t="s">
        <v>81</v>
      </c>
      <c r="AA40" s="0" t="s">
        <v>82</v>
      </c>
    </row>
    <row r="41" customFormat="false" ht="15" hidden="false" customHeight="false" outlineLevel="0" collapsed="false">
      <c r="A41" s="0" t="s">
        <v>129</v>
      </c>
      <c r="B41" s="0" t="n">
        <v>2018</v>
      </c>
      <c r="C41" s="0" t="s">
        <v>78</v>
      </c>
      <c r="D41" s="0" t="s">
        <v>97</v>
      </c>
      <c r="E41" s="0" t="n">
        <v>41047</v>
      </c>
      <c r="F41" s="0" t="n">
        <v>3591305</v>
      </c>
      <c r="G41" s="0" t="n">
        <v>3226707</v>
      </c>
      <c r="H41" s="0" t="n">
        <v>364598</v>
      </c>
      <c r="I41" s="0" t="n">
        <v>488626</v>
      </c>
      <c r="J41" s="0" t="n">
        <v>2931826</v>
      </c>
      <c r="K41" s="0" t="n">
        <v>1274112</v>
      </c>
      <c r="L41" s="0" t="n">
        <v>60311</v>
      </c>
      <c r="M41" s="0" t="n">
        <v>1213801</v>
      </c>
      <c r="N41" s="0" t="n">
        <v>4257</v>
      </c>
      <c r="P41" s="0" t="n">
        <v>245482</v>
      </c>
      <c r="Q41" s="0" t="n">
        <v>1248509</v>
      </c>
      <c r="S41" s="0" t="n">
        <v>36951</v>
      </c>
      <c r="T41" s="0" t="n">
        <v>20</v>
      </c>
      <c r="U41" s="0" t="n">
        <v>16</v>
      </c>
      <c r="V41" s="0" t="n">
        <v>55.84</v>
      </c>
      <c r="W41" s="0" t="n">
        <v>1</v>
      </c>
      <c r="Y41" s="0" t="s">
        <v>135</v>
      </c>
      <c r="Z41" s="0" t="s">
        <v>81</v>
      </c>
      <c r="AA41" s="0" t="s">
        <v>82</v>
      </c>
    </row>
    <row r="42" customFormat="false" ht="15" hidden="false" customHeight="false" outlineLevel="0" collapsed="false">
      <c r="A42" s="0" t="s">
        <v>129</v>
      </c>
      <c r="B42" s="0" t="n">
        <v>2019</v>
      </c>
      <c r="C42" s="0" t="s">
        <v>78</v>
      </c>
      <c r="D42" s="0" t="s">
        <v>97</v>
      </c>
      <c r="E42" s="0" t="n">
        <v>62750</v>
      </c>
      <c r="F42" s="0" t="n">
        <v>4136493</v>
      </c>
      <c r="G42" s="0" t="n">
        <v>3689971</v>
      </c>
      <c r="H42" s="0" t="n">
        <v>446522</v>
      </c>
      <c r="I42" s="0" t="n">
        <v>-317453</v>
      </c>
      <c r="J42" s="0" t="n">
        <v>3591305</v>
      </c>
      <c r="K42" s="0" t="n">
        <v>1557358</v>
      </c>
      <c r="L42" s="0" t="n">
        <v>53978</v>
      </c>
      <c r="M42" s="0" t="n">
        <v>1503380</v>
      </c>
      <c r="N42" s="0" t="n">
        <v>16369</v>
      </c>
      <c r="P42" s="0" t="n">
        <v>285664</v>
      </c>
      <c r="Q42" s="0" t="n">
        <v>1328231</v>
      </c>
      <c r="S42" s="0" t="n">
        <v>21215</v>
      </c>
      <c r="T42" s="0" t="n">
        <v>22</v>
      </c>
      <c r="V42" s="0" t="n">
        <v>43.99</v>
      </c>
      <c r="W42" s="0" t="n">
        <v>1</v>
      </c>
      <c r="Y42" s="0" t="s">
        <v>136</v>
      </c>
      <c r="Z42" s="0" t="s">
        <v>81</v>
      </c>
      <c r="AA42" s="0" t="s">
        <v>82</v>
      </c>
    </row>
    <row r="43" customFormat="false" ht="15" hidden="false" customHeight="false" outlineLevel="0" collapsed="false">
      <c r="A43" s="0" t="s">
        <v>129</v>
      </c>
      <c r="B43" s="0" t="n">
        <v>2020</v>
      </c>
      <c r="C43" s="0" t="s">
        <v>78</v>
      </c>
      <c r="D43" s="0" t="s">
        <v>97</v>
      </c>
      <c r="E43" s="0" t="n">
        <v>56911</v>
      </c>
      <c r="F43" s="0" t="n">
        <v>5207833</v>
      </c>
      <c r="G43" s="0" t="n">
        <v>4729893</v>
      </c>
      <c r="H43" s="0" t="n">
        <v>477940</v>
      </c>
      <c r="I43" s="0" t="n">
        <v>735114</v>
      </c>
      <c r="J43" s="0" t="n">
        <v>4136493</v>
      </c>
      <c r="K43" s="0" t="n">
        <v>1874858</v>
      </c>
      <c r="L43" s="0" t="n">
        <v>62322</v>
      </c>
      <c r="M43" s="0" t="n">
        <v>1812536</v>
      </c>
      <c r="N43" s="0" t="n">
        <v>21864</v>
      </c>
      <c r="P43" s="0" t="n">
        <v>276315</v>
      </c>
      <c r="Q43" s="0" t="n">
        <v>1402955</v>
      </c>
      <c r="S43" s="0" t="n">
        <v>21933</v>
      </c>
      <c r="T43" s="0" t="n">
        <v>20</v>
      </c>
      <c r="U43" s="0" t="n">
        <v>15</v>
      </c>
      <c r="V43" s="0" t="n">
        <v>44.3</v>
      </c>
      <c r="W43" s="0" t="n">
        <v>1</v>
      </c>
      <c r="Y43" s="0" t="s">
        <v>136</v>
      </c>
      <c r="Z43" s="0" t="s">
        <v>81</v>
      </c>
      <c r="AA43" s="0" t="s">
        <v>82</v>
      </c>
    </row>
    <row r="44" customFormat="false" ht="15" hidden="false" customHeight="false" outlineLevel="0" collapsed="false">
      <c r="A44" s="0" t="s">
        <v>129</v>
      </c>
      <c r="B44" s="0" t="n">
        <v>2021</v>
      </c>
      <c r="C44" s="0" t="s">
        <v>78</v>
      </c>
      <c r="D44" s="0" t="s">
        <v>97</v>
      </c>
      <c r="E44" s="0" t="n">
        <v>58669</v>
      </c>
      <c r="F44" s="0" t="n">
        <v>5574976</v>
      </c>
      <c r="G44" s="0" t="n">
        <v>5073375</v>
      </c>
      <c r="H44" s="0" t="n">
        <v>501601</v>
      </c>
      <c r="I44" s="0" t="n">
        <v>671619</v>
      </c>
      <c r="J44" s="0" t="n">
        <v>5207833</v>
      </c>
      <c r="K44" s="0" t="n">
        <v>1913403</v>
      </c>
      <c r="L44" s="0" t="n">
        <v>65301</v>
      </c>
      <c r="M44" s="0" t="n">
        <v>1848102</v>
      </c>
      <c r="N44" s="0" t="n">
        <v>9749</v>
      </c>
      <c r="P44" s="0" t="n">
        <v>336784</v>
      </c>
      <c r="Q44" s="0" t="n">
        <v>1543338</v>
      </c>
      <c r="T44" s="0" t="n">
        <v>21.8</v>
      </c>
      <c r="V44" s="0" t="n">
        <v>47.56</v>
      </c>
      <c r="W44" s="0" t="n">
        <v>1</v>
      </c>
      <c r="Y44" s="0" t="s">
        <v>137</v>
      </c>
      <c r="Z44" s="0" t="s">
        <v>81</v>
      </c>
      <c r="AA44" s="0" t="s">
        <v>82</v>
      </c>
    </row>
    <row r="45" customFormat="false" ht="15" hidden="false" customHeight="false" outlineLevel="0" collapsed="false">
      <c r="A45" s="0" t="s">
        <v>129</v>
      </c>
      <c r="B45" s="0" t="n">
        <v>2022</v>
      </c>
      <c r="C45" s="0" t="s">
        <v>78</v>
      </c>
      <c r="D45" s="0" t="s">
        <v>97</v>
      </c>
      <c r="E45" s="0" t="n">
        <v>133696</v>
      </c>
      <c r="F45" s="0" t="n">
        <v>7361044</v>
      </c>
      <c r="G45" s="0" t="n">
        <v>6775851</v>
      </c>
      <c r="H45" s="0" t="n">
        <v>585193</v>
      </c>
      <c r="I45" s="0" t="n">
        <v>1063228</v>
      </c>
      <c r="J45" s="0" t="n">
        <v>5574976</v>
      </c>
      <c r="K45" s="0" t="n">
        <v>2174779</v>
      </c>
      <c r="L45" s="0" t="n">
        <v>51682</v>
      </c>
      <c r="M45" s="0" t="n">
        <v>2123097</v>
      </c>
      <c r="N45" s="0" t="n">
        <v>10565</v>
      </c>
      <c r="P45" s="0" t="n">
        <v>369520</v>
      </c>
      <c r="Q45" s="0" t="n">
        <v>1690930</v>
      </c>
      <c r="T45" s="0" t="n">
        <v>21.9</v>
      </c>
      <c r="U45" s="0" t="n">
        <v>17</v>
      </c>
      <c r="V45" s="0" t="n">
        <v>59.03</v>
      </c>
      <c r="W45" s="0" t="n">
        <v>0</v>
      </c>
      <c r="Y45" s="0" t="s">
        <v>137</v>
      </c>
      <c r="Z45" s="0" t="s">
        <v>81</v>
      </c>
      <c r="AA45" s="0" t="s">
        <v>82</v>
      </c>
    </row>
    <row r="46" customFormat="false" ht="15" hidden="false" customHeight="false" outlineLevel="0" collapsed="false">
      <c r="A46" s="0" t="s">
        <v>138</v>
      </c>
      <c r="B46" s="0" t="n">
        <v>2013</v>
      </c>
      <c r="C46" s="0" t="s">
        <v>84</v>
      </c>
      <c r="D46" s="0" t="s">
        <v>79</v>
      </c>
      <c r="E46" s="0" t="n">
        <v>5121</v>
      </c>
      <c r="F46" s="0" t="n">
        <v>882097</v>
      </c>
      <c r="G46" s="0" t="n">
        <v>694313</v>
      </c>
      <c r="H46" s="0" t="n">
        <v>187784</v>
      </c>
      <c r="I46" s="0" t="n">
        <v>-93031</v>
      </c>
      <c r="K46" s="0" t="n">
        <v>230720</v>
      </c>
      <c r="L46" s="0" t="n">
        <v>20602</v>
      </c>
      <c r="O46" s="0" t="n">
        <v>13644</v>
      </c>
      <c r="T46" s="0" t="n">
        <v>24.8</v>
      </c>
      <c r="Y46" s="0" t="s">
        <v>139</v>
      </c>
      <c r="Z46" s="0" t="s">
        <v>81</v>
      </c>
      <c r="AA46" s="0" t="s">
        <v>82</v>
      </c>
    </row>
    <row r="47" customFormat="false" ht="15" hidden="false" customHeight="false" outlineLevel="0" collapsed="false">
      <c r="A47" s="0" t="s">
        <v>138</v>
      </c>
      <c r="B47" s="0" t="n">
        <v>2014</v>
      </c>
      <c r="C47" s="0" t="s">
        <v>84</v>
      </c>
      <c r="D47" s="0" t="s">
        <v>79</v>
      </c>
      <c r="E47" s="0" t="n">
        <v>20486</v>
      </c>
      <c r="F47" s="0" t="n">
        <v>920936</v>
      </c>
      <c r="G47" s="0" t="n">
        <v>714962</v>
      </c>
      <c r="H47" s="0" t="n">
        <v>205974</v>
      </c>
      <c r="I47" s="0" t="n">
        <v>-121957</v>
      </c>
      <c r="J47" s="0" t="n">
        <v>882097</v>
      </c>
      <c r="K47" s="0" t="n">
        <v>325748</v>
      </c>
      <c r="L47" s="0" t="n">
        <v>23376</v>
      </c>
      <c r="O47" s="0" t="n">
        <v>16756</v>
      </c>
      <c r="T47" s="0" t="n">
        <v>16.39</v>
      </c>
      <c r="Y47" s="0" t="s">
        <v>139</v>
      </c>
      <c r="Z47" s="0" t="s">
        <v>81</v>
      </c>
      <c r="AA47" s="0" t="s">
        <v>82</v>
      </c>
    </row>
    <row r="48" customFormat="false" ht="15" hidden="false" customHeight="false" outlineLevel="0" collapsed="false">
      <c r="A48" s="0" t="s">
        <v>138</v>
      </c>
      <c r="B48" s="0" t="n">
        <v>2015</v>
      </c>
      <c r="C48" s="0" t="s">
        <v>84</v>
      </c>
      <c r="D48" s="0" t="s">
        <v>79</v>
      </c>
      <c r="E48" s="0" t="n">
        <v>18035</v>
      </c>
      <c r="F48" s="0" t="n">
        <v>1000976</v>
      </c>
      <c r="G48" s="0" t="n">
        <v>767469</v>
      </c>
      <c r="H48" s="0" t="n">
        <v>233507</v>
      </c>
      <c r="I48" s="0" t="n">
        <v>10975</v>
      </c>
      <c r="J48" s="0" t="n">
        <v>922755</v>
      </c>
      <c r="K48" s="0" t="n">
        <v>370949</v>
      </c>
      <c r="L48" s="0" t="n">
        <v>21965</v>
      </c>
      <c r="M48" s="0" t="n">
        <v>348984</v>
      </c>
      <c r="N48" s="0" t="n">
        <v>9177</v>
      </c>
      <c r="P48" s="0" t="n">
        <v>93697</v>
      </c>
      <c r="Q48" s="0" t="n">
        <v>587515</v>
      </c>
      <c r="T48" s="0" t="n">
        <v>15.9</v>
      </c>
      <c r="Y48" s="0" t="s">
        <v>140</v>
      </c>
      <c r="Z48" s="0" t="s">
        <v>141</v>
      </c>
      <c r="AA48" s="0" t="s">
        <v>90</v>
      </c>
    </row>
    <row r="49" customFormat="false" ht="15" hidden="false" customHeight="false" outlineLevel="0" collapsed="false">
      <c r="A49" s="0" t="s">
        <v>138</v>
      </c>
      <c r="B49" s="0" t="n">
        <v>2016</v>
      </c>
      <c r="C49" s="0" t="s">
        <v>84</v>
      </c>
      <c r="D49" s="0" t="s">
        <v>79</v>
      </c>
      <c r="E49" s="0" t="n">
        <v>15885</v>
      </c>
      <c r="F49" s="0" t="n">
        <v>1123483</v>
      </c>
      <c r="G49" s="0" t="n">
        <v>872144</v>
      </c>
      <c r="H49" s="0" t="n">
        <v>251339</v>
      </c>
      <c r="I49" s="0" t="n">
        <v>-70133</v>
      </c>
      <c r="J49" s="0" t="n">
        <v>1000976</v>
      </c>
      <c r="K49" s="0" t="n">
        <v>518349</v>
      </c>
      <c r="L49" s="0" t="n">
        <v>28459</v>
      </c>
      <c r="M49" s="0" t="n">
        <v>489890</v>
      </c>
      <c r="N49" s="0" t="n">
        <v>15769</v>
      </c>
      <c r="P49" s="0" t="n">
        <v>96309</v>
      </c>
      <c r="Q49" s="0" t="n">
        <v>724660</v>
      </c>
      <c r="T49" s="0" t="n">
        <v>13.3</v>
      </c>
      <c r="U49" s="0" t="n">
        <v>15</v>
      </c>
      <c r="X49" s="0" t="n">
        <v>0</v>
      </c>
      <c r="Y49" s="0" t="s">
        <v>140</v>
      </c>
      <c r="Z49" s="0" t="s">
        <v>94</v>
      </c>
      <c r="AA49" s="0" t="s">
        <v>90</v>
      </c>
    </row>
    <row r="50" customFormat="false" ht="15" hidden="false" customHeight="false" outlineLevel="0" collapsed="false">
      <c r="A50" s="0" t="s">
        <v>138</v>
      </c>
      <c r="B50" s="0" t="n">
        <v>2017</v>
      </c>
      <c r="C50" s="0" t="s">
        <v>84</v>
      </c>
      <c r="D50" s="0" t="s">
        <v>79</v>
      </c>
      <c r="E50" s="0" t="n">
        <v>11239</v>
      </c>
      <c r="F50" s="0" t="n">
        <v>1334921</v>
      </c>
      <c r="G50" s="0" t="n">
        <v>1015802</v>
      </c>
      <c r="H50" s="0" t="n">
        <v>319119</v>
      </c>
      <c r="I50" s="0" t="n">
        <v>68160</v>
      </c>
      <c r="J50" s="0" t="n">
        <v>1123483</v>
      </c>
      <c r="K50" s="0" t="n">
        <v>531807</v>
      </c>
      <c r="L50" s="0" t="n">
        <v>43252</v>
      </c>
      <c r="M50" s="0" t="n">
        <v>488555</v>
      </c>
      <c r="N50" s="0" t="n">
        <v>25478</v>
      </c>
      <c r="O50" s="0" t="n">
        <v>110685</v>
      </c>
      <c r="P50" s="0" t="n">
        <v>137875</v>
      </c>
      <c r="Q50" s="0" t="n">
        <v>774497</v>
      </c>
      <c r="T50" s="0" t="n">
        <v>17.8</v>
      </c>
      <c r="U50" s="0" t="n">
        <v>15</v>
      </c>
      <c r="Y50" s="0" t="s">
        <v>142</v>
      </c>
      <c r="Z50" s="0" t="s">
        <v>143</v>
      </c>
      <c r="AA50" s="0" t="s">
        <v>144</v>
      </c>
    </row>
    <row r="51" customFormat="false" ht="15" hidden="false" customHeight="false" outlineLevel="0" collapsed="false">
      <c r="A51" s="0" t="s">
        <v>138</v>
      </c>
      <c r="B51" s="0" t="n">
        <v>2018</v>
      </c>
      <c r="C51" s="0" t="s">
        <v>84</v>
      </c>
      <c r="D51" s="0" t="s">
        <v>97</v>
      </c>
      <c r="E51" s="0" t="n">
        <v>18438</v>
      </c>
      <c r="F51" s="0" t="n">
        <v>1324297</v>
      </c>
      <c r="G51" s="0" t="n">
        <v>1124210</v>
      </c>
      <c r="H51" s="0" t="n">
        <v>200087</v>
      </c>
      <c r="I51" s="0" t="n">
        <v>37394</v>
      </c>
      <c r="J51" s="0" t="n">
        <v>1334921</v>
      </c>
      <c r="K51" s="0" t="n">
        <v>473396</v>
      </c>
      <c r="L51" s="0" t="n">
        <v>45359</v>
      </c>
      <c r="M51" s="0" t="n">
        <v>428037</v>
      </c>
      <c r="N51" s="0" t="n">
        <v>-3515</v>
      </c>
      <c r="O51" s="0" t="n">
        <v>38496</v>
      </c>
      <c r="P51" s="0" t="n">
        <v>88017</v>
      </c>
      <c r="Q51" s="0" t="n">
        <v>767770</v>
      </c>
      <c r="R51" s="0" t="n">
        <v>123328</v>
      </c>
      <c r="S51" s="0" t="n">
        <v>30149</v>
      </c>
      <c r="T51" s="0" t="n">
        <v>11.5</v>
      </c>
      <c r="U51" s="0" t="n">
        <v>15</v>
      </c>
      <c r="X51" s="0" t="n">
        <v>0</v>
      </c>
      <c r="Y51" s="0" t="s">
        <v>142</v>
      </c>
      <c r="Z51" s="0" t="s">
        <v>145</v>
      </c>
      <c r="AA51" s="0" t="s">
        <v>144</v>
      </c>
    </row>
    <row r="52" customFormat="false" ht="15" hidden="false" customHeight="false" outlineLevel="0" collapsed="false">
      <c r="A52" s="0" t="s">
        <v>138</v>
      </c>
      <c r="B52" s="0" t="n">
        <v>2019</v>
      </c>
      <c r="C52" s="0" t="s">
        <v>84</v>
      </c>
      <c r="D52" s="0" t="s">
        <v>97</v>
      </c>
      <c r="E52" s="0" t="n">
        <v>24375</v>
      </c>
      <c r="F52" s="0" t="n">
        <v>1711739</v>
      </c>
      <c r="G52" s="0" t="n">
        <v>1480547</v>
      </c>
      <c r="H52" s="0" t="n">
        <v>231192</v>
      </c>
      <c r="I52" s="0" t="n">
        <v>207318</v>
      </c>
      <c r="J52" s="0" t="n">
        <v>1324297</v>
      </c>
      <c r="K52" s="0" t="n">
        <v>595298</v>
      </c>
      <c r="L52" s="0" t="n">
        <v>44685</v>
      </c>
      <c r="M52" s="0" t="n">
        <v>550613</v>
      </c>
      <c r="N52" s="0" t="n">
        <v>-504</v>
      </c>
      <c r="O52" s="0" t="n">
        <v>34760</v>
      </c>
      <c r="P52" s="0" t="n">
        <v>139997</v>
      </c>
      <c r="Q52" s="0" t="n">
        <v>880146</v>
      </c>
      <c r="R52" s="0" t="n">
        <v>58769</v>
      </c>
      <c r="S52" s="0" t="n">
        <v>16198</v>
      </c>
      <c r="T52" s="0" t="n">
        <v>15.91</v>
      </c>
      <c r="U52" s="0" t="n">
        <v>15</v>
      </c>
      <c r="Y52" s="0" t="s">
        <v>146</v>
      </c>
      <c r="Z52" s="0" t="s">
        <v>147</v>
      </c>
      <c r="AA52" s="0" t="s">
        <v>144</v>
      </c>
    </row>
    <row r="53" customFormat="false" ht="15" hidden="false" customHeight="false" outlineLevel="0" collapsed="false">
      <c r="A53" s="0" t="s">
        <v>138</v>
      </c>
      <c r="B53" s="0" t="n">
        <v>2020</v>
      </c>
      <c r="C53" s="0" t="s">
        <v>84</v>
      </c>
      <c r="D53" s="0" t="s">
        <v>97</v>
      </c>
      <c r="E53" s="0" t="n">
        <v>24653</v>
      </c>
      <c r="F53" s="0" t="n">
        <v>2073758</v>
      </c>
      <c r="G53" s="0" t="n">
        <v>1826237</v>
      </c>
      <c r="H53" s="0" t="n">
        <v>247521</v>
      </c>
      <c r="I53" s="0" t="n">
        <v>-35912</v>
      </c>
      <c r="J53" s="0" t="n">
        <v>1711739</v>
      </c>
      <c r="K53" s="0" t="n">
        <v>736712</v>
      </c>
      <c r="L53" s="0" t="n">
        <v>43909</v>
      </c>
      <c r="M53" s="0" t="n">
        <v>692803</v>
      </c>
      <c r="N53" s="0" t="n">
        <v>-2559</v>
      </c>
      <c r="P53" s="0" t="n">
        <v>156168</v>
      </c>
      <c r="Q53" s="0" t="n">
        <v>990958</v>
      </c>
      <c r="R53" s="0" t="n">
        <v>61895</v>
      </c>
      <c r="S53" s="0" t="n">
        <v>22564</v>
      </c>
      <c r="T53" s="0" t="n">
        <v>15.76</v>
      </c>
      <c r="U53" s="0" t="n">
        <v>15</v>
      </c>
      <c r="X53" s="0" t="n">
        <v>0</v>
      </c>
      <c r="Y53" s="0" t="s">
        <v>146</v>
      </c>
      <c r="Z53" s="0" t="s">
        <v>148</v>
      </c>
      <c r="AA53" s="0" t="s">
        <v>144</v>
      </c>
    </row>
    <row r="54" customFormat="false" ht="15" hidden="false" customHeight="false" outlineLevel="0" collapsed="false">
      <c r="A54" s="0" t="s">
        <v>138</v>
      </c>
      <c r="B54" s="0" t="n">
        <v>2021</v>
      </c>
      <c r="C54" s="0" t="s">
        <v>84</v>
      </c>
      <c r="D54" s="0" t="s">
        <v>97</v>
      </c>
      <c r="E54" s="0" t="n">
        <v>19180</v>
      </c>
      <c r="F54" s="0" t="n">
        <v>2567441</v>
      </c>
      <c r="G54" s="0" t="n">
        <v>2315954</v>
      </c>
      <c r="H54" s="0" t="n">
        <v>251487</v>
      </c>
      <c r="I54" s="0" t="n">
        <v>252140</v>
      </c>
      <c r="J54" s="0" t="n">
        <v>2073758</v>
      </c>
      <c r="K54" s="0" t="n">
        <v>899106</v>
      </c>
      <c r="L54" s="0" t="n">
        <v>30266</v>
      </c>
      <c r="M54" s="0" t="n">
        <v>868840</v>
      </c>
      <c r="N54" s="0" t="n">
        <v>286</v>
      </c>
      <c r="O54" s="0" t="n">
        <v>38660</v>
      </c>
      <c r="P54" s="0" t="n">
        <v>156040</v>
      </c>
      <c r="Q54" s="0" t="n">
        <v>1068135</v>
      </c>
      <c r="R54" s="0" t="n">
        <v>62064</v>
      </c>
      <c r="S54" s="0" t="n">
        <v>13274</v>
      </c>
      <c r="T54" s="0" t="n">
        <v>14.61</v>
      </c>
      <c r="Y54" s="0" t="s">
        <v>149</v>
      </c>
      <c r="Z54" s="0" t="s">
        <v>150</v>
      </c>
      <c r="AA54" s="0" t="s">
        <v>144</v>
      </c>
    </row>
    <row r="55" customFormat="false" ht="15" hidden="false" customHeight="false" outlineLevel="0" collapsed="false">
      <c r="A55" s="0" t="s">
        <v>138</v>
      </c>
      <c r="B55" s="0" t="n">
        <v>2022</v>
      </c>
      <c r="C55" s="0" t="s">
        <v>84</v>
      </c>
      <c r="D55" s="0" t="s">
        <v>97</v>
      </c>
      <c r="E55" s="0" t="n">
        <v>29009</v>
      </c>
      <c r="F55" s="0" t="n">
        <v>2793674</v>
      </c>
      <c r="G55" s="0" t="n">
        <v>2503824</v>
      </c>
      <c r="H55" s="0" t="n">
        <v>289850</v>
      </c>
      <c r="I55" s="0" t="n">
        <v>80277</v>
      </c>
      <c r="J55" s="0" t="n">
        <v>2567441</v>
      </c>
      <c r="K55" s="0" t="n">
        <v>1000903</v>
      </c>
      <c r="L55" s="0" t="n">
        <v>32015</v>
      </c>
      <c r="M55" s="0" t="n">
        <v>968888</v>
      </c>
      <c r="N55" s="0" t="n">
        <v>4475</v>
      </c>
      <c r="O55" s="0" t="n">
        <v>40276</v>
      </c>
      <c r="P55" s="0" t="n">
        <v>180613</v>
      </c>
      <c r="Q55" s="0" t="n">
        <v>1252579</v>
      </c>
      <c r="R55" s="0" t="n">
        <v>74070</v>
      </c>
      <c r="T55" s="0" t="n">
        <v>14.42</v>
      </c>
      <c r="U55" s="0" t="n">
        <v>10</v>
      </c>
      <c r="X55" s="0" t="n">
        <v>0</v>
      </c>
      <c r="Y55" s="0" t="s">
        <v>149</v>
      </c>
      <c r="Z55" s="0" t="s">
        <v>151</v>
      </c>
      <c r="AA55" s="0" t="s">
        <v>144</v>
      </c>
    </row>
    <row r="56" customFormat="false" ht="15" hidden="false" customHeight="false" outlineLevel="0" collapsed="false">
      <c r="A56" s="0" t="s">
        <v>152</v>
      </c>
      <c r="B56" s="0" t="n">
        <v>2018</v>
      </c>
      <c r="C56" s="0" t="s">
        <v>84</v>
      </c>
      <c r="D56" s="0" t="s">
        <v>97</v>
      </c>
      <c r="E56" s="0" t="n">
        <v>-7695.32</v>
      </c>
      <c r="F56" s="0" t="n">
        <v>210800.841</v>
      </c>
      <c r="G56" s="0" t="n">
        <v>495175.495</v>
      </c>
      <c r="H56" s="0" t="n">
        <v>-284374.654</v>
      </c>
      <c r="I56" s="0" t="n">
        <v>-442.603</v>
      </c>
      <c r="K56" s="0" t="n">
        <v>44841.156</v>
      </c>
      <c r="L56" s="0" t="n">
        <v>744.197</v>
      </c>
      <c r="N56" s="0" t="n">
        <v>5958.492</v>
      </c>
      <c r="T56" s="0" t="n">
        <v>-214.8</v>
      </c>
      <c r="U56" s="0" t="n">
        <v>10</v>
      </c>
      <c r="Y56" s="0" t="s">
        <v>153</v>
      </c>
      <c r="Z56" s="0" t="s">
        <v>81</v>
      </c>
      <c r="AA56" s="0" t="s">
        <v>82</v>
      </c>
    </row>
    <row r="57" customFormat="false" ht="15" hidden="false" customHeight="false" outlineLevel="0" collapsed="false">
      <c r="A57" s="0" t="s">
        <v>152</v>
      </c>
      <c r="B57" s="0" t="n">
        <v>2019</v>
      </c>
      <c r="C57" s="0" t="s">
        <v>84</v>
      </c>
      <c r="D57" s="0" t="s">
        <v>97</v>
      </c>
      <c r="E57" s="0" t="n">
        <v>3383.189</v>
      </c>
      <c r="F57" s="0" t="n">
        <v>293052.07</v>
      </c>
      <c r="G57" s="0" t="n">
        <v>571907.958</v>
      </c>
      <c r="H57" s="0" t="n">
        <v>-278855.888</v>
      </c>
      <c r="I57" s="0" t="n">
        <v>-39427.662</v>
      </c>
      <c r="J57" s="0" t="n">
        <v>210800.841</v>
      </c>
      <c r="K57" s="0" t="n">
        <v>106913.813</v>
      </c>
      <c r="L57" s="0" t="n">
        <v>2896.088</v>
      </c>
      <c r="N57" s="0" t="n">
        <v>1921.923</v>
      </c>
      <c r="T57" s="0" t="n">
        <v>-201.59</v>
      </c>
      <c r="U57" s="0" t="n">
        <v>10</v>
      </c>
      <c r="X57" s="0" t="n">
        <v>1</v>
      </c>
      <c r="Y57" s="0" t="s">
        <v>153</v>
      </c>
      <c r="Z57" s="0" t="s">
        <v>81</v>
      </c>
      <c r="AA57" s="0" t="s">
        <v>82</v>
      </c>
    </row>
    <row r="58" customFormat="false" ht="15" hidden="false" customHeight="false" outlineLevel="0" collapsed="false">
      <c r="A58" s="0" t="s">
        <v>154</v>
      </c>
      <c r="B58" s="0" t="n">
        <v>2014</v>
      </c>
      <c r="C58" s="0" t="s">
        <v>84</v>
      </c>
      <c r="D58" s="0" t="s">
        <v>79</v>
      </c>
      <c r="E58" s="0" t="n">
        <v>2372.445</v>
      </c>
      <c r="F58" s="0" t="n">
        <v>382562.312</v>
      </c>
      <c r="G58" s="0" t="n">
        <v>338793.663</v>
      </c>
      <c r="H58" s="0" t="n">
        <v>43768.649</v>
      </c>
      <c r="I58" s="0" t="n">
        <v>-40148.459</v>
      </c>
      <c r="K58" s="0" t="n">
        <v>152292.015</v>
      </c>
      <c r="L58" s="0" t="n">
        <v>2998.166</v>
      </c>
      <c r="N58" s="0" t="n">
        <v>88.173</v>
      </c>
      <c r="T58" s="0" t="n">
        <v>18.22</v>
      </c>
      <c r="Y58" s="0" t="s">
        <v>155</v>
      </c>
      <c r="Z58" s="0" t="s">
        <v>81</v>
      </c>
      <c r="AA58" s="0" t="s">
        <v>82</v>
      </c>
    </row>
    <row r="59" customFormat="false" ht="15" hidden="false" customHeight="false" outlineLevel="0" collapsed="false">
      <c r="A59" s="0" t="s">
        <v>154</v>
      </c>
      <c r="B59" s="0" t="n">
        <v>2015</v>
      </c>
      <c r="C59" s="0" t="s">
        <v>84</v>
      </c>
      <c r="D59" s="0" t="s">
        <v>79</v>
      </c>
      <c r="E59" s="0" t="n">
        <v>2273.205</v>
      </c>
      <c r="F59" s="0" t="n">
        <v>396743.314</v>
      </c>
      <c r="G59" s="0" t="n">
        <v>350679.204</v>
      </c>
      <c r="H59" s="0" t="n">
        <v>46064.11</v>
      </c>
      <c r="I59" s="0" t="n">
        <v>14676.273</v>
      </c>
      <c r="J59" s="0" t="n">
        <v>382562.312</v>
      </c>
      <c r="K59" s="0" t="n">
        <v>188022.922</v>
      </c>
      <c r="L59" s="0" t="n">
        <v>2426.332</v>
      </c>
      <c r="N59" s="0" t="n">
        <v>-77.64</v>
      </c>
      <c r="T59" s="0" t="n">
        <v>15.09</v>
      </c>
      <c r="Y59" s="0" t="s">
        <v>156</v>
      </c>
      <c r="Z59" s="0" t="s">
        <v>81</v>
      </c>
      <c r="AA59" s="0" t="s">
        <v>82</v>
      </c>
    </row>
    <row r="60" customFormat="false" ht="15" hidden="false" customHeight="false" outlineLevel="0" collapsed="false">
      <c r="A60" s="0" t="s">
        <v>154</v>
      </c>
      <c r="B60" s="0" t="n">
        <v>2016</v>
      </c>
      <c r="C60" s="0" t="s">
        <v>84</v>
      </c>
      <c r="D60" s="0" t="s">
        <v>79</v>
      </c>
      <c r="E60" s="0" t="n">
        <v>2591.8</v>
      </c>
      <c r="F60" s="0" t="n">
        <v>421221.036</v>
      </c>
      <c r="G60" s="0" t="n">
        <v>372719.082</v>
      </c>
      <c r="H60" s="0" t="n">
        <v>48501.954</v>
      </c>
      <c r="I60" s="0" t="n">
        <v>15892.427</v>
      </c>
      <c r="J60" s="0" t="n">
        <v>396743.314</v>
      </c>
      <c r="N60" s="0" t="n">
        <v>412.401</v>
      </c>
      <c r="X60" s="0" t="n">
        <v>0</v>
      </c>
      <c r="Y60" s="0" t="s">
        <v>157</v>
      </c>
      <c r="Z60" s="0" t="s">
        <v>81</v>
      </c>
      <c r="AA60" s="0" t="s">
        <v>82</v>
      </c>
    </row>
    <row r="61" customFormat="false" ht="15" hidden="false" customHeight="false" outlineLevel="0" collapsed="false">
      <c r="A61" s="0" t="s">
        <v>154</v>
      </c>
      <c r="B61" s="0" t="n">
        <v>2017</v>
      </c>
      <c r="C61" s="0" t="s">
        <v>84</v>
      </c>
      <c r="D61" s="0" t="s">
        <v>79</v>
      </c>
      <c r="E61" s="0" t="n">
        <v>2301.158</v>
      </c>
      <c r="F61" s="0" t="n">
        <v>384779.809</v>
      </c>
      <c r="G61" s="0" t="n">
        <v>335087.669</v>
      </c>
      <c r="H61" s="0" t="n">
        <v>49692.14</v>
      </c>
      <c r="I61" s="0" t="n">
        <v>-25950.964</v>
      </c>
      <c r="J61" s="0" t="n">
        <v>421221.036</v>
      </c>
      <c r="K61" s="0" t="n">
        <v>220076.031</v>
      </c>
      <c r="L61" s="0" t="n">
        <v>4236.001</v>
      </c>
      <c r="N61" s="0" t="n">
        <v>2179.798</v>
      </c>
      <c r="T61" s="0" t="n">
        <v>14.32</v>
      </c>
      <c r="V61" s="0" t="n">
        <v>26.25</v>
      </c>
      <c r="W61" s="0" t="n">
        <v>1</v>
      </c>
      <c r="Y61" s="0" t="s">
        <v>158</v>
      </c>
      <c r="Z61" s="0" t="s">
        <v>81</v>
      </c>
      <c r="AA61" s="0" t="s">
        <v>82</v>
      </c>
    </row>
    <row r="62" customFormat="false" ht="15" hidden="false" customHeight="false" outlineLevel="0" collapsed="false">
      <c r="A62" s="0" t="s">
        <v>154</v>
      </c>
      <c r="B62" s="0" t="n">
        <v>2018</v>
      </c>
      <c r="C62" s="0" t="s">
        <v>84</v>
      </c>
      <c r="D62" s="0" t="s">
        <v>97</v>
      </c>
      <c r="E62" s="0" t="n">
        <v>3359.259</v>
      </c>
      <c r="F62" s="0" t="n">
        <v>477915.742</v>
      </c>
      <c r="G62" s="0" t="n">
        <v>426916.863</v>
      </c>
      <c r="H62" s="0" t="n">
        <v>50998.879</v>
      </c>
      <c r="I62" s="0" t="n">
        <v>49309.182</v>
      </c>
      <c r="J62" s="0" t="n">
        <v>384779.809</v>
      </c>
      <c r="K62" s="0" t="n">
        <v>261583.723</v>
      </c>
      <c r="L62" s="0" t="n">
        <v>9394.11</v>
      </c>
      <c r="N62" s="0" t="n">
        <v>3510.537</v>
      </c>
      <c r="T62" s="0" t="n">
        <v>18.01</v>
      </c>
      <c r="V62" s="0" t="n">
        <v>34.64</v>
      </c>
      <c r="W62" s="0" t="n">
        <v>1</v>
      </c>
      <c r="X62" s="0" t="n">
        <v>0</v>
      </c>
      <c r="Y62" s="0" t="s">
        <v>158</v>
      </c>
      <c r="Z62" s="0" t="s">
        <v>81</v>
      </c>
      <c r="AA62" s="0" t="s">
        <v>82</v>
      </c>
    </row>
    <row r="63" customFormat="false" ht="15" hidden="false" customHeight="false" outlineLevel="0" collapsed="false">
      <c r="A63" s="0" t="s">
        <v>154</v>
      </c>
      <c r="B63" s="0" t="n">
        <v>2019</v>
      </c>
      <c r="C63" s="0" t="s">
        <v>84</v>
      </c>
      <c r="D63" s="0" t="s">
        <v>97</v>
      </c>
      <c r="E63" s="0" t="n">
        <v>5210.748</v>
      </c>
      <c r="F63" s="0" t="n">
        <v>704955.604</v>
      </c>
      <c r="G63" s="0" t="n">
        <v>649598.753</v>
      </c>
      <c r="H63" s="0" t="n">
        <v>55356.851</v>
      </c>
      <c r="I63" s="0" t="n">
        <v>107380.822</v>
      </c>
      <c r="J63" s="0" t="n">
        <v>477915.742</v>
      </c>
      <c r="K63" s="0" t="n">
        <v>301368.302</v>
      </c>
      <c r="L63" s="0" t="n">
        <v>12128.432</v>
      </c>
      <c r="M63" s="0" t="n">
        <v>289239.87</v>
      </c>
      <c r="N63" s="0" t="n">
        <v>6130.6</v>
      </c>
      <c r="P63" s="0" t="n">
        <v>33853.301</v>
      </c>
      <c r="Q63" s="0" t="n">
        <v>248951.162</v>
      </c>
      <c r="S63" s="0" t="n">
        <v>4646.11</v>
      </c>
      <c r="T63" s="0" t="n">
        <v>13.6</v>
      </c>
      <c r="Y63" s="0" t="s">
        <v>159</v>
      </c>
      <c r="Z63" s="0" t="s">
        <v>81</v>
      </c>
      <c r="AA63" s="0" t="s">
        <v>82</v>
      </c>
    </row>
    <row r="64" customFormat="false" ht="15" hidden="false" customHeight="false" outlineLevel="0" collapsed="false">
      <c r="A64" s="0" t="s">
        <v>154</v>
      </c>
      <c r="B64" s="0" t="n">
        <v>2020</v>
      </c>
      <c r="C64" s="0" t="s">
        <v>84</v>
      </c>
      <c r="D64" s="0" t="s">
        <v>97</v>
      </c>
      <c r="E64" s="0" t="n">
        <v>4592.217</v>
      </c>
      <c r="F64" s="0" t="n">
        <v>968582.084</v>
      </c>
      <c r="G64" s="0" t="n">
        <v>909229.251</v>
      </c>
      <c r="H64" s="0" t="n">
        <v>59352.833</v>
      </c>
      <c r="I64" s="0" t="n">
        <v>46804.348</v>
      </c>
      <c r="J64" s="0" t="n">
        <v>704955.604</v>
      </c>
      <c r="K64" s="0" t="n">
        <v>375039.658</v>
      </c>
      <c r="L64" s="0" t="n">
        <v>14963.578</v>
      </c>
      <c r="M64" s="0" t="n">
        <v>360076.079</v>
      </c>
      <c r="N64" s="0" t="n">
        <v>5635.165</v>
      </c>
      <c r="P64" s="0" t="n">
        <v>41760.881</v>
      </c>
      <c r="Q64" s="0" t="n">
        <v>278133.743</v>
      </c>
      <c r="S64" s="0" t="n">
        <v>5411.37</v>
      </c>
      <c r="T64" s="0" t="n">
        <v>15.01</v>
      </c>
      <c r="X64" s="0" t="n">
        <v>0</v>
      </c>
      <c r="Y64" s="0" t="s">
        <v>159</v>
      </c>
      <c r="Z64" s="0" t="s">
        <v>81</v>
      </c>
      <c r="AA64" s="0" t="s">
        <v>82</v>
      </c>
    </row>
    <row r="65" customFormat="false" ht="15" hidden="false" customHeight="false" outlineLevel="0" collapsed="false">
      <c r="A65" s="0" t="s">
        <v>154</v>
      </c>
      <c r="B65" s="0" t="n">
        <v>2021</v>
      </c>
      <c r="C65" s="0" t="s">
        <v>84</v>
      </c>
      <c r="D65" s="0" t="s">
        <v>97</v>
      </c>
      <c r="E65" s="0" t="n">
        <v>8933.202</v>
      </c>
      <c r="F65" s="0" t="n">
        <v>1164517.865</v>
      </c>
      <c r="G65" s="0" t="n">
        <v>1094153.52</v>
      </c>
      <c r="H65" s="0" t="n">
        <v>70364.344</v>
      </c>
      <c r="I65" s="0" t="n">
        <v>9851.888</v>
      </c>
      <c r="J65" s="0" t="n">
        <v>968582.084</v>
      </c>
      <c r="K65" s="0" t="n">
        <v>435551.971</v>
      </c>
      <c r="L65" s="0" t="n">
        <v>16687.668</v>
      </c>
      <c r="M65" s="0" t="n">
        <v>418864.303</v>
      </c>
      <c r="N65" s="0" t="n">
        <v>2104.393</v>
      </c>
      <c r="O65" s="0" t="n">
        <v>21263.336</v>
      </c>
      <c r="P65" s="0" t="n">
        <v>40009.725</v>
      </c>
      <c r="Q65" s="0" t="n">
        <v>346012.969</v>
      </c>
      <c r="S65" s="0" t="n">
        <v>11225.979</v>
      </c>
      <c r="T65" s="0" t="n">
        <v>11.71</v>
      </c>
      <c r="Y65" s="0" t="s">
        <v>160</v>
      </c>
      <c r="Z65" s="0" t="s">
        <v>161</v>
      </c>
      <c r="AA65" s="0" t="s">
        <v>90</v>
      </c>
    </row>
    <row r="66" customFormat="false" ht="15" hidden="false" customHeight="false" outlineLevel="0" collapsed="false">
      <c r="A66" s="0" t="s">
        <v>154</v>
      </c>
      <c r="B66" s="0" t="n">
        <v>2022</v>
      </c>
      <c r="C66" s="0" t="s">
        <v>84</v>
      </c>
      <c r="D66" s="0" t="s">
        <v>97</v>
      </c>
      <c r="E66" s="0" t="n">
        <v>11214.027</v>
      </c>
      <c r="F66" s="0" t="n">
        <v>1433703.656</v>
      </c>
      <c r="G66" s="0" t="n">
        <v>1351080.98</v>
      </c>
      <c r="H66" s="0" t="n">
        <v>82622.676</v>
      </c>
      <c r="I66" s="0" t="n">
        <v>179324.77</v>
      </c>
      <c r="K66" s="0" t="n">
        <v>539372.013</v>
      </c>
      <c r="L66" s="0" t="n">
        <v>17941.317</v>
      </c>
      <c r="M66" s="0" t="n">
        <v>521430.696</v>
      </c>
      <c r="N66" s="0" t="n">
        <v>4762.274</v>
      </c>
      <c r="P66" s="0" t="n">
        <v>59144.646</v>
      </c>
      <c r="Q66" s="0" t="n">
        <v>464338.153</v>
      </c>
      <c r="S66" s="0" t="n">
        <v>12600.451</v>
      </c>
      <c r="T66" s="0" t="n">
        <v>12.74</v>
      </c>
      <c r="X66" s="0" t="n">
        <v>0</v>
      </c>
      <c r="Y66" s="0" t="s">
        <v>162</v>
      </c>
      <c r="Z66" s="0" t="s">
        <v>81</v>
      </c>
      <c r="AA66" s="0" t="s">
        <v>82</v>
      </c>
    </row>
    <row r="67" customFormat="false" ht="15" hidden="false" customHeight="false" outlineLevel="0" collapsed="false">
      <c r="A67" s="0" t="s">
        <v>163</v>
      </c>
      <c r="B67" s="0" t="n">
        <v>2014</v>
      </c>
      <c r="C67" s="0" t="s">
        <v>78</v>
      </c>
      <c r="D67" s="0" t="s">
        <v>79</v>
      </c>
      <c r="E67" s="0" t="n">
        <v>92479</v>
      </c>
      <c r="F67" s="0" t="n">
        <v>3423819</v>
      </c>
      <c r="G67" s="0" t="n">
        <v>2911112</v>
      </c>
      <c r="H67" s="0" t="n">
        <v>512707</v>
      </c>
      <c r="I67" s="0" t="n">
        <v>-145986</v>
      </c>
      <c r="K67" s="0" t="n">
        <v>1605581</v>
      </c>
      <c r="L67" s="0" t="n">
        <v>25331</v>
      </c>
      <c r="N67" s="0" t="n">
        <v>12392</v>
      </c>
      <c r="O67" s="0" t="n">
        <v>26407</v>
      </c>
      <c r="T67" s="0" t="n">
        <v>19</v>
      </c>
      <c r="Y67" s="0" t="s">
        <v>164</v>
      </c>
      <c r="Z67" s="0" t="s">
        <v>81</v>
      </c>
      <c r="AA67" s="0" t="s">
        <v>82</v>
      </c>
    </row>
    <row r="68" customFormat="false" ht="15" hidden="false" customHeight="false" outlineLevel="0" collapsed="false">
      <c r="A68" s="0" t="s">
        <v>163</v>
      </c>
      <c r="B68" s="0" t="n">
        <v>2015</v>
      </c>
      <c r="C68" s="0" t="s">
        <v>78</v>
      </c>
      <c r="D68" s="0" t="s">
        <v>79</v>
      </c>
      <c r="E68" s="0" t="n">
        <v>98784</v>
      </c>
      <c r="F68" s="0" t="n">
        <v>3750327</v>
      </c>
      <c r="G68" s="0" t="n">
        <v>3203381</v>
      </c>
      <c r="H68" s="0" t="n">
        <v>546946</v>
      </c>
      <c r="I68" s="0" t="n">
        <v>-415396</v>
      </c>
      <c r="J68" s="0" t="n">
        <v>3423819</v>
      </c>
      <c r="K68" s="0" t="n">
        <v>1884941</v>
      </c>
      <c r="L68" s="0" t="n">
        <v>35716</v>
      </c>
      <c r="N68" s="0" t="n">
        <v>11091</v>
      </c>
      <c r="O68" s="0" t="n">
        <v>30871</v>
      </c>
      <c r="T68" s="0" t="n">
        <v>20</v>
      </c>
      <c r="Y68" s="0" t="s">
        <v>164</v>
      </c>
      <c r="Z68" s="0" t="s">
        <v>81</v>
      </c>
      <c r="AA68" s="0" t="s">
        <v>82</v>
      </c>
    </row>
    <row r="69" customFormat="false" ht="15" hidden="false" customHeight="false" outlineLevel="0" collapsed="false">
      <c r="A69" s="0" t="s">
        <v>163</v>
      </c>
      <c r="B69" s="0" t="n">
        <v>2016</v>
      </c>
      <c r="C69" s="0" t="s">
        <v>78</v>
      </c>
      <c r="D69" s="0" t="s">
        <v>79</v>
      </c>
      <c r="E69" s="0" t="n">
        <v>119285</v>
      </c>
      <c r="F69" s="0" t="n">
        <v>4283736</v>
      </c>
      <c r="G69" s="0" t="n">
        <v>3667383</v>
      </c>
      <c r="H69" s="0" t="n">
        <v>616353</v>
      </c>
      <c r="I69" s="0" t="n">
        <v>-104917</v>
      </c>
      <c r="J69" s="0" t="n">
        <v>3750327</v>
      </c>
      <c r="K69" s="0" t="n">
        <v>2193224</v>
      </c>
      <c r="L69" s="0" t="n">
        <v>55092</v>
      </c>
      <c r="M69" s="0" t="n">
        <v>2138132</v>
      </c>
      <c r="N69" s="0" t="n">
        <v>26295</v>
      </c>
      <c r="O69" s="0" t="n">
        <v>57577</v>
      </c>
      <c r="P69" s="0" t="n">
        <v>565277</v>
      </c>
      <c r="Q69" s="0" t="n">
        <v>2624643</v>
      </c>
      <c r="T69" s="0" t="n">
        <v>22</v>
      </c>
      <c r="Y69" s="0" t="s">
        <v>165</v>
      </c>
      <c r="Z69" s="0" t="s">
        <v>166</v>
      </c>
      <c r="AA69" s="0" t="s">
        <v>90</v>
      </c>
    </row>
    <row r="70" customFormat="false" ht="15" hidden="false" customHeight="false" outlineLevel="0" collapsed="false">
      <c r="A70" s="0" t="s">
        <v>163</v>
      </c>
      <c r="B70" s="0" t="n">
        <v>2017</v>
      </c>
      <c r="C70" s="0" t="s">
        <v>78</v>
      </c>
      <c r="D70" s="0" t="s">
        <v>79</v>
      </c>
      <c r="E70" s="0" t="n">
        <v>157145</v>
      </c>
      <c r="F70" s="0" t="n">
        <v>4833658</v>
      </c>
      <c r="G70" s="0" t="n">
        <v>4126133</v>
      </c>
      <c r="H70" s="0" t="n">
        <v>707525</v>
      </c>
      <c r="I70" s="0" t="n">
        <v>-255750</v>
      </c>
      <c r="J70" s="0" t="n">
        <v>4283736</v>
      </c>
      <c r="K70" s="0" t="n">
        <v>2117069</v>
      </c>
      <c r="L70" s="0" t="n">
        <v>136605</v>
      </c>
      <c r="M70" s="0" t="n">
        <v>1980464</v>
      </c>
      <c r="N70" s="0" t="n">
        <v>95244</v>
      </c>
      <c r="O70" s="0" t="n">
        <v>91738</v>
      </c>
      <c r="P70" s="0" t="n">
        <v>652237</v>
      </c>
      <c r="Q70" s="0" t="n">
        <v>2670248</v>
      </c>
      <c r="T70" s="0" t="n">
        <v>24</v>
      </c>
      <c r="Y70" s="0" t="s">
        <v>167</v>
      </c>
      <c r="Z70" s="0" t="s">
        <v>168</v>
      </c>
      <c r="AA70" s="0" t="s">
        <v>90</v>
      </c>
    </row>
    <row r="71" customFormat="false" ht="15" hidden="false" customHeight="false" outlineLevel="0" collapsed="false">
      <c r="A71" s="0" t="s">
        <v>163</v>
      </c>
      <c r="B71" s="0" t="n">
        <v>2018</v>
      </c>
      <c r="C71" s="0" t="s">
        <v>78</v>
      </c>
      <c r="D71" s="0" t="s">
        <v>97</v>
      </c>
      <c r="E71" s="0" t="n">
        <v>165480</v>
      </c>
      <c r="F71" s="0" t="n">
        <v>4955445</v>
      </c>
      <c r="G71" s="0" t="n">
        <v>4280413</v>
      </c>
      <c r="H71" s="0" t="n">
        <v>675032</v>
      </c>
      <c r="I71" s="0" t="n">
        <v>184314</v>
      </c>
      <c r="J71" s="0" t="n">
        <v>4833658</v>
      </c>
      <c r="K71" s="0" t="n">
        <v>1921064</v>
      </c>
      <c r="L71" s="0" t="n">
        <v>184998</v>
      </c>
      <c r="M71" s="0" t="n">
        <v>1736066</v>
      </c>
      <c r="N71" s="0" t="n">
        <v>15313</v>
      </c>
      <c r="O71" s="0" t="n">
        <v>92630</v>
      </c>
      <c r="P71" s="0" t="n">
        <v>641524</v>
      </c>
      <c r="Q71" s="0" t="n">
        <v>2690329</v>
      </c>
      <c r="T71" s="0" t="n">
        <v>24</v>
      </c>
      <c r="Y71" s="0" t="s">
        <v>169</v>
      </c>
      <c r="Z71" s="0" t="s">
        <v>170</v>
      </c>
      <c r="AA71" s="0" t="s">
        <v>90</v>
      </c>
    </row>
    <row r="72" customFormat="false" ht="15" hidden="false" customHeight="false" outlineLevel="0" collapsed="false">
      <c r="A72" s="0" t="s">
        <v>163</v>
      </c>
      <c r="B72" s="0" t="n">
        <v>2019</v>
      </c>
      <c r="C72" s="0" t="s">
        <v>78</v>
      </c>
      <c r="D72" s="0" t="s">
        <v>97</v>
      </c>
      <c r="E72" s="0" t="n">
        <v>178003</v>
      </c>
      <c r="F72" s="0" t="n">
        <v>5435073</v>
      </c>
      <c r="G72" s="0" t="n">
        <v>4656078</v>
      </c>
      <c r="H72" s="0" t="n">
        <v>778995</v>
      </c>
      <c r="I72" s="0" t="n">
        <v>390093</v>
      </c>
      <c r="J72" s="0" t="n">
        <v>4955445</v>
      </c>
      <c r="K72" s="0" t="n">
        <v>2390651</v>
      </c>
      <c r="L72" s="0" t="n">
        <v>151179</v>
      </c>
      <c r="M72" s="0" t="n">
        <v>2239472</v>
      </c>
      <c r="N72" s="0" t="n">
        <v>23393</v>
      </c>
      <c r="O72" s="0" t="n">
        <v>99457</v>
      </c>
      <c r="P72" s="0" t="n">
        <v>717901</v>
      </c>
      <c r="Q72" s="0" t="n">
        <v>3669402</v>
      </c>
      <c r="T72" s="0" t="n">
        <v>20</v>
      </c>
      <c r="X72" s="0" t="n">
        <v>0</v>
      </c>
      <c r="Y72" s="0" t="s">
        <v>171</v>
      </c>
      <c r="Z72" s="0" t="s">
        <v>172</v>
      </c>
      <c r="AA72" s="0" t="s">
        <v>90</v>
      </c>
    </row>
    <row r="73" customFormat="false" ht="15" hidden="false" customHeight="false" outlineLevel="0" collapsed="false">
      <c r="A73" s="0" t="s">
        <v>163</v>
      </c>
      <c r="B73" s="0" t="n">
        <v>2020</v>
      </c>
      <c r="C73" s="0" t="s">
        <v>78</v>
      </c>
      <c r="D73" s="0" t="s">
        <v>97</v>
      </c>
      <c r="E73" s="0" t="n">
        <v>197852</v>
      </c>
      <c r="F73" s="0" t="n">
        <v>7124987</v>
      </c>
      <c r="G73" s="0" t="n">
        <v>6219755</v>
      </c>
      <c r="H73" s="0" t="n">
        <v>905232</v>
      </c>
      <c r="I73" s="0" t="n">
        <v>65920</v>
      </c>
      <c r="J73" s="0" t="n">
        <v>5435073</v>
      </c>
      <c r="K73" s="0" t="n">
        <v>2772663</v>
      </c>
      <c r="L73" s="0" t="n">
        <v>132866</v>
      </c>
      <c r="M73" s="0" t="n">
        <v>2639797</v>
      </c>
      <c r="N73" s="0" t="n">
        <v>37237</v>
      </c>
      <c r="X73" s="0" t="n">
        <v>0</v>
      </c>
      <c r="Y73" s="0" t="s">
        <v>173</v>
      </c>
      <c r="Z73" s="0" t="s">
        <v>174</v>
      </c>
      <c r="AA73" s="0" t="s">
        <v>90</v>
      </c>
    </row>
    <row r="74" customFormat="false" ht="15" hidden="false" customHeight="false" outlineLevel="0" collapsed="false">
      <c r="A74" s="0" t="s">
        <v>163</v>
      </c>
      <c r="B74" s="0" t="n">
        <v>2021</v>
      </c>
      <c r="C74" s="0" t="s">
        <v>78</v>
      </c>
      <c r="D74" s="0" t="s">
        <v>97</v>
      </c>
      <c r="E74" s="0" t="n">
        <v>233133</v>
      </c>
      <c r="F74" s="0" t="n">
        <v>7872292</v>
      </c>
      <c r="G74" s="0" t="n">
        <v>6822517</v>
      </c>
      <c r="H74" s="0" t="n">
        <v>1049775</v>
      </c>
      <c r="I74" s="0" t="n">
        <v>457857</v>
      </c>
      <c r="K74" s="0" t="n">
        <v>3237973</v>
      </c>
      <c r="L74" s="0" t="n">
        <v>138521</v>
      </c>
      <c r="M74" s="0" t="n">
        <v>3099452</v>
      </c>
      <c r="N74" s="0" t="n">
        <v>56175</v>
      </c>
      <c r="P74" s="0" t="n">
        <v>985934</v>
      </c>
      <c r="Q74" s="0" t="n">
        <v>5032121</v>
      </c>
      <c r="T74" s="0" t="n">
        <v>20</v>
      </c>
      <c r="Y74" s="0" t="s">
        <v>175</v>
      </c>
      <c r="Z74" s="0" t="s">
        <v>81</v>
      </c>
      <c r="AA74" s="0" t="s">
        <v>82</v>
      </c>
    </row>
    <row r="75" customFormat="false" ht="15" hidden="false" customHeight="false" outlineLevel="0" collapsed="false">
      <c r="A75" s="0" t="s">
        <v>163</v>
      </c>
      <c r="B75" s="0" t="n">
        <v>2022</v>
      </c>
      <c r="C75" s="0" t="s">
        <v>78</v>
      </c>
      <c r="D75" s="0" t="s">
        <v>97</v>
      </c>
      <c r="E75" s="0" t="n">
        <v>234593</v>
      </c>
      <c r="F75" s="0" t="n">
        <v>10570678</v>
      </c>
      <c r="G75" s="0" t="n">
        <v>9375531</v>
      </c>
      <c r="H75" s="0" t="n">
        <v>1195147</v>
      </c>
      <c r="I75" s="0" t="n">
        <v>1279758</v>
      </c>
      <c r="J75" s="0" t="n">
        <v>7872292</v>
      </c>
      <c r="K75" s="0" t="n">
        <v>3838805</v>
      </c>
      <c r="L75" s="0" t="n">
        <v>103129</v>
      </c>
      <c r="M75" s="0" t="n">
        <v>3735676</v>
      </c>
      <c r="N75" s="0" t="n">
        <v>61896</v>
      </c>
      <c r="P75" s="0" t="n">
        <v>1042652</v>
      </c>
      <c r="Q75" s="0" t="n">
        <v>5488669</v>
      </c>
      <c r="T75" s="0" t="n">
        <v>19</v>
      </c>
      <c r="Y75" s="0" t="s">
        <v>175</v>
      </c>
      <c r="Z75" s="0" t="s">
        <v>81</v>
      </c>
      <c r="AA75"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176</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177</v>
      </c>
      <c r="T3" s="3" t="s">
        <v>178</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Ecobank Nigeria</v>
      </c>
      <c r="B6" s="0" t="n">
        <f aca="false">Panel_Inputs!B6</f>
        <v>2016</v>
      </c>
      <c r="C6" s="0" t="str">
        <f aca="false">IF(AND(ISNUMBER(Panel_Inputs!F6),ISNUMBER(Panel_Inputs!J6)),IF(AND(Panel_Inputs!F6&gt;0,Panel_Inputs!J6&gt;0),(Panel_Inputs!F6+Panel_Inputs!J6)/2,""),"")</f>
        <v/>
      </c>
      <c r="D6" s="0" t="str">
        <f aca="false">IF(AND(ISNUMBER(Panel_Inputs!E6),ISNUMBER(C6)),IF(C6&gt;0,100*Panel_Inputs!E6/C6,""),"")</f>
        <v/>
      </c>
      <c r="E6" s="0" t="n">
        <f aca="false">IF(AND(ISNUMBER(Panel_Inputs!H6),ISNUMBER(Panel_Inputs!F6)),IF(Panel_Inputs!F6&gt;0,100*Panel_Inputs!H6/Panel_Inputs!F6,""),"")</f>
        <v>12.2076103827309</v>
      </c>
      <c r="F6" s="0" t="str">
        <f aca="false">IF(AND(ISNUMBER(Panel_Inputs!I6),ISNUMBER(C6)),IF(C6&gt;0,100*Panel_Inputs!I6/C6,""),"")</f>
        <v/>
      </c>
      <c r="G6" s="0" t="str">
        <f aca="false">IF(AND(ISNUMBER(Panel_Inputs!L6),ISNUMBER(Panel_Inputs!K6)),IF(Panel_Inputs!K6&gt;0,100*Panel_Inputs!L6/Panel_Inputs!K6,""),"")</f>
        <v/>
      </c>
      <c r="H6" s="0" t="str">
        <f aca="false">IF(AND(ISNUMBER(Panel_Inputs!P6),ISNUMBER(Panel_Inputs!Q6)),IF(Panel_Inputs!Q6&gt;0,100*Panel_Inputs!P6/Panel_Inputs!Q6,""),"")</f>
        <v/>
      </c>
      <c r="I6" s="0" t="str">
        <f aca="false">IF(AND(ISNUMBER(Panel_Inputs!N6),ISNUMBER(C6)),IF(C6&gt;0,100*Panel_Inputs!N6/C6,""),"")</f>
        <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0.319601349845701</v>
      </c>
      <c r="O6" s="0" t="n">
        <f aca="false">IF(AND(ISNUMBER(Panel_Inputs!G6),ISNUMBER(Panel_Inputs!F6)),IF(Panel_Inputs!F6&gt;0,100*Panel_Inputs!G6/Panel_Inputs!F6,""),"")</f>
        <v>87.7923896172691</v>
      </c>
      <c r="P6" s="0" t="n">
        <f aca="false">IF(ISNUMBER(Panel_Inputs!F6),IF(Panel_Inputs!F6&gt;0,LN(Panel_Inputs!F6),""),"")</f>
        <v>14.4080099892062</v>
      </c>
      <c r="Q6" s="0" t="n">
        <f aca="false">IF(AND(ISNUMBER(Panel_Inputs!F6),ISNUMBER(Panel_Inputs!G6),ISNUMBER(Panel_Inputs!H6)),Panel_Inputs!F6-Panel_Inputs!G6-Panel_Inputs!H6,"")</f>
        <v>0</v>
      </c>
      <c r="R6" s="0" t="str">
        <f aca="false">IF(AND(ISNUMBER(Panel_Inputs!K6),ISNUMBER(Panel_Inputs!L6),ISNUMBER(Panel_Inputs!M6)),Panel_Inputs!K6-Panel_Inputs!L6-Panel_Inputs!M6,"")</f>
        <v/>
      </c>
      <c r="S6" s="0" t="str">
        <f aca="false">IF(AND(ISNUMBER(Panel_Inputs!V6),Panel_Inputs!W6=1),Panel_Inputs!V6,"")</f>
        <v/>
      </c>
      <c r="T6" s="0" t="str">
        <f aca="false">IF(AND(ISNUMBER(Panel_Inputs!T6),ISNUMBER(Panel_Inputs!U6)),Panel_Inputs!T6-Panel_Inputs!U6,"")</f>
        <v/>
      </c>
    </row>
    <row r="7" customFormat="false" ht="15" hidden="false" customHeight="false" outlineLevel="0" collapsed="false">
      <c r="A7" s="0" t="str">
        <f aca="false">Panel_Inputs!A7</f>
        <v>Ecobank Nigeria</v>
      </c>
      <c r="B7" s="0" t="n">
        <f aca="false">Panel_Inputs!B7</f>
        <v>2017</v>
      </c>
      <c r="C7" s="0" t="n">
        <f aca="false">IF(AND(ISNUMBER(Panel_Inputs!F7),ISNUMBER(Panel_Inputs!J7)),IF(AND(Panel_Inputs!F7&gt;0,Panel_Inputs!J7&gt;0),(Panel_Inputs!F7+Panel_Inputs!J7)/2,""),"")</f>
        <v>1819132</v>
      </c>
      <c r="D7" s="0" t="n">
        <f aca="false">IF(AND(ISNUMBER(Panel_Inputs!E7),ISNUMBER(C7)),IF(C7&gt;0,100*Panel_Inputs!E7/C7,""),"")</f>
        <v>1.11063957975562</v>
      </c>
      <c r="E7" s="0" t="n">
        <f aca="false">IF(AND(ISNUMBER(Panel_Inputs!H7),ISNUMBER(Panel_Inputs!F7)),IF(Panel_Inputs!F7&gt;0,100*Panel_Inputs!H7/Panel_Inputs!F7,""),"")</f>
        <v>14.6100501650216</v>
      </c>
      <c r="F7" s="0" t="str">
        <f aca="false">IF(AND(ISNUMBER(Panel_Inputs!I7),ISNUMBER(C7)),IF(C7&gt;0,100*Panel_Inputs!I7/C7,""),"")</f>
        <v/>
      </c>
      <c r="G7" s="0" t="str">
        <f aca="false">IF(AND(ISNUMBER(Panel_Inputs!L7),ISNUMBER(Panel_Inputs!K7)),IF(Panel_Inputs!K7&gt;0,100*Panel_Inputs!L7/Panel_Inputs!K7,""),"")</f>
        <v/>
      </c>
      <c r="H7" s="0" t="str">
        <f aca="false">IF(AND(ISNUMBER(Panel_Inputs!P7),ISNUMBER(Panel_Inputs!Q7)),IF(Panel_Inputs!Q7&gt;0,100*Panel_Inputs!P7/Panel_Inputs!Q7,""),"")</f>
        <v/>
      </c>
      <c r="I7" s="0" t="n">
        <f aca="false">IF(AND(ISNUMBER(Panel_Inputs!N7),ISNUMBER(C7)),IF(C7&gt;0,100*Panel_Inputs!N7/C7,""),"")</f>
        <v>3.29283416486544</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1.10418792399663</v>
      </c>
      <c r="O7" s="0" t="n">
        <f aca="false">IF(AND(ISNUMBER(Panel_Inputs!G7),ISNUMBER(Panel_Inputs!F7)),IF(Panel_Inputs!F7&gt;0,100*Panel_Inputs!G7/Panel_Inputs!F7,""),"")</f>
        <v>85.3899498349785</v>
      </c>
      <c r="P7" s="0" t="n">
        <f aca="false">IF(ISNUMBER(Panel_Inputs!F7),IF(Panel_Inputs!F7&gt;0,LN(Panel_Inputs!F7),""),"")</f>
        <v>14.4196959151956</v>
      </c>
      <c r="Q7" s="0" t="n">
        <f aca="false">IF(AND(ISNUMBER(Panel_Inputs!F7),ISNUMBER(Panel_Inputs!G7),ISNUMBER(Panel_Inputs!H7)),Panel_Inputs!F7-Panel_Inputs!G7-Panel_Inputs!H7,"")</f>
        <v>0</v>
      </c>
      <c r="R7" s="0" t="str">
        <f aca="false">IF(AND(ISNUMBER(Panel_Inputs!K7),ISNUMBER(Panel_Inputs!L7),ISNUMBER(Panel_Inputs!M7)),Panel_Inputs!K7-Panel_Inputs!L7-Panel_Inputs!M7,"")</f>
        <v/>
      </c>
      <c r="S7" s="0" t="str">
        <f aca="false">IF(AND(ISNUMBER(Panel_Inputs!V7),Panel_Inputs!W7=1),Panel_Inputs!V7,"")</f>
        <v/>
      </c>
      <c r="T7" s="0" t="str">
        <f aca="false">IF(AND(ISNUMBER(Panel_Inputs!T7),ISNUMBER(Panel_Inputs!U7)),Panel_Inputs!T7-Panel_Inputs!U7,"")</f>
        <v/>
      </c>
    </row>
    <row r="8" customFormat="false" ht="15" hidden="false" customHeight="false" outlineLevel="0" collapsed="false">
      <c r="A8" s="0" t="str">
        <f aca="false">Panel_Inputs!A8</f>
        <v>Fidelity</v>
      </c>
      <c r="B8" s="0" t="n">
        <f aca="false">Panel_Inputs!B8</f>
        <v>2013</v>
      </c>
      <c r="C8" s="0" t="n">
        <f aca="false">IF(AND(ISNUMBER(Panel_Inputs!F8),ISNUMBER(Panel_Inputs!J8)),IF(AND(Panel_Inputs!F8&gt;0,Panel_Inputs!J8&gt;0),(Panel_Inputs!F8+Panel_Inputs!J8)/2,""),"")</f>
        <v>997788.5</v>
      </c>
      <c r="D8" s="0" t="n">
        <f aca="false">IF(AND(ISNUMBER(Panel_Inputs!E8),ISNUMBER(C8)),IF(C8&gt;0,100*Panel_Inputs!E8/C8,""),"")</f>
        <v>0.7738112836538</v>
      </c>
      <c r="E8" s="0" t="n">
        <f aca="false">IF(AND(ISNUMBER(Panel_Inputs!H8),ISNUMBER(Panel_Inputs!F8)),IF(Panel_Inputs!F8&gt;0,100*Panel_Inputs!H8/Panel_Inputs!F8,""),"")</f>
        <v>15.1176868288234</v>
      </c>
      <c r="F8" s="0" t="n">
        <f aca="false">IF(AND(ISNUMBER(Panel_Inputs!I8),ISNUMBER(C8)),IF(C8&gt;0,100*Panel_Inputs!I8/C8,""),"")</f>
        <v>1.50813524108566</v>
      </c>
      <c r="G8" s="0" t="n">
        <f aca="false">IF(AND(ISNUMBER(Panel_Inputs!L8),ISNUMBER(Panel_Inputs!K8)),IF(Panel_Inputs!K8&gt;0,100*Panel_Inputs!L8/Panel_Inputs!K8,""),"")</f>
        <v>3.74405002609291</v>
      </c>
      <c r="H8" s="0" t="str">
        <f aca="false">IF(AND(ISNUMBER(Panel_Inputs!P8),ISNUMBER(Panel_Inputs!Q8)),IF(Panel_Inputs!Q8&gt;0,100*Panel_Inputs!P8/Panel_Inputs!Q8,""),"")</f>
        <v/>
      </c>
      <c r="I8" s="0" t="n">
        <f aca="false">IF(AND(ISNUMBER(Panel_Inputs!N8),ISNUMBER(C8)),IF(C8&gt;0,100*Panel_Inputs!N8/C8,""),"")</f>
        <v>0.764691114399494</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0.714102719435599</v>
      </c>
      <c r="O8" s="0" t="n">
        <f aca="false">IF(AND(ISNUMBER(Panel_Inputs!G8),ISNUMBER(Panel_Inputs!F8)),IF(Panel_Inputs!F8&gt;0,100*Panel_Inputs!G8/Panel_Inputs!F8,""),"")</f>
        <v>84.8823131711766</v>
      </c>
      <c r="P8" s="0" t="n">
        <f aca="false">IF(ISNUMBER(Panel_Inputs!F8),IF(Panel_Inputs!F8&gt;0,LN(Panel_Inputs!F8),""),"")</f>
        <v>13.8935978165313</v>
      </c>
      <c r="Q8" s="0" t="n">
        <f aca="false">IF(AND(ISNUMBER(Panel_Inputs!F8),ISNUMBER(Panel_Inputs!G8),ISNUMBER(Panel_Inputs!H8)),Panel_Inputs!F8-Panel_Inputs!G8-Panel_Inputs!H8,"")</f>
        <v>0</v>
      </c>
      <c r="R8" s="0" t="str">
        <f aca="false">IF(AND(ISNUMBER(Panel_Inputs!K8),ISNUMBER(Panel_Inputs!L8),ISNUMBER(Panel_Inputs!M8)),Panel_Inputs!K8-Panel_Inputs!L8-Panel_Inputs!M8,"")</f>
        <v/>
      </c>
      <c r="S8" s="0" t="str">
        <f aca="false">IF(AND(ISNUMBER(Panel_Inputs!V8),Panel_Inputs!W8=1),Panel_Inputs!V8,"")</f>
        <v/>
      </c>
      <c r="T8" s="0" t="str">
        <f aca="false">IF(AND(ISNUMBER(Panel_Inputs!T8),ISNUMBER(Panel_Inputs!U8)),Panel_Inputs!T8-Panel_Inputs!U8,"")</f>
        <v/>
      </c>
    </row>
    <row r="9" customFormat="false" ht="15" hidden="false" customHeight="false" outlineLevel="0" collapsed="false">
      <c r="A9" s="0" t="str">
        <f aca="false">Panel_Inputs!A9</f>
        <v>Fidelity</v>
      </c>
      <c r="B9" s="0" t="n">
        <f aca="false">Panel_Inputs!B9</f>
        <v>2014</v>
      </c>
      <c r="C9" s="0" t="n">
        <f aca="false">IF(AND(ISNUMBER(Panel_Inputs!F9),ISNUMBER(Panel_Inputs!J9)),IF(AND(Panel_Inputs!F9&gt;0,Panel_Inputs!J9&gt;0),(Panel_Inputs!F9+Panel_Inputs!J9)/2,""),"")</f>
        <v>1134121</v>
      </c>
      <c r="D9" s="0" t="n">
        <f aca="false">IF(AND(ISNUMBER(Panel_Inputs!E9),ISNUMBER(C9)),IF(C9&gt;0,100*Panel_Inputs!E9/C9,""),"")</f>
        <v>1.21644868581042</v>
      </c>
      <c r="E9" s="0" t="n">
        <f aca="false">IF(AND(ISNUMBER(Panel_Inputs!H9),ISNUMBER(Panel_Inputs!F9)),IF(Panel_Inputs!F9&gt;0,100*Panel_Inputs!H9/Panel_Inputs!F9,""),"")</f>
        <v>14.5836018617974</v>
      </c>
      <c r="F9" s="0" t="n">
        <f aca="false">IF(AND(ISNUMBER(Panel_Inputs!I9),ISNUMBER(C9)),IF(C9&gt;0,100*Panel_Inputs!I9/C9,""),"")</f>
        <v>4.72304101590571</v>
      </c>
      <c r="G9" s="0" t="n">
        <f aca="false">IF(AND(ISNUMBER(Panel_Inputs!L9),ISNUMBER(Panel_Inputs!K9)),IF(Panel_Inputs!K9&gt;0,100*Panel_Inputs!L9/Panel_Inputs!K9,""),"")</f>
        <v>3.12105977604773</v>
      </c>
      <c r="H9" s="0" t="n">
        <f aca="false">IF(AND(ISNUMBER(Panel_Inputs!P9),ISNUMBER(Panel_Inputs!Q9)),IF(Panel_Inputs!Q9&gt;0,100*Panel_Inputs!P9/Panel_Inputs!Q9,""),"")</f>
        <v>24.2093077890319</v>
      </c>
      <c r="I9" s="0" t="n">
        <f aca="false">IF(AND(ISNUMBER(Panel_Inputs!N9),ISNUMBER(C9)),IF(C9&gt;0,100*Panel_Inputs!N9/C9,""),"")</f>
        <v>0.379677300746569</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1.16223331437838</v>
      </c>
      <c r="O9" s="0" t="n">
        <f aca="false">IF(AND(ISNUMBER(Panel_Inputs!G9),ISNUMBER(Panel_Inputs!F9)),IF(Panel_Inputs!F9&gt;0,100*Panel_Inputs!G9/Panel_Inputs!F9,""),"")</f>
        <v>85.4163981382027</v>
      </c>
      <c r="P9" s="0" t="n">
        <f aca="false">IF(ISNUMBER(Panel_Inputs!F9),IF(Panel_Inputs!F9&gt;0,LN(Panel_Inputs!F9),""),"")</f>
        <v>13.9869607348696</v>
      </c>
      <c r="Q9" s="0" t="n">
        <f aca="false">IF(AND(ISNUMBER(Panel_Inputs!F9),ISNUMBER(Panel_Inputs!G9),ISNUMBER(Panel_Inputs!H9)),Panel_Inputs!F9-Panel_Inputs!G9-Panel_Inputs!H9,"")</f>
        <v>0</v>
      </c>
      <c r="R9" s="0" t="n">
        <f aca="false">IF(AND(ISNUMBER(Panel_Inputs!K9),ISNUMBER(Panel_Inputs!L9),ISNUMBER(Panel_Inputs!M9)),Panel_Inputs!K9-Panel_Inputs!L9-Panel_Inputs!M9,"")</f>
        <v>0</v>
      </c>
      <c r="S9" s="0" t="str">
        <f aca="false">IF(AND(ISNUMBER(Panel_Inputs!V9),Panel_Inputs!W9=1),Panel_Inputs!V9,"")</f>
        <v/>
      </c>
      <c r="T9" s="0" t="n">
        <f aca="false">IF(AND(ISNUMBER(Panel_Inputs!T9),ISNUMBER(Panel_Inputs!U9)),Panel_Inputs!T9-Panel_Inputs!U9,"")</f>
        <v>9.21</v>
      </c>
    </row>
    <row r="10" customFormat="false" ht="15" hidden="false" customHeight="false" outlineLevel="0" collapsed="false">
      <c r="A10" s="0" t="str">
        <f aca="false">Panel_Inputs!A10</f>
        <v>Fidelity</v>
      </c>
      <c r="B10" s="0" t="n">
        <f aca="false">Panel_Inputs!B10</f>
        <v>2015</v>
      </c>
      <c r="C10" s="0" t="n">
        <f aca="false">IF(AND(ISNUMBER(Panel_Inputs!F10),ISNUMBER(Panel_Inputs!J10)),IF(AND(Panel_Inputs!F10&gt;0,Panel_Inputs!J10&gt;0),(Panel_Inputs!F10+Panel_Inputs!J10)/2,""),"")</f>
        <v>1209373.5</v>
      </c>
      <c r="D10" s="0" t="n">
        <f aca="false">IF(AND(ISNUMBER(Panel_Inputs!E10),ISNUMBER(C10)),IF(C10&gt;0,100*Panel_Inputs!E10/C10,""),"")</f>
        <v>1.14968618048932</v>
      </c>
      <c r="E10" s="0" t="n">
        <f aca="false">IF(AND(ISNUMBER(Panel_Inputs!H10),ISNUMBER(Panel_Inputs!F10)),IF(Panel_Inputs!F10&gt;0,100*Panel_Inputs!H10/Panel_Inputs!F10,""),"")</f>
        <v>14.8991412023168</v>
      </c>
      <c r="F10" s="0" t="n">
        <f aca="false">IF(AND(ISNUMBER(Panel_Inputs!I10),ISNUMBER(C10)),IF(C10&gt;0,100*Panel_Inputs!I10/C10,""),"")</f>
        <v>8.85847093557119</v>
      </c>
      <c r="G10" s="0" t="n">
        <f aca="false">IF(AND(ISNUMBER(Panel_Inputs!L10),ISNUMBER(Panel_Inputs!K10)),IF(Panel_Inputs!K10&gt;0,100*Panel_Inputs!L10/Panel_Inputs!K10,""),"")</f>
        <v>3.46857480575247</v>
      </c>
      <c r="H10" s="0" t="n">
        <f aca="false">IF(AND(ISNUMBER(Panel_Inputs!P10),ISNUMBER(Panel_Inputs!Q10)),IF(Panel_Inputs!Q10&gt;0,100*Panel_Inputs!P10/Panel_Inputs!Q10,""),"")</f>
        <v>18.9311524392774</v>
      </c>
      <c r="I10" s="0" t="n">
        <f aca="false">IF(AND(ISNUMBER(Panel_Inputs!N10),ISNUMBER(C10)),IF(C10&gt;0,100*Panel_Inputs!N10/C10,""),"")</f>
        <v>0.476610410266142</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1.1288261474586</v>
      </c>
      <c r="O10" s="0" t="n">
        <f aca="false">IF(AND(ISNUMBER(Panel_Inputs!G10),ISNUMBER(Panel_Inputs!F10)),IF(Panel_Inputs!F10&gt;0,100*Panel_Inputs!G10/Panel_Inputs!F10,""),"")</f>
        <v>85.1008587976832</v>
      </c>
      <c r="P10" s="0" t="n">
        <f aca="false">IF(ISNUMBER(Panel_Inputs!F10),IF(Panel_Inputs!F10&gt;0,LN(Panel_Inputs!F10),""),"")</f>
        <v>14.0239237482623</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-1</v>
      </c>
      <c r="S10" s="0" t="str">
        <f aca="false">IF(AND(ISNUMBER(Panel_Inputs!V10),Panel_Inputs!W10=1),Panel_Inputs!V10,"")</f>
        <v/>
      </c>
      <c r="T10" s="0" t="n">
        <f aca="false">IF(AND(ISNUMBER(Panel_Inputs!T10),ISNUMBER(Panel_Inputs!U10)),Panel_Inputs!T10-Panel_Inputs!U10,"")</f>
        <v>4</v>
      </c>
    </row>
    <row r="11" customFormat="false" ht="15" hidden="false" customHeight="false" outlineLevel="0" collapsed="false">
      <c r="A11" s="0" t="str">
        <f aca="false">Panel_Inputs!A11</f>
        <v>Fidelity</v>
      </c>
      <c r="B11" s="0" t="n">
        <f aca="false">Panel_Inputs!B11</f>
        <v>2016</v>
      </c>
      <c r="C11" s="0" t="n">
        <f aca="false">IF(AND(ISNUMBER(Panel_Inputs!F11),ISNUMBER(Panel_Inputs!J11)),IF(AND(Panel_Inputs!F11&gt;0,Panel_Inputs!J11&gt;0),(Panel_Inputs!F11+Panel_Inputs!J11)/2,""),"")</f>
        <v>1264931.5</v>
      </c>
      <c r="D11" s="0" t="n">
        <f aca="false">IF(AND(ISNUMBER(Panel_Inputs!E11),ISNUMBER(C11)),IF(C11&gt;0,100*Panel_Inputs!E11/C11,""),"")</f>
        <v>0.76952783609231</v>
      </c>
      <c r="E11" s="0" t="n">
        <f aca="false">IF(AND(ISNUMBER(Panel_Inputs!H11),ISNUMBER(Panel_Inputs!F11)),IF(Panel_Inputs!F11&gt;0,100*Panel_Inputs!H11/Panel_Inputs!F11,""),"")</f>
        <v>14.2821157331908</v>
      </c>
      <c r="F11" s="0" t="n">
        <f aca="false">IF(AND(ISNUMBER(Panel_Inputs!I11),ISNUMBER(C11)),IF(C11&gt;0,100*Panel_Inputs!I11/C11,""),"")</f>
        <v>-4.49882068712812</v>
      </c>
      <c r="G11" s="0" t="n">
        <f aca="false">IF(AND(ISNUMBER(Panel_Inputs!L11),ISNUMBER(Panel_Inputs!K11)),IF(Panel_Inputs!K11&gt;0,100*Panel_Inputs!L11/Panel_Inputs!K11,""),"")</f>
        <v>3.32638066530305</v>
      </c>
      <c r="H11" s="0" t="n">
        <f aca="false">IF(AND(ISNUMBER(Panel_Inputs!P11),ISNUMBER(Panel_Inputs!Q11)),IF(Panel_Inputs!Q11&gt;0,100*Panel_Inputs!P11/Panel_Inputs!Q11,""),"")</f>
        <v>17.2995050331296</v>
      </c>
      <c r="I11" s="0" t="n">
        <f aca="false">IF(AND(ISNUMBER(Panel_Inputs!N11),ISNUMBER(C11)),IF(C11&gt;0,100*Panel_Inputs!N11/C11,""),"")</f>
        <v>0.685491664963676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0.749841504120123</v>
      </c>
      <c r="O11" s="0" t="n">
        <f aca="false">IF(AND(ISNUMBER(Panel_Inputs!G11),ISNUMBER(Panel_Inputs!F11)),IF(Panel_Inputs!F11&gt;0,100*Panel_Inputs!G11/Panel_Inputs!F11,""),"")</f>
        <v>85.7178842668092</v>
      </c>
      <c r="P11" s="0" t="n">
        <f aca="false">IF(ISNUMBER(Panel_Inputs!F11),IF(Panel_Inputs!F11&gt;0,LN(Panel_Inputs!F11),""),"")</f>
        <v>14.076443799006</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2.22</v>
      </c>
    </row>
    <row r="12" customFormat="false" ht="15" hidden="false" customHeight="false" outlineLevel="0" collapsed="false">
      <c r="A12" s="0" t="str">
        <f aca="false">Panel_Inputs!A12</f>
        <v>Fidelity</v>
      </c>
      <c r="B12" s="0" t="n">
        <f aca="false">Panel_Inputs!B12</f>
        <v>2017</v>
      </c>
      <c r="C12" s="0" t="n">
        <f aca="false">IF(AND(ISNUMBER(Panel_Inputs!F12),ISNUMBER(Panel_Inputs!J12)),IF(AND(Panel_Inputs!F12&gt;0,Panel_Inputs!J12&gt;0),(Panel_Inputs!F12+Panel_Inputs!J12)/2,""),"")</f>
        <v>1338677.5</v>
      </c>
      <c r="D12" s="0" t="n">
        <f aca="false">IF(AND(ISNUMBER(Panel_Inputs!E12),ISNUMBER(C12)),IF(C12&gt;0,100*Panel_Inputs!E12/C12,""),"")</f>
        <v>1.40862903873412</v>
      </c>
      <c r="E12" s="0" t="n">
        <f aca="false">IF(AND(ISNUMBER(Panel_Inputs!H12),ISNUMBER(Panel_Inputs!F12)),IF(Panel_Inputs!F12&gt;0,100*Panel_Inputs!H12/Panel_Inputs!F12,""),"")</f>
        <v>14.7413671844978</v>
      </c>
      <c r="F12" s="0" t="n">
        <f aca="false">IF(AND(ISNUMBER(Panel_Inputs!I12),ISNUMBER(C12)),IF(C12&gt;0,100*Panel_Inputs!I12/C12,""),"")</f>
        <v>-2.84056466176506</v>
      </c>
      <c r="G12" s="0" t="n">
        <f aca="false">IF(AND(ISNUMBER(Panel_Inputs!L12),ISNUMBER(Panel_Inputs!K12)),IF(Panel_Inputs!K12&gt;0,100*Panel_Inputs!L12/Panel_Inputs!K12,""),"")</f>
        <v>3.34182053651698</v>
      </c>
      <c r="H12" s="0" t="n">
        <f aca="false">IF(AND(ISNUMBER(Panel_Inputs!P12),ISNUMBER(Panel_Inputs!Q12)),IF(Panel_Inputs!Q12&gt;0,100*Panel_Inputs!P12/Panel_Inputs!Q12,""),"")</f>
        <v>16.0299646223675</v>
      </c>
      <c r="I12" s="0" t="n">
        <f aca="false">IF(AND(ISNUMBER(Panel_Inputs!N12),ISNUMBER(C12)),IF(C12&gt;0,100*Panel_Inputs!N12/C12,""),"")</f>
        <v>0.84523718371303</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1.36722800087586</v>
      </c>
      <c r="O12" s="0" t="n">
        <f aca="false">IF(AND(ISNUMBER(Panel_Inputs!G12),ISNUMBER(Panel_Inputs!F12)),IF(Panel_Inputs!F12&gt;0,100*Panel_Inputs!G12/Panel_Inputs!F12,""),"")</f>
        <v>85.2586328155022</v>
      </c>
      <c r="P12" s="0" t="n">
        <f aca="false">IF(ISNUMBER(Panel_Inputs!F12),IF(Panel_Inputs!F12&gt;0,LN(Panel_Inputs!F12),""),"")</f>
        <v>14.1370243296521</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v>
      </c>
      <c r="S12" s="0" t="str">
        <f aca="false">IF(AND(ISNUMBER(Panel_Inputs!V12),Panel_Inputs!W12=1),Panel_Inputs!V12,"")</f>
        <v/>
      </c>
      <c r="T12" s="0" t="n">
        <f aca="false">IF(AND(ISNUMBER(Panel_Inputs!T12),ISNUMBER(Panel_Inputs!U12)),Panel_Inputs!T12-Panel_Inputs!U12,"")</f>
        <v>1.03</v>
      </c>
    </row>
    <row r="13" customFormat="false" ht="15" hidden="false" customHeight="false" outlineLevel="0" collapsed="false">
      <c r="A13" s="0" t="str">
        <f aca="false">Panel_Inputs!A13</f>
        <v>Fidelity</v>
      </c>
      <c r="B13" s="0" t="n">
        <f aca="false">Panel_Inputs!B13</f>
        <v>2018</v>
      </c>
      <c r="C13" s="0" t="str">
        <f aca="false">IF(AND(ISNUMBER(Panel_Inputs!F13),ISNUMBER(Panel_Inputs!J13)),IF(AND(Panel_Inputs!F13&gt;0,Panel_Inputs!J13&gt;0),(Panel_Inputs!F13+Panel_Inputs!J13)/2,""),"")</f>
        <v/>
      </c>
      <c r="D13" s="0" t="str">
        <f aca="false">IF(AND(ISNUMBER(Panel_Inputs!E13),ISNUMBER(C13)),IF(C13&gt;0,100*Panel_Inputs!E13/C13,""),"")</f>
        <v/>
      </c>
      <c r="E13" s="0" t="n">
        <f aca="false">IF(AND(ISNUMBER(Panel_Inputs!H13),ISNUMBER(Panel_Inputs!F13)),IF(Panel_Inputs!F13&gt;0,100*Panel_Inputs!H13/Panel_Inputs!F13,""),"")</f>
        <v>11.3040247505208</v>
      </c>
      <c r="F13" s="0" t="str">
        <f aca="false">IF(AND(ISNUMBER(Panel_Inputs!I13),ISNUMBER(C13)),IF(C13&gt;0,100*Panel_Inputs!I13/C13,""),"")</f>
        <v/>
      </c>
      <c r="G13" s="0" t="str">
        <f aca="false">IF(AND(ISNUMBER(Panel_Inputs!L13),ISNUMBER(Panel_Inputs!K13)),IF(Panel_Inputs!K13&gt;0,100*Panel_Inputs!L13/Panel_Inputs!K13,""),"")</f>
        <v/>
      </c>
      <c r="H13" s="0" t="str">
        <f aca="false">IF(AND(ISNUMBER(Panel_Inputs!P13),ISNUMBER(Panel_Inputs!Q13)),IF(Panel_Inputs!Q13&gt;0,100*Panel_Inputs!P13/Panel_Inputs!Q13,""),"")</f>
        <v/>
      </c>
      <c r="I13" s="0" t="str">
        <f aca="false">IF(AND(ISNUMBER(Panel_Inputs!N13),ISNUMBER(C13)),IF(C13&gt;0,100*Panel_Inputs!N13/C13,""),"")</f>
        <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1.33299765158444</v>
      </c>
      <c r="O13" s="0" t="n">
        <f aca="false">IF(AND(ISNUMBER(Panel_Inputs!G13),ISNUMBER(Panel_Inputs!F13)),IF(Panel_Inputs!F13&gt;0,100*Panel_Inputs!G13/Panel_Inputs!F13,""),"")</f>
        <v>88.6959752494792</v>
      </c>
      <c r="P13" s="0" t="n">
        <f aca="false">IF(ISNUMBER(Panel_Inputs!F13),IF(Panel_Inputs!F13&gt;0,LN(Panel_Inputs!F13),""),"")</f>
        <v>14.3577668232201</v>
      </c>
      <c r="Q13" s="0" t="n">
        <f aca="false">IF(AND(ISNUMBER(Panel_Inputs!F13),ISNUMBER(Panel_Inputs!G13),ISNUMBER(Panel_Inputs!H13)),Panel_Inputs!F13-Panel_Inputs!G13-Panel_Inputs!H13,"")</f>
        <v>0</v>
      </c>
      <c r="R13" s="0" t="str">
        <f aca="false">IF(AND(ISNUMBER(Panel_Inputs!K13),ISNUMBER(Panel_Inputs!L13),ISNUMBER(Panel_Inputs!M13)),Panel_Inputs!K13-Panel_Inputs!L13-Panel_Inputs!M13,"")</f>
        <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Fidelity</v>
      </c>
      <c r="B14" s="0" t="n">
        <f aca="false">Panel_Inputs!B14</f>
        <v>2019</v>
      </c>
      <c r="C14" s="0" t="n">
        <f aca="false">IF(AND(ISNUMBER(Panel_Inputs!F14),ISNUMBER(Panel_Inputs!J14)),IF(AND(Panel_Inputs!F14&gt;0,Panel_Inputs!J14&gt;0),(Panel_Inputs!F14+Panel_Inputs!J14)/2,""),"")</f>
        <v>1916960</v>
      </c>
      <c r="D14" s="0" t="n">
        <f aca="false">IF(AND(ISNUMBER(Panel_Inputs!E14),ISNUMBER(C14)),IF(C14&gt;0,100*Panel_Inputs!E14/C14,""),"")</f>
        <v>1.48281654285953</v>
      </c>
      <c r="E14" s="0" t="n">
        <f aca="false">IF(AND(ISNUMBER(Panel_Inputs!H14),ISNUMBER(Panel_Inputs!F14)),IF(Panel_Inputs!F14&gt;0,100*Panel_Inputs!H14/Panel_Inputs!F14,""),"")</f>
        <v>11.0702887413986</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n">
        <f aca="false">IF(AND(ISNUMBER(Panel_Inputs!N14),ISNUMBER(C14)),IF(C14&gt;0,100*Panel_Inputs!N14/C14,""),"")</f>
        <v>-0.276062098322344</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1.3445838459781</v>
      </c>
      <c r="O14" s="0" t="n">
        <f aca="false">IF(AND(ISNUMBER(Panel_Inputs!G14),ISNUMBER(Panel_Inputs!F14)),IF(Panel_Inputs!F14&gt;0,100*Panel_Inputs!G14/Panel_Inputs!F14,""),"")</f>
        <v>88.9297112586014</v>
      </c>
      <c r="P14" s="0" t="n">
        <f aca="false">IF(ISNUMBER(Panel_Inputs!F14),IF(Panel_Inputs!F14&gt;0,LN(Panel_Inputs!F14),""),"")</f>
        <v>14.5641099476243</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Fidelity</v>
      </c>
      <c r="B15" s="0" t="n">
        <f aca="false">Panel_Inputs!B15</f>
        <v>2020</v>
      </c>
      <c r="C15" s="0" t="n">
        <f aca="false">IF(AND(ISNUMBER(Panel_Inputs!F15),ISNUMBER(Panel_Inputs!J15)),IF(AND(Panel_Inputs!F15&gt;0,Panel_Inputs!J15&gt;0),(Panel_Inputs!F15+Panel_Inputs!J15)/2,""),"")</f>
        <v>2436092.5</v>
      </c>
      <c r="D15" s="0" t="n">
        <f aca="false">IF(AND(ISNUMBER(Panel_Inputs!E15),ISNUMBER(C15)),IF(C15&gt;0,100*Panel_Inputs!E15/C15,""),"")</f>
        <v>1.09396502801105</v>
      </c>
      <c r="E15" s="0" t="n">
        <f aca="false">IF(AND(ISNUMBER(Panel_Inputs!H15),ISNUMBER(Panel_Inputs!F15)),IF(Panel_Inputs!F15&gt;0,100*Panel_Inputs!H15/Panel_Inputs!F15,""),"")</f>
        <v>9.91727057431291</v>
      </c>
      <c r="F15" s="0" t="n">
        <f aca="false">IF(AND(ISNUMBER(Panel_Inputs!I15),ISNUMBER(C15)),IF(C15&gt;0,100*Panel_Inputs!I15/C15,""),"")</f>
        <v>9.95935088671715</v>
      </c>
      <c r="G15" s="0" t="n">
        <f aca="false">IF(AND(ISNUMBER(Panel_Inputs!L15),ISNUMBER(Panel_Inputs!K15)),IF(Panel_Inputs!K15&gt;0,100*Panel_Inputs!L15/Panel_Inputs!K15,""),"")</f>
        <v>4.84477879255811</v>
      </c>
      <c r="H15" s="0" t="n">
        <f aca="false">IF(AND(ISNUMBER(Panel_Inputs!P15),ISNUMBER(Panel_Inputs!Q15)),IF(Panel_Inputs!Q15&gt;0,100*Panel_Inputs!P15/Panel_Inputs!Q15,""),"")</f>
        <v>18.1829577581441</v>
      </c>
      <c r="I15" s="0" t="n">
        <f aca="false">IF(AND(ISNUMBER(Panel_Inputs!N15),ISNUMBER(C15)),IF(C15&gt;0,100*Panel_Inputs!N15/C15,""),"")</f>
        <v>0.692009847737719</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0.966228063178626</v>
      </c>
      <c r="O15" s="0" t="n">
        <f aca="false">IF(AND(ISNUMBER(Panel_Inputs!G15),ISNUMBER(Panel_Inputs!F15)),IF(Panel_Inputs!F15&gt;0,100*Panel_Inputs!G15/Panel_Inputs!F15,""),"")</f>
        <v>90.0827294256871</v>
      </c>
      <c r="P15" s="0" t="n">
        <f aca="false">IF(ISNUMBER(Panel_Inputs!F15),IF(Panel_Inputs!F15&gt;0,LN(Panel_Inputs!F15),""),"")</f>
        <v>14.8300699979696</v>
      </c>
      <c r="Q15" s="0" t="n">
        <f aca="false">IF(AND(ISNUMBER(Panel_Inputs!F15),ISNUMBER(Panel_Inputs!G15),ISNUMBER(Panel_Inputs!H15)),Panel_Inputs!F15-Panel_Inputs!G15-Panel_Inputs!H15,"")</f>
        <v>0</v>
      </c>
      <c r="R15" s="0" t="n">
        <f aca="false">IF(AND(ISNUMBER(Panel_Inputs!K15),ISNUMBER(Panel_Inputs!L15),ISNUMBER(Panel_Inputs!M15)),Panel_Inputs!K15-Panel_Inputs!L15-Panel_Inputs!M15,"")</f>
        <v>0</v>
      </c>
      <c r="S15" s="0" t="str">
        <f aca="false">IF(AND(ISNUMBER(Panel_Inputs!V15),Panel_Inputs!W15=1),Panel_Inputs!V15,"")</f>
        <v/>
      </c>
      <c r="T15" s="0" t="n">
        <f aca="false">IF(AND(ISNUMBER(Panel_Inputs!T15),ISNUMBER(Panel_Inputs!U15)),Panel_Inputs!T15-Panel_Inputs!U15,"")</f>
        <v>3.18</v>
      </c>
    </row>
    <row r="16" customFormat="false" ht="15" hidden="false" customHeight="false" outlineLevel="0" collapsed="false">
      <c r="A16" s="0" t="str">
        <f aca="false">Panel_Inputs!A16</f>
        <v>Fidelity</v>
      </c>
      <c r="B16" s="0" t="n">
        <f aca="false">Panel_Inputs!B16</f>
        <v>2021</v>
      </c>
      <c r="C16" s="0" t="str">
        <f aca="false">IF(AND(ISNUMBER(Panel_Inputs!F16),ISNUMBER(Panel_Inputs!J16)),IF(AND(Panel_Inputs!F16&gt;0,Panel_Inputs!J16&gt;0),(Panel_Inputs!F16+Panel_Inputs!J16)/2,""),"")</f>
        <v/>
      </c>
      <c r="D16" s="0" t="str">
        <f aca="false">IF(AND(ISNUMBER(Panel_Inputs!E16),ISNUMBER(C16)),IF(C16&gt;0,100*Panel_Inputs!E16/C16,""),"")</f>
        <v/>
      </c>
      <c r="E16" s="0" t="n">
        <f aca="false">IF(AND(ISNUMBER(Panel_Inputs!H16),ISNUMBER(Panel_Inputs!F16)),IF(Panel_Inputs!F16&gt;0,100*Panel_Inputs!H16/Panel_Inputs!F16,""),"")</f>
        <v>8.69678404269653</v>
      </c>
      <c r="F16" s="0" t="str">
        <f aca="false">IF(AND(ISNUMBER(Panel_Inputs!I16),ISNUMBER(C16)),IF(C16&gt;0,100*Panel_Inputs!I16/C16,""),"")</f>
        <v/>
      </c>
      <c r="G16" s="0" t="n">
        <f aca="false">IF(AND(ISNUMBER(Panel_Inputs!L16),ISNUMBER(Panel_Inputs!K16)),IF(Panel_Inputs!K16&gt;0,100*Panel_Inputs!L16/Panel_Inputs!K16,""),"")</f>
        <v>4.27873940213894</v>
      </c>
      <c r="H16" s="0" t="n">
        <f aca="false">IF(AND(ISNUMBER(Panel_Inputs!P16),ISNUMBER(Panel_Inputs!Q16)),IF(Panel_Inputs!Q16&gt;0,100*Panel_Inputs!P16/Panel_Inputs!Q16,""),"")</f>
        <v>19.1471007819367</v>
      </c>
      <c r="I16" s="0" t="str">
        <f aca="false">IF(AND(ISNUMBER(Panel_Inputs!N16),ISNUMBER(C16)),IF(C16&gt;0,100*Panel_Inputs!N16/C16,""),"")</f>
        <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0.704292759477804</v>
      </c>
      <c r="O16" s="0" t="n">
        <f aca="false">IF(AND(ISNUMBER(Panel_Inputs!G16),ISNUMBER(Panel_Inputs!F16)),IF(Panel_Inputs!F16&gt;0,100*Panel_Inputs!G16/Panel_Inputs!F16,""),"")</f>
        <v>91.3032159573035</v>
      </c>
      <c r="P16" s="0" t="n">
        <f aca="false">IF(ISNUMBER(Panel_Inputs!F16),IF(Panel_Inputs!F16&gt;0,LN(Panel_Inputs!F16),""),"")</f>
        <v>15.0034923854161</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n">
        <f aca="false">IF(AND(ISNUMBER(Panel_Inputs!T16),ISNUMBER(Panel_Inputs!U16)),Panel_Inputs!T16-Panel_Inputs!U16,"")</f>
        <v>4.15</v>
      </c>
    </row>
    <row r="17" customFormat="false" ht="15" hidden="false" customHeight="false" outlineLevel="0" collapsed="false">
      <c r="A17" s="0" t="str">
        <f aca="false">Panel_Inputs!A17</f>
        <v>Fidelity</v>
      </c>
      <c r="B17" s="0" t="n">
        <f aca="false">Panel_Inputs!B17</f>
        <v>2022</v>
      </c>
      <c r="C17" s="0" t="n">
        <f aca="false">IF(AND(ISNUMBER(Panel_Inputs!F17),ISNUMBER(Panel_Inputs!J17)),IF(AND(Panel_Inputs!F17&gt;0,Panel_Inputs!J17&gt;0),(Panel_Inputs!F17+Panel_Inputs!J17)/2,""),"")</f>
        <v>3634731.5</v>
      </c>
      <c r="D17" s="0" t="n">
        <f aca="false">IF(AND(ISNUMBER(Panel_Inputs!E17),ISNUMBER(C17)),IF(C17&gt;0,100*Panel_Inputs!E17/C17,""),"")</f>
        <v>1.28548697476003</v>
      </c>
      <c r="E17" s="0" t="n">
        <f aca="false">IF(AND(ISNUMBER(Panel_Inputs!H17),ISNUMBER(Panel_Inputs!F17)),IF(Panel_Inputs!F17&gt;0,100*Panel_Inputs!H17/Panel_Inputs!F17,""),"")</f>
        <v>7.88065406721319</v>
      </c>
      <c r="F17" s="0" t="n">
        <f aca="false">IF(AND(ISNUMBER(Panel_Inputs!I17),ISNUMBER(C17)),IF(C17&gt;0,100*Panel_Inputs!I17/C17,""),"")</f>
        <v>8.18745483676029</v>
      </c>
      <c r="G17" s="0" t="n">
        <f aca="false">IF(AND(ISNUMBER(Panel_Inputs!L17),ISNUMBER(Panel_Inputs!K17)),IF(Panel_Inputs!K17&gt;0,100*Panel_Inputs!L17/Panel_Inputs!K17,""),"")</f>
        <v>3.66667273621151</v>
      </c>
      <c r="H17" s="0" t="n">
        <f aca="false">IF(AND(ISNUMBER(Panel_Inputs!P17),ISNUMBER(Panel_Inputs!Q17)),IF(Panel_Inputs!Q17&gt;0,100*Panel_Inputs!P17/Panel_Inputs!Q17,""),"")</f>
        <v>18.1421782771385</v>
      </c>
      <c r="I17" s="0" t="n">
        <f aca="false">IF(AND(ISNUMBER(Panel_Inputs!N17),ISNUMBER(C17)),IF(C17&gt;0,100*Panel_Inputs!N17/C17,""),"")</f>
        <v>0.149749713286937</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1.17131849038195</v>
      </c>
      <c r="O17" s="0" t="n">
        <f aca="false">IF(AND(ISNUMBER(Panel_Inputs!G17),ISNUMBER(Panel_Inputs!F17)),IF(Panel_Inputs!F17&gt;0,100*Panel_Inputs!G17/Panel_Inputs!F17,""),"")</f>
        <v>92.1193459327868</v>
      </c>
      <c r="P17" s="0" t="n">
        <f aca="false">IF(ISNUMBER(Panel_Inputs!F17),IF(Panel_Inputs!F17&gt;0,LN(Panel_Inputs!F17),""),"")</f>
        <v>15.1990533870896</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0</v>
      </c>
      <c r="S17" s="0" t="str">
        <f aca="false">IF(AND(ISNUMBER(Panel_Inputs!V17),Panel_Inputs!W17=1),Panel_Inputs!V17,"")</f>
        <v/>
      </c>
      <c r="T17" s="0" t="n">
        <f aca="false">IF(AND(ISNUMBER(Panel_Inputs!T17),ISNUMBER(Panel_Inputs!U17)),Panel_Inputs!T17-Panel_Inputs!U17,"")</f>
        <v>3.14</v>
      </c>
    </row>
    <row r="18" customFormat="false" ht="15" hidden="false" customHeight="false" outlineLevel="0" collapsed="false">
      <c r="A18" s="0" t="str">
        <f aca="false">Panel_Inputs!A18</f>
        <v>First Bank</v>
      </c>
      <c r="B18" s="0" t="n">
        <f aca="false">Panel_Inputs!B18</f>
        <v>2013</v>
      </c>
      <c r="C18" s="0" t="str">
        <f aca="false">IF(AND(ISNUMBER(Panel_Inputs!F18),ISNUMBER(Panel_Inputs!J18)),IF(AND(Panel_Inputs!F18&gt;0,Panel_Inputs!J18&gt;0),(Panel_Inputs!F18+Panel_Inputs!J18)/2,""),"")</f>
        <v/>
      </c>
      <c r="D18" s="0" t="str">
        <f aca="false">IF(AND(ISNUMBER(Panel_Inputs!E18),ISNUMBER(C18)),IF(C18&gt;0,100*Panel_Inputs!E18/C18,""),"")</f>
        <v/>
      </c>
      <c r="E18" s="0" t="n">
        <f aca="false">IF(AND(ISNUMBER(Panel_Inputs!H18),ISNUMBER(Panel_Inputs!F18)),IF(Panel_Inputs!F18&gt;0,100*Panel_Inputs!H18/Panel_Inputs!F18,""),"")</f>
        <v>10.8024169441126</v>
      </c>
      <c r="F18" s="0" t="str">
        <f aca="false">IF(AND(ISNUMBER(Panel_Inputs!I18),ISNUMBER(C18)),IF(C18&gt;0,100*Panel_Inputs!I18/C18,""),"")</f>
        <v/>
      </c>
      <c r="G18" s="0" t="n">
        <f aca="false">IF(AND(ISNUMBER(Panel_Inputs!L18),ISNUMBER(Panel_Inputs!K18)),IF(Panel_Inputs!K18&gt;0,100*Panel_Inputs!L18/Panel_Inputs!K18,""),"")</f>
        <v>2.73538759628533</v>
      </c>
      <c r="H18" s="0" t="str">
        <f aca="false">IF(AND(ISNUMBER(Panel_Inputs!P18),ISNUMBER(Panel_Inputs!Q18)),IF(Panel_Inputs!Q18&gt;0,100*Panel_Inputs!P18/Panel_Inputs!Q18,""),"")</f>
        <v/>
      </c>
      <c r="I18" s="0" t="str">
        <f aca="false">IF(AND(ISNUMBER(Panel_Inputs!N18),ISNUMBER(C18)),IF(C18&gt;0,100*Panel_Inputs!N18/C18,""),"")</f>
        <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1.82854013409192</v>
      </c>
      <c r="O18" s="0" t="n">
        <f aca="false">IF(AND(ISNUMBER(Panel_Inputs!G18),ISNUMBER(Panel_Inputs!F18)),IF(Panel_Inputs!F18&gt;0,100*Panel_Inputs!G18/Panel_Inputs!F18,""),"")</f>
        <v>89.1975830558875</v>
      </c>
      <c r="P18" s="0" t="n">
        <f aca="false">IF(ISNUMBER(Panel_Inputs!F18),IF(Panel_Inputs!F18&gt;0,LN(Panel_Inputs!F18),""),"")</f>
        <v>14.9931123845327</v>
      </c>
      <c r="Q18" s="0" t="n">
        <f aca="false">IF(AND(ISNUMBER(Panel_Inputs!F18),ISNUMBER(Panel_Inputs!G18),ISNUMBER(Panel_Inputs!H18)),Panel_Inputs!F18-Panel_Inputs!G18-Panel_Inputs!H18,"")</f>
        <v>0</v>
      </c>
      <c r="R18" s="0" t="str">
        <f aca="false">IF(AND(ISNUMBER(Panel_Inputs!K18),ISNUMBER(Panel_Inputs!L18),ISNUMBER(Panel_Inputs!M18)),Panel_Inputs!K18-Panel_Inputs!L18-Panel_Inputs!M18,"")</f>
        <v/>
      </c>
      <c r="S18" s="0" t="str">
        <f aca="false">IF(AND(ISNUMBER(Panel_Inputs!V18),Panel_Inputs!W18=1),Panel_Inputs!V18,"")</f>
        <v/>
      </c>
      <c r="T18" s="0" t="str">
        <f aca="false">IF(AND(ISNUMBER(Panel_Inputs!T18),ISNUMBER(Panel_Inputs!U18)),Panel_Inputs!T18-Panel_Inputs!U18,"")</f>
        <v/>
      </c>
    </row>
    <row r="19" customFormat="false" ht="15" hidden="false" customHeight="false" outlineLevel="0" collapsed="false">
      <c r="A19" s="0" t="str">
        <f aca="false">Panel_Inputs!A19</f>
        <v>First Bank</v>
      </c>
      <c r="B19" s="0" t="n">
        <f aca="false">Panel_Inputs!B19</f>
        <v>2014</v>
      </c>
      <c r="C19" s="0" t="n">
        <f aca="false">IF(AND(ISNUMBER(Panel_Inputs!F19),ISNUMBER(Panel_Inputs!J19)),IF(AND(Panel_Inputs!F19&gt;0,Panel_Inputs!J19&gt;0),(Panel_Inputs!F19+Panel_Inputs!J19)/2,""),"")</f>
        <v>3368725</v>
      </c>
      <c r="D19" s="0" t="n">
        <f aca="false">IF(AND(ISNUMBER(Panel_Inputs!E19),ISNUMBER(C19)),IF(C19&gt;0,100*Panel_Inputs!E19/C19,""),"")</f>
        <v>2.35552026360121</v>
      </c>
      <c r="E19" s="0" t="n">
        <f aca="false">IF(AND(ISNUMBER(Panel_Inputs!H19),ISNUMBER(Panel_Inputs!F19)),IF(Panel_Inputs!F19&gt;0,100*Panel_Inputs!H19/Panel_Inputs!F19,""),"")</f>
        <v>12.1186660864867</v>
      </c>
      <c r="F19" s="0" t="n">
        <f aca="false">IF(AND(ISNUMBER(Panel_Inputs!I19),ISNUMBER(C19)),IF(C19&gt;0,100*Panel_Inputs!I19/C19,""),"")</f>
        <v>-15.0402600390355</v>
      </c>
      <c r="G19" s="0" t="n">
        <f aca="false">IF(AND(ISNUMBER(Panel_Inputs!L19),ISNUMBER(Panel_Inputs!K19)),IF(Panel_Inputs!K19&gt;0,100*Panel_Inputs!L19/Panel_Inputs!K19,""),"")</f>
        <v>2.0779354044278</v>
      </c>
      <c r="H19" s="0" t="str">
        <f aca="false">IF(AND(ISNUMBER(Panel_Inputs!P19),ISNUMBER(Panel_Inputs!Q19)),IF(Panel_Inputs!Q19&gt;0,100*Panel_Inputs!P19/Panel_Inputs!Q19,""),"")</f>
        <v/>
      </c>
      <c r="I19" s="0" t="n">
        <f aca="false">IF(AND(ISNUMBER(Panel_Inputs!N19),ISNUMBER(C19)),IF(C19&gt;0,100*Panel_Inputs!N19/C19,""),"")</f>
        <v>0.621125203155497</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2.2731003236728</v>
      </c>
      <c r="O19" s="0" t="n">
        <f aca="false">IF(AND(ISNUMBER(Panel_Inputs!G19),ISNUMBER(Panel_Inputs!F19)),IF(Panel_Inputs!F19&gt;0,100*Panel_Inputs!G19/Panel_Inputs!F19,""),"")</f>
        <v>87.8813339135133</v>
      </c>
      <c r="P19" s="0" t="n">
        <f aca="false">IF(ISNUMBER(Panel_Inputs!F19),IF(Panel_Inputs!F19&gt;0,LN(Panel_Inputs!F19),""),"")</f>
        <v>15.0656618332417</v>
      </c>
      <c r="Q19" s="0" t="n">
        <f aca="false">IF(AND(ISNUMBER(Panel_Inputs!F19),ISNUMBER(Panel_Inputs!G19),ISNUMBER(Panel_Inputs!H19)),Panel_Inputs!F19-Panel_Inputs!G19-Panel_Inputs!H19,"")</f>
        <v>0</v>
      </c>
      <c r="R19" s="0" t="str">
        <f aca="false">IF(AND(ISNUMBER(Panel_Inputs!K19),ISNUMBER(Panel_Inputs!L19),ISNUMBER(Panel_Inputs!M19)),Panel_Inputs!K19-Panel_Inputs!L19-Panel_Inputs!M19,"")</f>
        <v/>
      </c>
      <c r="S19" s="0" t="str">
        <f aca="false">IF(AND(ISNUMBER(Panel_Inputs!V19),Panel_Inputs!W19=1),Panel_Inputs!V19,"")</f>
        <v/>
      </c>
      <c r="T19" s="0" t="str">
        <f aca="false">IF(AND(ISNUMBER(Panel_Inputs!T19),ISNUMBER(Panel_Inputs!U19)),Panel_Inputs!T19-Panel_Inputs!U19,"")</f>
        <v/>
      </c>
    </row>
    <row r="20" customFormat="false" ht="15" hidden="false" customHeight="false" outlineLevel="0" collapsed="false">
      <c r="A20" s="0" t="str">
        <f aca="false">Panel_Inputs!A20</f>
        <v>First Bank</v>
      </c>
      <c r="B20" s="0" t="n">
        <f aca="false">Panel_Inputs!B20</f>
        <v>2016</v>
      </c>
      <c r="C20" s="0" t="str">
        <f aca="false">IF(AND(ISNUMBER(Panel_Inputs!F20),ISNUMBER(Panel_Inputs!J20)),IF(AND(Panel_Inputs!F20&gt;0,Panel_Inputs!J20&gt;0),(Panel_Inputs!F20+Panel_Inputs!J20)/2,""),"")</f>
        <v/>
      </c>
      <c r="D20" s="0" t="str">
        <f aca="false">IF(AND(ISNUMBER(Panel_Inputs!E20),ISNUMBER(C20)),IF(C20&gt;0,100*Panel_Inputs!E20/C20,""),"")</f>
        <v/>
      </c>
      <c r="E20" s="0" t="n">
        <f aca="false">IF(AND(ISNUMBER(Panel_Inputs!H20),ISNUMBER(Panel_Inputs!F20)),IF(Panel_Inputs!F20&gt;0,100*Panel_Inputs!H20/Panel_Inputs!F20,""),"")</f>
        <v>13.6626414996759</v>
      </c>
      <c r="F20" s="0" t="str">
        <f aca="false">IF(AND(ISNUMBER(Panel_Inputs!I20),ISNUMBER(C20)),IF(C20&gt;0,100*Panel_Inputs!I20/C20,""),"")</f>
        <v/>
      </c>
      <c r="G20" s="0" t="n">
        <f aca="false">IF(AND(ISNUMBER(Panel_Inputs!L20),ISNUMBER(Panel_Inputs!K20)),IF(Panel_Inputs!K20&gt;0,100*Panel_Inputs!L20/Panel_Inputs!K20,""),"")</f>
        <v>12.4492670193084</v>
      </c>
      <c r="H20" s="0" t="n">
        <f aca="false">IF(AND(ISNUMBER(Panel_Inputs!P20),ISNUMBER(Panel_Inputs!Q20)),IF(Panel_Inputs!Q20&gt;0,100*Panel_Inputs!P20/Panel_Inputs!Q20,""),"")</f>
        <v>17.7866535517171</v>
      </c>
      <c r="I20" s="0" t="str">
        <f aca="false">IF(AND(ISNUMBER(Panel_Inputs!N20),ISNUMBER(C20)),IF(C20&gt;0,100*Panel_Inputs!N20/C20,""),"")</f>
        <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1.40739370765269</v>
      </c>
      <c r="O20" s="0" t="n">
        <f aca="false">IF(AND(ISNUMBER(Panel_Inputs!G20),ISNUMBER(Panel_Inputs!F20)),IF(Panel_Inputs!F20&gt;0,100*Panel_Inputs!G20/Panel_Inputs!F20,""),"")</f>
        <v>86.3373585003241</v>
      </c>
      <c r="P20" s="0" t="n">
        <f aca="false">IF(ISNUMBER(Panel_Inputs!F20),IF(Panel_Inputs!F20&gt;0,LN(Panel_Inputs!F20),""),"")</f>
        <v>15.0846478749542</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n">
        <f aca="false">IF(AND(ISNUMBER(Panel_Inputs!T20),ISNUMBER(Panel_Inputs!U20)),Panel_Inputs!T20-Panel_Inputs!U20,"")</f>
        <v>2.79</v>
      </c>
    </row>
    <row r="21" customFormat="false" ht="15" hidden="false" customHeight="false" outlineLevel="0" collapsed="false">
      <c r="A21" s="0" t="str">
        <f aca="false">Panel_Inputs!A21</f>
        <v>First Bank</v>
      </c>
      <c r="B21" s="0" t="n">
        <f aca="false">Panel_Inputs!B21</f>
        <v>2017</v>
      </c>
      <c r="C21" s="0" t="n">
        <f aca="false">IF(AND(ISNUMBER(Panel_Inputs!F21),ISNUMBER(Panel_Inputs!J21)),IF(AND(Panel_Inputs!F21&gt;0,Panel_Inputs!J21&gt;0),(Panel_Inputs!F21+Panel_Inputs!J21)/2,""),"")</f>
        <v>3667410.5</v>
      </c>
      <c r="D21" s="0" t="n">
        <f aca="false">IF(AND(ISNUMBER(Panel_Inputs!E21),ISNUMBER(C21)),IF(C21&gt;0,100*Panel_Inputs!E21/C21,""),"")</f>
        <v>1.27932229020995</v>
      </c>
      <c r="E21" s="0" t="n">
        <f aca="false">IF(AND(ISNUMBER(Panel_Inputs!H21),ISNUMBER(Panel_Inputs!F21)),IF(Panel_Inputs!F21&gt;0,100*Panel_Inputs!H21/Panel_Inputs!F21,""),"")</f>
        <v>15.3517874716147</v>
      </c>
      <c r="F21" s="0" t="n">
        <f aca="false">IF(AND(ISNUMBER(Panel_Inputs!I21),ISNUMBER(C21)),IF(C21&gt;0,100*Panel_Inputs!I21/C21,""),"")</f>
        <v>3.08697376527662</v>
      </c>
      <c r="G21" s="0" t="n">
        <f aca="false">IF(AND(ISNUMBER(Panel_Inputs!L21),ISNUMBER(Panel_Inputs!K21)),IF(Panel_Inputs!K21&gt;0,100*Panel_Inputs!L21/Panel_Inputs!K21,""),"")</f>
        <v>9.72612468469645</v>
      </c>
      <c r="H21" s="0" t="n">
        <f aca="false">IF(AND(ISNUMBER(Panel_Inputs!P21),ISNUMBER(Panel_Inputs!Q21)),IF(Panel_Inputs!Q21&gt;0,100*Panel_Inputs!P21/Panel_Inputs!Q21,""),"")</f>
        <v>17.738850550353</v>
      </c>
      <c r="I21" s="0" t="str">
        <f aca="false">IF(AND(ISNUMBER(Panel_Inputs!N21),ISNUMBER(C21)),IF(C21&gt;0,100*Panel_Inputs!N21/C21,""),"")</f>
        <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1.24218998003463</v>
      </c>
      <c r="O21" s="0" t="n">
        <f aca="false">IF(AND(ISNUMBER(Panel_Inputs!G21),ISNUMBER(Panel_Inputs!F21)),IF(Panel_Inputs!F21&gt;0,100*Panel_Inputs!G21/Panel_Inputs!F21,""),"")</f>
        <v>84.6482125283853</v>
      </c>
      <c r="P21" s="0" t="n">
        <f aca="false">IF(ISNUMBER(Panel_Inputs!F21),IF(Panel_Inputs!F21&gt;0,LN(Panel_Inputs!F21),""),"")</f>
        <v>15.1444509272966</v>
      </c>
      <c r="Q21" s="0" t="n">
        <f aca="false">IF(AND(ISNUMBER(Panel_Inputs!F21),ISNUMBER(Panel_Inputs!G21),ISNUMBER(Panel_Inputs!H21)),Panel_Inputs!F21-Panel_Inputs!G21-Panel_Inputs!H21,"")</f>
        <v>0</v>
      </c>
      <c r="R21" s="0" t="n">
        <f aca="false">IF(AND(ISNUMBER(Panel_Inputs!K21),ISNUMBER(Panel_Inputs!L21),ISNUMBER(Panel_Inputs!M21)),Panel_Inputs!K21-Panel_Inputs!L21-Panel_Inputs!M21,"")</f>
        <v>0</v>
      </c>
      <c r="S21" s="0" t="str">
        <f aca="false">IF(AND(ISNUMBER(Panel_Inputs!V21),Panel_Inputs!W21=1),Panel_Inputs!V21,"")</f>
        <v/>
      </c>
      <c r="T21" s="0" t="n">
        <f aca="false">IF(AND(ISNUMBER(Panel_Inputs!T21),ISNUMBER(Panel_Inputs!U21)),Panel_Inputs!T21-Panel_Inputs!U21,"")</f>
        <v>2.74</v>
      </c>
    </row>
    <row r="22" customFormat="false" ht="15" hidden="false" customHeight="false" outlineLevel="0" collapsed="false">
      <c r="A22" s="0" t="str">
        <f aca="false">Panel_Inputs!A22</f>
        <v>GTBank</v>
      </c>
      <c r="B22" s="0" t="n">
        <f aca="false">Panel_Inputs!B22</f>
        <v>2013</v>
      </c>
      <c r="C22" s="0" t="str">
        <f aca="false">IF(AND(ISNUMBER(Panel_Inputs!F22),ISNUMBER(Panel_Inputs!J22)),IF(AND(Panel_Inputs!F22&gt;0,Panel_Inputs!J22&gt;0),(Panel_Inputs!F22+Panel_Inputs!J22)/2,""),"")</f>
        <v/>
      </c>
      <c r="D22" s="0" t="str">
        <f aca="false">IF(AND(ISNUMBER(Panel_Inputs!E22),ISNUMBER(C22)),IF(C22&gt;0,100*Panel_Inputs!E22/C22,""),"")</f>
        <v/>
      </c>
      <c r="E22" s="0" t="n">
        <f aca="false">IF(AND(ISNUMBER(Panel_Inputs!H22),ISNUMBER(Panel_Inputs!F22)),IF(Panel_Inputs!F22&gt;0,100*Panel_Inputs!H22/Panel_Inputs!F22,""),"")</f>
        <v>17.3100653970928</v>
      </c>
      <c r="F22" s="0" t="str">
        <f aca="false">IF(AND(ISNUMBER(Panel_Inputs!I22),ISNUMBER(C22)),IF(C22&gt;0,100*Panel_Inputs!I22/C22,""),"")</f>
        <v/>
      </c>
      <c r="G22" s="0" t="str">
        <f aca="false">IF(AND(ISNUMBER(Panel_Inputs!L22),ISNUMBER(Panel_Inputs!K22)),IF(Panel_Inputs!K22&gt;0,100*Panel_Inputs!L22/Panel_Inputs!K22,""),"")</f>
        <v/>
      </c>
      <c r="H22" s="0" t="str">
        <f aca="false">IF(AND(ISNUMBER(Panel_Inputs!P22),ISNUMBER(Panel_Inputs!Q22)),IF(Panel_Inputs!Q22&gt;0,100*Panel_Inputs!P22/Panel_Inputs!Q22,""),"")</f>
        <v/>
      </c>
      <c r="I22" s="0" t="str">
        <f aca="false">IF(AND(ISNUMBER(Panel_Inputs!N22),ISNUMBER(C22)),IF(C22&gt;0,100*Panel_Inputs!N22/C22,""),"")</f>
        <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4.4920986827112</v>
      </c>
      <c r="O22" s="0" t="n">
        <f aca="false">IF(AND(ISNUMBER(Panel_Inputs!G22),ISNUMBER(Panel_Inputs!F22)),IF(Panel_Inputs!F22&gt;0,100*Panel_Inputs!G22/Panel_Inputs!F22,""),"")</f>
        <v>82.6899346029072</v>
      </c>
      <c r="P22" s="0" t="n">
        <f aca="false">IF(ISNUMBER(Panel_Inputs!F22),IF(Panel_Inputs!F22&gt;0,LN(Panel_Inputs!F22),""),"")</f>
        <v>14.459659702751</v>
      </c>
      <c r="Q22" s="0" t="n">
        <f aca="false">IF(AND(ISNUMBER(Panel_Inputs!F22),ISNUMBER(Panel_Inputs!G22),ISNUMBER(Panel_Inputs!H22)),Panel_Inputs!F22-Panel_Inputs!G22-Panel_Inputs!H22,"")</f>
        <v>0</v>
      </c>
      <c r="R22" s="0" t="str">
        <f aca="false">IF(AND(ISNUMBER(Panel_Inputs!K22),ISNUMBER(Panel_Inputs!L22),ISNUMBER(Panel_Inputs!M22)),Panel_Inputs!K22-Panel_Inputs!L22-Panel_Inputs!M22,"")</f>
        <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GTBank</v>
      </c>
      <c r="B23" s="0" t="n">
        <f aca="false">Panel_Inputs!B23</f>
        <v>2014</v>
      </c>
      <c r="C23" s="0" t="n">
        <f aca="false">IF(AND(ISNUMBER(Panel_Inputs!F23),ISNUMBER(Panel_Inputs!J23)),IF(AND(Panel_Inputs!F23&gt;0,Panel_Inputs!J23&gt;0),(Panel_Inputs!F23+Panel_Inputs!J23)/2,""),"")</f>
        <v>2015487</v>
      </c>
      <c r="D23" s="0" t="n">
        <f aca="false">IF(AND(ISNUMBER(Panel_Inputs!E23),ISNUMBER(C23)),IF(C23&gt;0,100*Panel_Inputs!E23/C23,""),"")</f>
        <v>4.63570343048603</v>
      </c>
      <c r="E23" s="0" t="n">
        <f aca="false">IF(AND(ISNUMBER(Panel_Inputs!H23),ISNUMBER(Panel_Inputs!F23)),IF(Panel_Inputs!F23&gt;0,100*Panel_Inputs!H23/Panel_Inputs!F23,""),"")</f>
        <v>17.3764981604508</v>
      </c>
      <c r="F23" s="0" t="str">
        <f aca="false">IF(AND(ISNUMBER(Panel_Inputs!I23),ISNUMBER(C23)),IF(C23&gt;0,100*Panel_Inputs!I23/C23,""),"")</f>
        <v/>
      </c>
      <c r="G23" s="0" t="str">
        <f aca="false">IF(AND(ISNUMBER(Panel_Inputs!L23),ISNUMBER(Panel_Inputs!K23)),IF(Panel_Inputs!K23&gt;0,100*Panel_Inputs!L23/Panel_Inputs!K23,""),"")</f>
        <v/>
      </c>
      <c r="H23" s="0" t="str">
        <f aca="false">IF(AND(ISNUMBER(Panel_Inputs!P23),ISNUMBER(Panel_Inputs!Q23)),IF(Panel_Inputs!Q23&gt;0,100*Panel_Inputs!P23/Panel_Inputs!Q23,""),"")</f>
        <v/>
      </c>
      <c r="I23" s="0" t="str">
        <f aca="false">IF(AND(ISNUMBER(Panel_Inputs!N23),ISNUMBER(C23)),IF(C23&gt;0,100*Panel_Inputs!N23/C23,""),"")</f>
        <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4.39347543129717</v>
      </c>
      <c r="O23" s="0" t="n">
        <f aca="false">IF(AND(ISNUMBER(Panel_Inputs!G23),ISNUMBER(Panel_Inputs!F23)),IF(Panel_Inputs!F23&gt;0,100*Panel_Inputs!G23/Panel_Inputs!F23,""),"")</f>
        <v>82.6235018395492</v>
      </c>
      <c r="P23" s="0" t="n">
        <f aca="false">IF(ISNUMBER(Panel_Inputs!F23),IF(Panel_Inputs!F23&gt;0,LN(Panel_Inputs!F23),""),"")</f>
        <v>14.5700387800655</v>
      </c>
      <c r="Q23" s="0" t="n">
        <f aca="false">IF(AND(ISNUMBER(Panel_Inputs!F23),ISNUMBER(Panel_Inputs!G23),ISNUMBER(Panel_Inputs!H23)),Panel_Inputs!F23-Panel_Inputs!G23-Panel_Inputs!H23,"")</f>
        <v>0</v>
      </c>
      <c r="R23" s="0" t="str">
        <f aca="false">IF(AND(ISNUMBER(Panel_Inputs!K23),ISNUMBER(Panel_Inputs!L23),ISNUMBER(Panel_Inputs!M23)),Panel_Inputs!K23-Panel_Inputs!L23-Panel_Inputs!M23,"")</f>
        <v/>
      </c>
      <c r="S23" s="0" t="str">
        <f aca="false">IF(AND(ISNUMBER(Panel_Inputs!V23),Panel_Inputs!W23=1),Panel_Inputs!V23,"")</f>
        <v/>
      </c>
      <c r="T23" s="0" t="str">
        <f aca="false">IF(AND(ISNUMBER(Panel_Inputs!T23),ISNUMBER(Panel_Inputs!U23)),Panel_Inputs!T23-Panel_Inputs!U23,"")</f>
        <v/>
      </c>
    </row>
    <row r="24" customFormat="false" ht="15" hidden="false" customHeight="false" outlineLevel="0" collapsed="false">
      <c r="A24" s="0" t="str">
        <f aca="false">Panel_Inputs!A24</f>
        <v>GTBank</v>
      </c>
      <c r="B24" s="0" t="n">
        <f aca="false">Panel_Inputs!B24</f>
        <v>2017</v>
      </c>
      <c r="C24" s="0" t="n">
        <f aca="false">IF(AND(ISNUMBER(Panel_Inputs!F24),ISNUMBER(Panel_Inputs!J24)),IF(AND(Panel_Inputs!F24&gt;0,Panel_Inputs!J24&gt;0),(Panel_Inputs!F24+Panel_Inputs!J24)/2,""),"")</f>
        <v>2719134.5295</v>
      </c>
      <c r="D24" s="0" t="n">
        <f aca="false">IF(AND(ISNUMBER(Panel_Inputs!E24),ISNUMBER(C24)),IF(C24&gt;0,100*Panel_Inputs!E24/C24,""),"")</f>
        <v>5.83743478956104</v>
      </c>
      <c r="E24" s="0" t="n">
        <f aca="false">IF(AND(ISNUMBER(Panel_Inputs!H24),ISNUMBER(Panel_Inputs!F24)),IF(Panel_Inputs!F24&gt;0,100*Panel_Inputs!H24/Panel_Inputs!F24,""),"")</f>
        <v>20.4811086959059</v>
      </c>
      <c r="F24" s="0" t="n">
        <f aca="false">IF(AND(ISNUMBER(Panel_Inputs!I24),ISNUMBER(C24)),IF(C24&gt;0,100*Panel_Inputs!I24/C24,""),"")</f>
        <v>12.9966841715987</v>
      </c>
      <c r="G24" s="0" t="n">
        <f aca="false">IF(AND(ISNUMBER(Panel_Inputs!L24),ISNUMBER(Panel_Inputs!K24)),IF(Panel_Inputs!K24&gt;0,100*Panel_Inputs!L24/Panel_Inputs!K24,""),"")</f>
        <v>4.5450472420029</v>
      </c>
      <c r="H24" s="0" t="str">
        <f aca="false">IF(AND(ISNUMBER(Panel_Inputs!P24),ISNUMBER(Panel_Inputs!Q24)),IF(Panel_Inputs!Q24&gt;0,100*Panel_Inputs!P24/Panel_Inputs!Q24,""),"")</f>
        <v/>
      </c>
      <c r="I24" s="0" t="n">
        <f aca="false">IF(AND(ISNUMBER(Panel_Inputs!N24),ISNUMBER(C24)),IF(C24&gt;0,100*Panel_Inputs!N24/C24,""),"")</f>
        <v>0.424079495696022</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5.61882106923123</v>
      </c>
      <c r="O24" s="0" t="n">
        <f aca="false">IF(AND(ISNUMBER(Panel_Inputs!G24),ISNUMBER(Panel_Inputs!F24)),IF(Panel_Inputs!F24&gt;0,100*Panel_Inputs!G24/Panel_Inputs!F24,""),"")</f>
        <v>79.5188913040941</v>
      </c>
      <c r="P24" s="0" t="n">
        <f aca="false">IF(ISNUMBER(Panel_Inputs!F24),IF(Panel_Inputs!F24&gt;0,LN(Panel_Inputs!F24),""),"")</f>
        <v>14.8539937841936</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str">
        <f aca="false">IF(AND(ISNUMBER(Panel_Inputs!T24),ISNUMBER(Panel_Inputs!U24)),Panel_Inputs!T24-Panel_Inputs!U24,"")</f>
        <v/>
      </c>
    </row>
    <row r="25" customFormat="false" ht="15" hidden="false" customHeight="false" outlineLevel="0" collapsed="false">
      <c r="A25" s="0" t="str">
        <f aca="false">Panel_Inputs!A25</f>
        <v>GTBank</v>
      </c>
      <c r="B25" s="0" t="n">
        <f aca="false">Panel_Inputs!B25</f>
        <v>2018</v>
      </c>
      <c r="C25" s="0" t="n">
        <f aca="false">IF(AND(ISNUMBER(Panel_Inputs!F25),ISNUMBER(Panel_Inputs!J25)),IF(AND(Panel_Inputs!F25&gt;0,Panel_Inputs!J25&gt;0),(Panel_Inputs!F25+Panel_Inputs!J25)/2,""),"")</f>
        <v>2768725.2395</v>
      </c>
      <c r="D25" s="0" t="n">
        <f aca="false">IF(AND(ISNUMBER(Panel_Inputs!E25),ISNUMBER(C25)),IF(C25&gt;0,100*Panel_Inputs!E25/C25,""),"")</f>
        <v>6.02875874495021</v>
      </c>
      <c r="E25" s="0" t="n">
        <f aca="false">IF(AND(ISNUMBER(Panel_Inputs!H25),ISNUMBER(Panel_Inputs!F25)),IF(Panel_Inputs!F25&gt;0,100*Panel_Inputs!H25/Panel_Inputs!F25,""),"")</f>
        <v>18.8696111766184</v>
      </c>
      <c r="F25" s="0" t="n">
        <f aca="false">IF(AND(ISNUMBER(Panel_Inputs!I25),ISNUMBER(C25)),IF(C25&gt;0,100*Panel_Inputs!I25/C25,""),"")</f>
        <v>8.11296335206468</v>
      </c>
      <c r="G25" s="0" t="n">
        <f aca="false">IF(AND(ISNUMBER(Panel_Inputs!L25),ISNUMBER(Panel_Inputs!K25)),IF(Panel_Inputs!K25&gt;0,100*Panel_Inputs!L25/Panel_Inputs!K25,""),"")</f>
        <v>7.85015452926359</v>
      </c>
      <c r="H25" s="0" t="str">
        <f aca="false">IF(AND(ISNUMBER(Panel_Inputs!P25),ISNUMBER(Panel_Inputs!Q25)),IF(Panel_Inputs!Q25&gt;0,100*Panel_Inputs!P25/Panel_Inputs!Q25,""),"")</f>
        <v/>
      </c>
      <c r="I25" s="0" t="n">
        <f aca="false">IF(AND(ISNUMBER(Panel_Inputs!N25),ISNUMBER(C25)),IF(C25&gt;0,100*Panel_Inputs!N25/C25,""),"")</f>
        <v>0.0499870474778471</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6.15367529323622</v>
      </c>
      <c r="O25" s="0" t="n">
        <f aca="false">IF(AND(ISNUMBER(Panel_Inputs!G25),ISNUMBER(Panel_Inputs!F25)),IF(Panel_Inputs!F25&gt;0,100*Panel_Inputs!G25/Panel_Inputs!F25,""),"")</f>
        <v>81.1303888233816</v>
      </c>
      <c r="P25" s="0" t="n">
        <f aca="false">IF(ISNUMBER(Panel_Inputs!F25),IF(Panel_Inputs!F25&gt;0,LN(Panel_Inputs!F25),""),"")</f>
        <v>14.8133892008548</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str">
        <f aca="false">IF(AND(ISNUMBER(Panel_Inputs!T25),ISNUMBER(Panel_Inputs!U25)),Panel_Inputs!T25-Panel_Inputs!U25,"")</f>
        <v/>
      </c>
    </row>
    <row r="26" customFormat="false" ht="15" hidden="false" customHeight="false" outlineLevel="0" collapsed="false">
      <c r="A26" s="0" t="str">
        <f aca="false">Panel_Inputs!A26</f>
        <v>GTBank</v>
      </c>
      <c r="B26" s="0" t="n">
        <f aca="false">Panel_Inputs!B26</f>
        <v>2019</v>
      </c>
      <c r="C26" s="0" t="n">
        <f aca="false">IF(AND(ISNUMBER(Panel_Inputs!F26),ISNUMBER(Panel_Inputs!J26)),IF(AND(Panel_Inputs!F26&gt;0,Panel_Inputs!J26&gt;0),(Panel_Inputs!F26+Panel_Inputs!J26)/2,""),"")</f>
        <v>2904884.9945</v>
      </c>
      <c r="D26" s="0" t="n">
        <f aca="false">IF(AND(ISNUMBER(Panel_Inputs!E26),ISNUMBER(C26)),IF(C26&gt;0,100*Panel_Inputs!E26/C26,""),"")</f>
        <v>6.02864765151032</v>
      </c>
      <c r="E26" s="0" t="n">
        <f aca="false">IF(AND(ISNUMBER(Panel_Inputs!H26),ISNUMBER(Panel_Inputs!F26)),IF(Panel_Inputs!F26&gt;0,100*Panel_Inputs!H26/Panel_Inputs!F26,""),"")</f>
        <v>19.5621887290642</v>
      </c>
      <c r="F26" s="0" t="n">
        <f aca="false">IF(AND(ISNUMBER(Panel_Inputs!I26),ISNUMBER(C26)),IF(C26&gt;0,100*Panel_Inputs!I26/C26,""),"")</f>
        <v>6.81106712914999</v>
      </c>
      <c r="G26" s="0" t="n">
        <f aca="false">IF(AND(ISNUMBER(Panel_Inputs!L26),ISNUMBER(Panel_Inputs!K26)),IF(Panel_Inputs!K26&gt;0,100*Panel_Inputs!L26/Panel_Inputs!K26,""),"")</f>
        <v>4.14464652449988</v>
      </c>
      <c r="H26" s="0" t="n">
        <f aca="false">IF(AND(ISNUMBER(Panel_Inputs!P26),ISNUMBER(Panel_Inputs!Q26)),IF(Panel_Inputs!Q26&gt;0,100*Panel_Inputs!P26/Panel_Inputs!Q26,""),"")</f>
        <v>20.6598717278961</v>
      </c>
      <c r="I26" s="0" t="n">
        <f aca="false">IF(AND(ISNUMBER(Panel_Inputs!N26),ISNUMBER(C26)),IF(C26&gt;0,100*Panel_Inputs!N26/C26,""),"")</f>
        <v>0.064004151748528</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5.65422119932292</v>
      </c>
      <c r="O26" s="0" t="n">
        <f aca="false">IF(AND(ISNUMBER(Panel_Inputs!G26),ISNUMBER(Panel_Inputs!F26)),IF(Panel_Inputs!F26&gt;0,100*Panel_Inputs!G26/Panel_Inputs!F26,""),"")</f>
        <v>80.4378112709358</v>
      </c>
      <c r="P26" s="0" t="n">
        <f aca="false">IF(ISNUMBER(Panel_Inputs!F26),IF(Panel_Inputs!F26&gt;0,LN(Panel_Inputs!F26),""),"")</f>
        <v>14.9460246930629</v>
      </c>
      <c r="Q26" s="0" t="n">
        <f aca="false">IF(AND(ISNUMBER(Panel_Inputs!F26),ISNUMBER(Panel_Inputs!G26),ISNUMBER(Panel_Inputs!H26)),Panel_Inputs!F26-Panel_Inputs!G26-Panel_Inputs!H26,"")</f>
        <v>0</v>
      </c>
      <c r="R26" s="0" t="n">
        <f aca="false">IF(AND(ISNUMBER(Panel_Inputs!K26),ISNUMBER(Panel_Inputs!L26),ISNUMBER(Panel_Inputs!M26)),Panel_Inputs!K26-Panel_Inputs!L26-Panel_Inputs!M26,"")</f>
        <v>0</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Stanbic</v>
      </c>
      <c r="B27" s="0" t="n">
        <f aca="false">Panel_Inputs!B27</f>
        <v>2018</v>
      </c>
      <c r="C27" s="0" t="n">
        <f aca="false">IF(AND(ISNUMBER(Panel_Inputs!F27),ISNUMBER(Panel_Inputs!J27)),IF(AND(Panel_Inputs!F27&gt;0,Panel_Inputs!J27&gt;0),(Panel_Inputs!F27+Panel_Inputs!J27)/2,""),"")</f>
        <v>1465984</v>
      </c>
      <c r="D27" s="0" t="n">
        <f aca="false">IF(AND(ISNUMBER(Panel_Inputs!E27),ISNUMBER(C27)),IF(C27&gt;0,100*Panel_Inputs!E27/C27,""),"")</f>
        <v>3.40467563083908</v>
      </c>
      <c r="E27" s="0" t="n">
        <f aca="false">IF(AND(ISNUMBER(Panel_Inputs!H27),ISNUMBER(Panel_Inputs!F27)),IF(Panel_Inputs!F27&gt;0,100*Panel_Inputs!H27/Panel_Inputs!F27,""),"")</f>
        <v>10.6513386004021</v>
      </c>
      <c r="F27" s="0" t="str">
        <f aca="false">IF(AND(ISNUMBER(Panel_Inputs!I27),ISNUMBER(C27)),IF(C27&gt;0,100*Panel_Inputs!I27/C27,""),"")</f>
        <v/>
      </c>
      <c r="G27" s="0" t="str">
        <f aca="false">IF(AND(ISNUMBER(Panel_Inputs!L27),ISNUMBER(Panel_Inputs!K27)),IF(Panel_Inputs!K27&gt;0,100*Panel_Inputs!L27/Panel_Inputs!K27,""),"")</f>
        <v/>
      </c>
      <c r="H27" s="0" t="str">
        <f aca="false">IF(AND(ISNUMBER(Panel_Inputs!P27),ISNUMBER(Panel_Inputs!Q27)),IF(Panel_Inputs!Q27&gt;0,100*Panel_Inputs!P27/Panel_Inputs!Q27,""),"")</f>
        <v/>
      </c>
      <c r="I27" s="0" t="n">
        <f aca="false">IF(AND(ISNUMBER(Panel_Inputs!N27),ISNUMBER(C27)),IF(C27&gt;0,100*Panel_Inputs!N27/C27,""),"")</f>
        <v>-0.203822142670043</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3.12097270899706</v>
      </c>
      <c r="O27" s="0" t="n">
        <f aca="false">IF(AND(ISNUMBER(Panel_Inputs!G27),ISNUMBER(Panel_Inputs!F27)),IF(Panel_Inputs!F27&gt;0,100*Panel_Inputs!G27/Panel_Inputs!F27,""),"")</f>
        <v>89.3486613995979</v>
      </c>
      <c r="P27" s="0" t="n">
        <f aca="false">IF(ISNUMBER(Panel_Inputs!F27),IF(Panel_Inputs!F27&gt;0,LN(Panel_Inputs!F27),""),"")</f>
        <v>14.285042200842</v>
      </c>
      <c r="Q27" s="0" t="n">
        <f aca="false">IF(AND(ISNUMBER(Panel_Inputs!F27),ISNUMBER(Panel_Inputs!G27),ISNUMBER(Panel_Inputs!H27)),Panel_Inputs!F27-Panel_Inputs!G27-Panel_Inputs!H27,"")</f>
        <v>0</v>
      </c>
      <c r="R27" s="0" t="str">
        <f aca="false">IF(AND(ISNUMBER(Panel_Inputs!K27),ISNUMBER(Panel_Inputs!L27),ISNUMBER(Panel_Inputs!M27)),Panel_Inputs!K27-Panel_Inputs!L27-Panel_Inputs!M27,"")</f>
        <v/>
      </c>
      <c r="S27" s="0" t="str">
        <f aca="false">IF(AND(ISNUMBER(Panel_Inputs!V27),Panel_Inputs!W27=1),Panel_Inputs!V27,"")</f>
        <v/>
      </c>
      <c r="T27" s="0" t="str">
        <f aca="false">IF(AND(ISNUMBER(Panel_Inputs!T27),ISNUMBER(Panel_Inputs!U27)),Panel_Inputs!T27-Panel_Inputs!U27,"")</f>
        <v/>
      </c>
    </row>
    <row r="28" customFormat="false" ht="15" hidden="false" customHeight="false" outlineLevel="0" collapsed="false">
      <c r="A28" s="0" t="str">
        <f aca="false">Panel_Inputs!A28</f>
        <v>Stanbic</v>
      </c>
      <c r="B28" s="0" t="n">
        <f aca="false">Panel_Inputs!B28</f>
        <v>2019</v>
      </c>
      <c r="C28" s="0" t="n">
        <f aca="false">IF(AND(ISNUMBER(Panel_Inputs!F28),ISNUMBER(Panel_Inputs!J28)),IF(AND(Panel_Inputs!F28&gt;0,Panel_Inputs!J28&gt;0),(Panel_Inputs!F28+Panel_Inputs!J28)/2,""),"")</f>
        <v>1695782.5</v>
      </c>
      <c r="D28" s="0" t="n">
        <f aca="false">IF(AND(ISNUMBER(Panel_Inputs!E28),ISNUMBER(C28)),IF(C28&gt;0,100*Panel_Inputs!E28/C28,""),"")</f>
        <v>3.08335532416451</v>
      </c>
      <c r="E28" s="0" t="n">
        <f aca="false">IF(AND(ISNUMBER(Panel_Inputs!H28),ISNUMBER(Panel_Inputs!F28)),IF(Panel_Inputs!F28&gt;0,100*Panel_Inputs!H28/Panel_Inputs!F28,""),"")</f>
        <v>11.2334850919479</v>
      </c>
      <c r="F28" s="0" t="str">
        <f aca="false">IF(AND(ISNUMBER(Panel_Inputs!I28),ISNUMBER(C28)),IF(C28&gt;0,100*Panel_Inputs!I28/C28,""),"")</f>
        <v/>
      </c>
      <c r="G28" s="0" t="str">
        <f aca="false">IF(AND(ISNUMBER(Panel_Inputs!L28),ISNUMBER(Panel_Inputs!K28)),IF(Panel_Inputs!K28&gt;0,100*Panel_Inputs!L28/Panel_Inputs!K28,""),"")</f>
        <v/>
      </c>
      <c r="H28" s="0" t="str">
        <f aca="false">IF(AND(ISNUMBER(Panel_Inputs!P28),ISNUMBER(Panel_Inputs!Q28)),IF(Panel_Inputs!Q28&gt;0,100*Panel_Inputs!P28/Panel_Inputs!Q28,""),"")</f>
        <v/>
      </c>
      <c r="I28" s="0" t="n">
        <f aca="false">IF(AND(ISNUMBER(Panel_Inputs!N28),ISNUMBER(C28)),IF(C28&gt;0,100*Panel_Inputs!N28/C28,""),"")</f>
        <v>0.0981257914856416</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2.91728039635779</v>
      </c>
      <c r="O28" s="0" t="n">
        <f aca="false">IF(AND(ISNUMBER(Panel_Inputs!G28),ISNUMBER(Panel_Inputs!F28)),IF(Panel_Inputs!F28&gt;0,100*Panel_Inputs!G28/Panel_Inputs!F28,""),"")</f>
        <v>88.7665149080521</v>
      </c>
      <c r="P28" s="0" t="n">
        <f aca="false">IF(ISNUMBER(Panel_Inputs!F28),IF(Panel_Inputs!F28&gt;0,LN(Panel_Inputs!F28),""),"")</f>
        <v>14.3990214280036</v>
      </c>
      <c r="Q28" s="0" t="n">
        <f aca="false">IF(AND(ISNUMBER(Panel_Inputs!F28),ISNUMBER(Panel_Inputs!G28),ISNUMBER(Panel_Inputs!H28)),Panel_Inputs!F28-Panel_Inputs!G28-Panel_Inputs!H28,"")</f>
        <v>0</v>
      </c>
      <c r="R28" s="0" t="str">
        <f aca="false">IF(AND(ISNUMBER(Panel_Inputs!K28),ISNUMBER(Panel_Inputs!L28),ISNUMBER(Panel_Inputs!M28)),Panel_Inputs!K28-Panel_Inputs!L28-Panel_Inputs!M28,"")</f>
        <v/>
      </c>
      <c r="S28" s="0" t="str">
        <f aca="false">IF(AND(ISNUMBER(Panel_Inputs!V28),Panel_Inputs!W28=1),Panel_Inputs!V28,"")</f>
        <v/>
      </c>
      <c r="T28" s="0" t="str">
        <f aca="false">IF(AND(ISNUMBER(Panel_Inputs!T28),ISNUMBER(Panel_Inputs!U28)),Panel_Inputs!T28-Panel_Inputs!U28,"")</f>
        <v/>
      </c>
    </row>
    <row r="29" customFormat="false" ht="15" hidden="false" customHeight="false" outlineLevel="0" collapsed="false">
      <c r="A29" s="0" t="str">
        <f aca="false">Panel_Inputs!A29</f>
        <v>Stanbic</v>
      </c>
      <c r="B29" s="0" t="n">
        <f aca="false">Panel_Inputs!B29</f>
        <v>2020</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10.2145803968786</v>
      </c>
      <c r="F29" s="0" t="str">
        <f aca="false">IF(AND(ISNUMBER(Panel_Inputs!I29),ISNUMBER(C29)),IF(C29&gt;0,100*Panel_Inputs!I29/C29,""),"")</f>
        <v/>
      </c>
      <c r="G29" s="0" t="n">
        <f aca="false">IF(AND(ISNUMBER(Panel_Inputs!L29),ISNUMBER(Panel_Inputs!K29)),IF(Panel_Inputs!K29&gt;0,100*Panel_Inputs!L29/Panel_Inputs!K29,""),"")</f>
        <v>4.60146011243842</v>
      </c>
      <c r="H29" s="0" t="n">
        <f aca="false">IF(AND(ISNUMBER(Panel_Inputs!P29),ISNUMBER(Panel_Inputs!Q29)),IF(Panel_Inputs!Q29&gt;0,100*Panel_Inputs!P29/Panel_Inputs!Q29,""),"")</f>
        <v>19.4150102245185</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2.50971693174037</v>
      </c>
      <c r="O29" s="0" t="n">
        <f aca="false">IF(AND(ISNUMBER(Panel_Inputs!G29),ISNUMBER(Panel_Inputs!F29)),IF(Panel_Inputs!F29&gt;0,100*Panel_Inputs!G29/Panel_Inputs!F29,""),"")</f>
        <v>89.7854196031214</v>
      </c>
      <c r="P29" s="0" t="n">
        <f aca="false">IF(ISNUMBER(Panel_Inputs!F29),IF(Panel_Inputs!F29&gt;0,LN(Panel_Inputs!F29),""),"")</f>
        <v>14.678546915896</v>
      </c>
      <c r="Q29" s="0" t="n">
        <f aca="false">IF(AND(ISNUMBER(Panel_Inputs!F29),ISNUMBER(Panel_Inputs!G29),ISNUMBER(Panel_Inputs!H29)),Panel_Inputs!F29-Panel_Inputs!G29-Panel_Inputs!H29,"")</f>
        <v>0</v>
      </c>
      <c r="R29" s="0" t="n">
        <f aca="false">IF(AND(ISNUMBER(Panel_Inputs!K29),ISNUMBER(Panel_Inputs!L29),ISNUMBER(Panel_Inputs!M29)),Panel_Inputs!K29-Panel_Inputs!L29-Panel_Inputs!M29,"")</f>
        <v>0</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Stanbic</v>
      </c>
      <c r="B30" s="0" t="n">
        <f aca="false">Panel_Inputs!B30</f>
        <v>2021</v>
      </c>
      <c r="C30" s="0" t="n">
        <f aca="false">IF(AND(ISNUMBER(Panel_Inputs!F30),ISNUMBER(Panel_Inputs!J30)),IF(AND(Panel_Inputs!F30&gt;0,Panel_Inputs!J30&gt;0),(Panel_Inputs!F30+Panel_Inputs!J30)/2,""),"")</f>
        <v>2492217</v>
      </c>
      <c r="D30" s="0" t="n">
        <f aca="false">IF(AND(ISNUMBER(Panel_Inputs!E30),ISNUMBER(C30)),IF(C30&gt;0,100*Panel_Inputs!E30/C30,""),"")</f>
        <v>1.18649379247473</v>
      </c>
      <c r="E30" s="0" t="n">
        <f aca="false">IF(AND(ISNUMBER(Panel_Inputs!H30),ISNUMBER(Panel_Inputs!F30)),IF(Panel_Inputs!F30&gt;0,100*Panel_Inputs!H30/Panel_Inputs!F30,""),"")</f>
        <v>9.63146980188494</v>
      </c>
      <c r="F30" s="0" t="n">
        <f aca="false">IF(AND(ISNUMBER(Panel_Inputs!I30),ISNUMBER(C30)),IF(C30&gt;0,100*Panel_Inputs!I30/C30,""),"")</f>
        <v>2.23780673994279</v>
      </c>
      <c r="G30" s="0" t="n">
        <f aca="false">IF(AND(ISNUMBER(Panel_Inputs!L30),ISNUMBER(Panel_Inputs!K30)),IF(Panel_Inputs!K30&gt;0,100*Panel_Inputs!L30/Panel_Inputs!K30,""),"")</f>
        <v>2.6647038495803</v>
      </c>
      <c r="H30" s="0" t="n">
        <f aca="false">IF(AND(ISNUMBER(Panel_Inputs!P30),ISNUMBER(Panel_Inputs!Q30)),IF(Panel_Inputs!Q30&gt;0,100*Panel_Inputs!P30/Panel_Inputs!Q30,""),"")</f>
        <v>16.1415023816789</v>
      </c>
      <c r="I30" s="0" t="n">
        <f aca="false">IF(AND(ISNUMBER(Panel_Inputs!N30),ISNUMBER(C30)),IF(C30&gt;0,100*Panel_Inputs!N30/C30,""),"")</f>
        <v>-0.0484708996046492</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1.13117887813221</v>
      </c>
      <c r="O30" s="0" t="n">
        <f aca="false">IF(AND(ISNUMBER(Panel_Inputs!G30),ISNUMBER(Panel_Inputs!F30)),IF(Panel_Inputs!F30&gt;0,100*Panel_Inputs!G30/Panel_Inputs!F30,""),"")</f>
        <v>90.3685301981151</v>
      </c>
      <c r="P30" s="0" t="n">
        <f aca="false">IF(ISNUMBER(Panel_Inputs!F30),IF(Panel_Inputs!F30&gt;0,LN(Panel_Inputs!F30),""),"")</f>
        <v>14.7764254549384</v>
      </c>
      <c r="Q30" s="0" t="n">
        <f aca="false">IF(AND(ISNUMBER(Panel_Inputs!F30),ISNUMBER(Panel_Inputs!G30),ISNUMBER(Panel_Inputs!H30)),Panel_Inputs!F30-Panel_Inputs!G30-Panel_Inputs!H30,"")</f>
        <v>0</v>
      </c>
      <c r="R30" s="0" t="n">
        <f aca="false">IF(AND(ISNUMBER(Panel_Inputs!K30),ISNUMBER(Panel_Inputs!L30),ISNUMBER(Panel_Inputs!M30)),Panel_Inputs!K30-Panel_Inputs!L30-Panel_Inputs!M30,"")</f>
        <v>0</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Stanbic</v>
      </c>
      <c r="B31" s="0" t="n">
        <f aca="false">Panel_Inputs!B31</f>
        <v>2022</v>
      </c>
      <c r="C31" s="0" t="n">
        <f aca="false">IF(AND(ISNUMBER(Panel_Inputs!F31),ISNUMBER(Panel_Inputs!J31)),IF(AND(Panel_Inputs!F31&gt;0,Panel_Inputs!J31&gt;0),(Panel_Inputs!F31+Panel_Inputs!J31)/2,""),"")</f>
        <v>2734298</v>
      </c>
      <c r="D31" s="0" t="n">
        <f aca="false">IF(AND(ISNUMBER(Panel_Inputs!E31),ISNUMBER(C31)),IF(C31&gt;0,100*Panel_Inputs!E31/C31,""),"")</f>
        <v>2.01697108362</v>
      </c>
      <c r="E31" s="0" t="n">
        <f aca="false">IF(AND(ISNUMBER(Panel_Inputs!H31),ISNUMBER(Panel_Inputs!F31)),IF(Panel_Inputs!F31&gt;0,100*Panel_Inputs!H31/Panel_Inputs!F31,""),"")</f>
        <v>9.77775862679011</v>
      </c>
      <c r="F31" s="0" t="n">
        <f aca="false">IF(AND(ISNUMBER(Panel_Inputs!I31),ISNUMBER(C31)),IF(C31&gt;0,100*Panel_Inputs!I31/C31,""),"")</f>
        <v>-5.28073384832231</v>
      </c>
      <c r="G31" s="0" t="n">
        <f aca="false">IF(AND(ISNUMBER(Panel_Inputs!L31),ISNUMBER(Panel_Inputs!K31)),IF(Panel_Inputs!K31&gt;0,100*Panel_Inputs!L31/Panel_Inputs!K31,""),"")</f>
        <v>2.69828258069206</v>
      </c>
      <c r="H31" s="0" t="n">
        <f aca="false">IF(AND(ISNUMBER(Panel_Inputs!P31),ISNUMBER(Panel_Inputs!Q31)),IF(Panel_Inputs!Q31&gt;0,100*Panel_Inputs!P31/Panel_Inputs!Q31,""),"")</f>
        <v>18.4093502304356</v>
      </c>
      <c r="I31" s="0" t="n">
        <f aca="false">IF(AND(ISNUMBER(Panel_Inputs!N31),ISNUMBER(C31)),IF(C31&gt;0,100*Panel_Inputs!N31/C31,""),"")</f>
        <v>0.371100735911009</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1.93203104281682</v>
      </c>
      <c r="O31" s="0" t="n">
        <f aca="false">IF(AND(ISNUMBER(Panel_Inputs!G31),ISNUMBER(Panel_Inputs!F31)),IF(Panel_Inputs!F31&gt;0,100*Panel_Inputs!G31/Panel_Inputs!F31,""),"")</f>
        <v>90.2222413732099</v>
      </c>
      <c r="P31" s="0" t="n">
        <f aca="false">IF(ISNUMBER(Panel_Inputs!F31),IF(Panel_Inputs!F31&gt;0,LN(Panel_Inputs!F31),""),"")</f>
        <v>14.8644104072979</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n">
        <f aca="false">IF(AND(ISNUMBER(Panel_Inputs!T31),ISNUMBER(Panel_Inputs!U31)),Panel_Inputs!T31-Panel_Inputs!U31,"")</f>
        <v>8.4</v>
      </c>
    </row>
    <row r="32" customFormat="false" ht="15" hidden="false" customHeight="false" outlineLevel="0" collapsed="false">
      <c r="A32" s="0" t="str">
        <f aca="false">Panel_Inputs!A32</f>
        <v>Sterling</v>
      </c>
      <c r="B32" s="0" t="n">
        <f aca="false">Panel_Inputs!B32</f>
        <v>2013</v>
      </c>
      <c r="C32" s="0" t="str">
        <f aca="false">IF(AND(ISNUMBER(Panel_Inputs!F32),ISNUMBER(Panel_Inputs!J32)),IF(AND(Panel_Inputs!F32&gt;0,Panel_Inputs!J32&gt;0),(Panel_Inputs!F32+Panel_Inputs!J32)/2,""),"")</f>
        <v/>
      </c>
      <c r="D32" s="0" t="str">
        <f aca="false">IF(AND(ISNUMBER(Panel_Inputs!E32),ISNUMBER(C32)),IF(C32&gt;0,100*Panel_Inputs!E32/C32,""),"")</f>
        <v/>
      </c>
      <c r="E32" s="0" t="n">
        <f aca="false">IF(AND(ISNUMBER(Panel_Inputs!H32),ISNUMBER(Panel_Inputs!F32)),IF(Panel_Inputs!F32&gt;0,100*Panel_Inputs!H32/Panel_Inputs!F32,""),"")</f>
        <v>8.96554799926506</v>
      </c>
      <c r="F32" s="0" t="str">
        <f aca="false">IF(AND(ISNUMBER(Panel_Inputs!I32),ISNUMBER(C32)),IF(C32&gt;0,100*Panel_Inputs!I32/C32,""),"")</f>
        <v/>
      </c>
      <c r="G32" s="0" t="n">
        <f aca="false">IF(AND(ISNUMBER(Panel_Inputs!L32),ISNUMBER(Panel_Inputs!K32)),IF(Panel_Inputs!K32&gt;0,100*Panel_Inputs!L32/Panel_Inputs!K32,""),"")</f>
        <v>2.10583969135932</v>
      </c>
      <c r="H32" s="0" t="str">
        <f aca="false">IF(AND(ISNUMBER(Panel_Inputs!P32),ISNUMBER(Panel_Inputs!Q32)),IF(Panel_Inputs!Q32&gt;0,100*Panel_Inputs!P32/Panel_Inputs!Q32,""),"")</f>
        <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1.16910101115534</v>
      </c>
      <c r="O32" s="0" t="n">
        <f aca="false">IF(AND(ISNUMBER(Panel_Inputs!G32),ISNUMBER(Panel_Inputs!F32)),IF(Panel_Inputs!F32&gt;0,100*Panel_Inputs!G32/Panel_Inputs!F32,""),"")</f>
        <v>91.0344520007349</v>
      </c>
      <c r="P32" s="0" t="n">
        <f aca="false">IF(ISNUMBER(Panel_Inputs!F32),IF(Panel_Inputs!F32&gt;0,LN(Panel_Inputs!F32),""),"")</f>
        <v>13.4699128641221</v>
      </c>
      <c r="Q32" s="0" t="n">
        <f aca="false">IF(AND(ISNUMBER(Panel_Inputs!F32),ISNUMBER(Panel_Inputs!G32),ISNUMBER(Panel_Inputs!H32)),Panel_Inputs!F32-Panel_Inputs!G32-Panel_Inputs!H32,"")</f>
        <v>0</v>
      </c>
      <c r="R32" s="0" t="str">
        <f aca="false">IF(AND(ISNUMBER(Panel_Inputs!K32),ISNUMBER(Panel_Inputs!L32),ISNUMBER(Panel_Inputs!M32)),Panel_Inputs!K32-Panel_Inputs!L32-Panel_Inputs!M32,"")</f>
        <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Sterling</v>
      </c>
      <c r="B33" s="0" t="n">
        <f aca="false">Panel_Inputs!B33</f>
        <v>2014</v>
      </c>
      <c r="C33" s="0" t="n">
        <f aca="false">IF(AND(ISNUMBER(Panel_Inputs!F33),ISNUMBER(Panel_Inputs!J33)),IF(AND(Panel_Inputs!F33&gt;0,Panel_Inputs!J33&gt;0),(Panel_Inputs!F33+Panel_Inputs!J33)/2,""),"")</f>
        <v>766168.3035</v>
      </c>
      <c r="D33" s="0" t="n">
        <f aca="false">IF(AND(ISNUMBER(Panel_Inputs!E33),ISNUMBER(C33)),IF(C33&gt;0,100*Panel_Inputs!E33/C33,""),"")</f>
        <v>1.17532570309469</v>
      </c>
      <c r="E33" s="0" t="n">
        <f aca="false">IF(AND(ISNUMBER(Panel_Inputs!H33),ISNUMBER(Panel_Inputs!F33)),IF(Panel_Inputs!F33&gt;0,100*Panel_Inputs!H33/Panel_Inputs!F33,""),"")</f>
        <v>10.274255217967</v>
      </c>
      <c r="F33" s="0" t="n">
        <f aca="false">IF(AND(ISNUMBER(Panel_Inputs!I33),ISNUMBER(C33)),IF(C33&gt;0,100*Panel_Inputs!I33/C33,""),"")</f>
        <v>-0.0985431003280861</v>
      </c>
      <c r="G33" s="0" t="n">
        <f aca="false">IF(AND(ISNUMBER(Panel_Inputs!L33),ISNUMBER(Panel_Inputs!K33)),IF(Panel_Inputs!K33&gt;0,100*Panel_Inputs!L33/Panel_Inputs!K33,""),"")</f>
        <v>2.54069495154419</v>
      </c>
      <c r="H33" s="0" t="str">
        <f aca="false">IF(AND(ISNUMBER(Panel_Inputs!P33),ISNUMBER(Panel_Inputs!Q33)),IF(Panel_Inputs!Q33&gt;0,100*Panel_Inputs!P33/Panel_Inputs!Q33,""),"")</f>
        <v/>
      </c>
      <c r="I33" s="0" t="n">
        <f aca="false">IF(AND(ISNUMBER(Panel_Inputs!N33),ISNUMBER(C33)),IF(C33&gt;0,100*Panel_Inputs!N33/C33,""),"")</f>
        <v>0.964430265027272</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1.0921215791566</v>
      </c>
      <c r="O33" s="0" t="n">
        <f aca="false">IF(AND(ISNUMBER(Panel_Inputs!G33),ISNUMBER(Panel_Inputs!F33)),IF(Panel_Inputs!F33&gt;0,100*Panel_Inputs!G33/Panel_Inputs!F33,""),"")</f>
        <v>89.725744782033</v>
      </c>
      <c r="P33" s="0" t="n">
        <f aca="false">IF(ISNUMBER(Panel_Inputs!F33),IF(Panel_Inputs!F33&gt;0,LN(Panel_Inputs!F33),""),"")</f>
        <v>13.6225802379101</v>
      </c>
      <c r="Q33" s="0" t="n">
        <f aca="false">IF(AND(ISNUMBER(Panel_Inputs!F33),ISNUMBER(Panel_Inputs!G33),ISNUMBER(Panel_Inputs!H33)),Panel_Inputs!F33-Panel_Inputs!G33-Panel_Inputs!H33,"")</f>
        <v>0</v>
      </c>
      <c r="R33" s="0" t="str">
        <f aca="false">IF(AND(ISNUMBER(Panel_Inputs!K33),ISNUMBER(Panel_Inputs!L33),ISNUMBER(Panel_Inputs!M33)),Panel_Inputs!K33-Panel_Inputs!L33-Panel_Inputs!M33,"")</f>
        <v/>
      </c>
      <c r="S33" s="0" t="n">
        <f aca="false">IF(AND(ISNUMBER(Panel_Inputs!V33),Panel_Inputs!W33=1),Panel_Inputs!V33,"")</f>
        <v>34</v>
      </c>
      <c r="T33" s="0" t="str">
        <f aca="false">IF(AND(ISNUMBER(Panel_Inputs!T33),ISNUMBER(Panel_Inputs!U33)),Panel_Inputs!T33-Panel_Inputs!U33,"")</f>
        <v/>
      </c>
    </row>
    <row r="34" customFormat="false" ht="15" hidden="false" customHeight="false" outlineLevel="0" collapsed="false">
      <c r="A34" s="0" t="str">
        <f aca="false">Panel_Inputs!A34</f>
        <v>Sterling</v>
      </c>
      <c r="B34" s="0" t="n">
        <f aca="false">Panel_Inputs!B34</f>
        <v>2018</v>
      </c>
      <c r="C34" s="0" t="str">
        <f aca="false">IF(AND(ISNUMBER(Panel_Inputs!F34),ISNUMBER(Panel_Inputs!J34)),IF(AND(Panel_Inputs!F34&gt;0,Panel_Inputs!J34&gt;0),(Panel_Inputs!F34+Panel_Inputs!J34)/2,""),"")</f>
        <v/>
      </c>
      <c r="D34" s="0" t="str">
        <f aca="false">IF(AND(ISNUMBER(Panel_Inputs!E34),ISNUMBER(C34)),IF(C34&gt;0,100*Panel_Inputs!E34/C34,""),"")</f>
        <v/>
      </c>
      <c r="E34" s="0" t="n">
        <f aca="false">IF(AND(ISNUMBER(Panel_Inputs!H34),ISNUMBER(Panel_Inputs!F34)),IF(Panel_Inputs!F34&gt;0,100*Panel_Inputs!H34/Panel_Inputs!F34,""),"")</f>
        <v>9.02580036762945</v>
      </c>
      <c r="F34" s="0" t="str">
        <f aca="false">IF(AND(ISNUMBER(Panel_Inputs!I34),ISNUMBER(C34)),IF(C34&gt;0,100*Panel_Inputs!I34/C34,""),"")</f>
        <v/>
      </c>
      <c r="G34" s="0" t="n">
        <f aca="false">IF(AND(ISNUMBER(Panel_Inputs!L34),ISNUMBER(Panel_Inputs!K34)),IF(Panel_Inputs!K34&gt;0,100*Panel_Inputs!L34/Panel_Inputs!K34,""),"")</f>
        <v>3.0687802609111</v>
      </c>
      <c r="H34" s="0" t="str">
        <f aca="false">IF(AND(ISNUMBER(Panel_Inputs!P34),ISNUMBER(Panel_Inputs!Q34)),IF(Panel_Inputs!Q34&gt;0,100*Panel_Inputs!P34/Panel_Inputs!Q34,""),"")</f>
        <v/>
      </c>
      <c r="I34" s="0" t="str">
        <f aca="false">IF(AND(ISNUMBER(Panel_Inputs!N34),ISNUMBER(C34)),IF(C34&gt;0,100*Panel_Inputs!N34/C34,""),"")</f>
        <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0.871922760978233</v>
      </c>
      <c r="O34" s="0" t="n">
        <f aca="false">IF(AND(ISNUMBER(Panel_Inputs!G34),ISNUMBER(Panel_Inputs!F34)),IF(Panel_Inputs!F34&gt;0,100*Panel_Inputs!G34/Panel_Inputs!F34,""),"")</f>
        <v>90.9741996323705</v>
      </c>
      <c r="P34" s="0" t="n">
        <f aca="false">IF(ISNUMBER(Panel_Inputs!F34),IF(Panel_Inputs!F34&gt;0,LN(Panel_Inputs!F34),""),"")</f>
        <v>13.8978975924781</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n">
        <f aca="false">IF(AND(ISNUMBER(Panel_Inputs!T34),ISNUMBER(Panel_Inputs!U34)),Panel_Inputs!T34-Panel_Inputs!U34,"")</f>
        <v>2.86</v>
      </c>
    </row>
    <row r="35" customFormat="false" ht="15" hidden="false" customHeight="false" outlineLevel="0" collapsed="false">
      <c r="A35" s="0" t="str">
        <f aca="false">Panel_Inputs!A35</f>
        <v>Sterling</v>
      </c>
      <c r="B35" s="0" t="n">
        <f aca="false">Panel_Inputs!B35</f>
        <v>2019</v>
      </c>
      <c r="C35" s="0" t="n">
        <f aca="false">IF(AND(ISNUMBER(Panel_Inputs!F35),ISNUMBER(Panel_Inputs!J35)),IF(AND(Panel_Inputs!F35&gt;0,Panel_Inputs!J35&gt;0),(Panel_Inputs!F35+Panel_Inputs!J35)/2,""),"")</f>
        <v>1125692.5</v>
      </c>
      <c r="D35" s="0" t="n">
        <f aca="false">IF(AND(ISNUMBER(Panel_Inputs!E35),ISNUMBER(C35)),IF(C35&gt;0,100*Panel_Inputs!E35/C35,""),"")</f>
        <v>0.902822040654975</v>
      </c>
      <c r="E35" s="0" t="n">
        <f aca="false">IF(AND(ISNUMBER(Panel_Inputs!H35),ISNUMBER(Panel_Inputs!F35)),IF(Panel_Inputs!F35&gt;0,100*Panel_Inputs!H35/Panel_Inputs!F35,""),"")</f>
        <v>10.238273578325</v>
      </c>
      <c r="F35" s="0" t="n">
        <f aca="false">IF(AND(ISNUMBER(Panel_Inputs!I35),ISNUMBER(C35)),IF(C35&gt;0,100*Panel_Inputs!I35/C35,""),"")</f>
        <v>10.1638769024401</v>
      </c>
      <c r="G35" s="0" t="n">
        <f aca="false">IF(AND(ISNUMBER(Panel_Inputs!L35),ISNUMBER(Panel_Inputs!K35)),IF(Panel_Inputs!K35&gt;0,100*Panel_Inputs!L35/Panel_Inputs!K35,""),"")</f>
        <v>2.05256309185719</v>
      </c>
      <c r="H35" s="0" t="str">
        <f aca="false">IF(AND(ISNUMBER(Panel_Inputs!P35),ISNUMBER(Panel_Inputs!Q35)),IF(Panel_Inputs!Q35&gt;0,100*Panel_Inputs!P35/Panel_Inputs!Q35,""),"")</f>
        <v/>
      </c>
      <c r="I35" s="0" t="n">
        <f aca="false">IF(AND(ISNUMBER(Panel_Inputs!N35),ISNUMBER(C35)),IF(C35&gt;0,100*Panel_Inputs!N35/C35,""),"")</f>
        <v>0.518969434370399</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0.871979538553542</v>
      </c>
      <c r="O35" s="0" t="n">
        <f aca="false">IF(AND(ISNUMBER(Panel_Inputs!G35),ISNUMBER(Panel_Inputs!F35)),IF(Panel_Inputs!F35&gt;0,100*Panel_Inputs!G35/Panel_Inputs!F35,""),"")</f>
        <v>89.761726421675</v>
      </c>
      <c r="P35" s="0" t="n">
        <f aca="false">IF(ISNUMBER(Panel_Inputs!F35),IF(Panel_Inputs!F35&gt;0,LN(Panel_Inputs!F35),""),"")</f>
        <v>13.9686684594359</v>
      </c>
      <c r="Q35" s="0" t="n">
        <f aca="false">IF(AND(ISNUMBER(Panel_Inputs!F35),ISNUMBER(Panel_Inputs!G35),ISNUMBER(Panel_Inputs!H35)),Panel_Inputs!F35-Panel_Inputs!G35-Panel_Inputs!H35,"")</f>
        <v>0</v>
      </c>
      <c r="R35" s="0" t="str">
        <f aca="false">IF(AND(ISNUMBER(Panel_Inputs!K35),ISNUMBER(Panel_Inputs!L35),ISNUMBER(Panel_Inputs!M35)),Panel_Inputs!K35-Panel_Inputs!L35-Panel_Inputs!M35,"")</f>
        <v/>
      </c>
      <c r="S35" s="0" t="str">
        <f aca="false">IF(AND(ISNUMBER(Panel_Inputs!V35),Panel_Inputs!W35=1),Panel_Inputs!V35,"")</f>
        <v/>
      </c>
      <c r="T35" s="0" t="n">
        <f aca="false">IF(AND(ISNUMBER(Panel_Inputs!T35),ISNUMBER(Panel_Inputs!U35)),Panel_Inputs!T35-Panel_Inputs!U35,"")</f>
        <v>4.7</v>
      </c>
    </row>
    <row r="36" customFormat="false" ht="15" hidden="false" customHeight="false" outlineLevel="0" collapsed="false">
      <c r="A36" s="0" t="str">
        <f aca="false">Panel_Inputs!A36</f>
        <v>UBA</v>
      </c>
      <c r="B36" s="0" t="n">
        <f aca="false">Panel_Inputs!B36</f>
        <v>2013</v>
      </c>
      <c r="C36" s="0" t="str">
        <f aca="false">IF(AND(ISNUMBER(Panel_Inputs!F36),ISNUMBER(Panel_Inputs!J36)),IF(AND(Panel_Inputs!F36&gt;0,Panel_Inputs!J36&gt;0),(Panel_Inputs!F36+Panel_Inputs!J36)/2,""),"")</f>
        <v/>
      </c>
      <c r="D36" s="0" t="str">
        <f aca="false">IF(AND(ISNUMBER(Panel_Inputs!E36),ISNUMBER(C36)),IF(C36&gt;0,100*Panel_Inputs!E36/C36,""),"")</f>
        <v/>
      </c>
      <c r="E36" s="0" t="n">
        <f aca="false">IF(AND(ISNUMBER(Panel_Inputs!H36),ISNUMBER(Panel_Inputs!F36)),IF(Panel_Inputs!F36&gt;0,100*Panel_Inputs!H36/Panel_Inputs!F36,""),"")</f>
        <v>11.7045192672375</v>
      </c>
      <c r="F36" s="0" t="str">
        <f aca="false">IF(AND(ISNUMBER(Panel_Inputs!I36),ISNUMBER(C36)),IF(C36&gt;0,100*Panel_Inputs!I36/C36,""),"")</f>
        <v/>
      </c>
      <c r="G36" s="0" t="n">
        <f aca="false">IF(AND(ISNUMBER(Panel_Inputs!L36),ISNUMBER(Panel_Inputs!K36)),IF(Panel_Inputs!K36&gt;0,100*Panel_Inputs!L36/Panel_Inputs!K36,""),"")</f>
        <v>1.03283539830042</v>
      </c>
      <c r="H36" s="0" t="str">
        <f aca="false">IF(AND(ISNUMBER(Panel_Inputs!P36),ISNUMBER(Panel_Inputs!Q36)),IF(Panel_Inputs!Q36&gt;0,100*Panel_Inputs!P36/Panel_Inputs!Q36,""),"")</f>
        <v/>
      </c>
      <c r="I36" s="0" t="str">
        <f aca="false">IF(AND(ISNUMBER(Panel_Inputs!N36),ISNUMBER(C36)),IF(C36&gt;0,100*Panel_Inputs!N36/C36,""),"")</f>
        <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2.09626786481749</v>
      </c>
      <c r="O36" s="0" t="n">
        <f aca="false">IF(AND(ISNUMBER(Panel_Inputs!G36),ISNUMBER(Panel_Inputs!F36)),IF(Panel_Inputs!F36&gt;0,100*Panel_Inputs!G36/Panel_Inputs!F36,""),"")</f>
        <v>88.2954807327625</v>
      </c>
      <c r="P36" s="0" t="n">
        <f aca="false">IF(ISNUMBER(Panel_Inputs!F36),IF(Panel_Inputs!F36&gt;0,LN(Panel_Inputs!F36),""),"")</f>
        <v>14.6118535629276</v>
      </c>
      <c r="Q36" s="0" t="n">
        <f aca="false">IF(AND(ISNUMBER(Panel_Inputs!F36),ISNUMBER(Panel_Inputs!G36),ISNUMBER(Panel_Inputs!H36)),Panel_Inputs!F36-Panel_Inputs!G36-Panel_Inputs!H36,"")</f>
        <v>0</v>
      </c>
      <c r="R36" s="0" t="str">
        <f aca="false">IF(AND(ISNUMBER(Panel_Inputs!K36),ISNUMBER(Panel_Inputs!L36),ISNUMBER(Panel_Inputs!M36)),Panel_Inputs!K36-Panel_Inputs!L36-Panel_Inputs!M36,"")</f>
        <v/>
      </c>
      <c r="S36" s="0" t="str">
        <f aca="false">IF(AND(ISNUMBER(Panel_Inputs!V36),Panel_Inputs!W36=1),Panel_Inputs!V36,"")</f>
        <v/>
      </c>
      <c r="T36" s="0" t="str">
        <f aca="false">IF(AND(ISNUMBER(Panel_Inputs!T36),ISNUMBER(Panel_Inputs!U36)),Panel_Inputs!T36-Panel_Inputs!U36,"")</f>
        <v/>
      </c>
    </row>
    <row r="37" customFormat="false" ht="15" hidden="false" customHeight="false" outlineLevel="0" collapsed="false">
      <c r="A37" s="0" t="str">
        <f aca="false">Panel_Inputs!A37</f>
        <v>UBA</v>
      </c>
      <c r="B37" s="0" t="n">
        <f aca="false">Panel_Inputs!B37</f>
        <v>2014</v>
      </c>
      <c r="C37" s="0" t="n">
        <f aca="false">IF(AND(ISNUMBER(Panel_Inputs!F37),ISNUMBER(Panel_Inputs!J37)),IF(AND(Panel_Inputs!F37&gt;0,Panel_Inputs!J37&gt;0),(Panel_Inputs!F37+Panel_Inputs!J37)/2,""),"")</f>
        <v>2278137.5</v>
      </c>
      <c r="D37" s="0" t="n">
        <f aca="false">IF(AND(ISNUMBER(Panel_Inputs!E37),ISNUMBER(C37)),IF(C37&gt;0,100*Panel_Inputs!E37/C37,""),"")</f>
        <v>1.75946359690756</v>
      </c>
      <c r="E37" s="0" t="n">
        <f aca="false">IF(AND(ISNUMBER(Panel_Inputs!H37),ISNUMBER(Panel_Inputs!F37)),IF(Panel_Inputs!F37&gt;0,100*Panel_Inputs!H37/Panel_Inputs!F37,""),"")</f>
        <v>12.0543017147685</v>
      </c>
      <c r="F37" s="0" t="n">
        <f aca="false">IF(AND(ISNUMBER(Panel_Inputs!I37),ISNUMBER(C37)),IF(C37&gt;0,100*Panel_Inputs!I37/C37,""),"")</f>
        <v>-4.06555793932544</v>
      </c>
      <c r="G37" s="0" t="n">
        <f aca="false">IF(AND(ISNUMBER(Panel_Inputs!L37),ISNUMBER(Panel_Inputs!K37)),IF(Panel_Inputs!K37&gt;0,100*Panel_Inputs!L37/Panel_Inputs!K37,""),"")</f>
        <v>1.17549929673369</v>
      </c>
      <c r="H37" s="0" t="str">
        <f aca="false">IF(AND(ISNUMBER(Panel_Inputs!P37),ISNUMBER(Panel_Inputs!Q37)),IF(Panel_Inputs!Q37&gt;0,100*Panel_Inputs!P37/Panel_Inputs!Q37,""),"")</f>
        <v/>
      </c>
      <c r="I37" s="0" t="n">
        <f aca="false">IF(AND(ISNUMBER(Panel_Inputs!N37),ISNUMBER(C37)),IF(C37&gt;0,100*Panel_Inputs!N37/C37,""),"")</f>
        <v>0.134890892231044</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1.71378510367025</v>
      </c>
      <c r="O37" s="0" t="n">
        <f aca="false">IF(AND(ISNUMBER(Panel_Inputs!G37),ISNUMBER(Panel_Inputs!F37)),IF(Panel_Inputs!F37&gt;0,100*Panel_Inputs!G37/Panel_Inputs!F37,""),"")</f>
        <v>87.9456982852315</v>
      </c>
      <c r="P37" s="0" t="n">
        <f aca="false">IF(ISNUMBER(Panel_Inputs!F37),IF(Panel_Inputs!F37&gt;0,LN(Panel_Inputs!F37),""),"")</f>
        <v>14.6651733340184</v>
      </c>
      <c r="Q37" s="0" t="n">
        <f aca="false">IF(AND(ISNUMBER(Panel_Inputs!F37),ISNUMBER(Panel_Inputs!G37),ISNUMBER(Panel_Inputs!H37)),Panel_Inputs!F37-Panel_Inputs!G37-Panel_Inputs!H37,"")</f>
        <v>0</v>
      </c>
      <c r="R37" s="0" t="str">
        <f aca="false">IF(AND(ISNUMBER(Panel_Inputs!K37),ISNUMBER(Panel_Inputs!L37),ISNUMBER(Panel_Inputs!M37)),Panel_Inputs!K37-Panel_Inputs!L37-Panel_Inputs!M37,"")</f>
        <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UBA</v>
      </c>
      <c r="B38" s="0" t="n">
        <f aca="false">Panel_Inputs!B38</f>
        <v>2015</v>
      </c>
      <c r="C38" s="0" t="n">
        <f aca="false">IF(AND(ISNUMBER(Panel_Inputs!F38),ISNUMBER(Panel_Inputs!J38)),IF(AND(Panel_Inputs!F38&gt;0,Panel_Inputs!J38&gt;0),(Panel_Inputs!F38+Panel_Inputs!J38)/2,""),"")</f>
        <v>2277597.5</v>
      </c>
      <c r="D38" s="0" t="n">
        <f aca="false">IF(AND(ISNUMBER(Panel_Inputs!E38),ISNUMBER(C38)),IF(C38&gt;0,100*Panel_Inputs!E38/C38,""),"")</f>
        <v>2.09176555559092</v>
      </c>
      <c r="E38" s="0" t="n">
        <f aca="false">IF(AND(ISNUMBER(Panel_Inputs!H38),ISNUMBER(Panel_Inputs!F38)),IF(Panel_Inputs!F38&gt;0,100*Panel_Inputs!H38/Panel_Inputs!F38,""),"")</f>
        <v>15.260810968729</v>
      </c>
      <c r="F38" s="0" t="n">
        <f aca="false">IF(AND(ISNUMBER(Panel_Inputs!I38),ISNUMBER(C38)),IF(C38&gt;0,100*Panel_Inputs!I38/C38,""),"")</f>
        <v>2.56445662589637</v>
      </c>
      <c r="G38" s="0" t="n">
        <f aca="false">IF(AND(ISNUMBER(Panel_Inputs!L38),ISNUMBER(Panel_Inputs!K38)),IF(Panel_Inputs!K38&gt;0,100*Panel_Inputs!L38/Panel_Inputs!K38,""),"")</f>
        <v>1.56065843680488</v>
      </c>
      <c r="H38" s="0" t="n">
        <f aca="false">IF(AND(ISNUMBER(Panel_Inputs!P38),ISNUMBER(Panel_Inputs!Q38)),IF(Panel_Inputs!Q38&gt;0,100*Panel_Inputs!P38/Panel_Inputs!Q38,""),"")</f>
        <v>19.9517201656444</v>
      </c>
      <c r="I38" s="0" t="n">
        <f aca="false">IF(AND(ISNUMBER(Panel_Inputs!N38),ISNUMBER(C38)),IF(C38&gt;0,100*Panel_Inputs!N38/C38,""),"")</f>
        <v>0.153275545832835</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2.1495828477348</v>
      </c>
      <c r="O38" s="0" t="n">
        <f aca="false">IF(AND(ISNUMBER(Panel_Inputs!G38),ISNUMBER(Panel_Inputs!F38)),IF(Panel_Inputs!F38&gt;0,100*Panel_Inputs!G38/Panel_Inputs!F38,""),"")</f>
        <v>84.739189031271</v>
      </c>
      <c r="P38" s="0" t="n">
        <f aca="false">IF(ISNUMBER(Panel_Inputs!F38),IF(Panel_Inputs!F38&gt;0,LN(Panel_Inputs!F38),""),"")</f>
        <v>14.6113663910992</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n">
        <f aca="false">IF(AND(ISNUMBER(Panel_Inputs!V38),Panel_Inputs!W38=1),Panel_Inputs!V38,"")</f>
        <v>52.57</v>
      </c>
      <c r="T38" s="0" t="str">
        <f aca="false">IF(AND(ISNUMBER(Panel_Inputs!T38),ISNUMBER(Panel_Inputs!U38)),Panel_Inputs!T38-Panel_Inputs!U38,"")</f>
        <v/>
      </c>
    </row>
    <row r="39" customFormat="false" ht="15" hidden="false" customHeight="false" outlineLevel="0" collapsed="false">
      <c r="A39" s="0" t="str">
        <f aca="false">Panel_Inputs!A39</f>
        <v>UBA</v>
      </c>
      <c r="B39" s="0" t="n">
        <f aca="false">Panel_Inputs!B39</f>
        <v>2016</v>
      </c>
      <c r="C39" s="0" t="n">
        <f aca="false">IF(AND(ISNUMBER(Panel_Inputs!F39),ISNUMBER(Panel_Inputs!J39)),IF(AND(Panel_Inputs!F39&gt;0,Panel_Inputs!J39&gt;0),(Panel_Inputs!F39+Panel_Inputs!J39)/2,""),"")</f>
        <v>2377961</v>
      </c>
      <c r="D39" s="0" t="n">
        <f aca="false">IF(AND(ISNUMBER(Panel_Inputs!E39),ISNUMBER(C39)),IF(C39&gt;0,100*Panel_Inputs!E39/C39,""),"")</f>
        <v>1.99923379735833</v>
      </c>
      <c r="E39" s="0" t="n">
        <f aca="false">IF(AND(ISNUMBER(Panel_Inputs!H39),ISNUMBER(Panel_Inputs!F39)),IF(Panel_Inputs!F39&gt;0,100*Panel_Inputs!H39/Panel_Inputs!F39,""),"")</f>
        <v>15.3922786597023</v>
      </c>
      <c r="F39" s="0" t="n">
        <f aca="false">IF(AND(ISNUMBER(Panel_Inputs!I39),ISNUMBER(C39)),IF(C39&gt;0,100*Panel_Inputs!I39/C39,""),"")</f>
        <v>-8.97373842548301</v>
      </c>
      <c r="G39" s="0" t="n">
        <f aca="false">IF(AND(ISNUMBER(Panel_Inputs!L39),ISNUMBER(Panel_Inputs!K39)),IF(Panel_Inputs!K39&gt;0,100*Panel_Inputs!L39/Panel_Inputs!K39,""),"")</f>
        <v>2.65521883838528</v>
      </c>
      <c r="H39" s="0" t="n">
        <f aca="false">IF(AND(ISNUMBER(Panel_Inputs!P39),ISNUMBER(Panel_Inputs!Q39)),IF(Panel_Inputs!Q39&gt;0,100*Panel_Inputs!P39/Panel_Inputs!Q39,""),"")</f>
        <v>19.7028908304746</v>
      </c>
      <c r="I39" s="0" t="n">
        <f aca="false">IF(AND(ISNUMBER(Panel_Inputs!N39),ISNUMBER(C39)),IF(C39&gt;0,100*Panel_Inputs!N39/C39,""),"")</f>
        <v>1.07323038519135</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1.87199877145282</v>
      </c>
      <c r="O39" s="0" t="n">
        <f aca="false">IF(AND(ISNUMBER(Panel_Inputs!G39),ISNUMBER(Panel_Inputs!F39)),IF(Panel_Inputs!F39&gt;0,100*Panel_Inputs!G39/Panel_Inputs!F39,""),"")</f>
        <v>84.6077213402977</v>
      </c>
      <c r="P39" s="0" t="n">
        <f aca="false">IF(ISNUMBER(Panel_Inputs!F39),IF(Panel_Inputs!F39&gt;0,LN(Panel_Inputs!F39),""),"")</f>
        <v>14.747511239819</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n">
        <f aca="false">IF(AND(ISNUMBER(Panel_Inputs!V39),Panel_Inputs!W39=1),Panel_Inputs!V39,"")</f>
        <v>38.57</v>
      </c>
      <c r="T39" s="0" t="n">
        <f aca="false">IF(AND(ISNUMBER(Panel_Inputs!T39),ISNUMBER(Panel_Inputs!U39)),Panel_Inputs!T39-Panel_Inputs!U39,"")</f>
        <v>5</v>
      </c>
    </row>
    <row r="40" customFormat="false" ht="15" hidden="false" customHeight="false" outlineLevel="0" collapsed="false">
      <c r="A40" s="0" t="str">
        <f aca="false">Panel_Inputs!A40</f>
        <v>UBA</v>
      </c>
      <c r="B40" s="0" t="n">
        <f aca="false">Panel_Inputs!B40</f>
        <v>2017</v>
      </c>
      <c r="C40" s="0" t="n">
        <f aca="false">IF(AND(ISNUMBER(Panel_Inputs!F40),ISNUMBER(Panel_Inputs!J40)),IF(AND(Panel_Inputs!F40&gt;0,Panel_Inputs!J40&gt;0),(Panel_Inputs!F40+Panel_Inputs!J40)/2,""),"")</f>
        <v>2735705.5</v>
      </c>
      <c r="D40" s="0" t="n">
        <f aca="false">IF(AND(ISNUMBER(Panel_Inputs!E40),ISNUMBER(C40)),IF(C40&gt;0,100*Panel_Inputs!E40/C40,""),"")</f>
        <v>1.51317457233609</v>
      </c>
      <c r="E40" s="0" t="n">
        <f aca="false">IF(AND(ISNUMBER(Panel_Inputs!H40),ISNUMBER(Panel_Inputs!F40)),IF(Panel_Inputs!F40&gt;0,100*Panel_Inputs!H40/Panel_Inputs!F40,""),"")</f>
        <v>13.6727077254926</v>
      </c>
      <c r="F40" s="0" t="n">
        <f aca="false">IF(AND(ISNUMBER(Panel_Inputs!I40),ISNUMBER(C40)),IF(C40&gt;0,100*Panel_Inputs!I40/C40,""),"")</f>
        <v>2.16218448952199</v>
      </c>
      <c r="G40" s="0" t="n">
        <f aca="false">IF(AND(ISNUMBER(Panel_Inputs!L40),ISNUMBER(Panel_Inputs!K40)),IF(Panel_Inputs!K40&gt;0,100*Panel_Inputs!L40/Panel_Inputs!K40,""),"")</f>
        <v>2.5914418984645</v>
      </c>
      <c r="H40" s="0" t="n">
        <f aca="false">IF(AND(ISNUMBER(Panel_Inputs!P40),ISNUMBER(Panel_Inputs!Q40)),IF(Panel_Inputs!Q40&gt;0,100*Panel_Inputs!P40/Panel_Inputs!Q40,""),"")</f>
        <v>20.1588507351668</v>
      </c>
      <c r="I40" s="0" t="n">
        <f aca="false">IF(AND(ISNUMBER(Panel_Inputs!N40),ISNUMBER(C40)),IF(C40&gt;0,100*Panel_Inputs!N40/C40,""),"")</f>
        <v>1.11243699294387</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1.41195282393976</v>
      </c>
      <c r="O40" s="0" t="n">
        <f aca="false">IF(AND(ISNUMBER(Panel_Inputs!G40),ISNUMBER(Panel_Inputs!F40)),IF(Panel_Inputs!F40&gt;0,100*Panel_Inputs!G40/Panel_Inputs!F40,""),"")</f>
        <v>86.3272922745074</v>
      </c>
      <c r="P40" s="0" t="n">
        <f aca="false">IF(ISNUMBER(Panel_Inputs!F40),IF(Panel_Inputs!F40&gt;0,LN(Panel_Inputs!F40),""),"")</f>
        <v>14.8911359950708</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n">
        <f aca="false">IF(AND(ISNUMBER(Panel_Inputs!V40),Panel_Inputs!W40=1),Panel_Inputs!V40,"")</f>
        <v>49.69</v>
      </c>
      <c r="T40" s="0" t="str">
        <f aca="false">IF(AND(ISNUMBER(Panel_Inputs!T40),ISNUMBER(Panel_Inputs!U40)),Panel_Inputs!T40-Panel_Inputs!U40,"")</f>
        <v/>
      </c>
    </row>
    <row r="41" customFormat="false" ht="15" hidden="false" customHeight="false" outlineLevel="0" collapsed="false">
      <c r="A41" s="0" t="str">
        <f aca="false">Panel_Inputs!A41</f>
        <v>UBA</v>
      </c>
      <c r="B41" s="0" t="n">
        <f aca="false">Panel_Inputs!B41</f>
        <v>2018</v>
      </c>
      <c r="C41" s="0" t="n">
        <f aca="false">IF(AND(ISNUMBER(Panel_Inputs!F41),ISNUMBER(Panel_Inputs!J41)),IF(AND(Panel_Inputs!F41&gt;0,Panel_Inputs!J41&gt;0),(Panel_Inputs!F41+Panel_Inputs!J41)/2,""),"")</f>
        <v>3261565.5</v>
      </c>
      <c r="D41" s="0" t="n">
        <f aca="false">IF(AND(ISNUMBER(Panel_Inputs!E41),ISNUMBER(C41)),IF(C41&gt;0,100*Panel_Inputs!E41/C41,""),"")</f>
        <v>1.25850607629986</v>
      </c>
      <c r="E41" s="0" t="n">
        <f aca="false">IF(AND(ISNUMBER(Panel_Inputs!H41),ISNUMBER(Panel_Inputs!F41)),IF(Panel_Inputs!F41&gt;0,100*Panel_Inputs!H41/Panel_Inputs!F41,""),"")</f>
        <v>10.1522427084305</v>
      </c>
      <c r="F41" s="0" t="n">
        <f aca="false">IF(AND(ISNUMBER(Panel_Inputs!I41),ISNUMBER(C41)),IF(C41&gt;0,100*Panel_Inputs!I41/C41,""),"")</f>
        <v>14.981333350503</v>
      </c>
      <c r="G41" s="0" t="n">
        <f aca="false">IF(AND(ISNUMBER(Panel_Inputs!L41),ISNUMBER(Panel_Inputs!K41)),IF(Panel_Inputs!K41&gt;0,100*Panel_Inputs!L41/Panel_Inputs!K41,""),"")</f>
        <v>4.73357130299377</v>
      </c>
      <c r="H41" s="0" t="n">
        <f aca="false">IF(AND(ISNUMBER(Panel_Inputs!P41),ISNUMBER(Panel_Inputs!Q41)),IF(Panel_Inputs!Q41&gt;0,100*Panel_Inputs!P41/Panel_Inputs!Q41,""),"")</f>
        <v>19.6620128489262</v>
      </c>
      <c r="I41" s="0" t="n">
        <f aca="false">IF(AND(ISNUMBER(Panel_Inputs!N41),ISNUMBER(C41)),IF(C41&gt;0,100*Panel_Inputs!N41/C41,""),"")</f>
        <v>0.130520144390784</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1.14295499825272</v>
      </c>
      <c r="O41" s="0" t="n">
        <f aca="false">IF(AND(ISNUMBER(Panel_Inputs!G41),ISNUMBER(Panel_Inputs!F41)),IF(Panel_Inputs!F41&gt;0,100*Panel_Inputs!G41/Panel_Inputs!F41,""),"")</f>
        <v>89.8477572915695</v>
      </c>
      <c r="P41" s="0" t="n">
        <f aca="false">IF(ISNUMBER(Panel_Inputs!F41),IF(Panel_Inputs!F41&gt;0,LN(Panel_Inputs!F41),""),"")</f>
        <v>15.0940262041601</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n">
        <f aca="false">IF(AND(ISNUMBER(Panel_Inputs!V41),Panel_Inputs!W41=1),Panel_Inputs!V41,"")</f>
        <v>55.84</v>
      </c>
      <c r="T41" s="0" t="n">
        <f aca="false">IF(AND(ISNUMBER(Panel_Inputs!T41),ISNUMBER(Panel_Inputs!U41)),Panel_Inputs!T41-Panel_Inputs!U41,"")</f>
        <v>4</v>
      </c>
    </row>
    <row r="42" customFormat="false" ht="15" hidden="false" customHeight="false" outlineLevel="0" collapsed="false">
      <c r="A42" s="0" t="str">
        <f aca="false">Panel_Inputs!A42</f>
        <v>UBA</v>
      </c>
      <c r="B42" s="0" t="n">
        <f aca="false">Panel_Inputs!B42</f>
        <v>2019</v>
      </c>
      <c r="C42" s="0" t="n">
        <f aca="false">IF(AND(ISNUMBER(Panel_Inputs!F42),ISNUMBER(Panel_Inputs!J42)),IF(AND(Panel_Inputs!F42&gt;0,Panel_Inputs!J42&gt;0),(Panel_Inputs!F42+Panel_Inputs!J42)/2,""),"")</f>
        <v>3863899</v>
      </c>
      <c r="D42" s="0" t="n">
        <f aca="false">IF(AND(ISNUMBER(Panel_Inputs!E42),ISNUMBER(C42)),IF(C42&gt;0,100*Panel_Inputs!E42/C42,""),"")</f>
        <v>1.62400725277757</v>
      </c>
      <c r="E42" s="0" t="n">
        <f aca="false">IF(AND(ISNUMBER(Panel_Inputs!H42),ISNUMBER(Panel_Inputs!F42)),IF(Panel_Inputs!F42&gt;0,100*Panel_Inputs!H42/Panel_Inputs!F42,""),"")</f>
        <v>10.7946997613679</v>
      </c>
      <c r="F42" s="0" t="n">
        <f aca="false">IF(AND(ISNUMBER(Panel_Inputs!I42),ISNUMBER(C42)),IF(C42&gt;0,100*Panel_Inputs!I42/C42,""),"")</f>
        <v>-8.21587210224698</v>
      </c>
      <c r="G42" s="0" t="n">
        <f aca="false">IF(AND(ISNUMBER(Panel_Inputs!L42),ISNUMBER(Panel_Inputs!K42)),IF(Panel_Inputs!K42&gt;0,100*Panel_Inputs!L42/Panel_Inputs!K42,""),"")</f>
        <v>3.4659981841041</v>
      </c>
      <c r="H42" s="0" t="n">
        <f aca="false">IF(AND(ISNUMBER(Panel_Inputs!P42),ISNUMBER(Panel_Inputs!Q42)),IF(Panel_Inputs!Q42&gt;0,100*Panel_Inputs!P42/Panel_Inputs!Q42,""),"")</f>
        <v>21.5071023037408</v>
      </c>
      <c r="I42" s="0" t="n">
        <f aca="false">IF(AND(ISNUMBER(Panel_Inputs!N42),ISNUMBER(C42)),IF(C42&gt;0,100*Panel_Inputs!N42/C42,""),"")</f>
        <v>0.423639437780335</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1.51698552372747</v>
      </c>
      <c r="O42" s="0" t="n">
        <f aca="false">IF(AND(ISNUMBER(Panel_Inputs!G42),ISNUMBER(Panel_Inputs!F42)),IF(Panel_Inputs!F42&gt;0,100*Panel_Inputs!G42/Panel_Inputs!F42,""),"")</f>
        <v>89.2053002386321</v>
      </c>
      <c r="P42" s="0" t="n">
        <f aca="false">IF(ISNUMBER(Panel_Inputs!F42),IF(Panel_Inputs!F42&gt;0,LN(Panel_Inputs!F42),""),"")</f>
        <v>15.235358885359</v>
      </c>
      <c r="Q42" s="0" t="n">
        <f aca="false">IF(AND(ISNUMBER(Panel_Inputs!F42),ISNUMBER(Panel_Inputs!G42),ISNUMBER(Panel_Inputs!H42)),Panel_Inputs!F42-Panel_Inputs!G42-Panel_Inputs!H42,"")</f>
        <v>0</v>
      </c>
      <c r="R42" s="0" t="n">
        <f aca="false">IF(AND(ISNUMBER(Panel_Inputs!K42),ISNUMBER(Panel_Inputs!L42),ISNUMBER(Panel_Inputs!M42)),Panel_Inputs!K42-Panel_Inputs!L42-Panel_Inputs!M42,"")</f>
        <v>0</v>
      </c>
      <c r="S42" s="0" t="n">
        <f aca="false">IF(AND(ISNUMBER(Panel_Inputs!V42),Panel_Inputs!W42=1),Panel_Inputs!V42,"")</f>
        <v>43.99</v>
      </c>
      <c r="T42" s="0" t="str">
        <f aca="false">IF(AND(ISNUMBER(Panel_Inputs!T42),ISNUMBER(Panel_Inputs!U42)),Panel_Inputs!T42-Panel_Inputs!U42,"")</f>
        <v/>
      </c>
    </row>
    <row r="43" customFormat="false" ht="15" hidden="false" customHeight="false" outlineLevel="0" collapsed="false">
      <c r="A43" s="0" t="str">
        <f aca="false">Panel_Inputs!A43</f>
        <v>UBA</v>
      </c>
      <c r="B43" s="0" t="n">
        <f aca="false">Panel_Inputs!B43</f>
        <v>2020</v>
      </c>
      <c r="C43" s="0" t="n">
        <f aca="false">IF(AND(ISNUMBER(Panel_Inputs!F43),ISNUMBER(Panel_Inputs!J43)),IF(AND(Panel_Inputs!F43&gt;0,Panel_Inputs!J43&gt;0),(Panel_Inputs!F43+Panel_Inputs!J43)/2,""),"")</f>
        <v>4672163</v>
      </c>
      <c r="D43" s="0" t="n">
        <f aca="false">IF(AND(ISNUMBER(Panel_Inputs!E43),ISNUMBER(C43)),IF(C43&gt;0,100*Panel_Inputs!E43/C43,""),"")</f>
        <v>1.21808678335923</v>
      </c>
      <c r="E43" s="0" t="n">
        <f aca="false">IF(AND(ISNUMBER(Panel_Inputs!H43),ISNUMBER(Panel_Inputs!F43)),IF(Panel_Inputs!F43&gt;0,100*Panel_Inputs!H43/Panel_Inputs!F43,""),"")</f>
        <v>9.17732961099175</v>
      </c>
      <c r="F43" s="0" t="n">
        <f aca="false">IF(AND(ISNUMBER(Panel_Inputs!I43),ISNUMBER(C43)),IF(C43&gt;0,100*Panel_Inputs!I43/C43,""),"")</f>
        <v>15.7339116807355</v>
      </c>
      <c r="G43" s="0" t="n">
        <f aca="false">IF(AND(ISNUMBER(Panel_Inputs!L43),ISNUMBER(Panel_Inputs!K43)),IF(Panel_Inputs!K43&gt;0,100*Panel_Inputs!L43/Panel_Inputs!K43,""),"")</f>
        <v>3.32409174454812</v>
      </c>
      <c r="H43" s="0" t="n">
        <f aca="false">IF(AND(ISNUMBER(Panel_Inputs!P43),ISNUMBER(Panel_Inputs!Q43)),IF(Panel_Inputs!Q43&gt;0,100*Panel_Inputs!P43/Panel_Inputs!Q43,""),"")</f>
        <v>19.6952147431671</v>
      </c>
      <c r="I43" s="0" t="n">
        <f aca="false">IF(AND(ISNUMBER(Panel_Inputs!N43),ISNUMBER(C43)),IF(C43&gt;0,100*Panel_Inputs!N43/C43,""),"")</f>
        <v>0.467963125430341</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1.09279617837208</v>
      </c>
      <c r="O43" s="0" t="n">
        <f aca="false">IF(AND(ISNUMBER(Panel_Inputs!G43),ISNUMBER(Panel_Inputs!F43)),IF(Panel_Inputs!F43&gt;0,100*Panel_Inputs!G43/Panel_Inputs!F43,""),"")</f>
        <v>90.8226703890083</v>
      </c>
      <c r="P43" s="0" t="n">
        <f aca="false">IF(ISNUMBER(Panel_Inputs!F43),IF(Panel_Inputs!F43&gt;0,LN(Panel_Inputs!F43),""),"")</f>
        <v>15.4656743963042</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n">
        <f aca="false">IF(AND(ISNUMBER(Panel_Inputs!V43),Panel_Inputs!W43=1),Panel_Inputs!V43,"")</f>
        <v>44.3</v>
      </c>
      <c r="T43" s="0" t="n">
        <f aca="false">IF(AND(ISNUMBER(Panel_Inputs!T43),ISNUMBER(Panel_Inputs!U43)),Panel_Inputs!T43-Panel_Inputs!U43,"")</f>
        <v>5</v>
      </c>
    </row>
    <row r="44" customFormat="false" ht="15" hidden="false" customHeight="false" outlineLevel="0" collapsed="false">
      <c r="A44" s="0" t="str">
        <f aca="false">Panel_Inputs!A44</f>
        <v>UBA</v>
      </c>
      <c r="B44" s="0" t="n">
        <f aca="false">Panel_Inputs!B44</f>
        <v>2021</v>
      </c>
      <c r="C44" s="0" t="n">
        <f aca="false">IF(AND(ISNUMBER(Panel_Inputs!F44),ISNUMBER(Panel_Inputs!J44)),IF(AND(Panel_Inputs!F44&gt;0,Panel_Inputs!J44&gt;0),(Panel_Inputs!F44+Panel_Inputs!J44)/2,""),"")</f>
        <v>5391404.5</v>
      </c>
      <c r="D44" s="0" t="n">
        <f aca="false">IF(AND(ISNUMBER(Panel_Inputs!E44),ISNUMBER(C44)),IF(C44&gt;0,100*Panel_Inputs!E44/C44,""),"")</f>
        <v>1.08819510760137</v>
      </c>
      <c r="E44" s="0" t="n">
        <f aca="false">IF(AND(ISNUMBER(Panel_Inputs!H44),ISNUMBER(Panel_Inputs!F44)),IF(Panel_Inputs!F44&gt;0,100*Panel_Inputs!H44/Panel_Inputs!F44,""),"")</f>
        <v>8.99736608731589</v>
      </c>
      <c r="F44" s="0" t="n">
        <f aca="false">IF(AND(ISNUMBER(Panel_Inputs!I44),ISNUMBER(C44)),IF(C44&gt;0,100*Panel_Inputs!I44/C44,""),"")</f>
        <v>12.4572177806358</v>
      </c>
      <c r="G44" s="0" t="n">
        <f aca="false">IF(AND(ISNUMBER(Panel_Inputs!L44),ISNUMBER(Panel_Inputs!K44)),IF(Panel_Inputs!K44&gt;0,100*Panel_Inputs!L44/Panel_Inputs!K44,""),"")</f>
        <v>3.41281998617124</v>
      </c>
      <c r="H44" s="0" t="n">
        <f aca="false">IF(AND(ISNUMBER(Panel_Inputs!P44),ISNUMBER(Panel_Inputs!Q44)),IF(Panel_Inputs!Q44&gt;0,100*Panel_Inputs!P44/Panel_Inputs!Q44,""),"")</f>
        <v>21.8217914675852</v>
      </c>
      <c r="I44" s="0" t="n">
        <f aca="false">IF(AND(ISNUMBER(Panel_Inputs!N44),ISNUMBER(C44)),IF(C44&gt;0,100*Panel_Inputs!N44/C44,""),"")</f>
        <v>0.1808248666929</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1.05236327474773</v>
      </c>
      <c r="O44" s="0" t="n">
        <f aca="false">IF(AND(ISNUMBER(Panel_Inputs!G44),ISNUMBER(Panel_Inputs!F44)),IF(Panel_Inputs!F44&gt;0,100*Panel_Inputs!G44/Panel_Inputs!F44,""),"")</f>
        <v>91.0026339126841</v>
      </c>
      <c r="P44" s="0" t="n">
        <f aca="false">IF(ISNUMBER(Panel_Inputs!F44),IF(Panel_Inputs!F44&gt;0,LN(Panel_Inputs!F44),""),"")</f>
        <v>15.5337985703685</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n">
        <f aca="false">IF(AND(ISNUMBER(Panel_Inputs!V44),Panel_Inputs!W44=1),Panel_Inputs!V44,"")</f>
        <v>47.56</v>
      </c>
      <c r="T44" s="0" t="str">
        <f aca="false">IF(AND(ISNUMBER(Panel_Inputs!T44),ISNUMBER(Panel_Inputs!U44)),Panel_Inputs!T44-Panel_Inputs!U44,"")</f>
        <v/>
      </c>
    </row>
    <row r="45" customFormat="false" ht="15" hidden="false" customHeight="false" outlineLevel="0" collapsed="false">
      <c r="A45" s="0" t="str">
        <f aca="false">Panel_Inputs!A45</f>
        <v>UBA</v>
      </c>
      <c r="B45" s="0" t="n">
        <f aca="false">Panel_Inputs!B45</f>
        <v>2022</v>
      </c>
      <c r="C45" s="0" t="n">
        <f aca="false">IF(AND(ISNUMBER(Panel_Inputs!F45),ISNUMBER(Panel_Inputs!J45)),IF(AND(Panel_Inputs!F45&gt;0,Panel_Inputs!J45&gt;0),(Panel_Inputs!F45+Panel_Inputs!J45)/2,""),"")</f>
        <v>6468010</v>
      </c>
      <c r="D45" s="0" t="n">
        <f aca="false">IF(AND(ISNUMBER(Panel_Inputs!E45),ISNUMBER(C45)),IF(C45&gt;0,100*Panel_Inputs!E45/C45,""),"")</f>
        <v>2.06703452839436</v>
      </c>
      <c r="E45" s="0" t="n">
        <f aca="false">IF(AND(ISNUMBER(Panel_Inputs!H45),ISNUMBER(Panel_Inputs!F45)),IF(Panel_Inputs!F45&gt;0,100*Panel_Inputs!H45/Panel_Inputs!F45,""),"")</f>
        <v>7.94986417687491</v>
      </c>
      <c r="F45" s="0" t="n">
        <f aca="false">IF(AND(ISNUMBER(Panel_Inputs!I45),ISNUMBER(C45)),IF(C45&gt;0,100*Panel_Inputs!I45/C45,""),"")</f>
        <v>16.4382553521098</v>
      </c>
      <c r="G45" s="0" t="n">
        <f aca="false">IF(AND(ISNUMBER(Panel_Inputs!L45),ISNUMBER(Panel_Inputs!K45)),IF(Panel_Inputs!K45&gt;0,100*Panel_Inputs!L45/Panel_Inputs!K45,""),"")</f>
        <v>2.37642537471624</v>
      </c>
      <c r="H45" s="0" t="n">
        <f aca="false">IF(AND(ISNUMBER(Panel_Inputs!P45),ISNUMBER(Panel_Inputs!Q45)),IF(Panel_Inputs!Q45&gt;0,100*Panel_Inputs!P45/Panel_Inputs!Q45,""),"")</f>
        <v>21.8530631072842</v>
      </c>
      <c r="I45" s="0" t="n">
        <f aca="false">IF(AND(ISNUMBER(Panel_Inputs!N45),ISNUMBER(C45)),IF(C45&gt;0,100*Panel_Inputs!N45/C45,""),"")</f>
        <v>0.163342357231977</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1.8162641060154</v>
      </c>
      <c r="O45" s="0" t="n">
        <f aca="false">IF(AND(ISNUMBER(Panel_Inputs!G45),ISNUMBER(Panel_Inputs!F45)),IF(Panel_Inputs!F45&gt;0,100*Panel_Inputs!G45/Panel_Inputs!F45,""),"")</f>
        <v>92.0501358231251</v>
      </c>
      <c r="P45" s="0" t="n">
        <f aca="false">IF(ISNUMBER(Panel_Inputs!F45),IF(Panel_Inputs!F45&gt;0,LN(Panel_Inputs!F45),""),"")</f>
        <v>15.8117123284717</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4.9</v>
      </c>
    </row>
    <row r="46" customFormat="false" ht="15" hidden="false" customHeight="false" outlineLevel="0" collapsed="false">
      <c r="A46" s="0" t="str">
        <f aca="false">Panel_Inputs!A46</f>
        <v>Union</v>
      </c>
      <c r="B46" s="0" t="n">
        <f aca="false">Panel_Inputs!B46</f>
        <v>2013</v>
      </c>
      <c r="C46" s="0" t="str">
        <f aca="false">IF(AND(ISNUMBER(Panel_Inputs!F46),ISNUMBER(Panel_Inputs!J46)),IF(AND(Panel_Inputs!F46&gt;0,Panel_Inputs!J46&gt;0),(Panel_Inputs!F46+Panel_Inputs!J46)/2,""),"")</f>
        <v/>
      </c>
      <c r="D46" s="0" t="str">
        <f aca="false">IF(AND(ISNUMBER(Panel_Inputs!E46),ISNUMBER(C46)),IF(C46&gt;0,100*Panel_Inputs!E46/C46,""),"")</f>
        <v/>
      </c>
      <c r="E46" s="0" t="n">
        <f aca="false">IF(AND(ISNUMBER(Panel_Inputs!H46),ISNUMBER(Panel_Inputs!F46)),IF(Panel_Inputs!F46&gt;0,100*Panel_Inputs!H46/Panel_Inputs!F46,""),"")</f>
        <v>21.2883617107869</v>
      </c>
      <c r="F46" s="0" t="str">
        <f aca="false">IF(AND(ISNUMBER(Panel_Inputs!I46),ISNUMBER(C46)),IF(C46&gt;0,100*Panel_Inputs!I46/C46,""),"")</f>
        <v/>
      </c>
      <c r="G46" s="0" t="n">
        <f aca="false">IF(AND(ISNUMBER(Panel_Inputs!L46),ISNUMBER(Panel_Inputs!K46)),IF(Panel_Inputs!K46&gt;0,100*Panel_Inputs!L46/Panel_Inputs!K46,""),"")</f>
        <v>8.92943828016644</v>
      </c>
      <c r="H46" s="0" t="str">
        <f aca="false">IF(AND(ISNUMBER(Panel_Inputs!P46),ISNUMBER(Panel_Inputs!Q46)),IF(Panel_Inputs!Q46&gt;0,100*Panel_Inputs!P46/Panel_Inputs!Q46,""),"")</f>
        <v/>
      </c>
      <c r="I46" s="0" t="str">
        <f aca="false">IF(AND(ISNUMBER(Panel_Inputs!N46),ISNUMBER(C46)),IF(C46&gt;0,100*Panel_Inputs!N46/C46,""),"")</f>
        <v/>
      </c>
      <c r="J46" s="0" t="n">
        <f aca="false">IF(AND(ISNUMBER(Panel_Inputs!L46),ISNUMBER(Panel_Inputs!O46)),IF(Panel_Inputs!O46&gt;0,100*Panel_Inputs!L46/Panel_Inputs!O46,""),"")</f>
        <v>150.996775139255</v>
      </c>
      <c r="K46" s="0" t="n">
        <f aca="false">IF(AND(ISNUMBER(Panel_Inputs!O46),ISNUMBER(Panel_Inputs!K46)),IF(Panel_Inputs!K46&gt;0,100*Panel_Inputs!O46/Panel_Inputs!K46,""),"")</f>
        <v>5.91366158113731</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0.580548397738571</v>
      </c>
      <c r="O46" s="0" t="n">
        <f aca="false">IF(AND(ISNUMBER(Panel_Inputs!G46),ISNUMBER(Panel_Inputs!F46)),IF(Panel_Inputs!F46&gt;0,100*Panel_Inputs!G46/Panel_Inputs!F46,""),"")</f>
        <v>78.7116382892131</v>
      </c>
      <c r="P46" s="0" t="n">
        <f aca="false">IF(ISNUMBER(Panel_Inputs!F46),IF(Panel_Inputs!F46&gt;0,LN(Panel_Inputs!F46),""),"")</f>
        <v>13.6900573062661</v>
      </c>
      <c r="Q46" s="0" t="n">
        <f aca="false">IF(AND(ISNUMBER(Panel_Inputs!F46),ISNUMBER(Panel_Inputs!G46),ISNUMBER(Panel_Inputs!H46)),Panel_Inputs!F46-Panel_Inputs!G46-Panel_Inputs!H46,"")</f>
        <v>0</v>
      </c>
      <c r="R46" s="0" t="str">
        <f aca="false">IF(AND(ISNUMBER(Panel_Inputs!K46),ISNUMBER(Panel_Inputs!L46),ISNUMBER(Panel_Inputs!M46)),Panel_Inputs!K46-Panel_Inputs!L46-Panel_Inputs!M46,"")</f>
        <v/>
      </c>
      <c r="S46" s="0" t="str">
        <f aca="false">IF(AND(ISNUMBER(Panel_Inputs!V46),Panel_Inputs!W46=1),Panel_Inputs!V46,"")</f>
        <v/>
      </c>
      <c r="T46" s="0" t="str">
        <f aca="false">IF(AND(ISNUMBER(Panel_Inputs!T46),ISNUMBER(Panel_Inputs!U46)),Panel_Inputs!T46-Panel_Inputs!U46,"")</f>
        <v/>
      </c>
    </row>
    <row r="47" customFormat="false" ht="15" hidden="false" customHeight="false" outlineLevel="0" collapsed="false">
      <c r="A47" s="0" t="str">
        <f aca="false">Panel_Inputs!A47</f>
        <v>Union</v>
      </c>
      <c r="B47" s="0" t="n">
        <f aca="false">Panel_Inputs!B47</f>
        <v>2014</v>
      </c>
      <c r="C47" s="0" t="n">
        <f aca="false">IF(AND(ISNUMBER(Panel_Inputs!F47),ISNUMBER(Panel_Inputs!J47)),IF(AND(Panel_Inputs!F47&gt;0,Panel_Inputs!J47&gt;0),(Panel_Inputs!F47+Panel_Inputs!J47)/2,""),"")</f>
        <v>901516.5</v>
      </c>
      <c r="D47" s="0" t="n">
        <f aca="false">IF(AND(ISNUMBER(Panel_Inputs!E47),ISNUMBER(C47)),IF(C47&gt;0,100*Panel_Inputs!E47/C47,""),"")</f>
        <v>2.27239323961347</v>
      </c>
      <c r="E47" s="0" t="n">
        <f aca="false">IF(AND(ISNUMBER(Panel_Inputs!H47),ISNUMBER(Panel_Inputs!F47)),IF(Panel_Inputs!F47&gt;0,100*Panel_Inputs!H47/Panel_Inputs!F47,""),"")</f>
        <v>22.3657235681958</v>
      </c>
      <c r="F47" s="0" t="n">
        <f aca="false">IF(AND(ISNUMBER(Panel_Inputs!I47),ISNUMBER(C47)),IF(C47&gt;0,100*Panel_Inputs!I47/C47,""),"")</f>
        <v>-13.5279831262101</v>
      </c>
      <c r="G47" s="0" t="n">
        <f aca="false">IF(AND(ISNUMBER(Panel_Inputs!L47),ISNUMBER(Panel_Inputs!K47)),IF(Panel_Inputs!K47&gt;0,100*Panel_Inputs!L47/Panel_Inputs!K47,""),"")</f>
        <v>7.17609931603571</v>
      </c>
      <c r="H47" s="0" t="str">
        <f aca="false">IF(AND(ISNUMBER(Panel_Inputs!P47),ISNUMBER(Panel_Inputs!Q47)),IF(Panel_Inputs!Q47&gt;0,100*Panel_Inputs!P47/Panel_Inputs!Q47,""),"")</f>
        <v/>
      </c>
      <c r="I47" s="0" t="str">
        <f aca="false">IF(AND(ISNUMBER(Panel_Inputs!N47),ISNUMBER(C47)),IF(C47&gt;0,100*Panel_Inputs!N47/C47,""),"")</f>
        <v/>
      </c>
      <c r="J47" s="0" t="n">
        <f aca="false">IF(AND(ISNUMBER(Panel_Inputs!L47),ISNUMBER(Panel_Inputs!O47)),IF(Panel_Inputs!O47&gt;0,100*Panel_Inputs!L47/Panel_Inputs!O47,""),"")</f>
        <v>139.508235855813</v>
      </c>
      <c r="K47" s="0" t="n">
        <f aca="false">IF(AND(ISNUMBER(Panel_Inputs!O47),ISNUMBER(Panel_Inputs!K47)),IF(Panel_Inputs!K47&gt;0,100*Panel_Inputs!O47/Panel_Inputs!K47,""),"")</f>
        <v>5.14385353095031</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2.22447596792828</v>
      </c>
      <c r="O47" s="0" t="n">
        <f aca="false">IF(AND(ISNUMBER(Panel_Inputs!G47),ISNUMBER(Panel_Inputs!F47)),IF(Panel_Inputs!F47&gt;0,100*Panel_Inputs!G47/Panel_Inputs!F47,""),"")</f>
        <v>77.6342764318042</v>
      </c>
      <c r="P47" s="0" t="n">
        <f aca="false">IF(ISNUMBER(Panel_Inputs!F47),IF(Panel_Inputs!F47&gt;0,LN(Panel_Inputs!F47),""),"")</f>
        <v>13.7331458231378</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str">
        <f aca="false">IF(AND(ISNUMBER(Panel_Inputs!T47),ISNUMBER(Panel_Inputs!U47)),Panel_Inputs!T47-Panel_Inputs!U47,"")</f>
        <v/>
      </c>
    </row>
    <row r="48" customFormat="false" ht="15" hidden="false" customHeight="false" outlineLevel="0" collapsed="false">
      <c r="A48" s="0" t="str">
        <f aca="false">Panel_Inputs!A48</f>
        <v>Union</v>
      </c>
      <c r="B48" s="0" t="n">
        <f aca="false">Panel_Inputs!B48</f>
        <v>2015</v>
      </c>
      <c r="C48" s="0" t="n">
        <f aca="false">IF(AND(ISNUMBER(Panel_Inputs!F48),ISNUMBER(Panel_Inputs!J48)),IF(AND(Panel_Inputs!F48&gt;0,Panel_Inputs!J48&gt;0),(Panel_Inputs!F48+Panel_Inputs!J48)/2,""),"")</f>
        <v>961865.5</v>
      </c>
      <c r="D48" s="0" t="n">
        <f aca="false">IF(AND(ISNUMBER(Panel_Inputs!E48),ISNUMBER(C48)),IF(C48&gt;0,100*Panel_Inputs!E48/C48,""),"")</f>
        <v>1.87500227422649</v>
      </c>
      <c r="E48" s="0" t="n">
        <f aca="false">IF(AND(ISNUMBER(Panel_Inputs!H48),ISNUMBER(Panel_Inputs!F48)),IF(Panel_Inputs!F48&gt;0,100*Panel_Inputs!H48/Panel_Inputs!F48,""),"")</f>
        <v>23.3279319384281</v>
      </c>
      <c r="F48" s="0" t="n">
        <f aca="false">IF(AND(ISNUMBER(Panel_Inputs!I48),ISNUMBER(C48)),IF(C48&gt;0,100*Panel_Inputs!I48/C48,""),"")</f>
        <v>1.1410119190261</v>
      </c>
      <c r="G48" s="0" t="n">
        <f aca="false">IF(AND(ISNUMBER(Panel_Inputs!L48),ISNUMBER(Panel_Inputs!K48)),IF(Panel_Inputs!K48&gt;0,100*Panel_Inputs!L48/Panel_Inputs!K48,""),"")</f>
        <v>5.92129915433119</v>
      </c>
      <c r="H48" s="0" t="n">
        <f aca="false">IF(AND(ISNUMBER(Panel_Inputs!P48),ISNUMBER(Panel_Inputs!Q48)),IF(Panel_Inputs!Q48&gt;0,100*Panel_Inputs!P48/Panel_Inputs!Q48,""),"")</f>
        <v>15.9480183484677</v>
      </c>
      <c r="I48" s="0" t="n">
        <f aca="false">IF(AND(ISNUMBER(Panel_Inputs!N48),ISNUMBER(C48)),IF(C48&gt;0,100*Panel_Inputs!N48/C48,""),"")</f>
        <v>0.954083497120959</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1.80174150029571</v>
      </c>
      <c r="O48" s="0" t="n">
        <f aca="false">IF(AND(ISNUMBER(Panel_Inputs!G48),ISNUMBER(Panel_Inputs!F48)),IF(Panel_Inputs!F48&gt;0,100*Panel_Inputs!G48/Panel_Inputs!F48,""),"")</f>
        <v>76.6720680615719</v>
      </c>
      <c r="P48" s="0" t="n">
        <f aca="false">IF(ISNUMBER(Panel_Inputs!F48),IF(Panel_Inputs!F48&gt;0,LN(Panel_Inputs!F48),""),"")</f>
        <v>13.816486081986</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str">
        <f aca="false">IF(AND(ISNUMBER(Panel_Inputs!V48),Panel_Inputs!W48=1),Panel_Inputs!V48,"")</f>
        <v/>
      </c>
      <c r="T48" s="0" t="str">
        <f aca="false">IF(AND(ISNUMBER(Panel_Inputs!T48),ISNUMBER(Panel_Inputs!U48)),Panel_Inputs!T48-Panel_Inputs!U48,"")</f>
        <v/>
      </c>
    </row>
    <row r="49" customFormat="false" ht="15" hidden="false" customHeight="false" outlineLevel="0" collapsed="false">
      <c r="A49" s="0" t="str">
        <f aca="false">Panel_Inputs!A49</f>
        <v>Union</v>
      </c>
      <c r="B49" s="0" t="n">
        <f aca="false">Panel_Inputs!B49</f>
        <v>2016</v>
      </c>
      <c r="C49" s="0" t="n">
        <f aca="false">IF(AND(ISNUMBER(Panel_Inputs!F49),ISNUMBER(Panel_Inputs!J49)),IF(AND(Panel_Inputs!F49&gt;0,Panel_Inputs!J49&gt;0),(Panel_Inputs!F49+Panel_Inputs!J49)/2,""),"")</f>
        <v>1062229.5</v>
      </c>
      <c r="D49" s="0" t="n">
        <f aca="false">IF(AND(ISNUMBER(Panel_Inputs!E49),ISNUMBER(C49)),IF(C49&gt;0,100*Panel_Inputs!E49/C49,""),"")</f>
        <v>1.49543954484412</v>
      </c>
      <c r="E49" s="0" t="n">
        <f aca="false">IF(AND(ISNUMBER(Panel_Inputs!H49),ISNUMBER(Panel_Inputs!F49)),IF(Panel_Inputs!F49&gt;0,100*Panel_Inputs!H49/Panel_Inputs!F49,""),"")</f>
        <v>22.3714110493884</v>
      </c>
      <c r="F49" s="0" t="n">
        <f aca="false">IF(AND(ISNUMBER(Panel_Inputs!I49),ISNUMBER(C49)),IF(C49&gt;0,100*Panel_Inputs!I49/C49,""),"")</f>
        <v>-6.60243384315725</v>
      </c>
      <c r="G49" s="0" t="n">
        <f aca="false">IF(AND(ISNUMBER(Panel_Inputs!L49),ISNUMBER(Panel_Inputs!K49)),IF(Panel_Inputs!K49&gt;0,100*Panel_Inputs!L49/Panel_Inputs!K49,""),"")</f>
        <v>5.49031636985892</v>
      </c>
      <c r="H49" s="0" t="n">
        <f aca="false">IF(AND(ISNUMBER(Panel_Inputs!P49),ISNUMBER(Panel_Inputs!Q49)),IF(Panel_Inputs!Q49&gt;0,100*Panel_Inputs!P49/Panel_Inputs!Q49,""),"")</f>
        <v>13.290232660834</v>
      </c>
      <c r="I49" s="0" t="n">
        <f aca="false">IF(AND(ISNUMBER(Panel_Inputs!N49),ISNUMBER(C49)),IF(C49&gt;0,100*Panel_Inputs!N49/C49,""),"")</f>
        <v>1.48451911757299</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1.4139065744653</v>
      </c>
      <c r="O49" s="0" t="n">
        <f aca="false">IF(AND(ISNUMBER(Panel_Inputs!G49),ISNUMBER(Panel_Inputs!F49)),IF(Panel_Inputs!F49&gt;0,100*Panel_Inputs!G49/Panel_Inputs!F49,""),"")</f>
        <v>77.6285889506116</v>
      </c>
      <c r="P49" s="0" t="n">
        <f aca="false">IF(ISNUMBER(Panel_Inputs!F49),IF(Panel_Inputs!F49&gt;0,LN(Panel_Inputs!F49),""),"")</f>
        <v>13.9319442392069</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-1.7</v>
      </c>
    </row>
    <row r="50" customFormat="false" ht="15" hidden="false" customHeight="false" outlineLevel="0" collapsed="false">
      <c r="A50" s="0" t="str">
        <f aca="false">Panel_Inputs!A50</f>
        <v>Union</v>
      </c>
      <c r="B50" s="0" t="n">
        <f aca="false">Panel_Inputs!B50</f>
        <v>2017</v>
      </c>
      <c r="C50" s="0" t="n">
        <f aca="false">IF(AND(ISNUMBER(Panel_Inputs!F50),ISNUMBER(Panel_Inputs!J50)),IF(AND(Panel_Inputs!F50&gt;0,Panel_Inputs!J50&gt;0),(Panel_Inputs!F50+Panel_Inputs!J50)/2,""),"")</f>
        <v>1229202</v>
      </c>
      <c r="D50" s="0" t="n">
        <f aca="false">IF(AND(ISNUMBER(Panel_Inputs!E50),ISNUMBER(C50)),IF(C50&gt;0,100*Panel_Inputs!E50/C50,""),"")</f>
        <v>0.914333038833324</v>
      </c>
      <c r="E50" s="0" t="n">
        <f aca="false">IF(AND(ISNUMBER(Panel_Inputs!H50),ISNUMBER(Panel_Inputs!F50)),IF(Panel_Inputs!F50&gt;0,100*Panel_Inputs!H50/Panel_Inputs!F50,""),"")</f>
        <v>23.9054595740122</v>
      </c>
      <c r="F50" s="0" t="n">
        <f aca="false">IF(AND(ISNUMBER(Panel_Inputs!I50),ISNUMBER(C50)),IF(C50&gt;0,100*Panel_Inputs!I50/C50,""),"")</f>
        <v>5.54506094197699</v>
      </c>
      <c r="G50" s="0" t="n">
        <f aca="false">IF(AND(ISNUMBER(Panel_Inputs!L50),ISNUMBER(Panel_Inputs!K50)),IF(Panel_Inputs!K50&gt;0,100*Panel_Inputs!L50/Panel_Inputs!K50,""),"")</f>
        <v>8.13302570293358</v>
      </c>
      <c r="H50" s="0" t="n">
        <f aca="false">IF(AND(ISNUMBER(Panel_Inputs!P50),ISNUMBER(Panel_Inputs!Q50)),IF(Panel_Inputs!Q50&gt;0,100*Panel_Inputs!P50/Panel_Inputs!Q50,""),"")</f>
        <v>17.801876572795</v>
      </c>
      <c r="I50" s="0" t="n">
        <f aca="false">IF(AND(ISNUMBER(Panel_Inputs!N50),ISNUMBER(C50)),IF(C50&gt;0,100*Panel_Inputs!N50/C50,""),"")</f>
        <v>2.07272685856352</v>
      </c>
      <c r="J50" s="0" t="n">
        <f aca="false">IF(AND(ISNUMBER(Panel_Inputs!L50),ISNUMBER(Panel_Inputs!O50)),IF(Panel_Inputs!O50&gt;0,100*Panel_Inputs!L50/Panel_Inputs!O50,""),"")</f>
        <v>39.076658987216</v>
      </c>
      <c r="K50" s="0" t="n">
        <f aca="false">IF(AND(ISNUMBER(Panel_Inputs!O50),ISNUMBER(Panel_Inputs!K50)),IF(Panel_Inputs!K50&gt;0,100*Panel_Inputs!O50/Panel_Inputs!K50,""),"")</f>
        <v>20.8130017092667</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0.84192248080598</v>
      </c>
      <c r="O50" s="0" t="n">
        <f aca="false">IF(AND(ISNUMBER(Panel_Inputs!G50),ISNUMBER(Panel_Inputs!F50)),IF(Panel_Inputs!F50&gt;0,100*Panel_Inputs!G50/Panel_Inputs!F50,""),"")</f>
        <v>76.0945404259878</v>
      </c>
      <c r="P50" s="0" t="n">
        <f aca="false">IF(ISNUMBER(Panel_Inputs!F50),IF(Panel_Inputs!F50&gt;0,LN(Panel_Inputs!F50),""),"")</f>
        <v>14.1043826720356</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str">
        <f aca="false">IF(AND(ISNUMBER(Panel_Inputs!V50),Panel_Inputs!W50=1),Panel_Inputs!V50,"")</f>
        <v/>
      </c>
      <c r="T50" s="0" t="n">
        <f aca="false">IF(AND(ISNUMBER(Panel_Inputs!T50),ISNUMBER(Panel_Inputs!U50)),Panel_Inputs!T50-Panel_Inputs!U50,"")</f>
        <v>2.8</v>
      </c>
    </row>
    <row r="51" customFormat="false" ht="15" hidden="false" customHeight="false" outlineLevel="0" collapsed="false">
      <c r="A51" s="0" t="str">
        <f aca="false">Panel_Inputs!A51</f>
        <v>Union</v>
      </c>
      <c r="B51" s="0" t="n">
        <f aca="false">Panel_Inputs!B51</f>
        <v>2018</v>
      </c>
      <c r="C51" s="0" t="n">
        <f aca="false">IF(AND(ISNUMBER(Panel_Inputs!F51),ISNUMBER(Panel_Inputs!J51)),IF(AND(Panel_Inputs!F51&gt;0,Panel_Inputs!J51&gt;0),(Panel_Inputs!F51+Panel_Inputs!J51)/2,""),"")</f>
        <v>1329609</v>
      </c>
      <c r="D51" s="0" t="n">
        <f aca="false">IF(AND(ISNUMBER(Panel_Inputs!E51),ISNUMBER(C51)),IF(C51&gt;0,100*Panel_Inputs!E51/C51,""),"")</f>
        <v>1.3867234653195</v>
      </c>
      <c r="E51" s="0" t="n">
        <f aca="false">IF(AND(ISNUMBER(Panel_Inputs!H51),ISNUMBER(Panel_Inputs!F51)),IF(Panel_Inputs!F51&gt;0,100*Panel_Inputs!H51/Panel_Inputs!F51,""),"")</f>
        <v>15.1089219412262</v>
      </c>
      <c r="F51" s="0" t="n">
        <f aca="false">IF(AND(ISNUMBER(Panel_Inputs!I51),ISNUMBER(C51)),IF(C51&gt;0,100*Panel_Inputs!I51/C51,""),"")</f>
        <v>2.8124057523678</v>
      </c>
      <c r="G51" s="0" t="n">
        <f aca="false">IF(AND(ISNUMBER(Panel_Inputs!L51),ISNUMBER(Panel_Inputs!K51)),IF(Panel_Inputs!K51&gt;0,100*Panel_Inputs!L51/Panel_Inputs!K51,""),"")</f>
        <v>9.58161877159925</v>
      </c>
      <c r="H51" s="0" t="n">
        <f aca="false">IF(AND(ISNUMBER(Panel_Inputs!P51),ISNUMBER(Panel_Inputs!Q51)),IF(Panel_Inputs!Q51&gt;0,100*Panel_Inputs!P51/Panel_Inputs!Q51,""),"")</f>
        <v>11.4639800982065</v>
      </c>
      <c r="I51" s="0" t="n">
        <f aca="false">IF(AND(ISNUMBER(Panel_Inputs!N51),ISNUMBER(C51)),IF(C51&gt;0,100*Panel_Inputs!N51/C51,""),"")</f>
        <v>-0.264363433159673</v>
      </c>
      <c r="J51" s="0" t="n">
        <f aca="false">IF(AND(ISNUMBER(Panel_Inputs!L51),ISNUMBER(Panel_Inputs!O51)),IF(Panel_Inputs!O51&gt;0,100*Panel_Inputs!L51/Panel_Inputs!O51,""),"")</f>
        <v>117.827826267664</v>
      </c>
      <c r="K51" s="0" t="n">
        <f aca="false">IF(AND(ISNUMBER(Panel_Inputs!O51),ISNUMBER(Panel_Inputs!K51)),IF(Panel_Inputs!K51&gt;0,100*Panel_Inputs!O51/Panel_Inputs!K51,""),"")</f>
        <v>8.13188113123051</v>
      </c>
      <c r="L51" s="0" t="n">
        <f aca="false">IF(AND(ISNUMBER(Panel_Inputs!R51),ISNUMBER(Panel_Inputs!K51)),IF(Panel_Inputs!K51&gt;0,100*Panel_Inputs!R51/Panel_Inputs!K51,""),"")</f>
        <v>26.051762161066</v>
      </c>
      <c r="M51" s="0" t="n">
        <f aca="false">IF(AND(ISNUMBER(Panel_Inputs!S51),ISNUMBER(Panel_Inputs!R51)),IF(Panel_Inputs!R51&gt;0,100*Panel_Inputs!S51/Panel_Inputs!R51,""),"")</f>
        <v>24.4461922677737</v>
      </c>
      <c r="N51" s="0" t="n">
        <f aca="false">IF(AND(ISNUMBER(Panel_Inputs!E51),ISNUMBER(Panel_Inputs!F51)),IF(Panel_Inputs!F51&gt;0,100*Panel_Inputs!E51/Panel_Inputs!F51,""),"")</f>
        <v>1.39228586940845</v>
      </c>
      <c r="O51" s="0" t="n">
        <f aca="false">IF(AND(ISNUMBER(Panel_Inputs!G51),ISNUMBER(Panel_Inputs!F51)),IF(Panel_Inputs!F51&gt;0,100*Panel_Inputs!G51/Panel_Inputs!F51,""),"")</f>
        <v>84.8910780587738</v>
      </c>
      <c r="P51" s="0" t="n">
        <f aca="false">IF(ISNUMBER(Panel_Inputs!F51),IF(Panel_Inputs!F51&gt;0,LN(Panel_Inputs!F51),""),"")</f>
        <v>14.0963923105648</v>
      </c>
      <c r="Q51" s="0" t="n">
        <f aca="false">IF(AND(ISNUMBER(Panel_Inputs!F51),ISNUMBER(Panel_Inputs!G51),ISNUMBER(Panel_Inputs!H51)),Panel_Inputs!F51-Panel_Inputs!G51-Panel_Inputs!H51,"")</f>
        <v>0</v>
      </c>
      <c r="R51" s="0" t="n">
        <f aca="false">IF(AND(ISNUMBER(Panel_Inputs!K51),ISNUMBER(Panel_Inputs!L51),ISNUMBER(Panel_Inputs!M51)),Panel_Inputs!K51-Panel_Inputs!L51-Panel_Inputs!M51,"")</f>
        <v>0</v>
      </c>
      <c r="S51" s="0" t="str">
        <f aca="false">IF(AND(ISNUMBER(Panel_Inputs!V51),Panel_Inputs!W51=1),Panel_Inputs!V51,"")</f>
        <v/>
      </c>
      <c r="T51" s="0" t="n">
        <f aca="false">IF(AND(ISNUMBER(Panel_Inputs!T51),ISNUMBER(Panel_Inputs!U51)),Panel_Inputs!T51-Panel_Inputs!U51,"")</f>
        <v>-3.5</v>
      </c>
    </row>
    <row r="52" customFormat="false" ht="15" hidden="false" customHeight="false" outlineLevel="0" collapsed="false">
      <c r="A52" s="0" t="str">
        <f aca="false">Panel_Inputs!A52</f>
        <v>Union</v>
      </c>
      <c r="B52" s="0" t="n">
        <f aca="false">Panel_Inputs!B52</f>
        <v>2019</v>
      </c>
      <c r="C52" s="0" t="n">
        <f aca="false">IF(AND(ISNUMBER(Panel_Inputs!F52),ISNUMBER(Panel_Inputs!J52)),IF(AND(Panel_Inputs!F52&gt;0,Panel_Inputs!J52&gt;0),(Panel_Inputs!F52+Panel_Inputs!J52)/2,""),"")</f>
        <v>1518018</v>
      </c>
      <c r="D52" s="0" t="n">
        <f aca="false">IF(AND(ISNUMBER(Panel_Inputs!E52),ISNUMBER(C52)),IF(C52&gt;0,100*Panel_Inputs!E52/C52,""),"")</f>
        <v>1.60571218523101</v>
      </c>
      <c r="E52" s="0" t="n">
        <f aca="false">IF(AND(ISNUMBER(Panel_Inputs!H52),ISNUMBER(Panel_Inputs!F52)),IF(Panel_Inputs!F52&gt;0,100*Panel_Inputs!H52/Panel_Inputs!F52,""),"")</f>
        <v>13.5062646817067</v>
      </c>
      <c r="F52" s="0" t="n">
        <f aca="false">IF(AND(ISNUMBER(Panel_Inputs!I52),ISNUMBER(C52)),IF(C52&gt;0,100*Panel_Inputs!I52/C52,""),"")</f>
        <v>13.6571503104706</v>
      </c>
      <c r="G52" s="0" t="n">
        <f aca="false">IF(AND(ISNUMBER(Panel_Inputs!L52),ISNUMBER(Panel_Inputs!K52)),IF(Panel_Inputs!K52&gt;0,100*Panel_Inputs!L52/Panel_Inputs!K52,""),"")</f>
        <v>7.50632456349593</v>
      </c>
      <c r="H52" s="0" t="n">
        <f aca="false">IF(AND(ISNUMBER(Panel_Inputs!P52),ISNUMBER(Panel_Inputs!Q52)),IF(Panel_Inputs!Q52&gt;0,100*Panel_Inputs!P52/Panel_Inputs!Q52,""),"")</f>
        <v>15.9061110315789</v>
      </c>
      <c r="I52" s="0" t="n">
        <f aca="false">IF(AND(ISNUMBER(Panel_Inputs!N52),ISNUMBER(C52)),IF(C52&gt;0,100*Panel_Inputs!N52/C52,""),"")</f>
        <v>-0.0332011873376996</v>
      </c>
      <c r="J52" s="0" t="n">
        <f aca="false">IF(AND(ISNUMBER(Panel_Inputs!L52),ISNUMBER(Panel_Inputs!O52)),IF(Panel_Inputs!O52&gt;0,100*Panel_Inputs!L52/Panel_Inputs!O52,""),"")</f>
        <v>128.552934407365</v>
      </c>
      <c r="K52" s="0" t="n">
        <f aca="false">IF(AND(ISNUMBER(Panel_Inputs!O52),ISNUMBER(Panel_Inputs!K52)),IF(Panel_Inputs!K52&gt;0,100*Panel_Inputs!O52/Panel_Inputs!K52,""),"")</f>
        <v>5.83909235374552</v>
      </c>
      <c r="L52" s="0" t="n">
        <f aca="false">IF(AND(ISNUMBER(Panel_Inputs!R52),ISNUMBER(Panel_Inputs!K52)),IF(Panel_Inputs!K52&gt;0,100*Panel_Inputs!R52/Panel_Inputs!K52,""),"")</f>
        <v>9.87219846194679</v>
      </c>
      <c r="M52" s="0" t="n">
        <f aca="false">IF(AND(ISNUMBER(Panel_Inputs!S52),ISNUMBER(Panel_Inputs!R52)),IF(Panel_Inputs!R52&gt;0,100*Panel_Inputs!S52/Panel_Inputs!R52,""),"")</f>
        <v>27.5621501131549</v>
      </c>
      <c r="N52" s="0" t="n">
        <f aca="false">IF(AND(ISNUMBER(Panel_Inputs!E52),ISNUMBER(Panel_Inputs!F52)),IF(Panel_Inputs!F52&gt;0,100*Panel_Inputs!E52/Panel_Inputs!F52,""),"")</f>
        <v>1.42399045648899</v>
      </c>
      <c r="O52" s="0" t="n">
        <f aca="false">IF(AND(ISNUMBER(Panel_Inputs!G52),ISNUMBER(Panel_Inputs!F52)),IF(Panel_Inputs!F52&gt;0,100*Panel_Inputs!G52/Panel_Inputs!F52,""),"")</f>
        <v>86.4937353182933</v>
      </c>
      <c r="P52" s="0" t="n">
        <f aca="false">IF(ISNUMBER(Panel_Inputs!F52),IF(Panel_Inputs!F52&gt;0,LN(Panel_Inputs!F52),""),"")</f>
        <v>14.3530203707906</v>
      </c>
      <c r="Q52" s="0" t="n">
        <f aca="false">IF(AND(ISNUMBER(Panel_Inputs!F52),ISNUMBER(Panel_Inputs!G52),ISNUMBER(Panel_Inputs!H52)),Panel_Inputs!F52-Panel_Inputs!G52-Panel_Inputs!H52,"")</f>
        <v>0</v>
      </c>
      <c r="R52" s="0" t="n">
        <f aca="false">IF(AND(ISNUMBER(Panel_Inputs!K52),ISNUMBER(Panel_Inputs!L52),ISNUMBER(Panel_Inputs!M52)),Panel_Inputs!K52-Panel_Inputs!L52-Panel_Inputs!M52,"")</f>
        <v>0</v>
      </c>
      <c r="S52" s="0" t="str">
        <f aca="false">IF(AND(ISNUMBER(Panel_Inputs!V52),Panel_Inputs!W52=1),Panel_Inputs!V52,"")</f>
        <v/>
      </c>
      <c r="T52" s="0" t="n">
        <f aca="false">IF(AND(ISNUMBER(Panel_Inputs!T52),ISNUMBER(Panel_Inputs!U52)),Panel_Inputs!T52-Panel_Inputs!U52,"")</f>
        <v>0.91</v>
      </c>
    </row>
    <row r="53" customFormat="false" ht="15" hidden="false" customHeight="false" outlineLevel="0" collapsed="false">
      <c r="A53" s="0" t="str">
        <f aca="false">Panel_Inputs!A53</f>
        <v>Union</v>
      </c>
      <c r="B53" s="0" t="n">
        <f aca="false">Panel_Inputs!B53</f>
        <v>2020</v>
      </c>
      <c r="C53" s="0" t="n">
        <f aca="false">IF(AND(ISNUMBER(Panel_Inputs!F53),ISNUMBER(Panel_Inputs!J53)),IF(AND(Panel_Inputs!F53&gt;0,Panel_Inputs!J53&gt;0),(Panel_Inputs!F53+Panel_Inputs!J53)/2,""),"")</f>
        <v>1892748.5</v>
      </c>
      <c r="D53" s="0" t="n">
        <f aca="false">IF(AND(ISNUMBER(Panel_Inputs!E53),ISNUMBER(C53)),IF(C53&gt;0,100*Panel_Inputs!E53/C53,""),"")</f>
        <v>1.30249739994511</v>
      </c>
      <c r="E53" s="0" t="n">
        <f aca="false">IF(AND(ISNUMBER(Panel_Inputs!H53),ISNUMBER(Panel_Inputs!F53)),IF(Panel_Inputs!F53&gt;0,100*Panel_Inputs!H53/Panel_Inputs!F53,""),"")</f>
        <v>11.935867155184</v>
      </c>
      <c r="F53" s="0" t="n">
        <f aca="false">IF(AND(ISNUMBER(Panel_Inputs!I53),ISNUMBER(C53)),IF(C53&gt;0,100*Panel_Inputs!I53/C53,""),"")</f>
        <v>-1.89734663638619</v>
      </c>
      <c r="G53" s="0" t="n">
        <f aca="false">IF(AND(ISNUMBER(Panel_Inputs!L53),ISNUMBER(Panel_Inputs!K53)),IF(Panel_Inputs!K53&gt;0,100*Panel_Inputs!L53/Panel_Inputs!K53,""),"")</f>
        <v>5.9601309602667</v>
      </c>
      <c r="H53" s="0" t="n">
        <f aca="false">IF(AND(ISNUMBER(Panel_Inputs!P53),ISNUMBER(Panel_Inputs!Q53)),IF(Panel_Inputs!Q53&gt;0,100*Panel_Inputs!P53/Panel_Inputs!Q53,""),"")</f>
        <v>15.7592955503664</v>
      </c>
      <c r="I53" s="0" t="n">
        <f aca="false">IF(AND(ISNUMBER(Panel_Inputs!N53),ISNUMBER(C53)),IF(C53&gt;0,100*Panel_Inputs!N53/C53,""),"")</f>
        <v>-0.135200212812215</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n">
        <f aca="false">IF(AND(ISNUMBER(Panel_Inputs!R53),ISNUMBER(Panel_Inputs!K53)),IF(Panel_Inputs!K53&gt;0,100*Panel_Inputs!R53/Panel_Inputs!K53,""),"")</f>
        <v>8.40151918252994</v>
      </c>
      <c r="M53" s="0" t="n">
        <f aca="false">IF(AND(ISNUMBER(Panel_Inputs!S53),ISNUMBER(Panel_Inputs!R53)),IF(Panel_Inputs!R53&gt;0,100*Panel_Inputs!S53/Panel_Inputs!R53,""),"")</f>
        <v>36.4552871799015</v>
      </c>
      <c r="N53" s="0" t="n">
        <f aca="false">IF(AND(ISNUMBER(Panel_Inputs!E53),ISNUMBER(Panel_Inputs!F53)),IF(Panel_Inputs!F53&gt;0,100*Panel_Inputs!E53/Panel_Inputs!F53,""),"")</f>
        <v>1.18880795155462</v>
      </c>
      <c r="O53" s="0" t="n">
        <f aca="false">IF(AND(ISNUMBER(Panel_Inputs!G53),ISNUMBER(Panel_Inputs!F53)),IF(Panel_Inputs!F53&gt;0,100*Panel_Inputs!G53/Panel_Inputs!F53,""),"")</f>
        <v>88.064132844816</v>
      </c>
      <c r="P53" s="0" t="n">
        <f aca="false">IF(ISNUMBER(Panel_Inputs!F53),IF(Panel_Inputs!F53&gt;0,LN(Panel_Inputs!F53),""),"")</f>
        <v>14.544872978225</v>
      </c>
      <c r="Q53" s="0" t="n">
        <f aca="false">IF(AND(ISNUMBER(Panel_Inputs!F53),ISNUMBER(Panel_Inputs!G53),ISNUMBER(Panel_Inputs!H53)),Panel_Inputs!F53-Panel_Inputs!G53-Panel_Inputs!H53,"")</f>
        <v>0</v>
      </c>
      <c r="R53" s="0" t="n">
        <f aca="false">IF(AND(ISNUMBER(Panel_Inputs!K53),ISNUMBER(Panel_Inputs!L53),ISNUMBER(Panel_Inputs!M53)),Panel_Inputs!K53-Panel_Inputs!L53-Panel_Inputs!M53,"")</f>
        <v>0</v>
      </c>
      <c r="S53" s="0" t="str">
        <f aca="false">IF(AND(ISNUMBER(Panel_Inputs!V53),Panel_Inputs!W53=1),Panel_Inputs!V53,"")</f>
        <v/>
      </c>
      <c r="T53" s="0" t="n">
        <f aca="false">IF(AND(ISNUMBER(Panel_Inputs!T53),ISNUMBER(Panel_Inputs!U53)),Panel_Inputs!T53-Panel_Inputs!U53,"")</f>
        <v>0.76</v>
      </c>
    </row>
    <row r="54" customFormat="false" ht="15" hidden="false" customHeight="false" outlineLevel="0" collapsed="false">
      <c r="A54" s="0" t="str">
        <f aca="false">Panel_Inputs!A54</f>
        <v>Union</v>
      </c>
      <c r="B54" s="0" t="n">
        <f aca="false">Panel_Inputs!B54</f>
        <v>2021</v>
      </c>
      <c r="C54" s="0" t="n">
        <f aca="false">IF(AND(ISNUMBER(Panel_Inputs!F54),ISNUMBER(Panel_Inputs!J54)),IF(AND(Panel_Inputs!F54&gt;0,Panel_Inputs!J54&gt;0),(Panel_Inputs!F54+Panel_Inputs!J54)/2,""),"")</f>
        <v>2320599.5</v>
      </c>
      <c r="D54" s="0" t="n">
        <f aca="false">IF(AND(ISNUMBER(Panel_Inputs!E54),ISNUMBER(C54)),IF(C54&gt;0,100*Panel_Inputs!E54/C54,""),"")</f>
        <v>0.826510563326416</v>
      </c>
      <c r="E54" s="0" t="n">
        <f aca="false">IF(AND(ISNUMBER(Panel_Inputs!H54),ISNUMBER(Panel_Inputs!F54)),IF(Panel_Inputs!F54&gt;0,100*Panel_Inputs!H54/Panel_Inputs!F54,""),"")</f>
        <v>9.79523969586838</v>
      </c>
      <c r="F54" s="0" t="n">
        <f aca="false">IF(AND(ISNUMBER(Panel_Inputs!I54),ISNUMBER(C54)),IF(C54&gt;0,100*Panel_Inputs!I54/C54,""),"")</f>
        <v>10.8652957996414</v>
      </c>
      <c r="G54" s="0" t="n">
        <f aca="false">IF(AND(ISNUMBER(Panel_Inputs!L54),ISNUMBER(Panel_Inputs!K54)),IF(Panel_Inputs!K54&gt;0,100*Panel_Inputs!L54/Panel_Inputs!K54,""),"")</f>
        <v>3.36623268001771</v>
      </c>
      <c r="H54" s="0" t="n">
        <f aca="false">IF(AND(ISNUMBER(Panel_Inputs!P54),ISNUMBER(Panel_Inputs!Q54)),IF(Panel_Inputs!Q54&gt;0,100*Panel_Inputs!P54/Panel_Inputs!Q54,""),"")</f>
        <v>14.6086402935958</v>
      </c>
      <c r="I54" s="0" t="n">
        <f aca="false">IF(AND(ISNUMBER(Panel_Inputs!N54),ISNUMBER(C54)),IF(C54&gt;0,100*Panel_Inputs!N54/C54,""),"")</f>
        <v>0.0123244015177974</v>
      </c>
      <c r="J54" s="0" t="n">
        <f aca="false">IF(AND(ISNUMBER(Panel_Inputs!L54),ISNUMBER(Panel_Inputs!O54)),IF(Panel_Inputs!O54&gt;0,100*Panel_Inputs!L54/Panel_Inputs!O54,""),"")</f>
        <v>78.2876357992757</v>
      </c>
      <c r="K54" s="0" t="n">
        <f aca="false">IF(AND(ISNUMBER(Panel_Inputs!O54),ISNUMBER(Panel_Inputs!K54)),IF(Panel_Inputs!K54&gt;0,100*Panel_Inputs!O54/Panel_Inputs!K54,""),"")</f>
        <v>4.29982671676087</v>
      </c>
      <c r="L54" s="0" t="n">
        <f aca="false">IF(AND(ISNUMBER(Panel_Inputs!R54),ISNUMBER(Panel_Inputs!K54)),IF(Panel_Inputs!K54&gt;0,100*Panel_Inputs!R54/Panel_Inputs!K54,""),"")</f>
        <v>6.90285683779221</v>
      </c>
      <c r="M54" s="0" t="n">
        <f aca="false">IF(AND(ISNUMBER(Panel_Inputs!S54),ISNUMBER(Panel_Inputs!R54)),IF(Panel_Inputs!R54&gt;0,100*Panel_Inputs!S54/Panel_Inputs!R54,""),"")</f>
        <v>21.3875998968806</v>
      </c>
      <c r="N54" s="0" t="n">
        <f aca="false">IF(AND(ISNUMBER(Panel_Inputs!E54),ISNUMBER(Panel_Inputs!F54)),IF(Panel_Inputs!F54&gt;0,100*Panel_Inputs!E54/Panel_Inputs!F54,""),"")</f>
        <v>0.747047351818406</v>
      </c>
      <c r="O54" s="0" t="n">
        <f aca="false">IF(AND(ISNUMBER(Panel_Inputs!G54),ISNUMBER(Panel_Inputs!F54)),IF(Panel_Inputs!F54&gt;0,100*Panel_Inputs!G54/Panel_Inputs!F54,""),"")</f>
        <v>90.2047603041316</v>
      </c>
      <c r="P54" s="0" t="n">
        <f aca="false">IF(ISNUMBER(Panel_Inputs!F54),IF(Panel_Inputs!F54&gt;0,LN(Panel_Inputs!F54),""),"")</f>
        <v>14.7584202409687</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str">
        <f aca="false">IF(AND(ISNUMBER(Panel_Inputs!V54),Panel_Inputs!W54=1),Panel_Inputs!V54,"")</f>
        <v/>
      </c>
      <c r="T54" s="0" t="str">
        <f aca="false">IF(AND(ISNUMBER(Panel_Inputs!T54),ISNUMBER(Panel_Inputs!U54)),Panel_Inputs!T54-Panel_Inputs!U54,"")</f>
        <v/>
      </c>
    </row>
    <row r="55" customFormat="false" ht="15" hidden="false" customHeight="false" outlineLevel="0" collapsed="false">
      <c r="A55" s="0" t="str">
        <f aca="false">Panel_Inputs!A55</f>
        <v>Union</v>
      </c>
      <c r="B55" s="0" t="n">
        <f aca="false">Panel_Inputs!B55</f>
        <v>2022</v>
      </c>
      <c r="C55" s="0" t="n">
        <f aca="false">IF(AND(ISNUMBER(Panel_Inputs!F55),ISNUMBER(Panel_Inputs!J55)),IF(AND(Panel_Inputs!F55&gt;0,Panel_Inputs!J55&gt;0),(Panel_Inputs!F55+Panel_Inputs!J55)/2,""),"")</f>
        <v>2680557.5</v>
      </c>
      <c r="D55" s="0" t="n">
        <f aca="false">IF(AND(ISNUMBER(Panel_Inputs!E55),ISNUMBER(C55)),IF(C55&gt;0,100*Panel_Inputs!E55/C55,""),"")</f>
        <v>1.0822002512537</v>
      </c>
      <c r="E55" s="0" t="n">
        <f aca="false">IF(AND(ISNUMBER(Panel_Inputs!H55),ISNUMBER(Panel_Inputs!F55)),IF(Panel_Inputs!F55&gt;0,100*Panel_Inputs!H55/Panel_Inputs!F55,""),"")</f>
        <v>10.3752263148814</v>
      </c>
      <c r="F55" s="0" t="n">
        <f aca="false">IF(AND(ISNUMBER(Panel_Inputs!I55),ISNUMBER(C55)),IF(C55&gt;0,100*Panel_Inputs!I55/C55,""),"")</f>
        <v>2.99478746492101</v>
      </c>
      <c r="G55" s="0" t="n">
        <f aca="false">IF(AND(ISNUMBER(Panel_Inputs!L55),ISNUMBER(Panel_Inputs!K55)),IF(Panel_Inputs!K55&gt;0,100*Panel_Inputs!L55/Panel_Inputs!K55,""),"")</f>
        <v>3.19861165367673</v>
      </c>
      <c r="H55" s="0" t="n">
        <f aca="false">IF(AND(ISNUMBER(Panel_Inputs!P55),ISNUMBER(Panel_Inputs!Q55)),IF(Panel_Inputs!Q55&gt;0,100*Panel_Inputs!P55/Panel_Inputs!Q55,""),"")</f>
        <v>14.4192901206231</v>
      </c>
      <c r="I55" s="0" t="n">
        <f aca="false">IF(AND(ISNUMBER(Panel_Inputs!N55),ISNUMBER(C55)),IF(C55&gt;0,100*Panel_Inputs!N55/C55,""),"")</f>
        <v>0.166942884082882</v>
      </c>
      <c r="J55" s="0" t="n">
        <f aca="false">IF(AND(ISNUMBER(Panel_Inputs!L55),ISNUMBER(Panel_Inputs!O55)),IF(Panel_Inputs!O55&gt;0,100*Panel_Inputs!L55/Panel_Inputs!O55,""),"")</f>
        <v>79.4890257225147</v>
      </c>
      <c r="K55" s="0" t="n">
        <f aca="false">IF(AND(ISNUMBER(Panel_Inputs!O55),ISNUMBER(Panel_Inputs!K55)),IF(Panel_Inputs!K55&gt;0,100*Panel_Inputs!O55/Panel_Inputs!K55,""),"")</f>
        <v>4.02396635837838</v>
      </c>
      <c r="L55" s="0" t="n">
        <f aca="false">IF(AND(ISNUMBER(Panel_Inputs!R55),ISNUMBER(Panel_Inputs!K55)),IF(Panel_Inputs!K55&gt;0,100*Panel_Inputs!R55/Panel_Inputs!K55,""),"")</f>
        <v>7.4003175132855</v>
      </c>
      <c r="M55" s="0" t="str">
        <f aca="false">IF(AND(ISNUMBER(Panel_Inputs!S55),ISNUMBER(Panel_Inputs!R55)),IF(Panel_Inputs!R55&gt;0,100*Panel_Inputs!S55/Panel_Inputs!R55,""),"")</f>
        <v/>
      </c>
      <c r="N55" s="0" t="n">
        <f aca="false">IF(AND(ISNUMBER(Panel_Inputs!E55),ISNUMBER(Panel_Inputs!F55)),IF(Panel_Inputs!F55&gt;0,100*Panel_Inputs!E55/Panel_Inputs!F55,""),"")</f>
        <v>1.03838171526098</v>
      </c>
      <c r="O55" s="0" t="n">
        <f aca="false">IF(AND(ISNUMBER(Panel_Inputs!G55),ISNUMBER(Panel_Inputs!F55)),IF(Panel_Inputs!F55&gt;0,100*Panel_Inputs!G55/Panel_Inputs!F55,""),"")</f>
        <v>89.6247736851186</v>
      </c>
      <c r="P55" s="0" t="n">
        <f aca="false">IF(ISNUMBER(Panel_Inputs!F55),IF(Panel_Inputs!F55&gt;0,LN(Panel_Inputs!F55),""),"")</f>
        <v>14.8428681333946</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str">
        <f aca="false">IF(AND(ISNUMBER(Panel_Inputs!V55),Panel_Inputs!W55=1),Panel_Inputs!V55,"")</f>
        <v/>
      </c>
      <c r="T55" s="0" t="n">
        <f aca="false">IF(AND(ISNUMBER(Panel_Inputs!T55),ISNUMBER(Panel_Inputs!U55)),Panel_Inputs!T55-Panel_Inputs!U55,"")</f>
        <v>4.42</v>
      </c>
    </row>
    <row r="56" customFormat="false" ht="15" hidden="false" customHeight="false" outlineLevel="0" collapsed="false">
      <c r="A56" s="0" t="str">
        <f aca="false">Panel_Inputs!A56</f>
        <v>Unity</v>
      </c>
      <c r="B56" s="0" t="n">
        <f aca="false">Panel_Inputs!B56</f>
        <v>2018</v>
      </c>
      <c r="C56" s="0" t="str">
        <f aca="false">IF(AND(ISNUMBER(Panel_Inputs!F56),ISNUMBER(Panel_Inputs!J56)),IF(AND(Panel_Inputs!F56&gt;0,Panel_Inputs!J56&gt;0),(Panel_Inputs!F56+Panel_Inputs!J56)/2,""),"")</f>
        <v/>
      </c>
      <c r="D56" s="0" t="str">
        <f aca="false">IF(AND(ISNUMBER(Panel_Inputs!E56),ISNUMBER(C56)),IF(C56&gt;0,100*Panel_Inputs!E56/C56,""),"")</f>
        <v/>
      </c>
      <c r="E56" s="0" t="n">
        <f aca="false">IF(AND(ISNUMBER(Panel_Inputs!H56),ISNUMBER(Panel_Inputs!F56)),IF(Panel_Inputs!F56&gt;0,100*Panel_Inputs!H56/Panel_Inputs!F56,""),"")</f>
        <v>-134.902049086227</v>
      </c>
      <c r="F56" s="0" t="str">
        <f aca="false">IF(AND(ISNUMBER(Panel_Inputs!I56),ISNUMBER(C56)),IF(C56&gt;0,100*Panel_Inputs!I56/C56,""),"")</f>
        <v/>
      </c>
      <c r="G56" s="0" t="n">
        <f aca="false">IF(AND(ISNUMBER(Panel_Inputs!L56),ISNUMBER(Panel_Inputs!K56)),IF(Panel_Inputs!K56&gt;0,100*Panel_Inputs!L56/Panel_Inputs!K56,""),"")</f>
        <v>1.65962938154404</v>
      </c>
      <c r="H56" s="0" t="str">
        <f aca="false">IF(AND(ISNUMBER(Panel_Inputs!P56),ISNUMBER(Panel_Inputs!Q56)),IF(Panel_Inputs!Q56&gt;0,100*Panel_Inputs!P56/Panel_Inputs!Q56,""),"")</f>
        <v/>
      </c>
      <c r="I56" s="0" t="str">
        <f aca="false">IF(AND(ISNUMBER(Panel_Inputs!N56),ISNUMBER(C56)),IF(C56&gt;0,100*Panel_Inputs!N56/C56,""),"")</f>
        <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-3.6505167453293</v>
      </c>
      <c r="O56" s="0" t="n">
        <f aca="false">IF(AND(ISNUMBER(Panel_Inputs!G56),ISNUMBER(Panel_Inputs!F56)),IF(Panel_Inputs!F56&gt;0,100*Panel_Inputs!G56/Panel_Inputs!F56,""),"")</f>
        <v>234.902049086227</v>
      </c>
      <c r="P56" s="0" t="n">
        <f aca="false">IF(ISNUMBER(Panel_Inputs!F56),IF(Panel_Inputs!F56&gt;0,LN(Panel_Inputs!F56),""),"")</f>
        <v>12.258669085205</v>
      </c>
      <c r="Q56" s="0" t="n">
        <f aca="false">IF(AND(ISNUMBER(Panel_Inputs!F56),ISNUMBER(Panel_Inputs!G56),ISNUMBER(Panel_Inputs!H56)),Panel_Inputs!F56-Panel_Inputs!G56-Panel_Inputs!H56,"")</f>
        <v>0</v>
      </c>
      <c r="R56" s="0" t="str">
        <f aca="false">IF(AND(ISNUMBER(Panel_Inputs!K56),ISNUMBER(Panel_Inputs!L56),ISNUMBER(Panel_Inputs!M56)),Panel_Inputs!K56-Panel_Inputs!L56-Panel_Inputs!M56,"")</f>
        <v/>
      </c>
      <c r="S56" s="0" t="str">
        <f aca="false">IF(AND(ISNUMBER(Panel_Inputs!V56),Panel_Inputs!W56=1),Panel_Inputs!V56,"")</f>
        <v/>
      </c>
      <c r="T56" s="0" t="n">
        <f aca="false">IF(AND(ISNUMBER(Panel_Inputs!T56),ISNUMBER(Panel_Inputs!U56)),Panel_Inputs!T56-Panel_Inputs!U56,"")</f>
        <v>-224.8</v>
      </c>
    </row>
    <row r="57" customFormat="false" ht="15" hidden="false" customHeight="false" outlineLevel="0" collapsed="false">
      <c r="A57" s="0" t="str">
        <f aca="false">Panel_Inputs!A57</f>
        <v>Unity</v>
      </c>
      <c r="B57" s="0" t="n">
        <f aca="false">Panel_Inputs!B57</f>
        <v>2019</v>
      </c>
      <c r="C57" s="0" t="n">
        <f aca="false">IF(AND(ISNUMBER(Panel_Inputs!F57),ISNUMBER(Panel_Inputs!J57)),IF(AND(Panel_Inputs!F57&gt;0,Panel_Inputs!J57&gt;0),(Panel_Inputs!F57+Panel_Inputs!J57)/2,""),"")</f>
        <v>251926.4555</v>
      </c>
      <c r="D57" s="0" t="n">
        <f aca="false">IF(AND(ISNUMBER(Panel_Inputs!E57),ISNUMBER(C57)),IF(C57&gt;0,100*Panel_Inputs!E57/C57,""),"")</f>
        <v>1.34292724171638</v>
      </c>
      <c r="E57" s="0" t="n">
        <f aca="false">IF(AND(ISNUMBER(Panel_Inputs!H57),ISNUMBER(Panel_Inputs!F57)),IF(Panel_Inputs!F57&gt;0,100*Panel_Inputs!H57/Panel_Inputs!F57,""),"")</f>
        <v>-95.1557475775551</v>
      </c>
      <c r="F57" s="0" t="n">
        <f aca="false">IF(AND(ISNUMBER(Panel_Inputs!I57),ISNUMBER(C57)),IF(C57&gt;0,100*Panel_Inputs!I57/C57,""),"")</f>
        <v>-15.650465101709</v>
      </c>
      <c r="G57" s="0" t="n">
        <f aca="false">IF(AND(ISNUMBER(Panel_Inputs!L57),ISNUMBER(Panel_Inputs!K57)),IF(Panel_Inputs!K57&gt;0,100*Panel_Inputs!L57/Panel_Inputs!K57,""),"")</f>
        <v>2.70880620448922</v>
      </c>
      <c r="H57" s="0" t="str">
        <f aca="false">IF(AND(ISNUMBER(Panel_Inputs!P57),ISNUMBER(Panel_Inputs!Q57)),IF(Panel_Inputs!Q57&gt;0,100*Panel_Inputs!P57/Panel_Inputs!Q57,""),"")</f>
        <v/>
      </c>
      <c r="I57" s="0" t="n">
        <f aca="false">IF(AND(ISNUMBER(Panel_Inputs!N57),ISNUMBER(C57)),IF(C57&gt;0,100*Panel_Inputs!N57/C57,""),"")</f>
        <v>0.762890501589262</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1.15446684952609</v>
      </c>
      <c r="O57" s="0" t="n">
        <f aca="false">IF(AND(ISNUMBER(Panel_Inputs!G57),ISNUMBER(Panel_Inputs!F57)),IF(Panel_Inputs!F57&gt;0,100*Panel_Inputs!G57/Panel_Inputs!F57,""),"")</f>
        <v>195.155747577555</v>
      </c>
      <c r="P57" s="0" t="n">
        <f aca="false">IF(ISNUMBER(Panel_Inputs!F57),IF(Panel_Inputs!F57&gt;0,LN(Panel_Inputs!F57),""),"")</f>
        <v>12.5881055855206</v>
      </c>
      <c r="Q57" s="0" t="n">
        <f aca="false">IF(AND(ISNUMBER(Panel_Inputs!F57),ISNUMBER(Panel_Inputs!G57),ISNUMBER(Panel_Inputs!H57)),Panel_Inputs!F57-Panel_Inputs!G57-Panel_Inputs!H57,"")</f>
        <v>0</v>
      </c>
      <c r="R57" s="0" t="str">
        <f aca="false">IF(AND(ISNUMBER(Panel_Inputs!K57),ISNUMBER(Panel_Inputs!L57),ISNUMBER(Panel_Inputs!M57)),Panel_Inputs!K57-Panel_Inputs!L57-Panel_Inputs!M57,"")</f>
        <v/>
      </c>
      <c r="S57" s="0" t="str">
        <f aca="false">IF(AND(ISNUMBER(Panel_Inputs!V57),Panel_Inputs!W57=1),Panel_Inputs!V57,"")</f>
        <v/>
      </c>
      <c r="T57" s="0" t="n">
        <f aca="false">IF(AND(ISNUMBER(Panel_Inputs!T57),ISNUMBER(Panel_Inputs!U57)),Panel_Inputs!T57-Panel_Inputs!U57,"")</f>
        <v>-211.59</v>
      </c>
    </row>
    <row r="58" customFormat="false" ht="15" hidden="false" customHeight="false" outlineLevel="0" collapsed="false">
      <c r="A58" s="0" t="str">
        <f aca="false">Panel_Inputs!A58</f>
        <v>Wema</v>
      </c>
      <c r="B58" s="0" t="n">
        <f aca="false">Panel_Inputs!B58</f>
        <v>2014</v>
      </c>
      <c r="C58" s="0" t="str">
        <f aca="false">IF(AND(ISNUMBER(Panel_Inputs!F58),ISNUMBER(Panel_Inputs!J58)),IF(AND(Panel_Inputs!F58&gt;0,Panel_Inputs!J58&gt;0),(Panel_Inputs!F58+Panel_Inputs!J58)/2,""),"")</f>
        <v/>
      </c>
      <c r="D58" s="0" t="str">
        <f aca="false">IF(AND(ISNUMBER(Panel_Inputs!E58),ISNUMBER(C58)),IF(C58&gt;0,100*Panel_Inputs!E58/C58,""),"")</f>
        <v/>
      </c>
      <c r="E58" s="0" t="n">
        <f aca="false">IF(AND(ISNUMBER(Panel_Inputs!H58),ISNUMBER(Panel_Inputs!F58)),IF(Panel_Inputs!F58&gt;0,100*Panel_Inputs!H58/Panel_Inputs!F58,""),"")</f>
        <v>11.4409202441248</v>
      </c>
      <c r="F58" s="0" t="str">
        <f aca="false">IF(AND(ISNUMBER(Panel_Inputs!I58),ISNUMBER(C58)),IF(C58&gt;0,100*Panel_Inputs!I58/C58,""),"")</f>
        <v/>
      </c>
      <c r="G58" s="0" t="n">
        <f aca="false">IF(AND(ISNUMBER(Panel_Inputs!L58),ISNUMBER(Panel_Inputs!K58)),IF(Panel_Inputs!K58&gt;0,100*Panel_Inputs!L58/Panel_Inputs!K58,""),"")</f>
        <v>1.96869546968697</v>
      </c>
      <c r="H58" s="0" t="str">
        <f aca="false">IF(AND(ISNUMBER(Panel_Inputs!P58),ISNUMBER(Panel_Inputs!Q58)),IF(Panel_Inputs!Q58&gt;0,100*Panel_Inputs!P58/Panel_Inputs!Q58,""),"")</f>
        <v/>
      </c>
      <c r="I58" s="0" t="str">
        <f aca="false">IF(AND(ISNUMBER(Panel_Inputs!N58),ISNUMBER(C58)),IF(C58&gt;0,100*Panel_Inputs!N58/C58,""),"")</f>
        <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0.620146032576257</v>
      </c>
      <c r="O58" s="0" t="n">
        <f aca="false">IF(AND(ISNUMBER(Panel_Inputs!G58),ISNUMBER(Panel_Inputs!F58)),IF(Panel_Inputs!F58&gt;0,100*Panel_Inputs!G58/Panel_Inputs!F58,""),"")</f>
        <v>88.5590797558752</v>
      </c>
      <c r="P58" s="0" t="n">
        <f aca="false">IF(ISNUMBER(Panel_Inputs!F58),IF(Panel_Inputs!F58&gt;0,LN(Panel_Inputs!F58),""),"")</f>
        <v>12.8546468261703</v>
      </c>
      <c r="Q58" s="0" t="n">
        <f aca="false">IF(AND(ISNUMBER(Panel_Inputs!F58),ISNUMBER(Panel_Inputs!G58),ISNUMBER(Panel_Inputs!H58)),Panel_Inputs!F58-Panel_Inputs!G58-Panel_Inputs!H58,"")</f>
        <v>0</v>
      </c>
      <c r="R58" s="0" t="str">
        <f aca="false">IF(AND(ISNUMBER(Panel_Inputs!K58),ISNUMBER(Panel_Inputs!L58),ISNUMBER(Panel_Inputs!M58)),Panel_Inputs!K58-Panel_Inputs!L58-Panel_Inputs!M58,"")</f>
        <v/>
      </c>
      <c r="S58" s="0" t="str">
        <f aca="false">IF(AND(ISNUMBER(Panel_Inputs!V58),Panel_Inputs!W58=1),Panel_Inputs!V58,"")</f>
        <v/>
      </c>
      <c r="T58" s="0" t="str">
        <f aca="false">IF(AND(ISNUMBER(Panel_Inputs!T58),ISNUMBER(Panel_Inputs!U58)),Panel_Inputs!T58-Panel_Inputs!U58,"")</f>
        <v/>
      </c>
    </row>
    <row r="59" customFormat="false" ht="15" hidden="false" customHeight="false" outlineLevel="0" collapsed="false">
      <c r="A59" s="0" t="str">
        <f aca="false">Panel_Inputs!A59</f>
        <v>Wema</v>
      </c>
      <c r="B59" s="0" t="n">
        <f aca="false">Panel_Inputs!B59</f>
        <v>2015</v>
      </c>
      <c r="C59" s="0" t="n">
        <f aca="false">IF(AND(ISNUMBER(Panel_Inputs!F59),ISNUMBER(Panel_Inputs!J59)),IF(AND(Panel_Inputs!F59&gt;0,Panel_Inputs!J59&gt;0),(Panel_Inputs!F59+Panel_Inputs!J59)/2,""),"")</f>
        <v>389652.813</v>
      </c>
      <c r="D59" s="0" t="n">
        <f aca="false">IF(AND(ISNUMBER(Panel_Inputs!E59),ISNUMBER(C59)),IF(C59&gt;0,100*Panel_Inputs!E59/C59,""),"")</f>
        <v>0.583392426323893</v>
      </c>
      <c r="E59" s="0" t="n">
        <f aca="false">IF(AND(ISNUMBER(Panel_Inputs!H59),ISNUMBER(Panel_Inputs!F59)),IF(Panel_Inputs!F59&gt;0,100*Panel_Inputs!H59/Panel_Inputs!F59,""),"")</f>
        <v>11.6105573489261</v>
      </c>
      <c r="F59" s="0" t="n">
        <f aca="false">IF(AND(ISNUMBER(Panel_Inputs!I59),ISNUMBER(C59)),IF(C59&gt;0,100*Panel_Inputs!I59/C59,""),"")</f>
        <v>3.76649994825008</v>
      </c>
      <c r="G59" s="0" t="n">
        <f aca="false">IF(AND(ISNUMBER(Panel_Inputs!L59),ISNUMBER(Panel_Inputs!K59)),IF(Panel_Inputs!K59&gt;0,100*Panel_Inputs!L59/Panel_Inputs!K59,""),"")</f>
        <v>1.29044478949221</v>
      </c>
      <c r="H59" s="0" t="str">
        <f aca="false">IF(AND(ISNUMBER(Panel_Inputs!P59),ISNUMBER(Panel_Inputs!Q59)),IF(Panel_Inputs!Q59&gt;0,100*Panel_Inputs!P59/Panel_Inputs!Q59,""),"")</f>
        <v/>
      </c>
      <c r="I59" s="0" t="n">
        <f aca="false">IF(AND(ISNUMBER(Panel_Inputs!N59),ISNUMBER(C59)),IF(C59&gt;0,100*Panel_Inputs!N59/C59,""),"")</f>
        <v>-0.0199254303856392</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0.572966177320382</v>
      </c>
      <c r="O59" s="0" t="n">
        <f aca="false">IF(AND(ISNUMBER(Panel_Inputs!G59),ISNUMBER(Panel_Inputs!F59)),IF(Panel_Inputs!F59&gt;0,100*Panel_Inputs!G59/Panel_Inputs!F59,""),"")</f>
        <v>88.3894426510739</v>
      </c>
      <c r="P59" s="0" t="n">
        <f aca="false">IF(ISNUMBER(Panel_Inputs!F59),IF(Panel_Inputs!F59&gt;0,LN(Panel_Inputs!F59),""),"")</f>
        <v>12.8910447863248</v>
      </c>
      <c r="Q59" s="0" t="n">
        <f aca="false">IF(AND(ISNUMBER(Panel_Inputs!F59),ISNUMBER(Panel_Inputs!G59),ISNUMBER(Panel_Inputs!H59)),Panel_Inputs!F59-Panel_Inputs!G59-Panel_Inputs!H59,"")</f>
        <v>0</v>
      </c>
      <c r="R59" s="0" t="str">
        <f aca="false">IF(AND(ISNUMBER(Panel_Inputs!K59),ISNUMBER(Panel_Inputs!L59),ISNUMBER(Panel_Inputs!M59)),Panel_Inputs!K59-Panel_Inputs!L59-Panel_Inputs!M59,"")</f>
        <v/>
      </c>
      <c r="S59" s="0" t="str">
        <f aca="false">IF(AND(ISNUMBER(Panel_Inputs!V59),Panel_Inputs!W59=1),Panel_Inputs!V59,"")</f>
        <v/>
      </c>
      <c r="T59" s="0" t="str">
        <f aca="false">IF(AND(ISNUMBER(Panel_Inputs!T59),ISNUMBER(Panel_Inputs!U59)),Panel_Inputs!T59-Panel_Inputs!U59,"")</f>
        <v/>
      </c>
    </row>
    <row r="60" customFormat="false" ht="15" hidden="false" customHeight="false" outlineLevel="0" collapsed="false">
      <c r="A60" s="0" t="str">
        <f aca="false">Panel_Inputs!A60</f>
        <v>Wema</v>
      </c>
      <c r="B60" s="0" t="n">
        <f aca="false">Panel_Inputs!B60</f>
        <v>2016</v>
      </c>
      <c r="C60" s="0" t="n">
        <f aca="false">IF(AND(ISNUMBER(Panel_Inputs!F60),ISNUMBER(Panel_Inputs!J60)),IF(AND(Panel_Inputs!F60&gt;0,Panel_Inputs!J60&gt;0),(Panel_Inputs!F60+Panel_Inputs!J60)/2,""),"")</f>
        <v>408982.175</v>
      </c>
      <c r="D60" s="0" t="n">
        <f aca="false">IF(AND(ISNUMBER(Panel_Inputs!E60),ISNUMBER(C60)),IF(C60&gt;0,100*Panel_Inputs!E60/C60,""),"")</f>
        <v>0.633719550246903</v>
      </c>
      <c r="E60" s="0" t="n">
        <f aca="false">IF(AND(ISNUMBER(Panel_Inputs!H60),ISNUMBER(Panel_Inputs!F60)),IF(Panel_Inputs!F60&gt;0,100*Panel_Inputs!H60/Panel_Inputs!F60,""),"")</f>
        <v>11.5146086863525</v>
      </c>
      <c r="F60" s="0" t="n">
        <f aca="false">IF(AND(ISNUMBER(Panel_Inputs!I60),ISNUMBER(C60)),IF(C60&gt;0,100*Panel_Inputs!I60/C60,""),"")</f>
        <v>3.88584832578584</v>
      </c>
      <c r="G60" s="0" t="str">
        <f aca="false">IF(AND(ISNUMBER(Panel_Inputs!L60),ISNUMBER(Panel_Inputs!K60)),IF(Panel_Inputs!K60&gt;0,100*Panel_Inputs!L60/Panel_Inputs!K60,""),"")</f>
        <v/>
      </c>
      <c r="H60" s="0" t="str">
        <f aca="false">IF(AND(ISNUMBER(Panel_Inputs!P60),ISNUMBER(Panel_Inputs!Q60)),IF(Panel_Inputs!Q60&gt;0,100*Panel_Inputs!P60/Panel_Inputs!Q60,""),"")</f>
        <v/>
      </c>
      <c r="I60" s="0" t="n">
        <f aca="false">IF(AND(ISNUMBER(Panel_Inputs!N60),ISNUMBER(C60)),IF(C60&gt;0,100*Panel_Inputs!N60/C60,""),"")</f>
        <v>0.100835934964647</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0.615306401743905</v>
      </c>
      <c r="O60" s="0" t="n">
        <f aca="false">IF(AND(ISNUMBER(Panel_Inputs!G60),ISNUMBER(Panel_Inputs!F60)),IF(Panel_Inputs!F60&gt;0,100*Panel_Inputs!G60/Panel_Inputs!F60,""),"")</f>
        <v>88.4853913136475</v>
      </c>
      <c r="P60" s="0" t="n">
        <f aca="false">IF(ISNUMBER(Panel_Inputs!F60),IF(Panel_Inputs!F60&gt;0,LN(Panel_Inputs!F60),""),"")</f>
        <v>12.9509130010148</v>
      </c>
      <c r="Q60" s="0" t="n">
        <f aca="false">IF(AND(ISNUMBER(Panel_Inputs!F60),ISNUMBER(Panel_Inputs!G60),ISNUMBER(Panel_Inputs!H60)),Panel_Inputs!F60-Panel_Inputs!G60-Panel_Inputs!H60,"")</f>
        <v>0</v>
      </c>
      <c r="R60" s="0" t="str">
        <f aca="false">IF(AND(ISNUMBER(Panel_Inputs!K60),ISNUMBER(Panel_Inputs!L60),ISNUMBER(Panel_Inputs!M60)),Panel_Inputs!K60-Panel_Inputs!L60-Panel_Inputs!M60,"")</f>
        <v/>
      </c>
      <c r="S60" s="0" t="str">
        <f aca="false">IF(AND(ISNUMBER(Panel_Inputs!V60),Panel_Inputs!W60=1),Panel_Inputs!V60,"")</f>
        <v/>
      </c>
      <c r="T60" s="0" t="str">
        <f aca="false">IF(AND(ISNUMBER(Panel_Inputs!T60),ISNUMBER(Panel_Inputs!U60)),Panel_Inputs!T60-Panel_Inputs!U60,"")</f>
        <v/>
      </c>
    </row>
    <row r="61" customFormat="false" ht="15" hidden="false" customHeight="false" outlineLevel="0" collapsed="false">
      <c r="A61" s="0" t="str">
        <f aca="false">Panel_Inputs!A61</f>
        <v>Wema</v>
      </c>
      <c r="B61" s="0" t="n">
        <f aca="false">Panel_Inputs!B61</f>
        <v>2017</v>
      </c>
      <c r="C61" s="0" t="n">
        <f aca="false">IF(AND(ISNUMBER(Panel_Inputs!F61),ISNUMBER(Panel_Inputs!J61)),IF(AND(Panel_Inputs!F61&gt;0,Panel_Inputs!J61&gt;0),(Panel_Inputs!F61+Panel_Inputs!J61)/2,""),"")</f>
        <v>403000.4225</v>
      </c>
      <c r="D61" s="0" t="n">
        <f aca="false">IF(AND(ISNUMBER(Panel_Inputs!E61),ISNUMBER(C61)),IF(C61&gt;0,100*Panel_Inputs!E61/C61,""),"")</f>
        <v>0.57100634925513</v>
      </c>
      <c r="E61" s="0" t="n">
        <f aca="false">IF(AND(ISNUMBER(Panel_Inputs!H61),ISNUMBER(Panel_Inputs!F61)),IF(Panel_Inputs!F61&gt;0,100*Panel_Inputs!H61/Panel_Inputs!F61,""),"")</f>
        <v>12.9144354349425</v>
      </c>
      <c r="F61" s="0" t="n">
        <f aca="false">IF(AND(ISNUMBER(Panel_Inputs!I61),ISNUMBER(C61)),IF(C61&gt;0,100*Panel_Inputs!I61/C61,""),"")</f>
        <v>-6.43943841026618</v>
      </c>
      <c r="G61" s="0" t="n">
        <f aca="false">IF(AND(ISNUMBER(Panel_Inputs!L61),ISNUMBER(Panel_Inputs!K61)),IF(Panel_Inputs!K61&gt;0,100*Panel_Inputs!L61/Panel_Inputs!K61,""),"")</f>
        <v>1.92478980139368</v>
      </c>
      <c r="H61" s="0" t="str">
        <f aca="false">IF(AND(ISNUMBER(Panel_Inputs!P61),ISNUMBER(Panel_Inputs!Q61)),IF(Panel_Inputs!Q61&gt;0,100*Panel_Inputs!P61/Panel_Inputs!Q61,""),"")</f>
        <v/>
      </c>
      <c r="I61" s="0" t="n">
        <f aca="false">IF(AND(ISNUMBER(Panel_Inputs!N61),ISNUMBER(C61)),IF(C61&gt;0,100*Panel_Inputs!N61/C61,""),"")</f>
        <v>0.540892236905781</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0.598045413552352</v>
      </c>
      <c r="O61" s="0" t="n">
        <f aca="false">IF(AND(ISNUMBER(Panel_Inputs!G61),ISNUMBER(Panel_Inputs!F61)),IF(Panel_Inputs!F61&gt;0,100*Panel_Inputs!G61/Panel_Inputs!F61,""),"")</f>
        <v>87.0855645650575</v>
      </c>
      <c r="P61" s="0" t="n">
        <f aca="false">IF(ISNUMBER(Panel_Inputs!F61),IF(Panel_Inputs!F61&gt;0,LN(Panel_Inputs!F61),""),"")</f>
        <v>12.8604265249833</v>
      </c>
      <c r="Q61" s="0" t="n">
        <f aca="false">IF(AND(ISNUMBER(Panel_Inputs!F61),ISNUMBER(Panel_Inputs!G61),ISNUMBER(Panel_Inputs!H61)),Panel_Inputs!F61-Panel_Inputs!G61-Panel_Inputs!H61,"")</f>
        <v>0</v>
      </c>
      <c r="R61" s="0" t="str">
        <f aca="false">IF(AND(ISNUMBER(Panel_Inputs!K61),ISNUMBER(Panel_Inputs!L61),ISNUMBER(Panel_Inputs!M61)),Panel_Inputs!K61-Panel_Inputs!L61-Panel_Inputs!M61,"")</f>
        <v/>
      </c>
      <c r="S61" s="0" t="n">
        <f aca="false">IF(AND(ISNUMBER(Panel_Inputs!V61),Panel_Inputs!W61=1),Panel_Inputs!V61,"")</f>
        <v>26.25</v>
      </c>
      <c r="T61" s="0" t="str">
        <f aca="false">IF(AND(ISNUMBER(Panel_Inputs!T61),ISNUMBER(Panel_Inputs!U61)),Panel_Inputs!T61-Panel_Inputs!U61,"")</f>
        <v/>
      </c>
    </row>
    <row r="62" customFormat="false" ht="15" hidden="false" customHeight="false" outlineLevel="0" collapsed="false">
      <c r="A62" s="0" t="str">
        <f aca="false">Panel_Inputs!A62</f>
        <v>Wema</v>
      </c>
      <c r="B62" s="0" t="n">
        <f aca="false">Panel_Inputs!B62</f>
        <v>2018</v>
      </c>
      <c r="C62" s="0" t="n">
        <f aca="false">IF(AND(ISNUMBER(Panel_Inputs!F62),ISNUMBER(Panel_Inputs!J62)),IF(AND(Panel_Inputs!F62&gt;0,Panel_Inputs!J62&gt;0),(Panel_Inputs!F62+Panel_Inputs!J62)/2,""),"")</f>
        <v>431347.7755</v>
      </c>
      <c r="D62" s="0" t="n">
        <f aca="false">IF(AND(ISNUMBER(Panel_Inputs!E62),ISNUMBER(C62)),IF(C62&gt;0,100*Panel_Inputs!E62/C62,""),"")</f>
        <v>0.778782038717156</v>
      </c>
      <c r="E62" s="0" t="n">
        <f aca="false">IF(AND(ISNUMBER(Panel_Inputs!H62),ISNUMBER(Panel_Inputs!F62)),IF(Panel_Inputs!F62&gt;0,100*Panel_Inputs!H62/Panel_Inputs!F62,""),"")</f>
        <v>10.6711025643512</v>
      </c>
      <c r="F62" s="0" t="n">
        <f aca="false">IF(AND(ISNUMBER(Panel_Inputs!I62),ISNUMBER(C62)),IF(C62&gt;0,100*Panel_Inputs!I62/C62,""),"")</f>
        <v>11.431421419258</v>
      </c>
      <c r="G62" s="0" t="n">
        <f aca="false">IF(AND(ISNUMBER(Panel_Inputs!L62),ISNUMBER(Panel_Inputs!K62)),IF(Panel_Inputs!K62&gt;0,100*Panel_Inputs!L62/Panel_Inputs!K62,""),"")</f>
        <v>3.59124409281383</v>
      </c>
      <c r="H62" s="0" t="str">
        <f aca="false">IF(AND(ISNUMBER(Panel_Inputs!P62),ISNUMBER(Panel_Inputs!Q62)),IF(Panel_Inputs!Q62&gt;0,100*Panel_Inputs!P62/Panel_Inputs!Q62,""),"")</f>
        <v/>
      </c>
      <c r="I62" s="0" t="n">
        <f aca="false">IF(AND(ISNUMBER(Panel_Inputs!N62),ISNUMBER(C62)),IF(C62&gt;0,100*Panel_Inputs!N62/C62,""),"")</f>
        <v>0.813853043737327</v>
      </c>
      <c r="J62" s="0" t="str">
        <f aca="false">IF(AND(ISNUMBER(Panel_Inputs!L62),ISNUMBER(Panel_Inputs!O62)),IF(Panel_Inputs!O62&gt;0,100*Panel_Inputs!L62/Panel_Inputs!O62,""),"")</f>
        <v/>
      </c>
      <c r="K62" s="0" t="str">
        <f aca="false">IF(AND(ISNUMBER(Panel_Inputs!O62),ISNUMBER(Panel_Inputs!K62)),IF(Panel_Inputs!K62&gt;0,100*Panel_Inputs!O62/Panel_Inputs!K62,""),"")</f>
        <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0.70289775054114</v>
      </c>
      <c r="O62" s="0" t="n">
        <f aca="false">IF(AND(ISNUMBER(Panel_Inputs!G62),ISNUMBER(Panel_Inputs!F62)),IF(Panel_Inputs!F62&gt;0,100*Panel_Inputs!G62/Panel_Inputs!F62,""),"")</f>
        <v>89.3288974356488</v>
      </c>
      <c r="P62" s="0" t="n">
        <f aca="false">IF(ISNUMBER(Panel_Inputs!F62),IF(Panel_Inputs!F62&gt;0,LN(Panel_Inputs!F62),""),"")</f>
        <v>13.0771897239693</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n">
        <f aca="false">IF(AND(ISNUMBER(Panel_Inputs!V62),Panel_Inputs!W62=1),Panel_Inputs!V62,"")</f>
        <v>34.64</v>
      </c>
      <c r="T62" s="0" t="str">
        <f aca="false">IF(AND(ISNUMBER(Panel_Inputs!T62),ISNUMBER(Panel_Inputs!U62)),Panel_Inputs!T62-Panel_Inputs!U62,"")</f>
        <v/>
      </c>
    </row>
    <row r="63" customFormat="false" ht="15" hidden="false" customHeight="false" outlineLevel="0" collapsed="false">
      <c r="A63" s="0" t="str">
        <f aca="false">Panel_Inputs!A63</f>
        <v>Wema</v>
      </c>
      <c r="B63" s="0" t="n">
        <f aca="false">Panel_Inputs!B63</f>
        <v>2019</v>
      </c>
      <c r="C63" s="0" t="n">
        <f aca="false">IF(AND(ISNUMBER(Panel_Inputs!F63),ISNUMBER(Panel_Inputs!J63)),IF(AND(Panel_Inputs!F63&gt;0,Panel_Inputs!J63&gt;0),(Panel_Inputs!F63+Panel_Inputs!J63)/2,""),"")</f>
        <v>591435.673</v>
      </c>
      <c r="D63" s="0" t="n">
        <f aca="false">IF(AND(ISNUMBER(Panel_Inputs!E63),ISNUMBER(C63)),IF(C63&gt;0,100*Panel_Inputs!E63/C63,""),"")</f>
        <v>0.881033768823748</v>
      </c>
      <c r="E63" s="0" t="n">
        <f aca="false">IF(AND(ISNUMBER(Panel_Inputs!H63),ISNUMBER(Panel_Inputs!F63)),IF(Panel_Inputs!F63&gt;0,100*Panel_Inputs!H63/Panel_Inputs!F63,""),"")</f>
        <v>7.85253010060475</v>
      </c>
      <c r="F63" s="0" t="n">
        <f aca="false">IF(AND(ISNUMBER(Panel_Inputs!I63),ISNUMBER(C63)),IF(C63&gt;0,100*Panel_Inputs!I63/C63,""),"")</f>
        <v>18.1559596253843</v>
      </c>
      <c r="G63" s="0" t="n">
        <f aca="false">IF(AND(ISNUMBER(Panel_Inputs!L63),ISNUMBER(Panel_Inputs!K63)),IF(Panel_Inputs!K63&gt;0,100*Panel_Inputs!L63/Panel_Inputs!K63,""),"")</f>
        <v>4.02445510012529</v>
      </c>
      <c r="H63" s="0" t="n">
        <f aca="false">IF(AND(ISNUMBER(Panel_Inputs!P63),ISNUMBER(Panel_Inputs!Q63)),IF(Panel_Inputs!Q63&gt;0,100*Panel_Inputs!P63/Panel_Inputs!Q63,""),"")</f>
        <v>13.5983703502456</v>
      </c>
      <c r="I63" s="0" t="n">
        <f aca="false">IF(AND(ISNUMBER(Panel_Inputs!N63),ISNUMBER(C63)),IF(C63&gt;0,100*Panel_Inputs!N63/C63,""),"")</f>
        <v>1.03656243271616</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0.739159738632278</v>
      </c>
      <c r="O63" s="0" t="n">
        <f aca="false">IF(AND(ISNUMBER(Panel_Inputs!G63),ISNUMBER(Panel_Inputs!F63)),IF(Panel_Inputs!F63&gt;0,100*Panel_Inputs!G63/Panel_Inputs!F63,""),"")</f>
        <v>92.1474698993953</v>
      </c>
      <c r="P63" s="0" t="n">
        <f aca="false">IF(ISNUMBER(Panel_Inputs!F63),IF(Panel_Inputs!F63&gt;0,LN(Panel_Inputs!F63),""),"")</f>
        <v>13.4658901067619</v>
      </c>
      <c r="Q63" s="0" t="n">
        <f aca="false">IF(AND(ISNUMBER(Panel_Inputs!F63),ISNUMBER(Panel_Inputs!G63),ISNUMBER(Panel_Inputs!H63)),Panel_Inputs!F63-Panel_Inputs!G63-Panel_Inputs!H63,"")</f>
        <v>0</v>
      </c>
      <c r="R63" s="0" t="n">
        <f aca="false">IF(AND(ISNUMBER(Panel_Inputs!K63),ISNUMBER(Panel_Inputs!L63),ISNUMBER(Panel_Inputs!M63)),Panel_Inputs!K63-Panel_Inputs!L63-Panel_Inputs!M63,"")</f>
        <v>0</v>
      </c>
      <c r="S63" s="0" t="str">
        <f aca="false">IF(AND(ISNUMBER(Panel_Inputs!V63),Panel_Inputs!W63=1),Panel_Inputs!V63,"")</f>
        <v/>
      </c>
      <c r="T63" s="0" t="str">
        <f aca="false">IF(AND(ISNUMBER(Panel_Inputs!T63),ISNUMBER(Panel_Inputs!U63)),Panel_Inputs!T63-Panel_Inputs!U63,"")</f>
        <v/>
      </c>
    </row>
    <row r="64" customFormat="false" ht="15" hidden="false" customHeight="false" outlineLevel="0" collapsed="false">
      <c r="A64" s="0" t="str">
        <f aca="false">Panel_Inputs!A64</f>
        <v>Wema</v>
      </c>
      <c r="B64" s="0" t="n">
        <f aca="false">Panel_Inputs!B64</f>
        <v>2020</v>
      </c>
      <c r="C64" s="0" t="n">
        <f aca="false">IF(AND(ISNUMBER(Panel_Inputs!F64),ISNUMBER(Panel_Inputs!J64)),IF(AND(Panel_Inputs!F64&gt;0,Panel_Inputs!J64&gt;0),(Panel_Inputs!F64+Panel_Inputs!J64)/2,""),"")</f>
        <v>836768.844</v>
      </c>
      <c r="D64" s="0" t="n">
        <f aca="false">IF(AND(ISNUMBER(Panel_Inputs!E64),ISNUMBER(C64)),IF(C64&gt;0,100*Panel_Inputs!E64/C64,""),"")</f>
        <v>0.548803535519781</v>
      </c>
      <c r="E64" s="0" t="n">
        <f aca="false">IF(AND(ISNUMBER(Panel_Inputs!H64),ISNUMBER(Panel_Inputs!F64)),IF(Panel_Inputs!F64&gt;0,100*Panel_Inputs!H64/Panel_Inputs!F64,""),"")</f>
        <v>6.12780620047067</v>
      </c>
      <c r="F64" s="0" t="n">
        <f aca="false">IF(AND(ISNUMBER(Panel_Inputs!I64),ISNUMBER(C64)),IF(C64&gt;0,100*Panel_Inputs!I64/C64,""),"")</f>
        <v>5.59346208162597</v>
      </c>
      <c r="G64" s="0" t="n">
        <f aca="false">IF(AND(ISNUMBER(Panel_Inputs!L64),ISNUMBER(Panel_Inputs!K64)),IF(Panel_Inputs!K64&gt;0,100*Panel_Inputs!L64/Panel_Inputs!K64,""),"")</f>
        <v>3.98986551976858</v>
      </c>
      <c r="H64" s="0" t="n">
        <f aca="false">IF(AND(ISNUMBER(Panel_Inputs!P64),ISNUMBER(Panel_Inputs!Q64)),IF(Panel_Inputs!Q64&gt;0,100*Panel_Inputs!P64/Panel_Inputs!Q64,""),"")</f>
        <v>15.0146762307801</v>
      </c>
      <c r="I64" s="0" t="n">
        <f aca="false">IF(AND(ISNUMBER(Panel_Inputs!N64),ISNUMBER(C64)),IF(C64&gt;0,100*Panel_Inputs!N64/C64,""),"")</f>
        <v>0.673443453398941</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0.474117483263298</v>
      </c>
      <c r="O64" s="0" t="n">
        <f aca="false">IF(AND(ISNUMBER(Panel_Inputs!G64),ISNUMBER(Panel_Inputs!F64)),IF(Panel_Inputs!F64&gt;0,100*Panel_Inputs!G64/Panel_Inputs!F64,""),"")</f>
        <v>93.8721937995293</v>
      </c>
      <c r="P64" s="0" t="n">
        <f aca="false">IF(ISNUMBER(Panel_Inputs!F64),IF(Panel_Inputs!F64&gt;0,LN(Panel_Inputs!F64),""),"")</f>
        <v>13.7835885119807</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0.00099999998928979</v>
      </c>
      <c r="S64" s="0" t="str">
        <f aca="false">IF(AND(ISNUMBER(Panel_Inputs!V64),Panel_Inputs!W64=1),Panel_Inputs!V64,"")</f>
        <v/>
      </c>
      <c r="T64" s="0" t="str">
        <f aca="false">IF(AND(ISNUMBER(Panel_Inputs!T64),ISNUMBER(Panel_Inputs!U64)),Panel_Inputs!T64-Panel_Inputs!U64,"")</f>
        <v/>
      </c>
    </row>
    <row r="65" customFormat="false" ht="15" hidden="false" customHeight="false" outlineLevel="0" collapsed="false">
      <c r="A65" s="0" t="str">
        <f aca="false">Panel_Inputs!A65</f>
        <v>Wema</v>
      </c>
      <c r="B65" s="0" t="n">
        <f aca="false">Panel_Inputs!B65</f>
        <v>2021</v>
      </c>
      <c r="C65" s="0" t="n">
        <f aca="false">IF(AND(ISNUMBER(Panel_Inputs!F65),ISNUMBER(Panel_Inputs!J65)),IF(AND(Panel_Inputs!F65&gt;0,Panel_Inputs!J65&gt;0),(Panel_Inputs!F65+Panel_Inputs!J65)/2,""),"")</f>
        <v>1066549.9745</v>
      </c>
      <c r="D65" s="0" t="n">
        <f aca="false">IF(AND(ISNUMBER(Panel_Inputs!E65),ISNUMBER(C65)),IF(C65&gt;0,100*Panel_Inputs!E65/C65,""),"")</f>
        <v>0.837579317761261</v>
      </c>
      <c r="E65" s="0" t="n">
        <f aca="false">IF(AND(ISNUMBER(Panel_Inputs!H65),ISNUMBER(Panel_Inputs!F65)),IF(Panel_Inputs!F65&gt;0,100*Panel_Inputs!H65/Panel_Inputs!F65,""),"")</f>
        <v>6.04235848283873</v>
      </c>
      <c r="F65" s="0" t="n">
        <f aca="false">IF(AND(ISNUMBER(Panel_Inputs!I65),ISNUMBER(C65)),IF(C65&gt;0,100*Panel_Inputs!I65/C65,""),"")</f>
        <v>0.923715553471236</v>
      </c>
      <c r="G65" s="0" t="n">
        <f aca="false">IF(AND(ISNUMBER(Panel_Inputs!L65),ISNUMBER(Panel_Inputs!K65)),IF(Panel_Inputs!K65&gt;0,100*Panel_Inputs!L65/Panel_Inputs!K65,""),"")</f>
        <v>3.83138387864166</v>
      </c>
      <c r="H65" s="0" t="n">
        <f aca="false">IF(AND(ISNUMBER(Panel_Inputs!P65),ISNUMBER(Panel_Inputs!Q65)),IF(Panel_Inputs!Q65&gt;0,100*Panel_Inputs!P65/Panel_Inputs!Q65,""),"")</f>
        <v>11.5630709206163</v>
      </c>
      <c r="I65" s="0" t="n">
        <f aca="false">IF(AND(ISNUMBER(Panel_Inputs!N65),ISNUMBER(C65)),IF(C65&gt;0,100*Panel_Inputs!N65/C65,""),"")</f>
        <v>0.197308429076335</v>
      </c>
      <c r="J65" s="0" t="n">
        <f aca="false">IF(AND(ISNUMBER(Panel_Inputs!L65),ISNUMBER(Panel_Inputs!O65)),IF(Panel_Inputs!O65&gt;0,100*Panel_Inputs!L65/Panel_Inputs!O65,""),"")</f>
        <v>78.4809495556107</v>
      </c>
      <c r="K65" s="0" t="n">
        <f aca="false">IF(AND(ISNUMBER(Panel_Inputs!O65),ISNUMBER(Panel_Inputs!K65)),IF(Panel_Inputs!K65&gt;0,100*Panel_Inputs!O65/Panel_Inputs!K65,""),"")</f>
        <v>4.88192854487163</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0.767115925696855</v>
      </c>
      <c r="O65" s="0" t="n">
        <f aca="false">IF(AND(ISNUMBER(Panel_Inputs!G65),ISNUMBER(Panel_Inputs!F65)),IF(Panel_Inputs!F65&gt;0,100*Panel_Inputs!G65/Panel_Inputs!F65,""),"")</f>
        <v>93.9576414312888</v>
      </c>
      <c r="P65" s="0" t="n">
        <f aca="false">IF(ISNUMBER(Panel_Inputs!F65),IF(Panel_Inputs!F65&gt;0,LN(Panel_Inputs!F65),""),"")</f>
        <v>13.9678177095371</v>
      </c>
      <c r="Q65" s="0" t="n">
        <f aca="false">IF(AND(ISNUMBER(Panel_Inputs!F65),ISNUMBER(Panel_Inputs!G65),ISNUMBER(Panel_Inputs!H65)),Panel_Inputs!F65-Panel_Inputs!G65-Panel_Inputs!H65,"")</f>
        <v>0.000999999974737875</v>
      </c>
      <c r="R65" s="0" t="n">
        <f aca="false">IF(AND(ISNUMBER(Panel_Inputs!K65),ISNUMBER(Panel_Inputs!L65),ISNUMBER(Panel_Inputs!M65)),Panel_Inputs!K65-Panel_Inputs!L65-Panel_Inputs!M65,"")</f>
        <v>0</v>
      </c>
      <c r="S65" s="0" t="str">
        <f aca="false">IF(AND(ISNUMBER(Panel_Inputs!V65),Panel_Inputs!W65=1),Panel_Inputs!V65,"")</f>
        <v/>
      </c>
      <c r="T65" s="0" t="str">
        <f aca="false">IF(AND(ISNUMBER(Panel_Inputs!T65),ISNUMBER(Panel_Inputs!U65)),Panel_Inputs!T65-Panel_Inputs!U65,"")</f>
        <v/>
      </c>
    </row>
    <row r="66" customFormat="false" ht="15" hidden="false" customHeight="false" outlineLevel="0" collapsed="false">
      <c r="A66" s="0" t="str">
        <f aca="false">Panel_Inputs!A66</f>
        <v>Wema</v>
      </c>
      <c r="B66" s="0" t="n">
        <f aca="false">Panel_Inputs!B66</f>
        <v>2022</v>
      </c>
      <c r="C66" s="0" t="str">
        <f aca="false">IF(AND(ISNUMBER(Panel_Inputs!F66),ISNUMBER(Panel_Inputs!J66)),IF(AND(Panel_Inputs!F66&gt;0,Panel_Inputs!J66&gt;0),(Panel_Inputs!F66+Panel_Inputs!J66)/2,""),"")</f>
        <v/>
      </c>
      <c r="D66" s="0" t="str">
        <f aca="false">IF(AND(ISNUMBER(Panel_Inputs!E66),ISNUMBER(C66)),IF(C66&gt;0,100*Panel_Inputs!E66/C66,""),"")</f>
        <v/>
      </c>
      <c r="E66" s="0" t="n">
        <f aca="false">IF(AND(ISNUMBER(Panel_Inputs!H66),ISNUMBER(Panel_Inputs!F66)),IF(Panel_Inputs!F66&gt;0,100*Panel_Inputs!H66/Panel_Inputs!F66,""),"")</f>
        <v>5.76288381871853</v>
      </c>
      <c r="F66" s="0" t="str">
        <f aca="false">IF(AND(ISNUMBER(Panel_Inputs!I66),ISNUMBER(C66)),IF(C66&gt;0,100*Panel_Inputs!I66/C66,""),"")</f>
        <v/>
      </c>
      <c r="G66" s="0" t="n">
        <f aca="false">IF(AND(ISNUMBER(Panel_Inputs!L66),ISNUMBER(Panel_Inputs!K66)),IF(Panel_Inputs!K66&gt;0,100*Panel_Inputs!L66/Panel_Inputs!K66,""),"")</f>
        <v>3.32633443478277</v>
      </c>
      <c r="H66" s="0" t="n">
        <f aca="false">IF(AND(ISNUMBER(Panel_Inputs!P66),ISNUMBER(Panel_Inputs!Q66)),IF(Panel_Inputs!Q66&gt;0,100*Panel_Inputs!P66/Panel_Inputs!Q66,""),"")</f>
        <v>12.7374082051793</v>
      </c>
      <c r="I66" s="0" t="str">
        <f aca="false">IF(AND(ISNUMBER(Panel_Inputs!N66),ISNUMBER(C66)),IF(C66&gt;0,100*Panel_Inputs!N66/C66,""),"")</f>
        <v/>
      </c>
      <c r="J66" s="0" t="str">
        <f aca="false">IF(AND(ISNUMBER(Panel_Inputs!L66),ISNUMBER(Panel_Inputs!O66)),IF(Panel_Inputs!O66&gt;0,100*Panel_Inputs!L66/Panel_Inputs!O66,""),"")</f>
        <v/>
      </c>
      <c r="K66" s="0" t="str">
        <f aca="false">IF(AND(ISNUMBER(Panel_Inputs!O66),ISNUMBER(Panel_Inputs!K66)),IF(Panel_Inputs!K66&gt;0,100*Panel_Inputs!O66/Panel_Inputs!K66,""),"")</f>
        <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0.782171891176373</v>
      </c>
      <c r="O66" s="0" t="n">
        <f aca="false">IF(AND(ISNUMBER(Panel_Inputs!G66),ISNUMBER(Panel_Inputs!F66)),IF(Panel_Inputs!F66&gt;0,100*Panel_Inputs!G66/Panel_Inputs!F66,""),"")</f>
        <v>94.2371161812815</v>
      </c>
      <c r="P66" s="0" t="n">
        <f aca="false">IF(ISNUMBER(Panel_Inputs!F66),IF(Panel_Inputs!F66&gt;0,LN(Panel_Inputs!F66),""),"")</f>
        <v>14.1757716232764</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str">
        <f aca="false">IF(AND(ISNUMBER(Panel_Inputs!T66),ISNUMBER(Panel_Inputs!U66)),Panel_Inputs!T66-Panel_Inputs!U66,"")</f>
        <v/>
      </c>
    </row>
    <row r="67" customFormat="false" ht="15" hidden="false" customHeight="false" outlineLevel="0" collapsed="false">
      <c r="A67" s="0" t="str">
        <f aca="false">Panel_Inputs!A67</f>
        <v>Zenith</v>
      </c>
      <c r="B67" s="0" t="n">
        <f aca="false">Panel_Inputs!B67</f>
        <v>2014</v>
      </c>
      <c r="C67" s="0" t="str">
        <f aca="false">IF(AND(ISNUMBER(Panel_Inputs!F67),ISNUMBER(Panel_Inputs!J67)),IF(AND(Panel_Inputs!F67&gt;0,Panel_Inputs!J67&gt;0),(Panel_Inputs!F67+Panel_Inputs!J67)/2,""),"")</f>
        <v/>
      </c>
      <c r="D67" s="0" t="str">
        <f aca="false">IF(AND(ISNUMBER(Panel_Inputs!E67),ISNUMBER(C67)),IF(C67&gt;0,100*Panel_Inputs!E67/C67,""),"")</f>
        <v/>
      </c>
      <c r="E67" s="0" t="n">
        <f aca="false">IF(AND(ISNUMBER(Panel_Inputs!H67),ISNUMBER(Panel_Inputs!F67)),IF(Panel_Inputs!F67&gt;0,100*Panel_Inputs!H67/Panel_Inputs!F67,""),"")</f>
        <v>14.9747109879348</v>
      </c>
      <c r="F67" s="0" t="str">
        <f aca="false">IF(AND(ISNUMBER(Panel_Inputs!I67),ISNUMBER(C67)),IF(C67&gt;0,100*Panel_Inputs!I67/C67,""),"")</f>
        <v/>
      </c>
      <c r="G67" s="0" t="n">
        <f aca="false">IF(AND(ISNUMBER(Panel_Inputs!L67),ISNUMBER(Panel_Inputs!K67)),IF(Panel_Inputs!K67&gt;0,100*Panel_Inputs!L67/Panel_Inputs!K67,""),"")</f>
        <v>1.57768433981219</v>
      </c>
      <c r="H67" s="0" t="str">
        <f aca="false">IF(AND(ISNUMBER(Panel_Inputs!P67),ISNUMBER(Panel_Inputs!Q67)),IF(Panel_Inputs!Q67&gt;0,100*Panel_Inputs!P67/Panel_Inputs!Q67,""),"")</f>
        <v/>
      </c>
      <c r="I67" s="0" t="str">
        <f aca="false">IF(AND(ISNUMBER(Panel_Inputs!N67),ISNUMBER(C67)),IF(C67&gt;0,100*Panel_Inputs!N67/C67,""),"")</f>
        <v/>
      </c>
      <c r="J67" s="0" t="n">
        <f aca="false">IF(AND(ISNUMBER(Panel_Inputs!L67),ISNUMBER(Panel_Inputs!O67)),IF(Panel_Inputs!O67&gt;0,100*Panel_Inputs!L67/Panel_Inputs!O67,""),"")</f>
        <v>95.9253228310675</v>
      </c>
      <c r="K67" s="0" t="n">
        <f aca="false">IF(AND(ISNUMBER(Panel_Inputs!O67),ISNUMBER(Panel_Inputs!K67)),IF(Panel_Inputs!K67&gt;0,100*Panel_Inputs!O67/Panel_Inputs!K67,""),"")</f>
        <v>1.6447005787936</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2.70104815704335</v>
      </c>
      <c r="O67" s="0" t="n">
        <f aca="false">IF(AND(ISNUMBER(Panel_Inputs!G67),ISNUMBER(Panel_Inputs!F67)),IF(Panel_Inputs!F67&gt;0,100*Panel_Inputs!G67/Panel_Inputs!F67,""),"")</f>
        <v>85.0252890120652</v>
      </c>
      <c r="P67" s="0" t="n">
        <f aca="false">IF(ISNUMBER(Panel_Inputs!F67),IF(Panel_Inputs!F67&gt;0,LN(Panel_Inputs!F67),""),"")</f>
        <v>15.046267152697</v>
      </c>
      <c r="Q67" s="0" t="n">
        <f aca="false">IF(AND(ISNUMBER(Panel_Inputs!F67),ISNUMBER(Panel_Inputs!G67),ISNUMBER(Panel_Inputs!H67)),Panel_Inputs!F67-Panel_Inputs!G67-Panel_Inputs!H67,"")</f>
        <v>0</v>
      </c>
      <c r="R67" s="0" t="str">
        <f aca="false">IF(AND(ISNUMBER(Panel_Inputs!K67),ISNUMBER(Panel_Inputs!L67),ISNUMBER(Panel_Inputs!M67)),Panel_Inputs!K67-Panel_Inputs!L67-Panel_Inputs!M67,"")</f>
        <v/>
      </c>
      <c r="S67" s="0" t="str">
        <f aca="false">IF(AND(ISNUMBER(Panel_Inputs!V67),Panel_Inputs!W67=1),Panel_Inputs!V67,"")</f>
        <v/>
      </c>
      <c r="T67" s="0" t="str">
        <f aca="false">IF(AND(ISNUMBER(Panel_Inputs!T67),ISNUMBER(Panel_Inputs!U67)),Panel_Inputs!T67-Panel_Inputs!U67,"")</f>
        <v/>
      </c>
    </row>
    <row r="68" customFormat="false" ht="15" hidden="false" customHeight="false" outlineLevel="0" collapsed="false">
      <c r="A68" s="0" t="str">
        <f aca="false">Panel_Inputs!A68</f>
        <v>Zenith</v>
      </c>
      <c r="B68" s="0" t="n">
        <f aca="false">Panel_Inputs!B68</f>
        <v>2015</v>
      </c>
      <c r="C68" s="0" t="n">
        <f aca="false">IF(AND(ISNUMBER(Panel_Inputs!F68),ISNUMBER(Panel_Inputs!J68)),IF(AND(Panel_Inputs!F68&gt;0,Panel_Inputs!J68&gt;0),(Panel_Inputs!F68+Panel_Inputs!J68)/2,""),"")</f>
        <v>3587073</v>
      </c>
      <c r="D68" s="0" t="n">
        <f aca="false">IF(AND(ISNUMBER(Panel_Inputs!E68),ISNUMBER(C68)),IF(C68&gt;0,100*Panel_Inputs!E68/C68,""),"")</f>
        <v>2.75388875553968</v>
      </c>
      <c r="E68" s="0" t="n">
        <f aca="false">IF(AND(ISNUMBER(Panel_Inputs!H68),ISNUMBER(Panel_Inputs!F68)),IF(Panel_Inputs!F68&gt;0,100*Panel_Inputs!H68/Panel_Inputs!F68,""),"")</f>
        <v>14.5839549457954</v>
      </c>
      <c r="F68" s="0" t="n">
        <f aca="false">IF(AND(ISNUMBER(Panel_Inputs!I68),ISNUMBER(C68)),IF(C68&gt;0,100*Panel_Inputs!I68/C68,""),"")</f>
        <v>-11.580360923795</v>
      </c>
      <c r="G68" s="0" t="n">
        <f aca="false">IF(AND(ISNUMBER(Panel_Inputs!L68),ISNUMBER(Panel_Inputs!K68)),IF(Panel_Inputs!K68&gt;0,100*Panel_Inputs!L68/Panel_Inputs!K68,""),"")</f>
        <v>1.89480731757652</v>
      </c>
      <c r="H68" s="0" t="str">
        <f aca="false">IF(AND(ISNUMBER(Panel_Inputs!P68),ISNUMBER(Panel_Inputs!Q68)),IF(Panel_Inputs!Q68&gt;0,100*Panel_Inputs!P68/Panel_Inputs!Q68,""),"")</f>
        <v/>
      </c>
      <c r="I68" s="0" t="n">
        <f aca="false">IF(AND(ISNUMBER(Panel_Inputs!N68),ISNUMBER(C68)),IF(C68&gt;0,100*Panel_Inputs!N68/C68,""),"")</f>
        <v>0.309193596004319</v>
      </c>
      <c r="J68" s="0" t="n">
        <f aca="false">IF(AND(ISNUMBER(Panel_Inputs!L68),ISNUMBER(Panel_Inputs!O68)),IF(Panel_Inputs!O68&gt;0,100*Panel_Inputs!L68/Panel_Inputs!O68,""),"")</f>
        <v>115.694340967251</v>
      </c>
      <c r="K68" s="0" t="n">
        <f aca="false">IF(AND(ISNUMBER(Panel_Inputs!O68),ISNUMBER(Panel_Inputs!K68)),IF(Panel_Inputs!K68&gt;0,100*Panel_Inputs!O68/Panel_Inputs!K68,""),"")</f>
        <v>1.63777009466079</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2.63401031430059</v>
      </c>
      <c r="O68" s="0" t="n">
        <f aca="false">IF(AND(ISNUMBER(Panel_Inputs!G68),ISNUMBER(Panel_Inputs!F68)),IF(Panel_Inputs!F68&gt;0,100*Panel_Inputs!G68/Panel_Inputs!F68,""),"")</f>
        <v>85.4160450542046</v>
      </c>
      <c r="P68" s="0" t="n">
        <f aca="false">IF(ISNUMBER(Panel_Inputs!F68),IF(Panel_Inputs!F68&gt;0,LN(Panel_Inputs!F68),""),"")</f>
        <v>15.1373535941449</v>
      </c>
      <c r="Q68" s="0" t="n">
        <f aca="false">IF(AND(ISNUMBER(Panel_Inputs!F68),ISNUMBER(Panel_Inputs!G68),ISNUMBER(Panel_Inputs!H68)),Panel_Inputs!F68-Panel_Inputs!G68-Panel_Inputs!H68,"")</f>
        <v>0</v>
      </c>
      <c r="R68" s="0" t="str">
        <f aca="false">IF(AND(ISNUMBER(Panel_Inputs!K68),ISNUMBER(Panel_Inputs!L68),ISNUMBER(Panel_Inputs!M68)),Panel_Inputs!K68-Panel_Inputs!L68-Panel_Inputs!M68,"")</f>
        <v/>
      </c>
      <c r="S68" s="0" t="str">
        <f aca="false">IF(AND(ISNUMBER(Panel_Inputs!V68),Panel_Inputs!W68=1),Panel_Inputs!V68,"")</f>
        <v/>
      </c>
      <c r="T68" s="0" t="str">
        <f aca="false">IF(AND(ISNUMBER(Panel_Inputs!T68),ISNUMBER(Panel_Inputs!U68)),Panel_Inputs!T68-Panel_Inputs!U68,"")</f>
        <v/>
      </c>
    </row>
    <row r="69" customFormat="false" ht="15" hidden="false" customHeight="false" outlineLevel="0" collapsed="false">
      <c r="A69" s="0" t="str">
        <f aca="false">Panel_Inputs!A69</f>
        <v>Zenith</v>
      </c>
      <c r="B69" s="0" t="n">
        <f aca="false">Panel_Inputs!B69</f>
        <v>2016</v>
      </c>
      <c r="C69" s="0" t="n">
        <f aca="false">IF(AND(ISNUMBER(Panel_Inputs!F69),ISNUMBER(Panel_Inputs!J69)),IF(AND(Panel_Inputs!F69&gt;0,Panel_Inputs!J69&gt;0),(Panel_Inputs!F69+Panel_Inputs!J69)/2,""),"")</f>
        <v>4017031.5</v>
      </c>
      <c r="D69" s="0" t="n">
        <f aca="false">IF(AND(ISNUMBER(Panel_Inputs!E69),ISNUMBER(C69)),IF(C69&gt;0,100*Panel_Inputs!E69/C69,""),"")</f>
        <v>2.96948131972577</v>
      </c>
      <c r="E69" s="0" t="n">
        <f aca="false">IF(AND(ISNUMBER(Panel_Inputs!H69),ISNUMBER(Panel_Inputs!F69)),IF(Panel_Inputs!F69&gt;0,100*Panel_Inputs!H69/Panel_Inputs!F69,""),"")</f>
        <v>14.3882115984739</v>
      </c>
      <c r="F69" s="0" t="n">
        <f aca="false">IF(AND(ISNUMBER(Panel_Inputs!I69),ISNUMBER(C69)),IF(C69&gt;0,100*Panel_Inputs!I69/C69,""),"")</f>
        <v>-2.61180426391976</v>
      </c>
      <c r="G69" s="0" t="n">
        <f aca="false">IF(AND(ISNUMBER(Panel_Inputs!L69),ISNUMBER(Panel_Inputs!K69)),IF(Panel_Inputs!K69&gt;0,100*Panel_Inputs!L69/Panel_Inputs!K69,""),"")</f>
        <v>2.51191852724574</v>
      </c>
      <c r="H69" s="0" t="n">
        <f aca="false">IF(AND(ISNUMBER(Panel_Inputs!P69),ISNUMBER(Panel_Inputs!Q69)),IF(Panel_Inputs!Q69&gt;0,100*Panel_Inputs!P69/Panel_Inputs!Q69,""),"")</f>
        <v>21.5372909763347</v>
      </c>
      <c r="I69" s="0" t="n">
        <f aca="false">IF(AND(ISNUMBER(Panel_Inputs!N69),ISNUMBER(C69)),IF(C69&gt;0,100*Panel_Inputs!N69/C69,""),"")</f>
        <v>0.654587846771926</v>
      </c>
      <c r="J69" s="0" t="n">
        <f aca="false">IF(AND(ISNUMBER(Panel_Inputs!L69),ISNUMBER(Panel_Inputs!O69)),IF(Panel_Inputs!O69&gt;0,100*Panel_Inputs!L69/Panel_Inputs!O69,""),"")</f>
        <v>95.6840405022839</v>
      </c>
      <c r="K69" s="0" t="n">
        <f aca="false">IF(AND(ISNUMBER(Panel_Inputs!O69),ISNUMBER(Panel_Inputs!K69)),IF(Panel_Inputs!K69&gt;0,100*Panel_Inputs!O69/Panel_Inputs!K69,""),"")</f>
        <v>2.6252220475428</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2.78460203896785</v>
      </c>
      <c r="O69" s="0" t="n">
        <f aca="false">IF(AND(ISNUMBER(Panel_Inputs!G69),ISNUMBER(Panel_Inputs!F69)),IF(Panel_Inputs!F69&gt;0,100*Panel_Inputs!G69/Panel_Inputs!F69,""),"")</f>
        <v>85.6117884015261</v>
      </c>
      <c r="P69" s="0" t="n">
        <f aca="false">IF(ISNUMBER(Panel_Inputs!F69),IF(Panel_Inputs!F69&gt;0,LN(Panel_Inputs!F69),""),"")</f>
        <v>15.270336084001</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Zenith</v>
      </c>
      <c r="B70" s="0" t="n">
        <f aca="false">Panel_Inputs!B70</f>
        <v>2017</v>
      </c>
      <c r="C70" s="0" t="n">
        <f aca="false">IF(AND(ISNUMBER(Panel_Inputs!F70),ISNUMBER(Panel_Inputs!J70)),IF(AND(Panel_Inputs!F70&gt;0,Panel_Inputs!J70&gt;0),(Panel_Inputs!F70+Panel_Inputs!J70)/2,""),"")</f>
        <v>4558697</v>
      </c>
      <c r="D70" s="0" t="n">
        <f aca="false">IF(AND(ISNUMBER(Panel_Inputs!E70),ISNUMBER(C70)),IF(C70&gt;0,100*Panel_Inputs!E70/C70,""),"")</f>
        <v>3.44714728792021</v>
      </c>
      <c r="E70" s="0" t="n">
        <f aca="false">IF(AND(ISNUMBER(Panel_Inputs!H70),ISNUMBER(Panel_Inputs!F70)),IF(Panel_Inputs!F70&gt;0,100*Panel_Inputs!H70/Panel_Inputs!F70,""),"")</f>
        <v>14.6374650420034</v>
      </c>
      <c r="F70" s="0" t="n">
        <f aca="false">IF(AND(ISNUMBER(Panel_Inputs!I70),ISNUMBER(C70)),IF(C70&gt;0,100*Panel_Inputs!I70/C70,""),"")</f>
        <v>-5.61015570896684</v>
      </c>
      <c r="G70" s="0" t="n">
        <f aca="false">IF(AND(ISNUMBER(Panel_Inputs!L70),ISNUMBER(Panel_Inputs!K70)),IF(Panel_Inputs!K70&gt;0,100*Panel_Inputs!L70/Panel_Inputs!K70,""),"")</f>
        <v>6.45255303440748</v>
      </c>
      <c r="H70" s="0" t="n">
        <f aca="false">IF(AND(ISNUMBER(Panel_Inputs!P70),ISNUMBER(Panel_Inputs!Q70)),IF(Panel_Inputs!Q70&gt;0,100*Panel_Inputs!P70/Panel_Inputs!Q70,""),"")</f>
        <v>24.4260832701682</v>
      </c>
      <c r="I70" s="0" t="n">
        <f aca="false">IF(AND(ISNUMBER(Panel_Inputs!N70),ISNUMBER(C70)),IF(C70&gt;0,100*Panel_Inputs!N70/C70,""),"")</f>
        <v>2.08928121346955</v>
      </c>
      <c r="J70" s="0" t="n">
        <f aca="false">IF(AND(ISNUMBER(Panel_Inputs!L70),ISNUMBER(Panel_Inputs!O70)),IF(Panel_Inputs!O70&gt;0,100*Panel_Inputs!L70/Panel_Inputs!O70,""),"")</f>
        <v>148.907759052955</v>
      </c>
      <c r="K70" s="0" t="n">
        <f aca="false">IF(AND(ISNUMBER(Panel_Inputs!O70),ISNUMBER(Panel_Inputs!K70)),IF(Panel_Inputs!K70&gt;0,100*Panel_Inputs!O70/Panel_Inputs!K70,""),"")</f>
        <v>4.333255080491</v>
      </c>
      <c r="L70" s="0" t="str">
        <f aca="false">IF(AND(ISNUMBER(Panel_Inputs!R70),ISNUMBER(Panel_Inputs!K70)),IF(Panel_Inputs!K70&gt;0,100*Panel_Inputs!R70/Panel_Inputs!K70,""),"")</f>
        <v/>
      </c>
      <c r="M70" s="0" t="str">
        <f aca="false">IF(AND(ISNUMBER(Panel_Inputs!S70),ISNUMBER(Panel_Inputs!R70)),IF(Panel_Inputs!R70&gt;0,100*Panel_Inputs!S70/Panel_Inputs!R70,""),"")</f>
        <v/>
      </c>
      <c r="N70" s="0" t="n">
        <f aca="false">IF(AND(ISNUMBER(Panel_Inputs!E70),ISNUMBER(Panel_Inputs!F70)),IF(Panel_Inputs!F70&gt;0,100*Panel_Inputs!E70/Panel_Inputs!F70,""),"")</f>
        <v>3.25105748069061</v>
      </c>
      <c r="O70" s="0" t="n">
        <f aca="false">IF(AND(ISNUMBER(Panel_Inputs!G70),ISNUMBER(Panel_Inputs!F70)),IF(Panel_Inputs!F70&gt;0,100*Panel_Inputs!G70/Panel_Inputs!F70,""),"")</f>
        <v>85.3625349579966</v>
      </c>
      <c r="P70" s="0" t="n">
        <f aca="false">IF(ISNUMBER(Panel_Inputs!F70),IF(Panel_Inputs!F70&gt;0,LN(Panel_Inputs!F70),""),"")</f>
        <v>15.3911140888805</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str">
        <f aca="false">IF(AND(ISNUMBER(Panel_Inputs!T70),ISNUMBER(Panel_Inputs!U70)),Panel_Inputs!T70-Panel_Inputs!U70,"")</f>
        <v/>
      </c>
    </row>
    <row r="71" customFormat="false" ht="15" hidden="false" customHeight="false" outlineLevel="0" collapsed="false">
      <c r="A71" s="0" t="str">
        <f aca="false">Panel_Inputs!A71</f>
        <v>Zenith</v>
      </c>
      <c r="B71" s="0" t="n">
        <f aca="false">Panel_Inputs!B71</f>
        <v>2018</v>
      </c>
      <c r="C71" s="0" t="n">
        <f aca="false">IF(AND(ISNUMBER(Panel_Inputs!F71),ISNUMBER(Panel_Inputs!J71)),IF(AND(Panel_Inputs!F71&gt;0,Panel_Inputs!J71&gt;0),(Panel_Inputs!F71+Panel_Inputs!J71)/2,""),"")</f>
        <v>4894551.5</v>
      </c>
      <c r="D71" s="0" t="n">
        <f aca="false">IF(AND(ISNUMBER(Panel_Inputs!E71),ISNUMBER(C71)),IF(C71&gt;0,100*Panel_Inputs!E71/C71,""),"")</f>
        <v>3.38090221341016</v>
      </c>
      <c r="E71" s="0" t="n">
        <f aca="false">IF(AND(ISNUMBER(Panel_Inputs!H71),ISNUMBER(Panel_Inputs!F71)),IF(Panel_Inputs!F71&gt;0,100*Panel_Inputs!H71/Panel_Inputs!F71,""),"")</f>
        <v>13.6220258725503</v>
      </c>
      <c r="F71" s="0" t="n">
        <f aca="false">IF(AND(ISNUMBER(Panel_Inputs!I71),ISNUMBER(C71)),IF(C71&gt;0,100*Panel_Inputs!I71/C71,""),"")</f>
        <v>3.76569742906985</v>
      </c>
      <c r="G71" s="0" t="n">
        <f aca="false">IF(AND(ISNUMBER(Panel_Inputs!L71),ISNUMBER(Panel_Inputs!K71)),IF(Panel_Inputs!K71&gt;0,100*Panel_Inputs!L71/Panel_Inputs!K71,""),"")</f>
        <v>9.62997588836187</v>
      </c>
      <c r="H71" s="0" t="n">
        <f aca="false">IF(AND(ISNUMBER(Panel_Inputs!P71),ISNUMBER(Panel_Inputs!Q71)),IF(Panel_Inputs!Q71&gt;0,100*Panel_Inputs!P71/Panel_Inputs!Q71,""),"")</f>
        <v>23.8455594092767</v>
      </c>
      <c r="I71" s="0" t="n">
        <f aca="false">IF(AND(ISNUMBER(Panel_Inputs!N71),ISNUMBER(C71)),IF(C71&gt;0,100*Panel_Inputs!N71/C71,""),"")</f>
        <v>0.312858083115481</v>
      </c>
      <c r="J71" s="0" t="n">
        <f aca="false">IF(AND(ISNUMBER(Panel_Inputs!L71),ISNUMBER(Panel_Inputs!O71)),IF(Panel_Inputs!O71&gt;0,100*Panel_Inputs!L71/Panel_Inputs!O71,""),"")</f>
        <v>199.717154269675</v>
      </c>
      <c r="K71" s="0" t="n">
        <f aca="false">IF(AND(ISNUMBER(Panel_Inputs!O71),ISNUMBER(Panel_Inputs!K71)),IF(Panel_Inputs!K71&gt;0,100*Panel_Inputs!O71/Panel_Inputs!K71,""),"")</f>
        <v>4.82180708190878</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3.33935701031895</v>
      </c>
      <c r="O71" s="0" t="n">
        <f aca="false">IF(AND(ISNUMBER(Panel_Inputs!G71),ISNUMBER(Panel_Inputs!F71)),IF(Panel_Inputs!F71&gt;0,100*Panel_Inputs!G71/Panel_Inputs!F71,""),"")</f>
        <v>86.3779741274497</v>
      </c>
      <c r="P71" s="0" t="n">
        <f aca="false">IF(ISNUMBER(Panel_Inputs!F71),IF(Panel_Inputs!F71&gt;0,LN(Panel_Inputs!F71),""),"")</f>
        <v>15.4159975299882</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str">
        <f aca="false">IF(AND(ISNUMBER(Panel_Inputs!V71),Panel_Inputs!W71=1),Panel_Inputs!V71,"")</f>
        <v/>
      </c>
      <c r="T71" s="0" t="str">
        <f aca="false">IF(AND(ISNUMBER(Panel_Inputs!T71),ISNUMBER(Panel_Inputs!U71)),Panel_Inputs!T71-Panel_Inputs!U71,"")</f>
        <v/>
      </c>
    </row>
    <row r="72" customFormat="false" ht="15" hidden="false" customHeight="false" outlineLevel="0" collapsed="false">
      <c r="A72" s="0" t="str">
        <f aca="false">Panel_Inputs!A72</f>
        <v>Zenith</v>
      </c>
      <c r="B72" s="0" t="n">
        <f aca="false">Panel_Inputs!B72</f>
        <v>2019</v>
      </c>
      <c r="C72" s="0" t="n">
        <f aca="false">IF(AND(ISNUMBER(Panel_Inputs!F72),ISNUMBER(Panel_Inputs!J72)),IF(AND(Panel_Inputs!F72&gt;0,Panel_Inputs!J72&gt;0),(Panel_Inputs!F72+Panel_Inputs!J72)/2,""),"")</f>
        <v>5195259</v>
      </c>
      <c r="D72" s="0" t="n">
        <f aca="false">IF(AND(ISNUMBER(Panel_Inputs!E72),ISNUMBER(C72)),IF(C72&gt;0,100*Panel_Inputs!E72/C72,""),"")</f>
        <v>3.42625844062827</v>
      </c>
      <c r="E72" s="0" t="n">
        <f aca="false">IF(AND(ISNUMBER(Panel_Inputs!H72),ISNUMBER(Panel_Inputs!F72)),IF(Panel_Inputs!F72&gt;0,100*Panel_Inputs!H72/Panel_Inputs!F72,""),"")</f>
        <v>14.3327421729202</v>
      </c>
      <c r="F72" s="0" t="n">
        <f aca="false">IF(AND(ISNUMBER(Panel_Inputs!I72),ISNUMBER(C72)),IF(C72&gt;0,100*Panel_Inputs!I72/C72,""),"")</f>
        <v>7.50863431447787</v>
      </c>
      <c r="G72" s="0" t="n">
        <f aca="false">IF(AND(ISNUMBER(Panel_Inputs!L72),ISNUMBER(Panel_Inputs!K72)),IF(Panel_Inputs!K72&gt;0,100*Panel_Inputs!L72/Panel_Inputs!K72,""),"")</f>
        <v>6.32375867493833</v>
      </c>
      <c r="H72" s="0" t="n">
        <f aca="false">IF(AND(ISNUMBER(Panel_Inputs!P72),ISNUMBER(Panel_Inputs!Q72)),IF(Panel_Inputs!Q72&gt;0,100*Panel_Inputs!P72/Panel_Inputs!Q72,""),"")</f>
        <v>19.5645230476247</v>
      </c>
      <c r="I72" s="0" t="n">
        <f aca="false">IF(AND(ISNUMBER(Panel_Inputs!N72),ISNUMBER(C72)),IF(C72&gt;0,100*Panel_Inputs!N72/C72,""),"")</f>
        <v>0.450275915021754</v>
      </c>
      <c r="J72" s="0" t="n">
        <f aca="false">IF(AND(ISNUMBER(Panel_Inputs!L72),ISNUMBER(Panel_Inputs!O72)),IF(Panel_Inputs!O72&gt;0,100*Panel_Inputs!L72/Panel_Inputs!O72,""),"")</f>
        <v>152.004383804056</v>
      </c>
      <c r="K72" s="0" t="n">
        <f aca="false">IF(AND(ISNUMBER(Panel_Inputs!O72),ISNUMBER(Panel_Inputs!K72)),IF(Panel_Inputs!K72&gt;0,100*Panel_Inputs!O72/Panel_Inputs!K72,""),"")</f>
        <v>4.16024756436636</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3.27508020591444</v>
      </c>
      <c r="O72" s="0" t="n">
        <f aca="false">IF(AND(ISNUMBER(Panel_Inputs!G72),ISNUMBER(Panel_Inputs!F72)),IF(Panel_Inputs!F72&gt;0,100*Panel_Inputs!G72/Panel_Inputs!F72,""),"")</f>
        <v>85.6672578270798</v>
      </c>
      <c r="P72" s="0" t="n">
        <f aca="false">IF(ISNUMBER(Panel_Inputs!F72),IF(Panel_Inputs!F72&gt;0,LN(Panel_Inputs!F72),""),"")</f>
        <v>15.50838350991</v>
      </c>
      <c r="Q72" s="0" t="n">
        <f aca="false">IF(AND(ISNUMBER(Panel_Inputs!F72),ISNUMBER(Panel_Inputs!G72),ISNUMBER(Panel_Inputs!H72)),Panel_Inputs!F72-Panel_Inputs!G72-Panel_Inputs!H72,"")</f>
        <v>0</v>
      </c>
      <c r="R72" s="0" t="n">
        <f aca="false">IF(AND(ISNUMBER(Panel_Inputs!K72),ISNUMBER(Panel_Inputs!L72),ISNUMBER(Panel_Inputs!M72)),Panel_Inputs!K72-Panel_Inputs!L72-Panel_Inputs!M72,"")</f>
        <v>0</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Zenith</v>
      </c>
      <c r="B73" s="0" t="n">
        <f aca="false">Panel_Inputs!B73</f>
        <v>2020</v>
      </c>
      <c r="C73" s="0" t="n">
        <f aca="false">IF(AND(ISNUMBER(Panel_Inputs!F73),ISNUMBER(Panel_Inputs!J73)),IF(AND(Panel_Inputs!F73&gt;0,Panel_Inputs!J73&gt;0),(Panel_Inputs!F73+Panel_Inputs!J73)/2,""),"")</f>
        <v>6280030</v>
      </c>
      <c r="D73" s="0" t="n">
        <f aca="false">IF(AND(ISNUMBER(Panel_Inputs!E73),ISNUMBER(C73)),IF(C73&gt;0,100*Panel_Inputs!E73/C73,""),"")</f>
        <v>3.15049450400715</v>
      </c>
      <c r="E73" s="0" t="n">
        <f aca="false">IF(AND(ISNUMBER(Panel_Inputs!H73),ISNUMBER(Panel_Inputs!F73)),IF(Panel_Inputs!F73&gt;0,100*Panel_Inputs!H73/Panel_Inputs!F73,""),"")</f>
        <v>12.7050337074299</v>
      </c>
      <c r="F73" s="0" t="n">
        <f aca="false">IF(AND(ISNUMBER(Panel_Inputs!I73),ISNUMBER(C73)),IF(C73&gt;0,100*Panel_Inputs!I73/C73,""),"")</f>
        <v>1.04967651428417</v>
      </c>
      <c r="G73" s="0" t="n">
        <f aca="false">IF(AND(ISNUMBER(Panel_Inputs!L73),ISNUMBER(Panel_Inputs!K73)),IF(Panel_Inputs!K73&gt;0,100*Panel_Inputs!L73/Panel_Inputs!K73,""),"")</f>
        <v>4.79199960471215</v>
      </c>
      <c r="H73" s="0" t="str">
        <f aca="false">IF(AND(ISNUMBER(Panel_Inputs!P73),ISNUMBER(Panel_Inputs!Q73)),IF(Panel_Inputs!Q73&gt;0,100*Panel_Inputs!P73/Panel_Inputs!Q73,""),"")</f>
        <v/>
      </c>
      <c r="I73" s="0" t="n">
        <f aca="false">IF(AND(ISNUMBER(Panel_Inputs!N73),ISNUMBER(C73)),IF(C73&gt;0,100*Panel_Inputs!N73/C73,""),"")</f>
        <v>0.592943027342226</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2.77687524201799</v>
      </c>
      <c r="O73" s="0" t="n">
        <f aca="false">IF(AND(ISNUMBER(Panel_Inputs!G73),ISNUMBER(Panel_Inputs!F73)),IF(Panel_Inputs!F73&gt;0,100*Panel_Inputs!G73/Panel_Inputs!F73,""),"")</f>
        <v>87.2949662925701</v>
      </c>
      <c r="P73" s="0" t="n">
        <f aca="false">IF(ISNUMBER(Panel_Inputs!F73),IF(Panel_Inputs!F73&gt;0,LN(Panel_Inputs!F73),""),"")</f>
        <v>15.7791184595559</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Zenith</v>
      </c>
      <c r="B74" s="0" t="n">
        <f aca="false">Panel_Inputs!B74</f>
        <v>2021</v>
      </c>
      <c r="C74" s="0" t="str">
        <f aca="false">IF(AND(ISNUMBER(Panel_Inputs!F74),ISNUMBER(Panel_Inputs!J74)),IF(AND(Panel_Inputs!F74&gt;0,Panel_Inputs!J74&gt;0),(Panel_Inputs!F74+Panel_Inputs!J74)/2,""),"")</f>
        <v/>
      </c>
      <c r="D74" s="0" t="str">
        <f aca="false">IF(AND(ISNUMBER(Panel_Inputs!E74),ISNUMBER(C74)),IF(C74&gt;0,100*Panel_Inputs!E74/C74,""),"")</f>
        <v/>
      </c>
      <c r="E74" s="0" t="n">
        <f aca="false">IF(AND(ISNUMBER(Panel_Inputs!H74),ISNUMBER(Panel_Inputs!F74)),IF(Panel_Inputs!F74&gt;0,100*Panel_Inputs!H74/Panel_Inputs!F74,""),"")</f>
        <v>13.3350617583799</v>
      </c>
      <c r="F74" s="0" t="str">
        <f aca="false">IF(AND(ISNUMBER(Panel_Inputs!I74),ISNUMBER(C74)),IF(C74&gt;0,100*Panel_Inputs!I74/C74,""),"")</f>
        <v/>
      </c>
      <c r="G74" s="0" t="n">
        <f aca="false">IF(AND(ISNUMBER(Panel_Inputs!L74),ISNUMBER(Panel_Inputs!K74)),IF(Panel_Inputs!K74&gt;0,100*Panel_Inputs!L74/Panel_Inputs!K74,""),"")</f>
        <v>4.27801590686519</v>
      </c>
      <c r="H74" s="0" t="n">
        <f aca="false">IF(AND(ISNUMBER(Panel_Inputs!P74),ISNUMBER(Panel_Inputs!Q74)),IF(Panel_Inputs!Q74&gt;0,100*Panel_Inputs!P74/Panel_Inputs!Q74,""),"")</f>
        <v>19.5928118580614</v>
      </c>
      <c r="I74" s="0" t="str">
        <f aca="false">IF(AND(ISNUMBER(Panel_Inputs!N74),ISNUMBER(C74)),IF(C74&gt;0,100*Panel_Inputs!N74/C74,""),"")</f>
        <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2.96143740603118</v>
      </c>
      <c r="O74" s="0" t="n">
        <f aca="false">IF(AND(ISNUMBER(Panel_Inputs!G74),ISNUMBER(Panel_Inputs!F74)),IF(Panel_Inputs!F74&gt;0,100*Panel_Inputs!G74/Panel_Inputs!F74,""),"")</f>
        <v>86.6649382416201</v>
      </c>
      <c r="P74" s="0" t="n">
        <f aca="false">IF(ISNUMBER(Panel_Inputs!F74),IF(Panel_Inputs!F74&gt;0,LN(Panel_Inputs!F74),""),"")</f>
        <v>15.8788598105222</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Zenith</v>
      </c>
      <c r="B75" s="0" t="n">
        <f aca="false">Panel_Inputs!B75</f>
        <v>2022</v>
      </c>
      <c r="C75" s="0" t="n">
        <f aca="false">IF(AND(ISNUMBER(Panel_Inputs!F75),ISNUMBER(Panel_Inputs!J75)),IF(AND(Panel_Inputs!F75&gt;0,Panel_Inputs!J75&gt;0),(Panel_Inputs!F75+Panel_Inputs!J75)/2,""),"")</f>
        <v>9221485</v>
      </c>
      <c r="D75" s="0" t="n">
        <f aca="false">IF(AND(ISNUMBER(Panel_Inputs!E75),ISNUMBER(C75)),IF(C75&gt;0,100*Panel_Inputs!E75/C75,""),"")</f>
        <v>2.54398288345098</v>
      </c>
      <c r="E75" s="0" t="n">
        <f aca="false">IF(AND(ISNUMBER(Panel_Inputs!H75),ISNUMBER(Panel_Inputs!F75)),IF(Panel_Inputs!F75&gt;0,100*Panel_Inputs!H75/Panel_Inputs!F75,""),"")</f>
        <v>11.3062473381556</v>
      </c>
      <c r="F75" s="0" t="n">
        <f aca="false">IF(AND(ISNUMBER(Panel_Inputs!I75),ISNUMBER(C75)),IF(C75&gt;0,100*Panel_Inputs!I75/C75,""),"")</f>
        <v>13.8780033801497</v>
      </c>
      <c r="G75" s="0" t="n">
        <f aca="false">IF(AND(ISNUMBER(Panel_Inputs!L75),ISNUMBER(Panel_Inputs!K75)),IF(Panel_Inputs!K75&gt;0,100*Panel_Inputs!L75/Panel_Inputs!K75,""),"")</f>
        <v>2.68648707084627</v>
      </c>
      <c r="H75" s="0" t="n">
        <f aca="false">IF(AND(ISNUMBER(Panel_Inputs!P75),ISNUMBER(Panel_Inputs!Q75)),IF(Panel_Inputs!Q75&gt;0,100*Panel_Inputs!P75/Panel_Inputs!Q75,""),"")</f>
        <v>18.9964452219655</v>
      </c>
      <c r="I75" s="0" t="n">
        <f aca="false">IF(AND(ISNUMBER(Panel_Inputs!N75),ISNUMBER(C75)),IF(C75&gt;0,100*Panel_Inputs!N75/C75,""),"")</f>
        <v>0.671215102556692</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2.21928054189145</v>
      </c>
      <c r="O75" s="0" t="n">
        <f aca="false">IF(AND(ISNUMBER(Panel_Inputs!G75),ISNUMBER(Panel_Inputs!F75)),IF(Panel_Inputs!F75&gt;0,100*Panel_Inputs!G75/Panel_Inputs!F75,""),"")</f>
        <v>88.6937526618444</v>
      </c>
      <c r="P75" s="0" t="n">
        <f aca="false">IF(ISNUMBER(Panel_Inputs!F75),IF(Panel_Inputs!F75&gt;0,LN(Panel_Inputs!F75),""),"")</f>
        <v>16.1735944995925</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str">
        <f aca="false">IF(AND(ISNUMBER(Panel_Inputs!V75),Panel_Inputs!W75=1),Panel_Inputs!V75,"")</f>
        <v/>
      </c>
      <c r="T75" s="0" t="str">
        <f aca="false">IF(AND(ISNUMBER(Panel_Inputs!T75),ISNUMBER(Panel_Inputs!U75)),Panel_Inputs!T75-Panel_Inputs!U75,"")</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179</v>
      </c>
    </row>
    <row r="3" customFormat="false" ht="15" hidden="false" customHeight="false" outlineLevel="0" collapsed="false">
      <c r="A3" s="3" t="s">
        <v>50</v>
      </c>
      <c r="B3" s="3" t="s">
        <v>51</v>
      </c>
      <c r="C3" s="3" t="s">
        <v>180</v>
      </c>
      <c r="D3" s="3" t="s">
        <v>181</v>
      </c>
      <c r="E3" s="3" t="s">
        <v>182</v>
      </c>
      <c r="F3" s="3" t="s">
        <v>183</v>
      </c>
      <c r="G3" s="3" t="s">
        <v>184</v>
      </c>
      <c r="H3" s="3" t="s">
        <v>185</v>
      </c>
      <c r="I3" s="3" t="s">
        <v>186</v>
      </c>
      <c r="J3" s="3" t="s">
        <v>187</v>
      </c>
      <c r="K3" s="3" t="s">
        <v>188</v>
      </c>
      <c r="L3" s="3" t="s">
        <v>189</v>
      </c>
      <c r="M3" s="3" t="s">
        <v>190</v>
      </c>
      <c r="N3" s="3" t="s">
        <v>191</v>
      </c>
      <c r="O3" s="3" t="s">
        <v>192</v>
      </c>
      <c r="P3" s="3" t="s">
        <v>193</v>
      </c>
      <c r="Q3" s="3" t="s">
        <v>194</v>
      </c>
      <c r="R3" s="3" t="s">
        <v>195</v>
      </c>
      <c r="S3" s="3" t="s">
        <v>196</v>
      </c>
      <c r="T3" s="3" t="s">
        <v>197</v>
      </c>
      <c r="U3" s="3" t="s">
        <v>198</v>
      </c>
      <c r="V3" s="3" t="s">
        <v>199</v>
      </c>
      <c r="W3" s="3" t="s">
        <v>200</v>
      </c>
      <c r="X3" s="3" t="s">
        <v>201</v>
      </c>
      <c r="Y3" s="3" t="s">
        <v>202</v>
      </c>
      <c r="Z3" s="3" t="s">
        <v>203</v>
      </c>
      <c r="AA3" s="3" t="s">
        <v>204</v>
      </c>
      <c r="AB3" s="3" t="s">
        <v>205</v>
      </c>
      <c r="AC3" s="3" t="s">
        <v>206</v>
      </c>
      <c r="AD3" s="3" t="s">
        <v>207</v>
      </c>
      <c r="AE3" s="3" t="s">
        <v>208</v>
      </c>
      <c r="AF3" s="3" t="s">
        <v>209</v>
      </c>
      <c r="AG3" s="3" t="s">
        <v>210</v>
      </c>
      <c r="AH3" s="3" t="s">
        <v>211</v>
      </c>
      <c r="AI3" s="3" t="s">
        <v>212</v>
      </c>
      <c r="AJ3" s="3" t="s">
        <v>213</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83</v>
      </c>
      <c r="B6" s="0" t="n">
        <v>2016</v>
      </c>
      <c r="E6" s="0" t="n">
        <v>12.2076103827309</v>
      </c>
      <c r="N6" s="0" t="n">
        <v>0.319601349845701</v>
      </c>
      <c r="O6" s="0" t="n">
        <v>87.7923896172691</v>
      </c>
      <c r="P6" s="0" t="n">
        <v>14.4080099892062</v>
      </c>
      <c r="Q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83</v>
      </c>
      <c r="B7" s="0" t="n">
        <v>2017</v>
      </c>
      <c r="C7" s="0" t="n">
        <v>1819132</v>
      </c>
      <c r="D7" s="0" t="n">
        <v>1.11063957975562</v>
      </c>
      <c r="E7" s="0" t="n">
        <v>14.6100501650216</v>
      </c>
      <c r="I7" s="0" t="n">
        <v>3.29283416486544</v>
      </c>
      <c r="N7" s="0" t="n">
        <v>1.10418792399663</v>
      </c>
      <c r="O7" s="0" t="n">
        <v>85.3899498349785</v>
      </c>
      <c r="P7" s="0" t="n">
        <v>14.4196959151956</v>
      </c>
      <c r="Q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86</v>
      </c>
      <c r="B8" s="0" t="n">
        <v>2013</v>
      </c>
      <c r="C8" s="0" t="n">
        <v>997788.5</v>
      </c>
      <c r="D8" s="0" t="n">
        <v>0.7738112836538</v>
      </c>
      <c r="E8" s="0" t="n">
        <v>15.1176868288235</v>
      </c>
      <c r="F8" s="0" t="n">
        <v>1.50813524108566</v>
      </c>
      <c r="G8" s="0" t="n">
        <v>3.74405002609291</v>
      </c>
      <c r="I8" s="0" t="n">
        <v>0.764691114399494</v>
      </c>
      <c r="N8" s="0" t="n">
        <v>0.714102719435599</v>
      </c>
      <c r="O8" s="0" t="n">
        <v>84.8823131711766</v>
      </c>
      <c r="P8" s="0" t="n">
        <v>13.8935978165313</v>
      </c>
      <c r="Q8" s="0" t="n">
        <v>0</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86</v>
      </c>
      <c r="B9" s="0" t="n">
        <v>2014</v>
      </c>
      <c r="C9" s="0" t="n">
        <v>1134121</v>
      </c>
      <c r="D9" s="0" t="n">
        <v>1.21644868581042</v>
      </c>
      <c r="E9" s="0" t="n">
        <v>14.5836018617974</v>
      </c>
      <c r="F9" s="0" t="n">
        <v>4.72304101590571</v>
      </c>
      <c r="G9" s="0" t="n">
        <v>3.12105977604773</v>
      </c>
      <c r="H9" s="0" t="n">
        <v>24.2093077890319</v>
      </c>
      <c r="I9" s="0" t="n">
        <v>0.379677300746569</v>
      </c>
      <c r="N9" s="0" t="n">
        <v>1.16223331437838</v>
      </c>
      <c r="O9" s="0" t="n">
        <v>85.4163981382027</v>
      </c>
      <c r="P9" s="0" t="n">
        <v>13.9869607348696</v>
      </c>
      <c r="Q9" s="0" t="n">
        <v>0</v>
      </c>
      <c r="R9" s="0" t="n">
        <v>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86</v>
      </c>
      <c r="B10" s="0" t="n">
        <v>2015</v>
      </c>
      <c r="C10" s="0" t="n">
        <v>1209373.5</v>
      </c>
      <c r="D10" s="0" t="n">
        <v>1.14968618048932</v>
      </c>
      <c r="E10" s="0" t="n">
        <v>14.8991412023168</v>
      </c>
      <c r="F10" s="0" t="n">
        <v>8.85847093557119</v>
      </c>
      <c r="G10" s="0" t="n">
        <v>3.46857480575247</v>
      </c>
      <c r="H10" s="0" t="n">
        <v>18.9311524392774</v>
      </c>
      <c r="I10" s="0" t="n">
        <v>0.476610410266142</v>
      </c>
      <c r="N10" s="0" t="n">
        <v>1.1288261474586</v>
      </c>
      <c r="O10" s="0" t="n">
        <v>85.1008587976832</v>
      </c>
      <c r="P10" s="0" t="n">
        <v>14.0239237482623</v>
      </c>
      <c r="Q10" s="0" t="n">
        <v>0</v>
      </c>
      <c r="R10" s="0" t="n">
        <v>-1</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86</v>
      </c>
      <c r="B11" s="0" t="n">
        <v>2016</v>
      </c>
      <c r="C11" s="0" t="n">
        <v>1264931.5</v>
      </c>
      <c r="D11" s="0" t="n">
        <v>0.76952783609231</v>
      </c>
      <c r="E11" s="0" t="n">
        <v>14.2821157331908</v>
      </c>
      <c r="F11" s="0" t="n">
        <v>-4.49882068712812</v>
      </c>
      <c r="G11" s="0" t="n">
        <v>3.32638066530305</v>
      </c>
      <c r="H11" s="0" t="n">
        <v>17.2995050331296</v>
      </c>
      <c r="I11" s="0" t="n">
        <v>0.685491664963676</v>
      </c>
      <c r="N11" s="0" t="n">
        <v>0.749841504120123</v>
      </c>
      <c r="O11" s="0" t="n">
        <v>85.7178842668092</v>
      </c>
      <c r="P11" s="0" t="n">
        <v>14.076443799006</v>
      </c>
      <c r="Q11" s="0" t="n">
        <v>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86</v>
      </c>
      <c r="B12" s="0" t="n">
        <v>2017</v>
      </c>
      <c r="C12" s="0" t="n">
        <v>1338677.5</v>
      </c>
      <c r="D12" s="0" t="n">
        <v>1.40862903873412</v>
      </c>
      <c r="E12" s="0" t="n">
        <v>14.7413671844978</v>
      </c>
      <c r="F12" s="0" t="n">
        <v>-2.84056466176506</v>
      </c>
      <c r="G12" s="0" t="n">
        <v>3.34182053651698</v>
      </c>
      <c r="H12" s="0" t="n">
        <v>16.0299646223675</v>
      </c>
      <c r="I12" s="0" t="n">
        <v>0.84523718371303</v>
      </c>
      <c r="N12" s="0" t="n">
        <v>1.36722800087586</v>
      </c>
      <c r="O12" s="0" t="n">
        <v>85.2586328155022</v>
      </c>
      <c r="P12" s="0" t="n">
        <v>14.1370243296521</v>
      </c>
      <c r="Q12" s="0" t="n">
        <v>0</v>
      </c>
      <c r="R12" s="0" t="n">
        <v>0</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86</v>
      </c>
      <c r="B13" s="0" t="n">
        <v>2018</v>
      </c>
      <c r="E13" s="0" t="n">
        <v>11.3040247505208</v>
      </c>
      <c r="N13" s="0" t="n">
        <v>1.33299765158444</v>
      </c>
      <c r="O13" s="0" t="n">
        <v>88.6959752494792</v>
      </c>
      <c r="P13" s="0" t="n">
        <v>14.3577668232201</v>
      </c>
      <c r="Q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86</v>
      </c>
      <c r="B14" s="0" t="n">
        <v>2019</v>
      </c>
      <c r="C14" s="0" t="n">
        <v>1916960</v>
      </c>
      <c r="D14" s="0" t="n">
        <v>1.48281654285953</v>
      </c>
      <c r="E14" s="0" t="n">
        <v>11.0702887413986</v>
      </c>
      <c r="I14" s="0" t="n">
        <v>-0.276062098322344</v>
      </c>
      <c r="N14" s="0" t="n">
        <v>1.3445838459781</v>
      </c>
      <c r="O14" s="0" t="n">
        <v>88.9297112586014</v>
      </c>
      <c r="P14" s="0" t="n">
        <v>14.5641099476243</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86</v>
      </c>
      <c r="B15" s="0" t="n">
        <v>2020</v>
      </c>
      <c r="C15" s="0" t="n">
        <v>2436092.5</v>
      </c>
      <c r="D15" s="0" t="n">
        <v>1.09396502801105</v>
      </c>
      <c r="E15" s="0" t="n">
        <v>9.91727057431291</v>
      </c>
      <c r="F15" s="0" t="n">
        <v>9.95935088671715</v>
      </c>
      <c r="G15" s="0" t="n">
        <v>4.84477879255811</v>
      </c>
      <c r="H15" s="0" t="n">
        <v>18.1829577581441</v>
      </c>
      <c r="I15" s="0" t="n">
        <v>0.692009847737719</v>
      </c>
      <c r="N15" s="0" t="n">
        <v>0.966228063178626</v>
      </c>
      <c r="O15" s="0" t="n">
        <v>90.0827294256871</v>
      </c>
      <c r="P15" s="0" t="n">
        <v>14.8300699979696</v>
      </c>
      <c r="Q15" s="0" t="n">
        <v>0</v>
      </c>
      <c r="R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86</v>
      </c>
      <c r="B16" s="0" t="n">
        <v>2021</v>
      </c>
      <c r="E16" s="0" t="n">
        <v>8.69678404269653</v>
      </c>
      <c r="G16" s="0" t="n">
        <v>4.27873940213894</v>
      </c>
      <c r="H16" s="0" t="n">
        <v>19.1471007819367</v>
      </c>
      <c r="N16" s="0" t="n">
        <v>0.704292759477804</v>
      </c>
      <c r="O16" s="0" t="n">
        <v>91.3032159573035</v>
      </c>
      <c r="P16" s="0" t="n">
        <v>15.0034923854161</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86</v>
      </c>
      <c r="B17" s="0" t="n">
        <v>2022</v>
      </c>
      <c r="C17" s="0" t="n">
        <v>3634731.5</v>
      </c>
      <c r="D17" s="0" t="n">
        <v>1.28548697476003</v>
      </c>
      <c r="E17" s="0" t="n">
        <v>7.88065406721319</v>
      </c>
      <c r="F17" s="0" t="n">
        <v>8.18745483676029</v>
      </c>
      <c r="G17" s="0" t="n">
        <v>3.66667273621151</v>
      </c>
      <c r="H17" s="0" t="n">
        <v>18.1421782771385</v>
      </c>
      <c r="I17" s="0" t="n">
        <v>0.149749713286937</v>
      </c>
      <c r="N17" s="0" t="n">
        <v>1.17131849038195</v>
      </c>
      <c r="O17" s="0" t="n">
        <v>92.1193459327868</v>
      </c>
      <c r="P17" s="0" t="n">
        <v>15.1990533870896</v>
      </c>
      <c r="Q17" s="0" t="n">
        <v>0</v>
      </c>
      <c r="R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104</v>
      </c>
      <c r="B18" s="0" t="n">
        <v>2013</v>
      </c>
      <c r="E18" s="0" t="n">
        <v>10.8024169441126</v>
      </c>
      <c r="G18" s="0" t="n">
        <v>2.73538759628533</v>
      </c>
      <c r="N18" s="0" t="n">
        <v>1.82854013409192</v>
      </c>
      <c r="O18" s="0" t="n">
        <v>89.1975830558875</v>
      </c>
      <c r="P18" s="0" t="n">
        <v>14.9931123845327</v>
      </c>
      <c r="Q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104</v>
      </c>
      <c r="B19" s="0" t="n">
        <v>2014</v>
      </c>
      <c r="C19" s="0" t="n">
        <v>3368725</v>
      </c>
      <c r="D19" s="0" t="n">
        <v>2.35552026360121</v>
      </c>
      <c r="E19" s="0" t="n">
        <v>12.1186660864867</v>
      </c>
      <c r="F19" s="0" t="n">
        <v>-15.0402600390355</v>
      </c>
      <c r="G19" s="0" t="n">
        <v>2.0779354044278</v>
      </c>
      <c r="I19" s="0" t="n">
        <v>0.621125203155497</v>
      </c>
      <c r="N19" s="0" t="n">
        <v>2.2731003236728</v>
      </c>
      <c r="O19" s="0" t="n">
        <v>87.8813339135133</v>
      </c>
      <c r="P19" s="0" t="n">
        <v>15.0656618332417</v>
      </c>
      <c r="Q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104</v>
      </c>
      <c r="B20" s="0" t="n">
        <v>2016</v>
      </c>
      <c r="E20" s="0" t="n">
        <v>13.6626414996759</v>
      </c>
      <c r="G20" s="0" t="n">
        <v>12.4492670193084</v>
      </c>
      <c r="H20" s="0" t="n">
        <v>17.7866535517171</v>
      </c>
      <c r="N20" s="0" t="n">
        <v>1.40739370765269</v>
      </c>
      <c r="O20" s="0" t="n">
        <v>86.3373585003241</v>
      </c>
      <c r="P20" s="0" t="n">
        <v>15.0846478749542</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104</v>
      </c>
      <c r="B21" s="0" t="n">
        <v>2017</v>
      </c>
      <c r="C21" s="0" t="n">
        <v>3667410.5</v>
      </c>
      <c r="D21" s="0" t="n">
        <v>1.27932229020995</v>
      </c>
      <c r="E21" s="0" t="n">
        <v>15.3517874716147</v>
      </c>
      <c r="F21" s="0" t="n">
        <v>3.08697376527662</v>
      </c>
      <c r="G21" s="0" t="n">
        <v>9.72612468469645</v>
      </c>
      <c r="H21" s="0" t="n">
        <v>17.738850550353</v>
      </c>
      <c r="N21" s="0" t="n">
        <v>1.24218998003463</v>
      </c>
      <c r="O21" s="0" t="n">
        <v>84.6482125283853</v>
      </c>
      <c r="P21" s="0" t="n">
        <v>15.1444509272966</v>
      </c>
      <c r="Q21" s="0" t="n">
        <v>0</v>
      </c>
      <c r="R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109</v>
      </c>
      <c r="B22" s="0" t="n">
        <v>2013</v>
      </c>
      <c r="E22" s="0" t="n">
        <v>17.3100653970928</v>
      </c>
      <c r="N22" s="0" t="n">
        <v>4.4920986827112</v>
      </c>
      <c r="O22" s="0" t="n">
        <v>82.6899346029072</v>
      </c>
      <c r="P22" s="0" t="n">
        <v>14.459659702751</v>
      </c>
      <c r="Q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109</v>
      </c>
      <c r="B23" s="0" t="n">
        <v>2014</v>
      </c>
      <c r="C23" s="0" t="n">
        <v>2015487</v>
      </c>
      <c r="D23" s="0" t="n">
        <v>4.63570343048603</v>
      </c>
      <c r="E23" s="0" t="n">
        <v>17.3764981604508</v>
      </c>
      <c r="N23" s="0" t="n">
        <v>4.39347543129717</v>
      </c>
      <c r="O23" s="0" t="n">
        <v>82.6235018395492</v>
      </c>
      <c r="P23" s="0" t="n">
        <v>14.5700387800655</v>
      </c>
      <c r="Q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109</v>
      </c>
      <c r="B24" s="0" t="n">
        <v>2017</v>
      </c>
      <c r="C24" s="0" t="n">
        <v>2719134.5295</v>
      </c>
      <c r="D24" s="0" t="n">
        <v>5.83743478956104</v>
      </c>
      <c r="E24" s="0" t="n">
        <v>20.4811086959059</v>
      </c>
      <c r="F24" s="0" t="n">
        <v>12.9966841715987</v>
      </c>
      <c r="G24" s="0" t="n">
        <v>4.5450472420029</v>
      </c>
      <c r="I24" s="0" t="n">
        <v>0.424079495696022</v>
      </c>
      <c r="N24" s="0" t="n">
        <v>5.61882106923123</v>
      </c>
      <c r="O24" s="0" t="n">
        <v>79.5188913040941</v>
      </c>
      <c r="P24" s="0" t="n">
        <v>14.8539937841936</v>
      </c>
      <c r="Q24" s="0" t="n">
        <v>1.16415321826935E-010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-1.16415321826935E-010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109</v>
      </c>
      <c r="B25" s="0" t="n">
        <v>2018</v>
      </c>
      <c r="C25" s="0" t="n">
        <v>2768725.2395</v>
      </c>
      <c r="D25" s="0" t="n">
        <v>6.02875874495021</v>
      </c>
      <c r="E25" s="0" t="n">
        <v>18.8696111766184</v>
      </c>
      <c r="F25" s="0" t="n">
        <v>8.11296335206468</v>
      </c>
      <c r="G25" s="0" t="n">
        <v>7.85015452926359</v>
      </c>
      <c r="I25" s="0" t="n">
        <v>0.0499870474778471</v>
      </c>
      <c r="N25" s="0" t="n">
        <v>6.15367529323622</v>
      </c>
      <c r="O25" s="0" t="n">
        <v>81.1303888233816</v>
      </c>
      <c r="P25" s="0" t="n">
        <v>14.8133892008548</v>
      </c>
      <c r="Q25" s="0" t="n">
        <v>5.82076609134674E-011</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-5.82076609134674E-011</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109</v>
      </c>
      <c r="B26" s="0" t="n">
        <v>2019</v>
      </c>
      <c r="C26" s="0" t="n">
        <v>2904884.9945</v>
      </c>
      <c r="D26" s="0" t="n">
        <v>6.02864765151032</v>
      </c>
      <c r="E26" s="0" t="n">
        <v>19.5621887290642</v>
      </c>
      <c r="F26" s="0" t="n">
        <v>6.81106712914999</v>
      </c>
      <c r="G26" s="0" t="n">
        <v>4.14464652449988</v>
      </c>
      <c r="H26" s="0" t="n">
        <v>20.6598717278961</v>
      </c>
      <c r="I26" s="0" t="n">
        <v>0.064004151748528</v>
      </c>
      <c r="N26" s="0" t="n">
        <v>5.65422119932292</v>
      </c>
      <c r="O26" s="0" t="n">
        <v>80.4378112709358</v>
      </c>
      <c r="P26" s="0" t="n">
        <v>14.9460246930629</v>
      </c>
      <c r="Q26" s="0" t="n">
        <v>-1.16415321826935E-010</v>
      </c>
      <c r="R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1.16415321826935E-010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116</v>
      </c>
      <c r="B27" s="0" t="n">
        <v>2018</v>
      </c>
      <c r="C27" s="0" t="n">
        <v>1465984</v>
      </c>
      <c r="D27" s="0" t="n">
        <v>3.40467563083908</v>
      </c>
      <c r="E27" s="0" t="n">
        <v>10.6513386004021</v>
      </c>
      <c r="I27" s="0" t="n">
        <v>-0.203822142670043</v>
      </c>
      <c r="N27" s="0" t="n">
        <v>3.12097270899706</v>
      </c>
      <c r="O27" s="0" t="n">
        <v>89.3486613995979</v>
      </c>
      <c r="P27" s="0" t="n">
        <v>14.285042200842</v>
      </c>
      <c r="Q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116</v>
      </c>
      <c r="B28" s="0" t="n">
        <v>2019</v>
      </c>
      <c r="C28" s="0" t="n">
        <v>1695782.5</v>
      </c>
      <c r="D28" s="0" t="n">
        <v>3.08335532416451</v>
      </c>
      <c r="E28" s="0" t="n">
        <v>11.2334850919479</v>
      </c>
      <c r="I28" s="0" t="n">
        <v>0.0981257914856416</v>
      </c>
      <c r="N28" s="0" t="n">
        <v>2.91728039635779</v>
      </c>
      <c r="O28" s="0" t="n">
        <v>88.7665149080521</v>
      </c>
      <c r="P28" s="0" t="n">
        <v>14.3990214280036</v>
      </c>
      <c r="Q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116</v>
      </c>
      <c r="B29" s="0" t="n">
        <v>2020</v>
      </c>
      <c r="E29" s="0" t="n">
        <v>10.2145803968786</v>
      </c>
      <c r="G29" s="0" t="n">
        <v>4.60146011243842</v>
      </c>
      <c r="H29" s="0" t="n">
        <v>19.4150102245185</v>
      </c>
      <c r="N29" s="0" t="n">
        <v>2.50971693174037</v>
      </c>
      <c r="O29" s="0" t="n">
        <v>89.7854196031214</v>
      </c>
      <c r="P29" s="0" t="n">
        <v>14.678546915896</v>
      </c>
      <c r="Q29" s="0" t="n">
        <v>0</v>
      </c>
      <c r="R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116</v>
      </c>
      <c r="B30" s="0" t="n">
        <v>2021</v>
      </c>
      <c r="C30" s="0" t="n">
        <v>2492217</v>
      </c>
      <c r="D30" s="0" t="n">
        <v>1.18649379247473</v>
      </c>
      <c r="E30" s="0" t="n">
        <v>9.63146980188494</v>
      </c>
      <c r="F30" s="0" t="n">
        <v>2.23780673994279</v>
      </c>
      <c r="G30" s="0" t="n">
        <v>2.6647038495803</v>
      </c>
      <c r="H30" s="0" t="n">
        <v>16.1415023816789</v>
      </c>
      <c r="I30" s="0" t="n">
        <v>-0.0484708996046492</v>
      </c>
      <c r="N30" s="0" t="n">
        <v>1.13117887813221</v>
      </c>
      <c r="O30" s="0" t="n">
        <v>90.3685301981151</v>
      </c>
      <c r="P30" s="0" t="n">
        <v>14.7764254549384</v>
      </c>
      <c r="Q30" s="0" t="n">
        <v>0</v>
      </c>
      <c r="R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116</v>
      </c>
      <c r="B31" s="0" t="n">
        <v>2022</v>
      </c>
      <c r="C31" s="0" t="n">
        <v>2734298</v>
      </c>
      <c r="D31" s="0" t="n">
        <v>2.01697108362</v>
      </c>
      <c r="E31" s="0" t="n">
        <v>9.77775862679011</v>
      </c>
      <c r="F31" s="0" t="n">
        <v>-5.28073384832231</v>
      </c>
      <c r="G31" s="0" t="n">
        <v>2.69828258069206</v>
      </c>
      <c r="H31" s="0" t="n">
        <v>18.4093502304356</v>
      </c>
      <c r="I31" s="0" t="n">
        <v>0.371100735911009</v>
      </c>
      <c r="N31" s="0" t="n">
        <v>1.93203104281682</v>
      </c>
      <c r="O31" s="0" t="n">
        <v>90.2222413732099</v>
      </c>
      <c r="P31" s="0" t="n">
        <v>14.8644104072979</v>
      </c>
      <c r="Q31" s="0" t="n">
        <v>0</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126</v>
      </c>
      <c r="B32" s="0" t="n">
        <v>2013</v>
      </c>
      <c r="E32" s="0" t="n">
        <v>8.96554799926506</v>
      </c>
      <c r="G32" s="0" t="n">
        <v>2.10583969135932</v>
      </c>
      <c r="N32" s="0" t="n">
        <v>1.16910101115534</v>
      </c>
      <c r="O32" s="0" t="n">
        <v>91.0344520007349</v>
      </c>
      <c r="P32" s="0" t="n">
        <v>13.4699128641221</v>
      </c>
      <c r="Q32" s="0" t="n">
        <v>-5.0931703299284E-011</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5.0931703299284E-011</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126</v>
      </c>
      <c r="B33" s="0" t="n">
        <v>2014</v>
      </c>
      <c r="C33" s="0" t="n">
        <v>766168.3035</v>
      </c>
      <c r="D33" s="0" t="n">
        <v>1.17532570309469</v>
      </c>
      <c r="E33" s="0" t="n">
        <v>10.274255217967</v>
      </c>
      <c r="F33" s="0" t="n">
        <v>-0.0985431003280861</v>
      </c>
      <c r="G33" s="0" t="n">
        <v>2.54069495154419</v>
      </c>
      <c r="I33" s="0" t="n">
        <v>0.964430265027272</v>
      </c>
      <c r="N33" s="0" t="n">
        <v>1.0921215791566</v>
      </c>
      <c r="O33" s="0" t="n">
        <v>89.725744782033</v>
      </c>
      <c r="P33" s="0" t="n">
        <v>13.6225802379101</v>
      </c>
      <c r="Q33" s="0" t="n">
        <v>2.91038304567337E-011</v>
      </c>
      <c r="S33" s="0" t="n">
        <v>34</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-2.91038304567337E-011</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126</v>
      </c>
      <c r="B34" s="0" t="n">
        <v>2018</v>
      </c>
      <c r="E34" s="0" t="n">
        <v>9.02580036762945</v>
      </c>
      <c r="G34" s="0" t="n">
        <v>3.0687802609111</v>
      </c>
      <c r="N34" s="0" t="n">
        <v>0.871922760978233</v>
      </c>
      <c r="O34" s="0" t="n">
        <v>90.9741996323705</v>
      </c>
      <c r="P34" s="0" t="n">
        <v>13.8978975924781</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126</v>
      </c>
      <c r="B35" s="0" t="n">
        <v>2019</v>
      </c>
      <c r="C35" s="0" t="n">
        <v>1125692.5</v>
      </c>
      <c r="D35" s="0" t="n">
        <v>0.902822040654975</v>
      </c>
      <c r="E35" s="0" t="n">
        <v>10.238273578325</v>
      </c>
      <c r="F35" s="0" t="n">
        <v>10.1638769024401</v>
      </c>
      <c r="G35" s="0" t="n">
        <v>2.05256309185719</v>
      </c>
      <c r="I35" s="0" t="n">
        <v>0.518969434370399</v>
      </c>
      <c r="N35" s="0" t="n">
        <v>0.871979538553542</v>
      </c>
      <c r="O35" s="0" t="n">
        <v>89.761726421675</v>
      </c>
      <c r="P35" s="0" t="n">
        <v>13.9686684594359</v>
      </c>
      <c r="Q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129</v>
      </c>
      <c r="B36" s="0" t="n">
        <v>2013</v>
      </c>
      <c r="E36" s="0" t="n">
        <v>11.7045192672375</v>
      </c>
      <c r="G36" s="0" t="n">
        <v>1.03283539830042</v>
      </c>
      <c r="N36" s="0" t="n">
        <v>2.09626786481749</v>
      </c>
      <c r="O36" s="0" t="n">
        <v>88.2954807327625</v>
      </c>
      <c r="P36" s="0" t="n">
        <v>14.6118535629276</v>
      </c>
      <c r="Q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129</v>
      </c>
      <c r="B37" s="0" t="n">
        <v>2014</v>
      </c>
      <c r="C37" s="0" t="n">
        <v>2278137.5</v>
      </c>
      <c r="D37" s="0" t="n">
        <v>1.75946359690756</v>
      </c>
      <c r="E37" s="0" t="n">
        <v>12.0543017147685</v>
      </c>
      <c r="F37" s="0" t="n">
        <v>-4.06555793932544</v>
      </c>
      <c r="G37" s="0" t="n">
        <v>1.17549929673369</v>
      </c>
      <c r="I37" s="0" t="n">
        <v>0.134890892231044</v>
      </c>
      <c r="N37" s="0" t="n">
        <v>1.71378510367025</v>
      </c>
      <c r="O37" s="0" t="n">
        <v>87.9456982852315</v>
      </c>
      <c r="P37" s="0" t="n">
        <v>14.6651733340184</v>
      </c>
      <c r="Q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129</v>
      </c>
      <c r="B38" s="0" t="n">
        <v>2015</v>
      </c>
      <c r="C38" s="0" t="n">
        <v>2277597.5</v>
      </c>
      <c r="D38" s="0" t="n">
        <v>2.09176555559092</v>
      </c>
      <c r="E38" s="0" t="n">
        <v>15.260810968729</v>
      </c>
      <c r="F38" s="0" t="n">
        <v>2.56445662589637</v>
      </c>
      <c r="G38" s="0" t="n">
        <v>1.56065843680488</v>
      </c>
      <c r="H38" s="0" t="n">
        <v>19.9517201656444</v>
      </c>
      <c r="I38" s="0" t="n">
        <v>0.153275545832835</v>
      </c>
      <c r="N38" s="0" t="n">
        <v>2.1495828477348</v>
      </c>
      <c r="O38" s="0" t="n">
        <v>84.739189031271</v>
      </c>
      <c r="P38" s="0" t="n">
        <v>14.6113663910992</v>
      </c>
      <c r="Q38" s="0" t="n">
        <v>0</v>
      </c>
      <c r="R38" s="0" t="n">
        <v>0</v>
      </c>
      <c r="S38" s="0" t="n">
        <v>52.57</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129</v>
      </c>
      <c r="B39" s="0" t="n">
        <v>2016</v>
      </c>
      <c r="C39" s="0" t="n">
        <v>2377961</v>
      </c>
      <c r="D39" s="0" t="n">
        <v>1.99923379735833</v>
      </c>
      <c r="E39" s="0" t="n">
        <v>15.3922786597023</v>
      </c>
      <c r="F39" s="0" t="n">
        <v>-8.97373842548301</v>
      </c>
      <c r="G39" s="0" t="n">
        <v>2.65521883838528</v>
      </c>
      <c r="H39" s="0" t="n">
        <v>19.7028908304746</v>
      </c>
      <c r="I39" s="0" t="n">
        <v>1.07323038519135</v>
      </c>
      <c r="N39" s="0" t="n">
        <v>1.87199877145282</v>
      </c>
      <c r="O39" s="0" t="n">
        <v>84.6077213402977</v>
      </c>
      <c r="P39" s="0" t="n">
        <v>14.747511239819</v>
      </c>
      <c r="Q39" s="0" t="n">
        <v>0</v>
      </c>
      <c r="R39" s="0" t="n">
        <v>0</v>
      </c>
      <c r="S39" s="0" t="n">
        <v>38.57</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129</v>
      </c>
      <c r="B40" s="0" t="n">
        <v>2017</v>
      </c>
      <c r="C40" s="0" t="n">
        <v>2735705.5</v>
      </c>
      <c r="D40" s="0" t="n">
        <v>1.51317457233609</v>
      </c>
      <c r="E40" s="0" t="n">
        <v>13.6727077254926</v>
      </c>
      <c r="F40" s="0" t="n">
        <v>2.16218448952199</v>
      </c>
      <c r="G40" s="0" t="n">
        <v>2.5914418984645</v>
      </c>
      <c r="H40" s="0" t="n">
        <v>20.1588507351668</v>
      </c>
      <c r="I40" s="0" t="n">
        <v>1.11243699294387</v>
      </c>
      <c r="N40" s="0" t="n">
        <v>1.41195282393976</v>
      </c>
      <c r="O40" s="0" t="n">
        <v>86.3272922745074</v>
      </c>
      <c r="P40" s="0" t="n">
        <v>14.8911359950708</v>
      </c>
      <c r="Q40" s="0" t="n">
        <v>0</v>
      </c>
      <c r="R40" s="0" t="n">
        <v>0</v>
      </c>
      <c r="S40" s="0" t="n">
        <v>49.69</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129</v>
      </c>
      <c r="B41" s="0" t="n">
        <v>2018</v>
      </c>
      <c r="C41" s="0" t="n">
        <v>3261565.5</v>
      </c>
      <c r="D41" s="0" t="n">
        <v>1.25850607629986</v>
      </c>
      <c r="E41" s="0" t="n">
        <v>10.1522427084305</v>
      </c>
      <c r="F41" s="0" t="n">
        <v>14.981333350503</v>
      </c>
      <c r="G41" s="0" t="n">
        <v>4.73357130299377</v>
      </c>
      <c r="H41" s="0" t="n">
        <v>19.6620128489262</v>
      </c>
      <c r="I41" s="0" t="n">
        <v>0.130520144390784</v>
      </c>
      <c r="N41" s="0" t="n">
        <v>1.14295499825272</v>
      </c>
      <c r="O41" s="0" t="n">
        <v>89.8477572915695</v>
      </c>
      <c r="P41" s="0" t="n">
        <v>15.0940262041601</v>
      </c>
      <c r="Q41" s="0" t="n">
        <v>0</v>
      </c>
      <c r="R41" s="0" t="n">
        <v>0</v>
      </c>
      <c r="S41" s="0" t="n">
        <v>55.84</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129</v>
      </c>
      <c r="B42" s="0" t="n">
        <v>2019</v>
      </c>
      <c r="C42" s="0" t="n">
        <v>3863899</v>
      </c>
      <c r="D42" s="0" t="n">
        <v>1.62400725277757</v>
      </c>
      <c r="E42" s="0" t="n">
        <v>10.7946997613679</v>
      </c>
      <c r="F42" s="0" t="n">
        <v>-8.21587210224698</v>
      </c>
      <c r="G42" s="0" t="n">
        <v>3.4659981841041</v>
      </c>
      <c r="H42" s="0" t="n">
        <v>21.5071023037408</v>
      </c>
      <c r="I42" s="0" t="n">
        <v>0.423639437780335</v>
      </c>
      <c r="N42" s="0" t="n">
        <v>1.51698552372747</v>
      </c>
      <c r="O42" s="0" t="n">
        <v>89.2053002386321</v>
      </c>
      <c r="P42" s="0" t="n">
        <v>15.235358885359</v>
      </c>
      <c r="Q42" s="0" t="n">
        <v>0</v>
      </c>
      <c r="R42" s="0" t="n">
        <v>0</v>
      </c>
      <c r="S42" s="0" t="n">
        <v>43.99</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129</v>
      </c>
      <c r="B43" s="0" t="n">
        <v>2020</v>
      </c>
      <c r="C43" s="0" t="n">
        <v>4672163</v>
      </c>
      <c r="D43" s="0" t="n">
        <v>1.21808678335923</v>
      </c>
      <c r="E43" s="0" t="n">
        <v>9.17732961099175</v>
      </c>
      <c r="F43" s="0" t="n">
        <v>15.7339116807355</v>
      </c>
      <c r="G43" s="0" t="n">
        <v>3.32409174454812</v>
      </c>
      <c r="H43" s="0" t="n">
        <v>19.6952147431671</v>
      </c>
      <c r="I43" s="0" t="n">
        <v>0.467963125430341</v>
      </c>
      <c r="N43" s="0" t="n">
        <v>1.09279617837208</v>
      </c>
      <c r="O43" s="0" t="n">
        <v>90.8226703890083</v>
      </c>
      <c r="P43" s="0" t="n">
        <v>15.4656743963042</v>
      </c>
      <c r="Q43" s="0" t="n">
        <v>0</v>
      </c>
      <c r="R43" s="0" t="n">
        <v>0</v>
      </c>
      <c r="S43" s="0" t="n">
        <v>44.3</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129</v>
      </c>
      <c r="B44" s="0" t="n">
        <v>2021</v>
      </c>
      <c r="C44" s="0" t="n">
        <v>5391404.5</v>
      </c>
      <c r="D44" s="0" t="n">
        <v>1.08819510760137</v>
      </c>
      <c r="E44" s="0" t="n">
        <v>8.99736608731589</v>
      </c>
      <c r="F44" s="0" t="n">
        <v>12.4572177806358</v>
      </c>
      <c r="G44" s="0" t="n">
        <v>3.41281998617124</v>
      </c>
      <c r="H44" s="0" t="n">
        <v>21.8217914675852</v>
      </c>
      <c r="I44" s="0" t="n">
        <v>0.1808248666929</v>
      </c>
      <c r="N44" s="0" t="n">
        <v>1.05236327474773</v>
      </c>
      <c r="O44" s="0" t="n">
        <v>91.0026339126841</v>
      </c>
      <c r="P44" s="0" t="n">
        <v>15.5337985703685</v>
      </c>
      <c r="Q44" s="0" t="n">
        <v>0</v>
      </c>
      <c r="R44" s="0" t="n">
        <v>0</v>
      </c>
      <c r="S44" s="0" t="n">
        <v>47.56</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0</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129</v>
      </c>
      <c r="B45" s="0" t="n">
        <v>2022</v>
      </c>
      <c r="C45" s="0" t="n">
        <v>6468010</v>
      </c>
      <c r="D45" s="0" t="n">
        <v>2.06703452839436</v>
      </c>
      <c r="E45" s="0" t="n">
        <v>7.94986417687491</v>
      </c>
      <c r="F45" s="0" t="n">
        <v>16.4382553521099</v>
      </c>
      <c r="G45" s="0" t="n">
        <v>2.37642537471624</v>
      </c>
      <c r="H45" s="0" t="n">
        <v>21.8530631072842</v>
      </c>
      <c r="I45" s="0" t="n">
        <v>0.163342357231977</v>
      </c>
      <c r="N45" s="0" t="n">
        <v>1.8162641060154</v>
      </c>
      <c r="O45" s="0" t="n">
        <v>92.0501358231251</v>
      </c>
      <c r="P45" s="0" t="n">
        <v>15.8117123284717</v>
      </c>
      <c r="Q45" s="0" t="n">
        <v>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138</v>
      </c>
      <c r="B46" s="0" t="n">
        <v>2013</v>
      </c>
      <c r="E46" s="0" t="n">
        <v>21.2883617107869</v>
      </c>
      <c r="G46" s="0" t="n">
        <v>8.92943828016644</v>
      </c>
      <c r="J46" s="0" t="n">
        <v>150.996775139255</v>
      </c>
      <c r="K46" s="0" t="n">
        <v>5.91366158113731</v>
      </c>
      <c r="N46" s="0" t="n">
        <v>0.580548397738571</v>
      </c>
      <c r="O46" s="0" t="n">
        <v>78.7116382892131</v>
      </c>
      <c r="P46" s="0" t="n">
        <v>13.6900573062661</v>
      </c>
      <c r="Q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138</v>
      </c>
      <c r="B47" s="0" t="n">
        <v>2014</v>
      </c>
      <c r="C47" s="0" t="n">
        <v>901516.5</v>
      </c>
      <c r="D47" s="0" t="n">
        <v>2.27239323961347</v>
      </c>
      <c r="E47" s="0" t="n">
        <v>22.3657235681958</v>
      </c>
      <c r="F47" s="0" t="n">
        <v>-13.5279831262101</v>
      </c>
      <c r="G47" s="0" t="n">
        <v>7.17609931603571</v>
      </c>
      <c r="J47" s="0" t="n">
        <v>139.508235855813</v>
      </c>
      <c r="K47" s="0" t="n">
        <v>5.14385353095031</v>
      </c>
      <c r="N47" s="0" t="n">
        <v>2.22447596792828</v>
      </c>
      <c r="O47" s="0" t="n">
        <v>77.6342764318042</v>
      </c>
      <c r="P47" s="0" t="n">
        <v>13.7331458231378</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138</v>
      </c>
      <c r="B48" s="0" t="n">
        <v>2015</v>
      </c>
      <c r="C48" s="0" t="n">
        <v>961865.5</v>
      </c>
      <c r="D48" s="0" t="n">
        <v>1.87500227422649</v>
      </c>
      <c r="E48" s="0" t="n">
        <v>23.3279319384281</v>
      </c>
      <c r="F48" s="0" t="n">
        <v>1.1410119190261</v>
      </c>
      <c r="G48" s="0" t="n">
        <v>5.92129915433119</v>
      </c>
      <c r="H48" s="0" t="n">
        <v>15.9480183484677</v>
      </c>
      <c r="I48" s="0" t="n">
        <v>0.954083497120959</v>
      </c>
      <c r="N48" s="0" t="n">
        <v>1.80174150029571</v>
      </c>
      <c r="O48" s="0" t="n">
        <v>76.6720680615719</v>
      </c>
      <c r="P48" s="0" t="n">
        <v>13.816486081986</v>
      </c>
      <c r="Q48" s="0" t="n">
        <v>0</v>
      </c>
      <c r="R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138</v>
      </c>
      <c r="B49" s="0" t="n">
        <v>2016</v>
      </c>
      <c r="C49" s="0" t="n">
        <v>1062229.5</v>
      </c>
      <c r="D49" s="0" t="n">
        <v>1.49543954484412</v>
      </c>
      <c r="E49" s="0" t="n">
        <v>22.3714110493884</v>
      </c>
      <c r="F49" s="0" t="n">
        <v>-6.60243384315725</v>
      </c>
      <c r="G49" s="0" t="n">
        <v>5.49031636985892</v>
      </c>
      <c r="H49" s="0" t="n">
        <v>13.2902326608341</v>
      </c>
      <c r="I49" s="0" t="n">
        <v>1.48451911757299</v>
      </c>
      <c r="N49" s="0" t="n">
        <v>1.4139065744653</v>
      </c>
      <c r="O49" s="0" t="n">
        <v>77.6285889506116</v>
      </c>
      <c r="P49" s="0" t="n">
        <v>13.9319442392069</v>
      </c>
      <c r="Q49" s="0" t="n">
        <v>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138</v>
      </c>
      <c r="B50" s="0" t="n">
        <v>2017</v>
      </c>
      <c r="C50" s="0" t="n">
        <v>1229202</v>
      </c>
      <c r="D50" s="0" t="n">
        <v>0.914333038833324</v>
      </c>
      <c r="E50" s="0" t="n">
        <v>23.9054595740122</v>
      </c>
      <c r="F50" s="0" t="n">
        <v>5.54506094197699</v>
      </c>
      <c r="G50" s="0" t="n">
        <v>8.13302570293358</v>
      </c>
      <c r="H50" s="0" t="n">
        <v>17.801876572795</v>
      </c>
      <c r="I50" s="0" t="n">
        <v>2.07272685856352</v>
      </c>
      <c r="J50" s="0" t="n">
        <v>39.076658987216</v>
      </c>
      <c r="K50" s="0" t="n">
        <v>20.8130017092667</v>
      </c>
      <c r="N50" s="0" t="n">
        <v>0.84192248080598</v>
      </c>
      <c r="O50" s="0" t="n">
        <v>76.0945404259878</v>
      </c>
      <c r="P50" s="0" t="n">
        <v>14.1043826720356</v>
      </c>
      <c r="Q50" s="0" t="n">
        <v>0</v>
      </c>
      <c r="R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138</v>
      </c>
      <c r="B51" s="0" t="n">
        <v>2018</v>
      </c>
      <c r="C51" s="0" t="n">
        <v>1329609</v>
      </c>
      <c r="D51" s="0" t="n">
        <v>1.3867234653195</v>
      </c>
      <c r="E51" s="0" t="n">
        <v>15.1089219412262</v>
      </c>
      <c r="F51" s="0" t="n">
        <v>2.8124057523678</v>
      </c>
      <c r="G51" s="0" t="n">
        <v>9.58161877159925</v>
      </c>
      <c r="H51" s="0" t="n">
        <v>11.4639800982065</v>
      </c>
      <c r="I51" s="0" t="n">
        <v>-0.264363433159673</v>
      </c>
      <c r="J51" s="0" t="n">
        <v>117.827826267664</v>
      </c>
      <c r="K51" s="0" t="n">
        <v>8.13188113123051</v>
      </c>
      <c r="L51" s="0" t="n">
        <v>26.051762161066</v>
      </c>
      <c r="M51" s="0" t="n">
        <v>24.4461922677737</v>
      </c>
      <c r="N51" s="0" t="n">
        <v>1.39228586940845</v>
      </c>
      <c r="O51" s="0" t="n">
        <v>84.8910780587738</v>
      </c>
      <c r="P51" s="0" t="n">
        <v>14.0963923105648</v>
      </c>
      <c r="Q51" s="0" t="n">
        <v>0</v>
      </c>
      <c r="R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138</v>
      </c>
      <c r="B52" s="0" t="n">
        <v>2019</v>
      </c>
      <c r="C52" s="0" t="n">
        <v>1518018</v>
      </c>
      <c r="D52" s="0" t="n">
        <v>1.60571218523101</v>
      </c>
      <c r="E52" s="0" t="n">
        <v>13.5062646817067</v>
      </c>
      <c r="F52" s="0" t="n">
        <v>13.6571503104706</v>
      </c>
      <c r="G52" s="0" t="n">
        <v>7.50632456349593</v>
      </c>
      <c r="H52" s="0" t="n">
        <v>15.9061110315789</v>
      </c>
      <c r="I52" s="0" t="n">
        <v>-0.0332011873376996</v>
      </c>
      <c r="J52" s="0" t="n">
        <v>128.552934407365</v>
      </c>
      <c r="K52" s="0" t="n">
        <v>5.83909235374552</v>
      </c>
      <c r="L52" s="0" t="n">
        <v>9.87219846194679</v>
      </c>
      <c r="M52" s="0" t="n">
        <v>27.5621501131549</v>
      </c>
      <c r="N52" s="0" t="n">
        <v>1.42399045648899</v>
      </c>
      <c r="O52" s="0" t="n">
        <v>86.4937353182933</v>
      </c>
      <c r="P52" s="0" t="n">
        <v>14.3530203707906</v>
      </c>
      <c r="Q52" s="0" t="n">
        <v>0</v>
      </c>
      <c r="R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138</v>
      </c>
      <c r="B53" s="0" t="n">
        <v>2020</v>
      </c>
      <c r="C53" s="0" t="n">
        <v>1892748.5</v>
      </c>
      <c r="D53" s="0" t="n">
        <v>1.30249739994511</v>
      </c>
      <c r="E53" s="0" t="n">
        <v>11.935867155184</v>
      </c>
      <c r="F53" s="0" t="n">
        <v>-1.89734663638619</v>
      </c>
      <c r="G53" s="0" t="n">
        <v>5.9601309602667</v>
      </c>
      <c r="H53" s="0" t="n">
        <v>15.7592955503664</v>
      </c>
      <c r="I53" s="0" t="n">
        <v>-0.135200212812215</v>
      </c>
      <c r="L53" s="0" t="n">
        <v>8.40151918252994</v>
      </c>
      <c r="M53" s="0" t="n">
        <v>36.4552871799015</v>
      </c>
      <c r="N53" s="0" t="n">
        <v>1.18880795155462</v>
      </c>
      <c r="O53" s="0" t="n">
        <v>88.064132844816</v>
      </c>
      <c r="P53" s="0" t="n">
        <v>14.544872978225</v>
      </c>
      <c r="Q53" s="0" t="n">
        <v>0</v>
      </c>
      <c r="R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138</v>
      </c>
      <c r="B54" s="0" t="n">
        <v>2021</v>
      </c>
      <c r="C54" s="0" t="n">
        <v>2320599.5</v>
      </c>
      <c r="D54" s="0" t="n">
        <v>0.826510563326416</v>
      </c>
      <c r="E54" s="0" t="n">
        <v>9.79523969586838</v>
      </c>
      <c r="F54" s="0" t="n">
        <v>10.8652957996414</v>
      </c>
      <c r="G54" s="0" t="n">
        <v>3.36623268001771</v>
      </c>
      <c r="H54" s="0" t="n">
        <v>14.6086402935959</v>
      </c>
      <c r="I54" s="0" t="n">
        <v>0.0123244015177975</v>
      </c>
      <c r="J54" s="0" t="n">
        <v>78.2876357992757</v>
      </c>
      <c r="K54" s="0" t="n">
        <v>4.29982671676087</v>
      </c>
      <c r="L54" s="0" t="n">
        <v>6.90285683779221</v>
      </c>
      <c r="M54" s="0" t="n">
        <v>21.3875998968806</v>
      </c>
      <c r="N54" s="0" t="n">
        <v>0.747047351818406</v>
      </c>
      <c r="O54" s="0" t="n">
        <v>90.2047603041316</v>
      </c>
      <c r="P54" s="0" t="n">
        <v>14.7584202409687</v>
      </c>
      <c r="Q54" s="0" t="n">
        <v>0</v>
      </c>
      <c r="R54" s="0" t="n">
        <v>0</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138</v>
      </c>
      <c r="B55" s="0" t="n">
        <v>2022</v>
      </c>
      <c r="C55" s="0" t="n">
        <v>2680557.5</v>
      </c>
      <c r="D55" s="0" t="n">
        <v>1.0822002512537</v>
      </c>
      <c r="E55" s="0" t="n">
        <v>10.3752263148814</v>
      </c>
      <c r="F55" s="0" t="n">
        <v>2.99478746492101</v>
      </c>
      <c r="G55" s="0" t="n">
        <v>3.19861165367673</v>
      </c>
      <c r="H55" s="0" t="n">
        <v>14.4192901206231</v>
      </c>
      <c r="I55" s="0" t="n">
        <v>0.166942884082882</v>
      </c>
      <c r="J55" s="0" t="n">
        <v>79.4890257225147</v>
      </c>
      <c r="K55" s="0" t="n">
        <v>4.02396635837838</v>
      </c>
      <c r="L55" s="0" t="n">
        <v>7.4003175132855</v>
      </c>
      <c r="N55" s="0" t="n">
        <v>1.03838171526098</v>
      </c>
      <c r="O55" s="0" t="n">
        <v>89.6247736851186</v>
      </c>
      <c r="P55" s="0" t="n">
        <v>14.8428681333946</v>
      </c>
      <c r="Q55" s="0" t="n">
        <v>0</v>
      </c>
      <c r="R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152</v>
      </c>
      <c r="B56" s="0" t="n">
        <v>2018</v>
      </c>
      <c r="E56" s="0" t="n">
        <v>-134.902049086227</v>
      </c>
      <c r="G56" s="0" t="n">
        <v>1.65962938154404</v>
      </c>
      <c r="N56" s="0" t="n">
        <v>-3.6505167453293</v>
      </c>
      <c r="O56" s="0" t="n">
        <v>234.902049086227</v>
      </c>
      <c r="P56" s="0" t="n">
        <v>12.258669085205</v>
      </c>
      <c r="Q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152</v>
      </c>
      <c r="B57" s="0" t="n">
        <v>2019</v>
      </c>
      <c r="C57" s="0" t="n">
        <v>251926.4555</v>
      </c>
      <c r="D57" s="0" t="n">
        <v>1.34292724171638</v>
      </c>
      <c r="E57" s="0" t="n">
        <v>-95.1557475775551</v>
      </c>
      <c r="F57" s="0" t="n">
        <v>-15.650465101709</v>
      </c>
      <c r="G57" s="0" t="n">
        <v>2.70880620448922</v>
      </c>
      <c r="I57" s="0" t="n">
        <v>0.762890501589262</v>
      </c>
      <c r="N57" s="0" t="n">
        <v>1.15446684952609</v>
      </c>
      <c r="O57" s="0" t="n">
        <v>195.155747577555</v>
      </c>
      <c r="P57" s="0" t="n">
        <v>12.5881055855206</v>
      </c>
      <c r="Q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154</v>
      </c>
      <c r="B58" s="0" t="n">
        <v>2014</v>
      </c>
      <c r="E58" s="0" t="n">
        <v>11.4409202441248</v>
      </c>
      <c r="G58" s="0" t="n">
        <v>1.96869546968697</v>
      </c>
      <c r="N58" s="0" t="n">
        <v>0.620146032576257</v>
      </c>
      <c r="O58" s="0" t="n">
        <v>88.5590797558752</v>
      </c>
      <c r="P58" s="0" t="n">
        <v>12.8546468261703</v>
      </c>
      <c r="Q58" s="0" t="n">
        <v>-2.18278728425503E-011</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2.18278728425503E-011</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154</v>
      </c>
      <c r="B59" s="0" t="n">
        <v>2015</v>
      </c>
      <c r="C59" s="0" t="n">
        <v>389652.813</v>
      </c>
      <c r="D59" s="0" t="n">
        <v>0.583392426323893</v>
      </c>
      <c r="E59" s="0" t="n">
        <v>11.6105573489261</v>
      </c>
      <c r="F59" s="0" t="n">
        <v>3.76649994825009</v>
      </c>
      <c r="G59" s="0" t="n">
        <v>1.29044478949221</v>
      </c>
      <c r="I59" s="0" t="n">
        <v>-0.0199254303856392</v>
      </c>
      <c r="N59" s="0" t="n">
        <v>0.572966177320382</v>
      </c>
      <c r="O59" s="0" t="n">
        <v>88.3894426510739</v>
      </c>
      <c r="P59" s="0" t="n">
        <v>12.8910447863248</v>
      </c>
      <c r="Q59" s="0" t="n">
        <v>-1.45519152283669E-011</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1.45519152283669E-011</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154</v>
      </c>
      <c r="B60" s="0" t="n">
        <v>2016</v>
      </c>
      <c r="C60" s="0" t="n">
        <v>408982.175</v>
      </c>
      <c r="D60" s="0" t="n">
        <v>0.633719550246903</v>
      </c>
      <c r="E60" s="0" t="n">
        <v>11.5146086863525</v>
      </c>
      <c r="F60" s="0" t="n">
        <v>3.88584832578584</v>
      </c>
      <c r="I60" s="0" t="n">
        <v>0.100835934964647</v>
      </c>
      <c r="N60" s="0" t="n">
        <v>0.615306401743905</v>
      </c>
      <c r="O60" s="0" t="n">
        <v>88.4853913136475</v>
      </c>
      <c r="P60" s="0" t="n">
        <v>12.9509130010148</v>
      </c>
      <c r="Q60" s="0" t="n">
        <v>2.91038304567337E-011</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-2.91038304567337E-011</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154</v>
      </c>
      <c r="B61" s="0" t="n">
        <v>2017</v>
      </c>
      <c r="C61" s="0" t="n">
        <v>403000.4225</v>
      </c>
      <c r="D61" s="0" t="n">
        <v>0.57100634925513</v>
      </c>
      <c r="E61" s="0" t="n">
        <v>12.9144354349425</v>
      </c>
      <c r="F61" s="0" t="n">
        <v>-6.43943841026618</v>
      </c>
      <c r="G61" s="0" t="n">
        <v>1.92478980139368</v>
      </c>
      <c r="I61" s="0" t="n">
        <v>0.540892236905781</v>
      </c>
      <c r="N61" s="0" t="n">
        <v>0.598045413552352</v>
      </c>
      <c r="O61" s="0" t="n">
        <v>87.0855645650575</v>
      </c>
      <c r="P61" s="0" t="n">
        <v>12.8604265249833</v>
      </c>
      <c r="Q61" s="0" t="n">
        <v>1.45519152283669E-011</v>
      </c>
      <c r="S61" s="0" t="n">
        <v>26.25</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-1.45519152283669E-011</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154</v>
      </c>
      <c r="B62" s="0" t="n">
        <v>2018</v>
      </c>
      <c r="C62" s="0" t="n">
        <v>431347.7755</v>
      </c>
      <c r="D62" s="0" t="n">
        <v>0.778782038717156</v>
      </c>
      <c r="E62" s="0" t="n">
        <v>10.6711025643512</v>
      </c>
      <c r="F62" s="0" t="n">
        <v>11.431421419258</v>
      </c>
      <c r="G62" s="0" t="n">
        <v>3.59124409281383</v>
      </c>
      <c r="I62" s="0" t="n">
        <v>0.813853043737327</v>
      </c>
      <c r="N62" s="0" t="n">
        <v>0.70289775054114</v>
      </c>
      <c r="O62" s="0" t="n">
        <v>89.3288974356488</v>
      </c>
      <c r="P62" s="0" t="n">
        <v>13.0771897239693</v>
      </c>
      <c r="Q62" s="0" t="n">
        <v>1.45519152283669E-011</v>
      </c>
      <c r="S62" s="0" t="n">
        <v>34.64</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-1.45519152283669E-011</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154</v>
      </c>
      <c r="B63" s="0" t="n">
        <v>2019</v>
      </c>
      <c r="C63" s="0" t="n">
        <v>591435.673</v>
      </c>
      <c r="D63" s="0" t="n">
        <v>0.881033768823748</v>
      </c>
      <c r="E63" s="0" t="n">
        <v>7.85253010060475</v>
      </c>
      <c r="F63" s="0" t="n">
        <v>18.1559596253843</v>
      </c>
      <c r="G63" s="0" t="n">
        <v>4.02445510012529</v>
      </c>
      <c r="H63" s="0" t="n">
        <v>13.5983703502456</v>
      </c>
      <c r="I63" s="0" t="n">
        <v>1.03656243271616</v>
      </c>
      <c r="N63" s="0" t="n">
        <v>0.739159738632278</v>
      </c>
      <c r="O63" s="0" t="n">
        <v>92.1474698993953</v>
      </c>
      <c r="P63" s="0" t="n">
        <v>13.4658901067619</v>
      </c>
      <c r="Q63" s="0" t="n">
        <v>2.18278728425503E-011</v>
      </c>
      <c r="R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-2.18278728425503E-011</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154</v>
      </c>
      <c r="B64" s="0" t="n">
        <v>2020</v>
      </c>
      <c r="C64" s="0" t="n">
        <v>836768.844</v>
      </c>
      <c r="D64" s="0" t="n">
        <v>0.548803535519781</v>
      </c>
      <c r="E64" s="0" t="n">
        <v>6.12780620047067</v>
      </c>
      <c r="F64" s="0" t="n">
        <v>5.59346208162597</v>
      </c>
      <c r="G64" s="0" t="n">
        <v>3.98986551976858</v>
      </c>
      <c r="H64" s="0" t="n">
        <v>15.0146762307801</v>
      </c>
      <c r="I64" s="0" t="n">
        <v>0.673443453398941</v>
      </c>
      <c r="N64" s="0" t="n">
        <v>0.474117483263298</v>
      </c>
      <c r="O64" s="0" t="n">
        <v>93.8721937995293</v>
      </c>
      <c r="P64" s="0" t="n">
        <v>13.7835885119807</v>
      </c>
      <c r="Q64" s="0" t="n">
        <v>-1.45519152283669E-011</v>
      </c>
      <c r="R64" s="0" t="n">
        <v>0.00099999998928979</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1.45519152283669E-011</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154</v>
      </c>
      <c r="B65" s="0" t="n">
        <v>2021</v>
      </c>
      <c r="C65" s="0" t="n">
        <v>1066549.9745</v>
      </c>
      <c r="D65" s="0" t="n">
        <v>0.837579317761261</v>
      </c>
      <c r="E65" s="0" t="n">
        <v>6.04235848283873</v>
      </c>
      <c r="F65" s="0" t="n">
        <v>0.923715553471236</v>
      </c>
      <c r="G65" s="0" t="n">
        <v>3.83138387864166</v>
      </c>
      <c r="H65" s="0" t="n">
        <v>11.5630709206163</v>
      </c>
      <c r="I65" s="0" t="n">
        <v>0.197308429076335</v>
      </c>
      <c r="J65" s="0" t="n">
        <v>78.4809495556107</v>
      </c>
      <c r="K65" s="0" t="n">
        <v>4.88192854487163</v>
      </c>
      <c r="N65" s="0" t="n">
        <v>0.767115925696855</v>
      </c>
      <c r="O65" s="0" t="n">
        <v>93.9576414312888</v>
      </c>
      <c r="P65" s="0" t="n">
        <v>13.9678177095371</v>
      </c>
      <c r="Q65" s="0" t="n">
        <v>0.000999999974737875</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154</v>
      </c>
      <c r="B66" s="0" t="n">
        <v>2022</v>
      </c>
      <c r="E66" s="0" t="n">
        <v>5.76288381871853</v>
      </c>
      <c r="G66" s="0" t="n">
        <v>3.32633443478277</v>
      </c>
      <c r="H66" s="0" t="n">
        <v>12.7374082051793</v>
      </c>
      <c r="N66" s="0" t="n">
        <v>0.782171891176373</v>
      </c>
      <c r="O66" s="0" t="n">
        <v>94.2371161812815</v>
      </c>
      <c r="P66" s="0" t="n">
        <v>14.1757716232764</v>
      </c>
      <c r="Q66" s="0" t="n">
        <v>-2.91038304567337E-011</v>
      </c>
      <c r="R66" s="0" t="n">
        <v>5.82076609134674E-011</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2.91038304567337E-011</v>
      </c>
      <c r="AI66" s="0" t="n">
        <f aca="false">IF(AND(ISNUMBER(Calculated_Ratios!R66),ISNUMBER(R66)),Calculated_Ratios!R66-R66,IF(AND(Calculated_Ratios!R66="",ISBLANK(R66)),0,"MISMATCH"))</f>
        <v>-5.82076609134674E-011</v>
      </c>
      <c r="AJ66" s="0" t="n">
        <f aca="false">IF(AND(ISNUMBER(Calculated_Ratios!S66),ISNUMBER(S66)),Calculated_Ratios!S66-S66,IF(AND(Calculated_Ratios!S66="",ISBLANK(S66)),0,"MISMATCH"))</f>
        <v>0</v>
      </c>
    </row>
    <row r="67" customFormat="false" ht="15" hidden="false" customHeight="false" outlineLevel="0" collapsed="false">
      <c r="A67" s="0" t="s">
        <v>163</v>
      </c>
      <c r="B67" s="0" t="n">
        <v>2014</v>
      </c>
      <c r="E67" s="0" t="n">
        <v>14.9747109879348</v>
      </c>
      <c r="G67" s="0" t="n">
        <v>1.57768433981219</v>
      </c>
      <c r="J67" s="0" t="n">
        <v>95.9253228310675</v>
      </c>
      <c r="K67" s="0" t="n">
        <v>1.6447005787936</v>
      </c>
      <c r="N67" s="0" t="n">
        <v>2.70104815704335</v>
      </c>
      <c r="O67" s="0" t="n">
        <v>85.0252890120652</v>
      </c>
      <c r="P67" s="0" t="n">
        <v>15.046267152697</v>
      </c>
      <c r="Q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163</v>
      </c>
      <c r="B68" s="0" t="n">
        <v>2015</v>
      </c>
      <c r="C68" s="0" t="n">
        <v>3587073</v>
      </c>
      <c r="D68" s="0" t="n">
        <v>2.75388875553968</v>
      </c>
      <c r="E68" s="0" t="n">
        <v>14.5839549457954</v>
      </c>
      <c r="F68" s="0" t="n">
        <v>-11.580360923795</v>
      </c>
      <c r="G68" s="0" t="n">
        <v>1.89480731757652</v>
      </c>
      <c r="I68" s="0" t="n">
        <v>0.309193596004319</v>
      </c>
      <c r="J68" s="0" t="n">
        <v>115.694340967251</v>
      </c>
      <c r="K68" s="0" t="n">
        <v>1.63777009466079</v>
      </c>
      <c r="N68" s="0" t="n">
        <v>2.63401031430059</v>
      </c>
      <c r="O68" s="0" t="n">
        <v>85.4160450542046</v>
      </c>
      <c r="P68" s="0" t="n">
        <v>15.1373535941449</v>
      </c>
      <c r="Q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163</v>
      </c>
      <c r="B69" s="0" t="n">
        <v>2016</v>
      </c>
      <c r="C69" s="0" t="n">
        <v>4017031.5</v>
      </c>
      <c r="D69" s="0" t="n">
        <v>2.96948131972577</v>
      </c>
      <c r="E69" s="0" t="n">
        <v>14.3882115984739</v>
      </c>
      <c r="F69" s="0" t="n">
        <v>-2.61180426391976</v>
      </c>
      <c r="G69" s="0" t="n">
        <v>2.51191852724574</v>
      </c>
      <c r="H69" s="0" t="n">
        <v>21.5372909763347</v>
      </c>
      <c r="I69" s="0" t="n">
        <v>0.654587846771926</v>
      </c>
      <c r="J69" s="0" t="n">
        <v>95.6840405022839</v>
      </c>
      <c r="K69" s="0" t="n">
        <v>2.6252220475428</v>
      </c>
      <c r="N69" s="0" t="n">
        <v>2.78460203896785</v>
      </c>
      <c r="O69" s="0" t="n">
        <v>85.6117884015261</v>
      </c>
      <c r="P69" s="0" t="n">
        <v>15.270336084001</v>
      </c>
      <c r="Q69" s="0" t="n">
        <v>0</v>
      </c>
      <c r="R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163</v>
      </c>
      <c r="B70" s="0" t="n">
        <v>2017</v>
      </c>
      <c r="C70" s="0" t="n">
        <v>4558697</v>
      </c>
      <c r="D70" s="0" t="n">
        <v>3.44714728792021</v>
      </c>
      <c r="E70" s="0" t="n">
        <v>14.6374650420034</v>
      </c>
      <c r="F70" s="0" t="n">
        <v>-5.61015570896684</v>
      </c>
      <c r="G70" s="0" t="n">
        <v>6.45255303440748</v>
      </c>
      <c r="H70" s="0" t="n">
        <v>24.4260832701682</v>
      </c>
      <c r="I70" s="0" t="n">
        <v>2.08928121346955</v>
      </c>
      <c r="J70" s="0" t="n">
        <v>148.907759052955</v>
      </c>
      <c r="K70" s="0" t="n">
        <v>4.333255080491</v>
      </c>
      <c r="N70" s="0" t="n">
        <v>3.25105748069061</v>
      </c>
      <c r="O70" s="0" t="n">
        <v>85.3625349579966</v>
      </c>
      <c r="P70" s="0" t="n">
        <v>15.3911140888805</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163</v>
      </c>
      <c r="B71" s="0" t="n">
        <v>2018</v>
      </c>
      <c r="C71" s="0" t="n">
        <v>4894551.5</v>
      </c>
      <c r="D71" s="0" t="n">
        <v>3.38090221341016</v>
      </c>
      <c r="E71" s="0" t="n">
        <v>13.6220258725503</v>
      </c>
      <c r="F71" s="0" t="n">
        <v>3.76569742906986</v>
      </c>
      <c r="G71" s="0" t="n">
        <v>9.62997588836187</v>
      </c>
      <c r="H71" s="0" t="n">
        <v>23.8455594092767</v>
      </c>
      <c r="I71" s="0" t="n">
        <v>0.312858083115481</v>
      </c>
      <c r="J71" s="0" t="n">
        <v>199.717154269675</v>
      </c>
      <c r="K71" s="0" t="n">
        <v>4.82180708190878</v>
      </c>
      <c r="N71" s="0" t="n">
        <v>3.33935701031895</v>
      </c>
      <c r="O71" s="0" t="n">
        <v>86.3779741274497</v>
      </c>
      <c r="P71" s="0" t="n">
        <v>15.4159975299882</v>
      </c>
      <c r="Q71" s="0" t="n">
        <v>0</v>
      </c>
      <c r="R71" s="0" t="n">
        <v>0</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163</v>
      </c>
      <c r="B72" s="0" t="n">
        <v>2019</v>
      </c>
      <c r="C72" s="0" t="n">
        <v>5195259</v>
      </c>
      <c r="D72" s="0" t="n">
        <v>3.42625844062827</v>
      </c>
      <c r="E72" s="0" t="n">
        <v>14.3327421729202</v>
      </c>
      <c r="F72" s="0" t="n">
        <v>7.50863431447787</v>
      </c>
      <c r="G72" s="0" t="n">
        <v>6.32375867493833</v>
      </c>
      <c r="H72" s="0" t="n">
        <v>19.5645230476247</v>
      </c>
      <c r="I72" s="0" t="n">
        <v>0.450275915021754</v>
      </c>
      <c r="J72" s="0" t="n">
        <v>152.004383804056</v>
      </c>
      <c r="K72" s="0" t="n">
        <v>4.16024756436636</v>
      </c>
      <c r="N72" s="0" t="n">
        <v>3.27508020591444</v>
      </c>
      <c r="O72" s="0" t="n">
        <v>85.6672578270798</v>
      </c>
      <c r="P72" s="0" t="n">
        <v>15.50838350991</v>
      </c>
      <c r="Q72" s="0" t="n">
        <v>0</v>
      </c>
      <c r="R72" s="0" t="n">
        <v>0</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163</v>
      </c>
      <c r="B73" s="0" t="n">
        <v>2020</v>
      </c>
      <c r="C73" s="0" t="n">
        <v>6280030</v>
      </c>
      <c r="D73" s="0" t="n">
        <v>3.15049450400715</v>
      </c>
      <c r="E73" s="0" t="n">
        <v>12.7050337074299</v>
      </c>
      <c r="F73" s="0" t="n">
        <v>1.04967651428417</v>
      </c>
      <c r="G73" s="0" t="n">
        <v>4.79199960471215</v>
      </c>
      <c r="I73" s="0" t="n">
        <v>0.592943027342226</v>
      </c>
      <c r="N73" s="0" t="n">
        <v>2.77687524201799</v>
      </c>
      <c r="O73" s="0" t="n">
        <v>87.2949662925701</v>
      </c>
      <c r="P73" s="0" t="n">
        <v>15.7791184595559</v>
      </c>
      <c r="Q73" s="0" t="n">
        <v>0</v>
      </c>
      <c r="R73" s="0" t="n">
        <v>0</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163</v>
      </c>
      <c r="B74" s="0" t="n">
        <v>2021</v>
      </c>
      <c r="E74" s="0" t="n">
        <v>13.3350617583799</v>
      </c>
      <c r="G74" s="0" t="n">
        <v>4.27801590686519</v>
      </c>
      <c r="H74" s="0" t="n">
        <v>19.5928118580614</v>
      </c>
      <c r="N74" s="0" t="n">
        <v>2.96143740603118</v>
      </c>
      <c r="O74" s="0" t="n">
        <v>86.6649382416201</v>
      </c>
      <c r="P74" s="0" t="n">
        <v>15.8788598105222</v>
      </c>
      <c r="Q74" s="0" t="n">
        <v>0</v>
      </c>
      <c r="R74" s="0" t="n">
        <v>0</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0</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163</v>
      </c>
      <c r="B75" s="0" t="n">
        <v>2022</v>
      </c>
      <c r="C75" s="0" t="n">
        <v>9221485</v>
      </c>
      <c r="D75" s="0" t="n">
        <v>2.54398288345098</v>
      </c>
      <c r="E75" s="0" t="n">
        <v>11.3062473381556</v>
      </c>
      <c r="F75" s="0" t="n">
        <v>13.8780033801497</v>
      </c>
      <c r="G75" s="0" t="n">
        <v>2.68648707084627</v>
      </c>
      <c r="H75" s="0" t="n">
        <v>18.9964452219655</v>
      </c>
      <c r="I75" s="0" t="n">
        <v>0.671215102556692</v>
      </c>
      <c r="N75" s="0" t="n">
        <v>2.21928054189145</v>
      </c>
      <c r="O75" s="0" t="n">
        <v>88.6937526618444</v>
      </c>
      <c r="P75" s="0" t="n">
        <v>16.1735944995925</v>
      </c>
      <c r="Q75" s="0" t="n">
        <v>0</v>
      </c>
      <c r="R75" s="0" t="n">
        <v>0</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214</v>
      </c>
    </row>
    <row r="3" customFormat="false" ht="15" hidden="false" customHeight="false" outlineLevel="0" collapsed="false">
      <c r="A3" s="3" t="s">
        <v>215</v>
      </c>
      <c r="B3" s="3" t="s">
        <v>216</v>
      </c>
    </row>
    <row r="4" customFormat="false" ht="15" hidden="false" customHeight="false" outlineLevel="0" collapsed="false">
      <c r="A4" s="0" t="s">
        <v>217</v>
      </c>
      <c r="B4" s="0" t="n">
        <v>72</v>
      </c>
    </row>
    <row r="5" customFormat="false" ht="15" hidden="false" customHeight="false" outlineLevel="0" collapsed="false">
      <c r="A5" s="0" t="s">
        <v>218</v>
      </c>
      <c r="B5" s="0" t="s">
        <v>219</v>
      </c>
    </row>
    <row r="6" customFormat="false" ht="15" hidden="false" customHeight="false" outlineLevel="0" collapsed="false">
      <c r="A6" s="0" t="s">
        <v>220</v>
      </c>
      <c r="B6" s="0" t="s">
        <v>221</v>
      </c>
    </row>
    <row r="7" customFormat="false" ht="15" hidden="false" customHeight="false" outlineLevel="0" collapsed="false">
      <c r="A7" s="0" t="s">
        <v>222</v>
      </c>
      <c r="B7" s="0" t="n">
        <v>12</v>
      </c>
    </row>
    <row r="8" customFormat="false" ht="15" hidden="false" customHeight="false" outlineLevel="0" collapsed="false">
      <c r="A8" s="0" t="s">
        <v>223</v>
      </c>
      <c r="B8" s="0" t="n">
        <v>9</v>
      </c>
    </row>
    <row r="9" customFormat="false" ht="15" hidden="false" customHeight="false" outlineLevel="0" collapsed="false">
      <c r="A9" s="0" t="s">
        <v>224</v>
      </c>
      <c r="B9" s="0" t="n">
        <v>0</v>
      </c>
    </row>
    <row r="10" customFormat="false" ht="15" hidden="false" customHeight="false" outlineLevel="0" collapsed="false">
      <c r="A10" s="0" t="s">
        <v>225</v>
      </c>
      <c r="B10" s="0" t="s">
        <v>226</v>
      </c>
    </row>
    <row r="11" customFormat="false" ht="15" hidden="false" customHeight="false" outlineLevel="0" collapsed="false">
      <c r="A11" s="0" t="s">
        <v>227</v>
      </c>
      <c r="B11" s="0" t="s">
        <v>228</v>
      </c>
    </row>
    <row r="12" customFormat="false" ht="15" hidden="false" customHeight="false" outlineLevel="0" collapsed="false">
      <c r="A12" s="0" t="s">
        <v>229</v>
      </c>
      <c r="B12" s="0" t="s">
        <v>230</v>
      </c>
    </row>
    <row r="13" customFormat="false" ht="15" hidden="false" customHeight="false" outlineLevel="0" collapsed="false">
      <c r="A13" s="0" t="s">
        <v>231</v>
      </c>
      <c r="B13" s="0" t="s">
        <v>232</v>
      </c>
    </row>
    <row r="14" customFormat="false" ht="15" hidden="false" customHeight="false" outlineLevel="0" collapsed="false">
      <c r="A14" s="0" t="s">
        <v>233</v>
      </c>
      <c r="B14" s="0" t="s">
        <v>234</v>
      </c>
    </row>
    <row r="15" customFormat="false" ht="15" hidden="false" customHeight="false" outlineLevel="0" collapsed="false">
      <c r="A15" s="0" t="s">
        <v>235</v>
      </c>
      <c r="B15" s="0" t="n">
        <v>58</v>
      </c>
    </row>
    <row r="16" customFormat="false" ht="15" hidden="false" customHeight="false" outlineLevel="0" collapsed="false">
      <c r="A16" s="0" t="s">
        <v>236</v>
      </c>
      <c r="B16" s="0" t="n">
        <v>345</v>
      </c>
    </row>
    <row r="17" customFormat="false" ht="15" hidden="false" customHeight="false" outlineLevel="0" collapsed="false">
      <c r="A17" s="0" t="s">
        <v>237</v>
      </c>
      <c r="B17" s="0" t="n">
        <v>45</v>
      </c>
    </row>
    <row r="18" customFormat="false" ht="15" hidden="false" customHeight="false" outlineLevel="0" collapsed="false">
      <c r="A18" s="0" t="s">
        <v>238</v>
      </c>
      <c r="B18" s="0" t="s">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240</v>
      </c>
    </row>
    <row r="3" customFormat="false" ht="15" hidden="false" customHeight="false" outlineLevel="0" collapsed="false">
      <c r="A3" s="3" t="s">
        <v>241</v>
      </c>
      <c r="B3" s="3" t="s">
        <v>242</v>
      </c>
      <c r="C3" s="3" t="s">
        <v>243</v>
      </c>
      <c r="D3" s="3" t="s">
        <v>244</v>
      </c>
      <c r="E3" s="3" t="s">
        <v>245</v>
      </c>
      <c r="F3" s="3" t="s">
        <v>246</v>
      </c>
    </row>
    <row r="4" customFormat="false" ht="15" hidden="false" customHeight="false" outlineLevel="0" collapsed="false">
      <c r="A4" s="0" t="s">
        <v>54</v>
      </c>
      <c r="B4" s="0" t="n">
        <v>47</v>
      </c>
      <c r="C4" s="0" t="n">
        <v>47</v>
      </c>
      <c r="D4" s="0" t="n">
        <v>72</v>
      </c>
      <c r="E4" s="0" t="n">
        <v>72</v>
      </c>
      <c r="F4" s="0" t="n">
        <v>25</v>
      </c>
    </row>
    <row r="5" customFormat="false" ht="15" hidden="false" customHeight="false" outlineLevel="0" collapsed="false">
      <c r="A5" s="0" t="s">
        <v>55</v>
      </c>
      <c r="B5" s="0" t="n">
        <v>47</v>
      </c>
      <c r="C5" s="0" t="n">
        <v>47</v>
      </c>
      <c r="D5" s="0" t="n">
        <v>72</v>
      </c>
      <c r="E5" s="0" t="n">
        <v>72</v>
      </c>
      <c r="F5" s="0" t="n">
        <v>25</v>
      </c>
    </row>
    <row r="6" customFormat="false" ht="15" hidden="false" customHeight="false" outlineLevel="0" collapsed="false">
      <c r="A6" s="0" t="s">
        <v>56</v>
      </c>
      <c r="B6" s="0" t="n">
        <v>47</v>
      </c>
      <c r="C6" s="0" t="n">
        <v>47</v>
      </c>
      <c r="D6" s="0" t="n">
        <v>72</v>
      </c>
      <c r="E6" s="0" t="n">
        <v>72</v>
      </c>
      <c r="F6" s="0" t="n">
        <v>25</v>
      </c>
    </row>
    <row r="7" customFormat="false" ht="15" hidden="false" customHeight="false" outlineLevel="0" collapsed="false">
      <c r="A7" s="0" t="s">
        <v>57</v>
      </c>
      <c r="B7" s="0" t="n">
        <v>47</v>
      </c>
      <c r="C7" s="0" t="n">
        <v>47</v>
      </c>
      <c r="D7" s="0" t="n">
        <v>72</v>
      </c>
      <c r="E7" s="0" t="n">
        <v>72</v>
      </c>
      <c r="F7" s="0" t="n">
        <v>25</v>
      </c>
    </row>
    <row r="8" customFormat="false" ht="15" hidden="false" customHeight="false" outlineLevel="0" collapsed="false">
      <c r="A8" s="0" t="s">
        <v>58</v>
      </c>
      <c r="B8" s="0" t="n">
        <v>39</v>
      </c>
      <c r="C8" s="0" t="n">
        <v>47</v>
      </c>
      <c r="D8" s="0" t="n">
        <v>62</v>
      </c>
      <c r="E8" s="0" t="n">
        <v>72</v>
      </c>
      <c r="F8" s="0" t="n">
        <v>23</v>
      </c>
    </row>
    <row r="9" customFormat="false" ht="15" hidden="false" customHeight="false" outlineLevel="0" collapsed="false">
      <c r="A9" s="0" t="s">
        <v>59</v>
      </c>
      <c r="B9" s="0" t="n">
        <v>33</v>
      </c>
      <c r="C9" s="0" t="n">
        <v>47</v>
      </c>
      <c r="D9" s="0" t="n">
        <v>55</v>
      </c>
      <c r="E9" s="0" t="n">
        <v>72</v>
      </c>
      <c r="F9" s="0" t="n">
        <v>22</v>
      </c>
    </row>
    <row r="10" customFormat="false" ht="15" hidden="false" customHeight="false" outlineLevel="0" collapsed="false">
      <c r="A10" s="0" t="s">
        <v>60</v>
      </c>
      <c r="B10" s="0" t="n">
        <v>38</v>
      </c>
      <c r="C10" s="0" t="n">
        <v>47</v>
      </c>
      <c r="D10" s="0" t="n">
        <v>61</v>
      </c>
      <c r="E10" s="0" t="n">
        <v>72</v>
      </c>
      <c r="F10" s="0" t="n">
        <v>23</v>
      </c>
    </row>
    <row r="11" customFormat="false" ht="15" hidden="false" customHeight="false" outlineLevel="0" collapsed="false">
      <c r="A11" s="0" t="s">
        <v>61</v>
      </c>
      <c r="B11" s="0" t="n">
        <v>38</v>
      </c>
      <c r="C11" s="0" t="n">
        <v>47</v>
      </c>
      <c r="D11" s="0" t="n">
        <v>61</v>
      </c>
      <c r="E11" s="0" t="n">
        <v>72</v>
      </c>
      <c r="F11" s="0" t="n">
        <v>23</v>
      </c>
    </row>
    <row r="12" customFormat="false" ht="15" hidden="false" customHeight="false" outlineLevel="0" collapsed="false">
      <c r="A12" s="0" t="s">
        <v>62</v>
      </c>
      <c r="B12" s="0" t="n">
        <v>19</v>
      </c>
      <c r="C12" s="0" t="n">
        <v>47</v>
      </c>
      <c r="D12" s="0" t="n">
        <v>44</v>
      </c>
      <c r="E12" s="0" t="n">
        <v>72</v>
      </c>
      <c r="F12" s="0" t="n">
        <v>25</v>
      </c>
    </row>
    <row r="13" customFormat="false" ht="15" hidden="false" customHeight="false" outlineLevel="0" collapsed="false">
      <c r="A13" s="0" t="s">
        <v>63</v>
      </c>
      <c r="B13" s="0" t="n">
        <v>43</v>
      </c>
      <c r="C13" s="0" t="n">
        <v>47</v>
      </c>
      <c r="D13" s="0" t="n">
        <v>66</v>
      </c>
      <c r="E13" s="0" t="n">
        <v>72</v>
      </c>
      <c r="F13" s="0" t="n">
        <v>23</v>
      </c>
    </row>
    <row r="14" customFormat="false" ht="15" hidden="false" customHeight="false" outlineLevel="0" collapsed="false">
      <c r="A14" s="0" t="s">
        <v>247</v>
      </c>
      <c r="B14" s="0" t="n">
        <v>10</v>
      </c>
      <c r="C14" s="0" t="n">
        <v>47</v>
      </c>
      <c r="D14" s="0" t="n">
        <v>17</v>
      </c>
      <c r="E14" s="0" t="n">
        <v>72</v>
      </c>
      <c r="F14" s="0" t="n">
        <v>7</v>
      </c>
    </row>
    <row r="15" customFormat="false" ht="15" hidden="false" customHeight="false" outlineLevel="0" collapsed="false">
      <c r="A15" s="0" t="s">
        <v>64</v>
      </c>
      <c r="B15" s="0" t="n">
        <v>13</v>
      </c>
      <c r="C15" s="0" t="n">
        <v>47</v>
      </c>
      <c r="D15" s="0" t="n">
        <v>18</v>
      </c>
      <c r="E15" s="0" t="n">
        <v>72</v>
      </c>
      <c r="F15" s="0" t="n">
        <v>5</v>
      </c>
    </row>
    <row r="16" customFormat="false" ht="15" hidden="false" customHeight="false" outlineLevel="0" collapsed="false">
      <c r="A16" s="0" t="s">
        <v>69</v>
      </c>
      <c r="B16" s="0" t="n">
        <v>38</v>
      </c>
      <c r="C16" s="0" t="n">
        <v>47</v>
      </c>
      <c r="D16" s="0" t="n">
        <v>58</v>
      </c>
      <c r="E16" s="0" t="n">
        <v>72</v>
      </c>
      <c r="F16" s="0" t="n">
        <v>20</v>
      </c>
    </row>
    <row r="17" customFormat="false" ht="15" hidden="false" customHeight="false" outlineLevel="0" collapsed="false">
      <c r="A17" s="0" t="s">
        <v>65</v>
      </c>
      <c r="B17" s="0" t="n">
        <v>19</v>
      </c>
      <c r="C17" s="0" t="n">
        <v>47</v>
      </c>
      <c r="D17" s="0" t="n">
        <v>39</v>
      </c>
      <c r="E17" s="0" t="n">
        <v>72</v>
      </c>
      <c r="F17" s="0" t="n">
        <v>20</v>
      </c>
    </row>
    <row r="18" customFormat="false" ht="15" hidden="false" customHeight="false" outlineLevel="0" collapsed="false">
      <c r="A18" s="0" t="s">
        <v>66</v>
      </c>
      <c r="B18" s="0" t="n">
        <v>19</v>
      </c>
      <c r="C18" s="0" t="n">
        <v>47</v>
      </c>
      <c r="D18" s="0" t="n">
        <v>39</v>
      </c>
      <c r="E18" s="0" t="n">
        <v>72</v>
      </c>
      <c r="F18" s="0" t="n">
        <v>20</v>
      </c>
    </row>
    <row r="19" customFormat="false" ht="15" hidden="false" customHeight="false" outlineLevel="0" collapsed="false">
      <c r="A19" s="0" t="s">
        <v>70</v>
      </c>
      <c r="B19" s="0" t="n">
        <v>13</v>
      </c>
      <c r="C19" s="0" t="n">
        <v>47</v>
      </c>
      <c r="D19" s="0" t="n">
        <v>24</v>
      </c>
      <c r="E19" s="0" t="n">
        <v>72</v>
      </c>
      <c r="F19" s="0" t="n">
        <v>11</v>
      </c>
    </row>
    <row r="20" customFormat="false" ht="15" hidden="false" customHeight="false" outlineLevel="0" collapsed="false">
      <c r="A20" s="0" t="s">
        <v>71</v>
      </c>
      <c r="B20" s="0" t="n">
        <v>11</v>
      </c>
      <c r="C20" s="0" t="n">
        <v>47</v>
      </c>
      <c r="D20" s="0" t="n">
        <v>11</v>
      </c>
      <c r="E20" s="0" t="n">
        <v>72</v>
      </c>
      <c r="F20" s="0" t="n">
        <v>0</v>
      </c>
    </row>
    <row r="21" customFormat="false" ht="15" hidden="false" customHeight="false" outlineLevel="0" collapsed="false">
      <c r="A21" s="0" t="s">
        <v>73</v>
      </c>
      <c r="B21" s="0" t="n">
        <v>2</v>
      </c>
      <c r="C21" s="0" t="n">
        <v>47</v>
      </c>
      <c r="D21" s="0" t="n">
        <v>26</v>
      </c>
      <c r="E21" s="0" t="n">
        <v>72</v>
      </c>
      <c r="F21" s="0" t="n">
        <v>24</v>
      </c>
    </row>
    <row r="22" customFormat="false" ht="15" hidden="false" customHeight="false" outlineLevel="0" collapsed="false">
      <c r="A22" s="0" t="s">
        <v>67</v>
      </c>
      <c r="B22" s="0" t="n">
        <v>5</v>
      </c>
      <c r="C22" s="0" t="n">
        <v>47</v>
      </c>
      <c r="D22" s="0" t="n">
        <v>5</v>
      </c>
      <c r="E22" s="0" t="n">
        <v>72</v>
      </c>
      <c r="F22" s="0" t="n">
        <v>0</v>
      </c>
    </row>
    <row r="23" customFormat="false" ht="15" hidden="false" customHeight="false" outlineLevel="0" collapsed="false">
      <c r="A23" s="0" t="s">
        <v>68</v>
      </c>
      <c r="B23" s="0" t="n">
        <v>10</v>
      </c>
      <c r="C23" s="0" t="n">
        <v>47</v>
      </c>
      <c r="D23" s="0" t="n">
        <v>16</v>
      </c>
      <c r="E23" s="0" t="n">
        <v>72</v>
      </c>
      <c r="F23" s="0" t="n">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s>
  <sheetData>
    <row r="1" customFormat="false" ht="15" hidden="false" customHeight="false" outlineLevel="0" collapsed="false">
      <c r="A1" s="2" t="s">
        <v>248</v>
      </c>
    </row>
    <row r="3" customFormat="false" ht="15" hidden="false" customHeight="false" outlineLevel="0" collapsed="false">
      <c r="A3" s="3" t="s">
        <v>249</v>
      </c>
      <c r="B3" s="3" t="s">
        <v>250</v>
      </c>
      <c r="C3" s="3" t="s">
        <v>251</v>
      </c>
      <c r="D3" s="3" t="s">
        <v>252</v>
      </c>
      <c r="E3" s="3" t="s">
        <v>253</v>
      </c>
      <c r="F3" s="3" t="s">
        <v>254</v>
      </c>
      <c r="G3" s="3" t="s">
        <v>255</v>
      </c>
      <c r="H3" s="3" t="s">
        <v>256</v>
      </c>
      <c r="I3" s="3" t="s">
        <v>257</v>
      </c>
      <c r="J3" s="3" t="s">
        <v>258</v>
      </c>
    </row>
    <row r="4" customFormat="false" ht="15" hidden="false" customHeight="false" outlineLevel="0" collapsed="false">
      <c r="A4" s="0" t="s">
        <v>41</v>
      </c>
      <c r="B4" s="0" t="s">
        <v>259</v>
      </c>
      <c r="C4" s="0" t="s">
        <v>42</v>
      </c>
      <c r="D4" s="0" t="n">
        <v>55</v>
      </c>
      <c r="E4" s="0" t="n">
        <v>17</v>
      </c>
      <c r="F4" s="0" t="n">
        <v>72</v>
      </c>
      <c r="G4" s="0" t="n">
        <v>76.4</v>
      </c>
      <c r="H4" s="0" t="n">
        <v>26</v>
      </c>
      <c r="I4" s="0" t="n">
        <v>29</v>
      </c>
      <c r="J4" s="0" t="n">
        <v>12</v>
      </c>
    </row>
    <row r="5" customFormat="false" ht="15" hidden="false" customHeight="false" outlineLevel="0" collapsed="false">
      <c r="A5" s="0" t="s">
        <v>27</v>
      </c>
      <c r="B5" s="0" t="s">
        <v>260</v>
      </c>
      <c r="C5" s="0" t="s">
        <v>28</v>
      </c>
      <c r="D5" s="0" t="n">
        <v>72</v>
      </c>
      <c r="E5" s="0" t="n">
        <v>0</v>
      </c>
      <c r="F5" s="0" t="n">
        <v>72</v>
      </c>
      <c r="G5" s="0" t="n">
        <v>100</v>
      </c>
      <c r="H5" s="0" t="n">
        <v>36</v>
      </c>
      <c r="I5" s="0" t="n">
        <v>36</v>
      </c>
      <c r="J5" s="0" t="n">
        <v>12</v>
      </c>
    </row>
    <row r="6" customFormat="false" ht="15" hidden="false" customHeight="false" outlineLevel="0" collapsed="false">
      <c r="A6" s="0" t="s">
        <v>39</v>
      </c>
      <c r="B6" s="0" t="s">
        <v>261</v>
      </c>
      <c r="C6" s="0" t="s">
        <v>40</v>
      </c>
      <c r="D6" s="0" t="n">
        <v>49</v>
      </c>
      <c r="E6" s="0" t="n">
        <v>23</v>
      </c>
      <c r="F6" s="0" t="n">
        <v>72</v>
      </c>
      <c r="G6" s="0" t="n">
        <v>68.1</v>
      </c>
      <c r="H6" s="0" t="n">
        <v>23</v>
      </c>
      <c r="I6" s="0" t="n">
        <v>26</v>
      </c>
      <c r="J6" s="0" t="n">
        <v>10</v>
      </c>
    </row>
    <row r="7" customFormat="false" ht="15" hidden="false" customHeight="false" outlineLevel="0" collapsed="false">
      <c r="A7" s="0" t="s">
        <v>17</v>
      </c>
      <c r="B7" s="0" t="s">
        <v>262</v>
      </c>
      <c r="C7" s="0" t="s">
        <v>18</v>
      </c>
      <c r="D7" s="0" t="n">
        <v>61</v>
      </c>
      <c r="E7" s="0" t="n">
        <v>11</v>
      </c>
      <c r="F7" s="0" t="n">
        <v>72</v>
      </c>
      <c r="G7" s="0" t="n">
        <v>84.7</v>
      </c>
      <c r="H7" s="0" t="n">
        <v>29</v>
      </c>
      <c r="I7" s="0" t="n">
        <v>32</v>
      </c>
      <c r="J7" s="0" t="n">
        <v>10</v>
      </c>
    </row>
    <row r="8" customFormat="false" ht="15" hidden="false" customHeight="false" outlineLevel="0" collapsed="false">
      <c r="A8" s="0" t="s">
        <v>31</v>
      </c>
      <c r="B8" s="0" t="s">
        <v>263</v>
      </c>
      <c r="C8" s="0" t="s">
        <v>32</v>
      </c>
      <c r="D8" s="0" t="n">
        <v>72</v>
      </c>
      <c r="E8" s="0" t="n">
        <v>0</v>
      </c>
      <c r="F8" s="0" t="n">
        <v>72</v>
      </c>
      <c r="G8" s="0" t="n">
        <v>100</v>
      </c>
      <c r="H8" s="0" t="n">
        <v>36</v>
      </c>
      <c r="I8" s="0" t="n">
        <v>36</v>
      </c>
      <c r="J8" s="0" t="n">
        <v>12</v>
      </c>
    </row>
    <row r="9" customFormat="false" ht="15" hidden="false" customHeight="false" outlineLevel="0" collapsed="false">
      <c r="A9" s="0" t="s">
        <v>69</v>
      </c>
      <c r="B9" s="0" t="s">
        <v>264</v>
      </c>
      <c r="D9" s="0" t="n">
        <v>58</v>
      </c>
      <c r="E9" s="0" t="n">
        <v>14</v>
      </c>
      <c r="F9" s="0" t="n">
        <v>72</v>
      </c>
      <c r="G9" s="0" t="n">
        <v>80.6</v>
      </c>
      <c r="H9" s="0" t="n">
        <v>28</v>
      </c>
      <c r="I9" s="0" t="n">
        <v>30</v>
      </c>
      <c r="J9" s="0" t="n">
        <v>10</v>
      </c>
    </row>
    <row r="10" customFormat="false" ht="15" hidden="false" customHeight="false" outlineLevel="0" collapsed="false">
      <c r="A10" s="0" t="s">
        <v>25</v>
      </c>
      <c r="B10" s="0" t="s">
        <v>265</v>
      </c>
      <c r="C10" s="0" t="s">
        <v>26</v>
      </c>
      <c r="D10" s="0" t="n">
        <v>39</v>
      </c>
      <c r="E10" s="0" t="n">
        <v>33</v>
      </c>
      <c r="F10" s="0" t="n">
        <v>72</v>
      </c>
      <c r="G10" s="0" t="n">
        <v>54.2</v>
      </c>
      <c r="H10" s="0" t="n">
        <v>14</v>
      </c>
      <c r="I10" s="0" t="n">
        <v>25</v>
      </c>
      <c r="J10" s="0" t="n">
        <v>8</v>
      </c>
    </row>
    <row r="11" customFormat="false" ht="15" hidden="false" customHeight="false" outlineLevel="0" collapsed="false">
      <c r="A11" s="0" t="s">
        <v>266</v>
      </c>
      <c r="B11" s="0" t="s">
        <v>267</v>
      </c>
      <c r="D11" s="0" t="n">
        <v>14</v>
      </c>
      <c r="E11" s="0" t="n">
        <v>58</v>
      </c>
      <c r="F11" s="0" t="n">
        <v>72</v>
      </c>
      <c r="G11" s="0" t="n">
        <v>19.4</v>
      </c>
      <c r="H11" s="0" t="n">
        <v>13</v>
      </c>
      <c r="I11" s="0" t="n">
        <v>1</v>
      </c>
      <c r="J11" s="0" t="n">
        <v>6</v>
      </c>
    </row>
    <row r="12" customFormat="false" ht="15" hidden="false" customHeight="false" outlineLevel="0" collapsed="false">
      <c r="A12" s="0" t="s">
        <v>37</v>
      </c>
      <c r="B12" s="0" t="s">
        <v>268</v>
      </c>
      <c r="C12" s="0" t="s">
        <v>38</v>
      </c>
      <c r="D12" s="0" t="n">
        <v>14</v>
      </c>
      <c r="E12" s="0" t="n">
        <v>58</v>
      </c>
      <c r="F12" s="0" t="n">
        <v>72</v>
      </c>
      <c r="G12" s="0" t="n">
        <v>19.4</v>
      </c>
      <c r="H12" s="0" t="n">
        <v>7</v>
      </c>
      <c r="I12" s="0" t="n">
        <v>7</v>
      </c>
      <c r="J12" s="0" t="n">
        <v>3</v>
      </c>
    </row>
    <row r="13" customFormat="false" ht="15" hidden="false" customHeight="false" outlineLevel="0" collapsed="false">
      <c r="A13" s="0" t="s">
        <v>23</v>
      </c>
      <c r="B13" s="0" t="s">
        <v>269</v>
      </c>
      <c r="C13" s="0" t="s">
        <v>24</v>
      </c>
      <c r="D13" s="0" t="n">
        <v>14</v>
      </c>
      <c r="E13" s="0" t="n">
        <v>58</v>
      </c>
      <c r="F13" s="0" t="n">
        <v>72</v>
      </c>
      <c r="G13" s="0" t="n">
        <v>19.4</v>
      </c>
      <c r="H13" s="0" t="n">
        <v>7</v>
      </c>
      <c r="I13" s="0" t="n">
        <v>7</v>
      </c>
      <c r="J13" s="0" t="n">
        <v>3</v>
      </c>
    </row>
    <row r="14" customFormat="false" ht="15" hidden="false" customHeight="false" outlineLevel="0" collapsed="false">
      <c r="A14" s="0" t="s">
        <v>45</v>
      </c>
      <c r="B14" s="0" t="s">
        <v>270</v>
      </c>
      <c r="C14" s="0" t="s">
        <v>46</v>
      </c>
      <c r="D14" s="0" t="n">
        <v>4</v>
      </c>
      <c r="E14" s="0" t="n">
        <v>68</v>
      </c>
      <c r="F14" s="0" t="n">
        <v>72</v>
      </c>
      <c r="G14" s="0" t="n">
        <v>5.6</v>
      </c>
      <c r="H14" s="0" t="n">
        <v>0</v>
      </c>
      <c r="I14" s="0" t="n">
        <v>4</v>
      </c>
      <c r="J14" s="0" t="n">
        <v>1</v>
      </c>
    </row>
    <row r="15" customFormat="false" ht="15" hidden="false" customHeight="false" outlineLevel="0" collapsed="false">
      <c r="A15" s="0" t="s">
        <v>29</v>
      </c>
      <c r="B15" s="0" t="s">
        <v>271</v>
      </c>
      <c r="C15" s="0" t="s">
        <v>30</v>
      </c>
      <c r="D15" s="0" t="n">
        <v>52</v>
      </c>
      <c r="E15" s="0" t="n">
        <v>20</v>
      </c>
      <c r="F15" s="0" t="n">
        <v>72</v>
      </c>
      <c r="G15" s="0" t="n">
        <v>72.2</v>
      </c>
      <c r="H15" s="0" t="n">
        <v>23</v>
      </c>
      <c r="I15" s="0" t="n">
        <v>29</v>
      </c>
      <c r="J15" s="0" t="n">
        <v>12</v>
      </c>
    </row>
    <row r="16" customFormat="false" ht="15" hidden="false" customHeight="false" outlineLevel="0" collapsed="false">
      <c r="A16" s="0" t="s">
        <v>177</v>
      </c>
      <c r="B16" s="0" t="s">
        <v>272</v>
      </c>
      <c r="D16" s="0" t="n">
        <v>10</v>
      </c>
      <c r="E16" s="0" t="n">
        <v>62</v>
      </c>
      <c r="F16" s="0" t="n">
        <v>72</v>
      </c>
      <c r="G16" s="0" t="n">
        <v>13.9</v>
      </c>
      <c r="H16" s="0" t="n">
        <v>5</v>
      </c>
      <c r="I16" s="0" t="n">
        <v>5</v>
      </c>
      <c r="J16" s="0" t="n">
        <v>3</v>
      </c>
    </row>
    <row r="17" customFormat="false" ht="15" hidden="false" customHeight="false" outlineLevel="0" collapsed="false">
      <c r="A17" s="0" t="s">
        <v>73</v>
      </c>
      <c r="B17" s="0" t="s">
        <v>273</v>
      </c>
      <c r="D17" s="0" t="n">
        <v>26</v>
      </c>
      <c r="E17" s="0" t="n">
        <v>46</v>
      </c>
      <c r="F17" s="0" t="n">
        <v>72</v>
      </c>
      <c r="G17" s="0" t="n">
        <v>36.1</v>
      </c>
      <c r="H17" s="0" t="n">
        <v>7</v>
      </c>
      <c r="I17" s="0" t="n">
        <v>19</v>
      </c>
      <c r="J17"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274</v>
      </c>
    </row>
    <row r="3" customFormat="false" ht="15" hidden="false" customHeight="false" outlineLevel="0" collapsed="false">
      <c r="A3" s="3" t="s">
        <v>50</v>
      </c>
      <c r="B3" s="3" t="s">
        <v>51</v>
      </c>
      <c r="C3" s="3" t="s">
        <v>241</v>
      </c>
      <c r="D3" s="3" t="s">
        <v>275</v>
      </c>
      <c r="E3" s="3" t="s">
        <v>276</v>
      </c>
      <c r="F3" s="3" t="s">
        <v>277</v>
      </c>
      <c r="G3" s="3" t="s">
        <v>278</v>
      </c>
      <c r="H3" s="3" t="s">
        <v>279</v>
      </c>
    </row>
    <row r="4" customFormat="false" ht="15" hidden="false" customHeight="false" outlineLevel="0" collapsed="false">
      <c r="A4" s="0" t="s">
        <v>154</v>
      </c>
      <c r="B4" s="0" t="n">
        <v>2021</v>
      </c>
      <c r="C4" s="0" t="s">
        <v>280</v>
      </c>
      <c r="E4" s="0" t="s">
        <v>246</v>
      </c>
      <c r="F4" s="0" t="s">
        <v>281</v>
      </c>
      <c r="G4" s="0" t="s">
        <v>282</v>
      </c>
      <c r="H4" s="0" t="s">
        <v>283</v>
      </c>
    </row>
    <row r="5" customFormat="false" ht="15" hidden="false" customHeight="false" outlineLevel="0" collapsed="false">
      <c r="A5" s="0" t="s">
        <v>138</v>
      </c>
      <c r="B5" s="0" t="n">
        <v>2016</v>
      </c>
      <c r="C5" s="0" t="s">
        <v>280</v>
      </c>
      <c r="E5" s="0" t="s">
        <v>246</v>
      </c>
      <c r="F5" s="0" t="s">
        <v>281</v>
      </c>
      <c r="G5" s="0" t="s">
        <v>284</v>
      </c>
      <c r="H5" s="0" t="s">
        <v>283</v>
      </c>
    </row>
    <row r="6" customFormat="false" ht="15" hidden="false" customHeight="false" outlineLevel="0" collapsed="false">
      <c r="A6" s="0" t="s">
        <v>138</v>
      </c>
      <c r="B6" s="0" t="n">
        <v>2015</v>
      </c>
      <c r="C6" s="0" t="s">
        <v>280</v>
      </c>
      <c r="E6" s="0" t="s">
        <v>246</v>
      </c>
      <c r="F6" s="0" t="s">
        <v>281</v>
      </c>
      <c r="G6" s="0" t="s">
        <v>285</v>
      </c>
      <c r="H6" s="0" t="s">
        <v>283</v>
      </c>
    </row>
    <row r="7" customFormat="false" ht="15" hidden="false" customHeight="false" outlineLevel="0" collapsed="false">
      <c r="A7" s="0" t="s">
        <v>116</v>
      </c>
      <c r="B7" s="0" t="n">
        <v>2022</v>
      </c>
      <c r="C7" s="0" t="s">
        <v>280</v>
      </c>
      <c r="E7" s="0" t="s">
        <v>246</v>
      </c>
      <c r="F7" s="0" t="s">
        <v>281</v>
      </c>
      <c r="G7" s="0" t="s">
        <v>286</v>
      </c>
      <c r="H7" s="0" t="s">
        <v>283</v>
      </c>
    </row>
    <row r="8" customFormat="false" ht="15" hidden="false" customHeight="false" outlineLevel="0" collapsed="false">
      <c r="A8" s="0" t="s">
        <v>116</v>
      </c>
      <c r="B8" s="0" t="n">
        <v>2021</v>
      </c>
      <c r="C8" s="0" t="s">
        <v>280</v>
      </c>
      <c r="E8" s="0" t="s">
        <v>246</v>
      </c>
      <c r="F8" s="0" t="s">
        <v>281</v>
      </c>
      <c r="G8" s="0" t="s">
        <v>287</v>
      </c>
      <c r="H8" s="0" t="s">
        <v>283</v>
      </c>
    </row>
    <row r="9" customFormat="false" ht="15" hidden="false" customHeight="false" outlineLevel="0" collapsed="false">
      <c r="A9" s="0" t="s">
        <v>116</v>
      </c>
      <c r="B9" s="0" t="n">
        <v>2020</v>
      </c>
      <c r="C9" s="0" t="s">
        <v>280</v>
      </c>
      <c r="E9" s="0" t="s">
        <v>246</v>
      </c>
      <c r="F9" s="0" t="s">
        <v>281</v>
      </c>
      <c r="G9" s="0" t="s">
        <v>288</v>
      </c>
      <c r="H9" s="0" t="s">
        <v>283</v>
      </c>
    </row>
    <row r="10" customFormat="false" ht="15" hidden="false" customHeight="false" outlineLevel="0" collapsed="false">
      <c r="A10" s="0" t="s">
        <v>163</v>
      </c>
      <c r="B10" s="0" t="n">
        <v>2016</v>
      </c>
      <c r="C10" s="0" t="s">
        <v>280</v>
      </c>
      <c r="E10" s="0" t="s">
        <v>246</v>
      </c>
      <c r="F10" s="0" t="s">
        <v>281</v>
      </c>
      <c r="G10" s="0" t="s">
        <v>289</v>
      </c>
      <c r="H10" s="0" t="s">
        <v>283</v>
      </c>
    </row>
    <row r="11" customFormat="false" ht="15" hidden="false" customHeight="false" outlineLevel="0" collapsed="false">
      <c r="A11" s="0" t="s">
        <v>163</v>
      </c>
      <c r="B11" s="0" t="n">
        <v>2017</v>
      </c>
      <c r="C11" s="0" t="s">
        <v>280</v>
      </c>
      <c r="E11" s="0" t="s">
        <v>246</v>
      </c>
      <c r="F11" s="0" t="s">
        <v>281</v>
      </c>
      <c r="G11" s="0" t="s">
        <v>290</v>
      </c>
      <c r="H11" s="0" t="s">
        <v>283</v>
      </c>
    </row>
    <row r="12" customFormat="false" ht="15" hidden="false" customHeight="false" outlineLevel="0" collapsed="false">
      <c r="A12" s="0" t="s">
        <v>163</v>
      </c>
      <c r="B12" s="0" t="n">
        <v>2018</v>
      </c>
      <c r="C12" s="0" t="s">
        <v>280</v>
      </c>
      <c r="E12" s="0" t="s">
        <v>246</v>
      </c>
      <c r="F12" s="0" t="s">
        <v>281</v>
      </c>
      <c r="G12" s="0" t="s">
        <v>291</v>
      </c>
      <c r="H12" s="0" t="s">
        <v>283</v>
      </c>
    </row>
    <row r="13" customFormat="false" ht="15" hidden="false" customHeight="false" outlineLevel="0" collapsed="false">
      <c r="A13" s="0" t="s">
        <v>163</v>
      </c>
      <c r="B13" s="0" t="n">
        <v>2019</v>
      </c>
      <c r="C13" s="0" t="s">
        <v>280</v>
      </c>
      <c r="E13" s="0" t="s">
        <v>246</v>
      </c>
      <c r="F13" s="0" t="s">
        <v>281</v>
      </c>
      <c r="G13" s="0" t="s">
        <v>292</v>
      </c>
      <c r="H13" s="0" t="s">
        <v>283</v>
      </c>
    </row>
    <row r="14" customFormat="false" ht="15" hidden="false" customHeight="false" outlineLevel="0" collapsed="false">
      <c r="A14" s="0" t="s">
        <v>163</v>
      </c>
      <c r="B14" s="0" t="n">
        <v>2020</v>
      </c>
      <c r="C14" s="0" t="s">
        <v>280</v>
      </c>
      <c r="E14" s="0" t="s">
        <v>246</v>
      </c>
      <c r="F14" s="0" t="s">
        <v>281</v>
      </c>
      <c r="G14" s="0" t="s">
        <v>293</v>
      </c>
      <c r="H14" s="0" t="s">
        <v>283</v>
      </c>
    </row>
    <row r="15" customFormat="false" ht="15" hidden="false" customHeight="false" outlineLevel="0" collapsed="false">
      <c r="A15" s="0" t="s">
        <v>109</v>
      </c>
      <c r="B15" s="0" t="n">
        <v>2019</v>
      </c>
      <c r="C15" s="0" t="s">
        <v>280</v>
      </c>
      <c r="E15" s="0" t="s">
        <v>246</v>
      </c>
      <c r="F15" s="0" t="s">
        <v>281</v>
      </c>
      <c r="G15" s="0" t="s">
        <v>294</v>
      </c>
      <c r="H15" s="0" t="s">
        <v>283</v>
      </c>
    </row>
    <row r="16" customFormat="false" ht="15" hidden="false" customHeight="false" outlineLevel="0" collapsed="false">
      <c r="A16" s="0" t="s">
        <v>109</v>
      </c>
      <c r="B16" s="0" t="n">
        <v>2018</v>
      </c>
      <c r="C16" s="0" t="s">
        <v>280</v>
      </c>
      <c r="E16" s="0" t="s">
        <v>246</v>
      </c>
      <c r="F16" s="0" t="s">
        <v>281</v>
      </c>
      <c r="G16" s="0" t="s">
        <v>295</v>
      </c>
      <c r="H16" s="0" t="s">
        <v>283</v>
      </c>
    </row>
    <row r="17" customFormat="false" ht="15" hidden="false" customHeight="false" outlineLevel="0" collapsed="false">
      <c r="A17" s="0" t="s">
        <v>109</v>
      </c>
      <c r="B17" s="0" t="n">
        <v>2017</v>
      </c>
      <c r="C17" s="0" t="s">
        <v>280</v>
      </c>
      <c r="E17" s="0" t="s">
        <v>246</v>
      </c>
      <c r="F17" s="0" t="s">
        <v>281</v>
      </c>
      <c r="G17" s="0" t="s">
        <v>296</v>
      </c>
      <c r="H17" s="0" t="s">
        <v>283</v>
      </c>
    </row>
    <row r="18" customFormat="false" ht="15" hidden="false" customHeight="false" outlineLevel="0" collapsed="false">
      <c r="A18" s="0" t="s">
        <v>104</v>
      </c>
      <c r="B18" s="0" t="n">
        <v>2017</v>
      </c>
      <c r="C18" s="0" t="s">
        <v>280</v>
      </c>
      <c r="E18" s="0" t="s">
        <v>246</v>
      </c>
      <c r="F18" s="0" t="s">
        <v>281</v>
      </c>
      <c r="G18" s="0" t="s">
        <v>297</v>
      </c>
      <c r="H18" s="0" t="s">
        <v>283</v>
      </c>
    </row>
    <row r="19" customFormat="false" ht="15" hidden="false" customHeight="false" outlineLevel="0" collapsed="false">
      <c r="A19" s="0" t="s">
        <v>104</v>
      </c>
      <c r="B19" s="0" t="n">
        <v>2016</v>
      </c>
      <c r="C19" s="0" t="s">
        <v>280</v>
      </c>
      <c r="E19" s="0" t="s">
        <v>246</v>
      </c>
      <c r="F19" s="0" t="s">
        <v>281</v>
      </c>
      <c r="G19" s="0" t="s">
        <v>298</v>
      </c>
      <c r="H19" s="0" t="s">
        <v>283</v>
      </c>
    </row>
    <row r="20" customFormat="false" ht="15" hidden="false" customHeight="false" outlineLevel="0" collapsed="false">
      <c r="A20" s="0" t="s">
        <v>86</v>
      </c>
      <c r="B20" s="0" t="n">
        <v>2022</v>
      </c>
      <c r="C20" s="0" t="s">
        <v>280</v>
      </c>
      <c r="E20" s="0" t="s">
        <v>246</v>
      </c>
      <c r="F20" s="0" t="s">
        <v>281</v>
      </c>
      <c r="G20" s="0" t="s">
        <v>299</v>
      </c>
      <c r="H20" s="0" t="s">
        <v>283</v>
      </c>
    </row>
    <row r="21" customFormat="false" ht="15" hidden="false" customHeight="false" outlineLevel="0" collapsed="false">
      <c r="A21" s="0" t="s">
        <v>86</v>
      </c>
      <c r="B21" s="0" t="n">
        <v>2021</v>
      </c>
      <c r="C21" s="0" t="s">
        <v>280</v>
      </c>
      <c r="E21" s="0" t="s">
        <v>246</v>
      </c>
      <c r="F21" s="0" t="s">
        <v>281</v>
      </c>
      <c r="G21" s="0" t="s">
        <v>300</v>
      </c>
      <c r="H21" s="0" t="s">
        <v>283</v>
      </c>
    </row>
    <row r="22" customFormat="false" ht="15" hidden="false" customHeight="false" outlineLevel="0" collapsed="false">
      <c r="A22" s="0" t="s">
        <v>138</v>
      </c>
      <c r="B22" s="0" t="n">
        <v>2018</v>
      </c>
      <c r="C22" s="0" t="s">
        <v>73</v>
      </c>
      <c r="E22" s="0" t="n">
        <v>0</v>
      </c>
      <c r="F22" s="0" t="s">
        <v>301</v>
      </c>
      <c r="G22" s="0" t="s">
        <v>302</v>
      </c>
      <c r="H22" s="0" t="s">
        <v>303</v>
      </c>
    </row>
    <row r="23" customFormat="false" ht="15" hidden="false" customHeight="false" outlineLevel="0" collapsed="false">
      <c r="A23" s="0" t="s">
        <v>138</v>
      </c>
      <c r="B23" s="0" t="n">
        <v>2020</v>
      </c>
      <c r="C23" s="0" t="s">
        <v>73</v>
      </c>
      <c r="E23" s="0" t="n">
        <v>0</v>
      </c>
      <c r="F23" s="0" t="s">
        <v>301</v>
      </c>
      <c r="G23" s="0" t="s">
        <v>304</v>
      </c>
      <c r="H23" s="0" t="s">
        <v>303</v>
      </c>
    </row>
    <row r="24" customFormat="false" ht="15" hidden="false" customHeight="false" outlineLevel="0" collapsed="false">
      <c r="A24" s="0" t="s">
        <v>138</v>
      </c>
      <c r="B24" s="0" t="n">
        <v>2022</v>
      </c>
      <c r="C24" s="0" t="s">
        <v>73</v>
      </c>
      <c r="E24" s="0" t="n">
        <v>0</v>
      </c>
      <c r="F24" s="0" t="s">
        <v>301</v>
      </c>
      <c r="G24" s="0" t="s">
        <v>305</v>
      </c>
      <c r="H24" s="0" t="s">
        <v>303</v>
      </c>
    </row>
    <row r="25" customFormat="false" ht="15" hidden="false" customHeight="false" outlineLevel="0" collapsed="false">
      <c r="A25" s="0" t="s">
        <v>154</v>
      </c>
      <c r="B25" s="0" t="n">
        <v>2016</v>
      </c>
      <c r="C25" s="0" t="s">
        <v>73</v>
      </c>
      <c r="E25" s="0" t="n">
        <v>0</v>
      </c>
      <c r="F25" s="0" t="s">
        <v>301</v>
      </c>
      <c r="G25" s="0" t="s">
        <v>306</v>
      </c>
      <c r="H25" s="0" t="s">
        <v>303</v>
      </c>
    </row>
    <row r="26" customFormat="false" ht="15" hidden="false" customHeight="false" outlineLevel="0" collapsed="false">
      <c r="A26" s="0" t="s">
        <v>154</v>
      </c>
      <c r="B26" s="0" t="n">
        <v>2020</v>
      </c>
      <c r="C26" s="0" t="s">
        <v>73</v>
      </c>
      <c r="E26" s="0" t="n">
        <v>0</v>
      </c>
      <c r="F26" s="0" t="s">
        <v>301</v>
      </c>
      <c r="G26" s="0" t="s">
        <v>307</v>
      </c>
      <c r="H26" s="0" t="s">
        <v>303</v>
      </c>
    </row>
    <row r="27" customFormat="false" ht="15" hidden="false" customHeight="false" outlineLevel="0" collapsed="false">
      <c r="A27" s="0" t="s">
        <v>154</v>
      </c>
      <c r="B27" s="0" t="n">
        <v>2022</v>
      </c>
      <c r="C27" s="0" t="s">
        <v>73</v>
      </c>
      <c r="E27" s="0" t="n">
        <v>0</v>
      </c>
      <c r="F27" s="0" t="s">
        <v>301</v>
      </c>
      <c r="G27" s="0" t="s">
        <v>308</v>
      </c>
      <c r="H27" s="0" t="s">
        <v>303</v>
      </c>
    </row>
    <row r="28" customFormat="false" ht="15" hidden="false" customHeight="false" outlineLevel="0" collapsed="false">
      <c r="A28" s="0" t="s">
        <v>86</v>
      </c>
      <c r="B28" s="0" t="n">
        <v>2019</v>
      </c>
      <c r="C28" s="0" t="s">
        <v>73</v>
      </c>
      <c r="E28" s="0" t="n">
        <v>0</v>
      </c>
      <c r="F28" s="0" t="s">
        <v>301</v>
      </c>
      <c r="G28" s="0" t="s">
        <v>309</v>
      </c>
      <c r="H28" s="0" t="s">
        <v>303</v>
      </c>
    </row>
    <row r="29" customFormat="false" ht="15" hidden="false" customHeight="false" outlineLevel="0" collapsed="false">
      <c r="A29" s="0" t="s">
        <v>126</v>
      </c>
      <c r="B29" s="0" t="n">
        <v>2014</v>
      </c>
      <c r="C29" s="0" t="s">
        <v>73</v>
      </c>
      <c r="E29" s="0" t="n">
        <v>0</v>
      </c>
      <c r="F29" s="0" t="s">
        <v>301</v>
      </c>
      <c r="G29" s="0" t="s">
        <v>310</v>
      </c>
      <c r="H29" s="0" t="s">
        <v>303</v>
      </c>
    </row>
    <row r="30" customFormat="false" ht="15" hidden="false" customHeight="false" outlineLevel="0" collapsed="false">
      <c r="A30" s="0" t="s">
        <v>126</v>
      </c>
      <c r="B30" s="0" t="n">
        <v>2019</v>
      </c>
      <c r="C30" s="0" t="s">
        <v>73</v>
      </c>
      <c r="E30" s="0" t="n">
        <v>0</v>
      </c>
      <c r="F30" s="0" t="s">
        <v>301</v>
      </c>
      <c r="G30" s="0" t="s">
        <v>311</v>
      </c>
      <c r="H30" s="0" t="s">
        <v>303</v>
      </c>
    </row>
    <row r="31" customFormat="false" ht="15" hidden="false" customHeight="false" outlineLevel="0" collapsed="false">
      <c r="A31" s="0" t="s">
        <v>116</v>
      </c>
      <c r="B31" s="0" t="n">
        <v>2018</v>
      </c>
      <c r="C31" s="0" t="s">
        <v>280</v>
      </c>
      <c r="E31" s="0" t="s">
        <v>246</v>
      </c>
      <c r="F31" s="0" t="s">
        <v>281</v>
      </c>
      <c r="G31" s="0" t="s">
        <v>312</v>
      </c>
      <c r="H31" s="0" t="s">
        <v>283</v>
      </c>
    </row>
    <row r="32" customFormat="false" ht="15" hidden="false" customHeight="false" outlineLevel="0" collapsed="false">
      <c r="A32" s="0" t="s">
        <v>116</v>
      </c>
      <c r="B32" s="0" t="n">
        <v>2019</v>
      </c>
      <c r="C32" s="0" t="s">
        <v>280</v>
      </c>
      <c r="E32" s="0" t="s">
        <v>246</v>
      </c>
      <c r="F32" s="0" t="s">
        <v>281</v>
      </c>
      <c r="G32" s="0" t="s">
        <v>313</v>
      </c>
      <c r="H32" s="0" t="s">
        <v>283</v>
      </c>
    </row>
    <row r="33" customFormat="false" ht="15" hidden="false" customHeight="false" outlineLevel="0" collapsed="false">
      <c r="A33" s="0" t="s">
        <v>86</v>
      </c>
      <c r="B33" s="0" t="n">
        <v>2014</v>
      </c>
      <c r="C33" s="0" t="s">
        <v>280</v>
      </c>
      <c r="E33" s="0" t="s">
        <v>246</v>
      </c>
      <c r="F33" s="0" t="s">
        <v>281</v>
      </c>
      <c r="G33" s="0" t="s">
        <v>314</v>
      </c>
      <c r="H33" s="0" t="s">
        <v>283</v>
      </c>
    </row>
    <row r="34" customFormat="false" ht="15" hidden="false" customHeight="false" outlineLevel="0" collapsed="false">
      <c r="A34" s="0" t="s">
        <v>86</v>
      </c>
      <c r="B34" s="0" t="n">
        <v>2015</v>
      </c>
      <c r="C34" s="0" t="s">
        <v>280</v>
      </c>
      <c r="E34" s="0" t="s">
        <v>246</v>
      </c>
      <c r="F34" s="0" t="s">
        <v>281</v>
      </c>
      <c r="G34" s="0" t="s">
        <v>315</v>
      </c>
      <c r="H34" s="0" t="s">
        <v>283</v>
      </c>
    </row>
    <row r="35" customFormat="false" ht="15" hidden="false" customHeight="false" outlineLevel="0" collapsed="false">
      <c r="A35" s="0" t="s">
        <v>86</v>
      </c>
      <c r="B35" s="0" t="n">
        <v>2016</v>
      </c>
      <c r="C35" s="0" t="s">
        <v>280</v>
      </c>
      <c r="E35" s="0" t="s">
        <v>246</v>
      </c>
      <c r="F35" s="0" t="s">
        <v>281</v>
      </c>
      <c r="G35" s="0" t="s">
        <v>316</v>
      </c>
      <c r="H35" s="0" t="s">
        <v>283</v>
      </c>
    </row>
    <row r="36" customFormat="false" ht="15" hidden="false" customHeight="false" outlineLevel="0" collapsed="false">
      <c r="A36" s="0" t="s">
        <v>86</v>
      </c>
      <c r="B36" s="0" t="n">
        <v>2017</v>
      </c>
      <c r="C36" s="0" t="s">
        <v>280</v>
      </c>
      <c r="E36" s="0" t="s">
        <v>246</v>
      </c>
      <c r="F36" s="0" t="s">
        <v>281</v>
      </c>
      <c r="G36" s="0" t="s">
        <v>317</v>
      </c>
      <c r="H36" s="0" t="s">
        <v>283</v>
      </c>
    </row>
    <row r="37" customFormat="false" ht="15" hidden="false" customHeight="false" outlineLevel="0" collapsed="false">
      <c r="A37" s="0" t="s">
        <v>86</v>
      </c>
      <c r="B37" s="0" t="n">
        <v>2020</v>
      </c>
      <c r="C37" s="0" t="s">
        <v>280</v>
      </c>
      <c r="E37" s="0" t="s">
        <v>246</v>
      </c>
      <c r="F37" s="0" t="s">
        <v>281</v>
      </c>
      <c r="G37" s="0" t="s">
        <v>318</v>
      </c>
      <c r="H37" s="0" t="s">
        <v>283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319</v>
      </c>
    </row>
    <row r="3" customFormat="false" ht="15" hidden="false" customHeight="false" outlineLevel="0" collapsed="false">
      <c r="A3" s="3" t="s">
        <v>50</v>
      </c>
      <c r="B3" s="3" t="s">
        <v>51</v>
      </c>
      <c r="C3" s="3" t="s">
        <v>320</v>
      </c>
      <c r="D3" s="3" t="s">
        <v>321</v>
      </c>
      <c r="E3" s="3" t="s">
        <v>322</v>
      </c>
      <c r="F3" s="3" t="s">
        <v>323</v>
      </c>
      <c r="G3" s="3" t="s">
        <v>324</v>
      </c>
      <c r="H3" s="3" t="s">
        <v>325</v>
      </c>
      <c r="I3" s="3" t="s">
        <v>326</v>
      </c>
      <c r="J3" s="3" t="s">
        <v>327</v>
      </c>
    </row>
    <row r="4" customFormat="false" ht="15" hidden="false" customHeight="false" outlineLevel="0" collapsed="false">
      <c r="A4" s="0" t="s">
        <v>77</v>
      </c>
      <c r="B4" s="0" t="n">
        <v>2013</v>
      </c>
      <c r="C4" s="0" t="s">
        <v>328</v>
      </c>
      <c r="D4" s="0" t="n">
        <v>0</v>
      </c>
      <c r="E4" s="0" t="n">
        <v>0.001500001</v>
      </c>
      <c r="F4" s="0" t="n">
        <v>0.001</v>
      </c>
      <c r="G4" s="0" t="s">
        <v>329</v>
      </c>
      <c r="H4" s="0" t="s">
        <v>330</v>
      </c>
    </row>
    <row r="5" customFormat="false" ht="15" hidden="false" customHeight="false" outlineLevel="0" collapsed="false">
      <c r="A5" s="0" t="s">
        <v>77</v>
      </c>
      <c r="B5" s="0" t="n">
        <v>2014</v>
      </c>
      <c r="C5" s="0" t="s">
        <v>328</v>
      </c>
      <c r="D5" s="0" t="n">
        <v>0.001</v>
      </c>
      <c r="E5" s="0" t="n">
        <v>0.001500001</v>
      </c>
      <c r="F5" s="0" t="n">
        <v>0.001</v>
      </c>
      <c r="G5" s="0" t="s">
        <v>329</v>
      </c>
      <c r="H5" s="0" t="s">
        <v>330</v>
      </c>
    </row>
    <row r="6" customFormat="false" ht="15" hidden="false" customHeight="false" outlineLevel="0" collapsed="false">
      <c r="A6" s="0" t="s">
        <v>83</v>
      </c>
      <c r="B6" s="0" t="n">
        <v>2016</v>
      </c>
      <c r="C6" s="0" t="s">
        <v>328</v>
      </c>
      <c r="D6" s="0" t="n">
        <v>0</v>
      </c>
      <c r="E6" s="0" t="n">
        <v>1.500000001</v>
      </c>
      <c r="F6" s="0" t="n">
        <v>1</v>
      </c>
      <c r="G6" s="0" t="s">
        <v>329</v>
      </c>
      <c r="H6" s="0" t="s">
        <v>330</v>
      </c>
    </row>
    <row r="7" customFormat="false" ht="15" hidden="false" customHeight="false" outlineLevel="0" collapsed="false">
      <c r="A7" s="0" t="s">
        <v>83</v>
      </c>
      <c r="B7" s="0" t="n">
        <v>2017</v>
      </c>
      <c r="C7" s="0" t="s">
        <v>328</v>
      </c>
      <c r="D7" s="0" t="n">
        <v>0</v>
      </c>
      <c r="E7" s="0" t="n">
        <v>1.500000001</v>
      </c>
      <c r="F7" s="0" t="n">
        <v>1</v>
      </c>
      <c r="G7" s="0" t="s">
        <v>329</v>
      </c>
      <c r="H7" s="0" t="s">
        <v>330</v>
      </c>
    </row>
    <row r="8" customFormat="false" ht="15" hidden="false" customHeight="false" outlineLevel="0" collapsed="false">
      <c r="A8" s="0" t="s">
        <v>86</v>
      </c>
      <c r="B8" s="0" t="n">
        <v>2013</v>
      </c>
      <c r="C8" s="0" t="s">
        <v>328</v>
      </c>
      <c r="D8" s="0" t="n">
        <v>0</v>
      </c>
      <c r="E8" s="0" t="n">
        <v>1.500000001</v>
      </c>
      <c r="F8" s="0" t="n">
        <v>1</v>
      </c>
      <c r="G8" s="0" t="s">
        <v>329</v>
      </c>
      <c r="H8" s="0" t="s">
        <v>330</v>
      </c>
    </row>
    <row r="9" customFormat="false" ht="15" hidden="false" customHeight="false" outlineLevel="0" collapsed="false">
      <c r="A9" s="0" t="s">
        <v>86</v>
      </c>
      <c r="B9" s="0" t="n">
        <v>2014</v>
      </c>
      <c r="C9" s="0" t="s">
        <v>328</v>
      </c>
      <c r="D9" s="0" t="n">
        <v>0</v>
      </c>
      <c r="E9" s="0" t="n">
        <v>1.500000001</v>
      </c>
      <c r="F9" s="0" t="n">
        <v>1</v>
      </c>
      <c r="G9" s="0" t="s">
        <v>329</v>
      </c>
      <c r="H9" s="0" t="s">
        <v>330</v>
      </c>
    </row>
    <row r="10" customFormat="false" ht="15" hidden="false" customHeight="false" outlineLevel="0" collapsed="false">
      <c r="A10" s="0" t="s">
        <v>86</v>
      </c>
      <c r="B10" s="0" t="n">
        <v>2014</v>
      </c>
      <c r="C10" s="0" t="s">
        <v>331</v>
      </c>
      <c r="D10" s="0" t="n">
        <v>0</v>
      </c>
      <c r="E10" s="0" t="n">
        <v>1.500000001</v>
      </c>
      <c r="F10" s="0" t="n">
        <v>1</v>
      </c>
      <c r="G10" s="0" t="s">
        <v>329</v>
      </c>
      <c r="H10" s="0" t="s">
        <v>330</v>
      </c>
    </row>
    <row r="11" customFormat="false" ht="15" hidden="false" customHeight="false" outlineLevel="0" collapsed="false">
      <c r="A11" s="0" t="s">
        <v>86</v>
      </c>
      <c r="B11" s="0" t="n">
        <v>2014</v>
      </c>
      <c r="C11" s="0" t="s">
        <v>332</v>
      </c>
      <c r="D11" s="0" t="n">
        <v>0.0007</v>
      </c>
      <c r="E11" s="0" t="n">
        <v>0.005076</v>
      </c>
      <c r="G11" s="0" t="s">
        <v>329</v>
      </c>
      <c r="H11" s="0" t="s">
        <v>330</v>
      </c>
      <c r="J11" s="0" t="s">
        <v>333</v>
      </c>
    </row>
    <row r="12" customFormat="false" ht="15" hidden="false" customHeight="false" outlineLevel="0" collapsed="false">
      <c r="A12" s="0" t="s">
        <v>86</v>
      </c>
      <c r="B12" s="0" t="n">
        <v>2015</v>
      </c>
      <c r="C12" s="0" t="s">
        <v>328</v>
      </c>
      <c r="D12" s="0" t="n">
        <v>0</v>
      </c>
      <c r="E12" s="0" t="n">
        <v>1.500000001</v>
      </c>
      <c r="F12" s="0" t="n">
        <v>1</v>
      </c>
      <c r="G12" s="0" t="s">
        <v>329</v>
      </c>
      <c r="H12" s="0" t="s">
        <v>330</v>
      </c>
    </row>
    <row r="13" customFormat="false" ht="15" hidden="false" customHeight="false" outlineLevel="0" collapsed="false">
      <c r="A13" s="0" t="s">
        <v>86</v>
      </c>
      <c r="B13" s="0" t="n">
        <v>2015</v>
      </c>
      <c r="C13" s="0" t="s">
        <v>331</v>
      </c>
      <c r="D13" s="0" t="n">
        <v>-1</v>
      </c>
      <c r="E13" s="0" t="n">
        <v>1.500000001</v>
      </c>
      <c r="F13" s="0" t="n">
        <v>1</v>
      </c>
      <c r="G13" s="0" t="s">
        <v>329</v>
      </c>
      <c r="H13" s="0" t="s">
        <v>330</v>
      </c>
    </row>
    <row r="14" customFormat="false" ht="15" hidden="false" customHeight="false" outlineLevel="0" collapsed="false">
      <c r="A14" s="0" t="s">
        <v>86</v>
      </c>
      <c r="B14" s="0" t="n">
        <v>2015</v>
      </c>
      <c r="C14" s="0" t="s">
        <v>332</v>
      </c>
      <c r="D14" s="0" t="n">
        <v>0.0688</v>
      </c>
      <c r="E14" s="0" t="n">
        <v>0.500059</v>
      </c>
      <c r="G14" s="0" t="s">
        <v>329</v>
      </c>
      <c r="H14" s="0" t="s">
        <v>330</v>
      </c>
      <c r="J14" s="0" t="s">
        <v>334</v>
      </c>
    </row>
    <row r="15" customFormat="false" ht="15" hidden="false" customHeight="false" outlineLevel="0" collapsed="false">
      <c r="A15" s="0" t="s">
        <v>86</v>
      </c>
      <c r="B15" s="0" t="n">
        <v>2016</v>
      </c>
      <c r="C15" s="0" t="s">
        <v>328</v>
      </c>
      <c r="D15" s="0" t="n">
        <v>0</v>
      </c>
      <c r="E15" s="0" t="n">
        <v>1.500000001</v>
      </c>
      <c r="F15" s="0" t="n">
        <v>1</v>
      </c>
      <c r="G15" s="0" t="s">
        <v>329</v>
      </c>
      <c r="H15" s="0" t="s">
        <v>330</v>
      </c>
    </row>
    <row r="16" customFormat="false" ht="15" hidden="false" customHeight="false" outlineLevel="0" collapsed="false">
      <c r="A16" s="0" t="s">
        <v>86</v>
      </c>
      <c r="B16" s="0" t="n">
        <v>2016</v>
      </c>
      <c r="C16" s="0" t="s">
        <v>331</v>
      </c>
      <c r="D16" s="0" t="n">
        <v>0</v>
      </c>
      <c r="E16" s="0" t="n">
        <v>1.500000001</v>
      </c>
      <c r="F16" s="0" t="n">
        <v>1</v>
      </c>
      <c r="G16" s="0" t="s">
        <v>329</v>
      </c>
      <c r="H16" s="0" t="s">
        <v>330</v>
      </c>
    </row>
    <row r="17" customFormat="false" ht="15" hidden="false" customHeight="false" outlineLevel="0" collapsed="false">
      <c r="A17" s="0" t="s">
        <v>86</v>
      </c>
      <c r="B17" s="0" t="n">
        <v>2016</v>
      </c>
      <c r="C17" s="0" t="s">
        <v>332</v>
      </c>
      <c r="D17" s="0" t="n">
        <v>-0.0795</v>
      </c>
      <c r="E17" s="0" t="n">
        <v>0.005052</v>
      </c>
      <c r="G17" s="0" t="s">
        <v>335</v>
      </c>
      <c r="H17" s="0" t="s">
        <v>336</v>
      </c>
      <c r="I17" s="0" t="s">
        <v>337</v>
      </c>
      <c r="J17" s="0" t="s">
        <v>338</v>
      </c>
    </row>
    <row r="18" customFormat="false" ht="15" hidden="false" customHeight="false" outlineLevel="0" collapsed="false">
      <c r="A18" s="0" t="s">
        <v>86</v>
      </c>
      <c r="B18" s="0" t="n">
        <v>2017</v>
      </c>
      <c r="C18" s="0" t="s">
        <v>328</v>
      </c>
      <c r="D18" s="0" t="n">
        <v>0</v>
      </c>
      <c r="E18" s="0" t="n">
        <v>1.500000001</v>
      </c>
      <c r="F18" s="0" t="n">
        <v>1</v>
      </c>
      <c r="G18" s="0" t="s">
        <v>329</v>
      </c>
      <c r="H18" s="0" t="s">
        <v>330</v>
      </c>
    </row>
    <row r="19" customFormat="false" ht="15" hidden="false" customHeight="false" outlineLevel="0" collapsed="false">
      <c r="A19" s="0" t="s">
        <v>86</v>
      </c>
      <c r="B19" s="0" t="n">
        <v>2017</v>
      </c>
      <c r="C19" s="0" t="s">
        <v>331</v>
      </c>
      <c r="D19" s="0" t="n">
        <v>0</v>
      </c>
      <c r="E19" s="0" t="n">
        <v>1.500000001</v>
      </c>
      <c r="F19" s="0" t="n">
        <v>1</v>
      </c>
      <c r="G19" s="0" t="s">
        <v>329</v>
      </c>
      <c r="H19" s="0" t="s">
        <v>330</v>
      </c>
    </row>
    <row r="20" customFormat="false" ht="15" hidden="false" customHeight="false" outlineLevel="0" collapsed="false">
      <c r="A20" s="0" t="s">
        <v>86</v>
      </c>
      <c r="B20" s="0" t="n">
        <v>2017</v>
      </c>
      <c r="C20" s="0" t="s">
        <v>332</v>
      </c>
      <c r="D20" s="0" t="n">
        <v>0</v>
      </c>
      <c r="E20" s="0" t="n">
        <v>0.005052</v>
      </c>
      <c r="G20" s="0" t="s">
        <v>329</v>
      </c>
      <c r="H20" s="0" t="s">
        <v>330</v>
      </c>
      <c r="J20" s="0" t="s">
        <v>339</v>
      </c>
    </row>
    <row r="21" customFormat="false" ht="15" hidden="false" customHeight="false" outlineLevel="0" collapsed="false">
      <c r="A21" s="0" t="s">
        <v>86</v>
      </c>
      <c r="B21" s="0" t="n">
        <v>2018</v>
      </c>
      <c r="C21" s="0" t="s">
        <v>328</v>
      </c>
      <c r="D21" s="0" t="n">
        <v>0</v>
      </c>
      <c r="E21" s="0" t="n">
        <v>1.500000001</v>
      </c>
      <c r="F21" s="0" t="n">
        <v>1</v>
      </c>
      <c r="G21" s="0" t="s">
        <v>329</v>
      </c>
      <c r="H21" s="0" t="s">
        <v>330</v>
      </c>
    </row>
    <row r="22" customFormat="false" ht="15" hidden="false" customHeight="false" outlineLevel="0" collapsed="false">
      <c r="A22" s="0" t="s">
        <v>86</v>
      </c>
      <c r="B22" s="0" t="n">
        <v>2019</v>
      </c>
      <c r="C22" s="0" t="s">
        <v>328</v>
      </c>
      <c r="D22" s="0" t="n">
        <v>0</v>
      </c>
      <c r="E22" s="0" t="n">
        <v>1.500000001</v>
      </c>
      <c r="F22" s="0" t="n">
        <v>1</v>
      </c>
      <c r="G22" s="0" t="s">
        <v>329</v>
      </c>
      <c r="H22" s="0" t="s">
        <v>330</v>
      </c>
    </row>
    <row r="23" customFormat="false" ht="15" hidden="false" customHeight="false" outlineLevel="0" collapsed="false">
      <c r="A23" s="0" t="s">
        <v>86</v>
      </c>
      <c r="B23" s="0" t="n">
        <v>2020</v>
      </c>
      <c r="C23" s="0" t="s">
        <v>328</v>
      </c>
      <c r="D23" s="0" t="n">
        <v>0</v>
      </c>
      <c r="E23" s="0" t="n">
        <v>1.500000001</v>
      </c>
      <c r="F23" s="0" t="n">
        <v>1</v>
      </c>
      <c r="G23" s="0" t="s">
        <v>329</v>
      </c>
      <c r="H23" s="0" t="s">
        <v>330</v>
      </c>
    </row>
    <row r="24" customFormat="false" ht="15" hidden="false" customHeight="false" outlineLevel="0" collapsed="false">
      <c r="A24" s="0" t="s">
        <v>86</v>
      </c>
      <c r="B24" s="0" t="n">
        <v>2020</v>
      </c>
      <c r="C24" s="0" t="s">
        <v>331</v>
      </c>
      <c r="D24" s="0" t="n">
        <v>0</v>
      </c>
      <c r="E24" s="0" t="n">
        <v>1.500000001</v>
      </c>
      <c r="F24" s="0" t="n">
        <v>1</v>
      </c>
      <c r="G24" s="0" t="s">
        <v>329</v>
      </c>
      <c r="H24" s="0" t="s">
        <v>330</v>
      </c>
    </row>
    <row r="25" customFormat="false" ht="15" hidden="false" customHeight="false" outlineLevel="0" collapsed="false">
      <c r="A25" s="0" t="s">
        <v>86</v>
      </c>
      <c r="B25" s="0" t="n">
        <v>2020</v>
      </c>
      <c r="C25" s="0" t="s">
        <v>332</v>
      </c>
      <c r="D25" s="0" t="n">
        <v>-0.003</v>
      </c>
      <c r="E25" s="0" t="n">
        <v>0.005044</v>
      </c>
      <c r="G25" s="0" t="s">
        <v>329</v>
      </c>
      <c r="H25" s="0" t="s">
        <v>330</v>
      </c>
      <c r="J25" s="0" t="s">
        <v>340</v>
      </c>
    </row>
    <row r="26" customFormat="false" ht="15" hidden="false" customHeight="false" outlineLevel="0" collapsed="false">
      <c r="A26" s="0" t="s">
        <v>86</v>
      </c>
      <c r="B26" s="0" t="n">
        <v>2021</v>
      </c>
      <c r="C26" s="0" t="s">
        <v>328</v>
      </c>
      <c r="D26" s="0" t="n">
        <v>0</v>
      </c>
      <c r="E26" s="0" t="n">
        <v>1.500000001</v>
      </c>
      <c r="F26" s="0" t="n">
        <v>1</v>
      </c>
      <c r="G26" s="0" t="s">
        <v>329</v>
      </c>
      <c r="H26" s="0" t="s">
        <v>330</v>
      </c>
    </row>
    <row r="27" customFormat="false" ht="15" hidden="false" customHeight="false" outlineLevel="0" collapsed="false">
      <c r="A27" s="0" t="s">
        <v>86</v>
      </c>
      <c r="B27" s="0" t="n">
        <v>2021</v>
      </c>
      <c r="C27" s="0" t="s">
        <v>331</v>
      </c>
      <c r="D27" s="0" t="n">
        <v>0</v>
      </c>
      <c r="E27" s="0" t="n">
        <v>1.500000001</v>
      </c>
      <c r="F27" s="0" t="n">
        <v>1</v>
      </c>
      <c r="G27" s="0" t="s">
        <v>329</v>
      </c>
      <c r="H27" s="0" t="s">
        <v>330</v>
      </c>
    </row>
    <row r="28" customFormat="false" ht="15" hidden="false" customHeight="false" outlineLevel="0" collapsed="false">
      <c r="A28" s="0" t="s">
        <v>86</v>
      </c>
      <c r="B28" s="0" t="n">
        <v>2021</v>
      </c>
      <c r="C28" s="0" t="s">
        <v>332</v>
      </c>
      <c r="D28" s="0" t="n">
        <v>0.0029</v>
      </c>
      <c r="E28" s="0" t="n">
        <v>0.005039</v>
      </c>
      <c r="G28" s="0" t="s">
        <v>329</v>
      </c>
      <c r="H28" s="0" t="s">
        <v>330</v>
      </c>
      <c r="J28" s="0" t="s">
        <v>341</v>
      </c>
    </row>
    <row r="29" customFormat="false" ht="15" hidden="false" customHeight="false" outlineLevel="0" collapsed="false">
      <c r="A29" s="0" t="s">
        <v>86</v>
      </c>
      <c r="B29" s="0" t="n">
        <v>2022</v>
      </c>
      <c r="C29" s="0" t="s">
        <v>328</v>
      </c>
      <c r="D29" s="0" t="n">
        <v>0</v>
      </c>
      <c r="E29" s="0" t="n">
        <v>1.500000001</v>
      </c>
      <c r="F29" s="0" t="n">
        <v>1</v>
      </c>
      <c r="G29" s="0" t="s">
        <v>329</v>
      </c>
      <c r="H29" s="0" t="s">
        <v>330</v>
      </c>
    </row>
    <row r="30" customFormat="false" ht="15" hidden="false" customHeight="false" outlineLevel="0" collapsed="false">
      <c r="A30" s="0" t="s">
        <v>86</v>
      </c>
      <c r="B30" s="0" t="n">
        <v>2022</v>
      </c>
      <c r="C30" s="0" t="s">
        <v>331</v>
      </c>
      <c r="D30" s="0" t="n">
        <v>0</v>
      </c>
      <c r="E30" s="0" t="n">
        <v>1.500000001</v>
      </c>
      <c r="F30" s="0" t="n">
        <v>1</v>
      </c>
      <c r="G30" s="0" t="s">
        <v>329</v>
      </c>
      <c r="H30" s="0" t="s">
        <v>330</v>
      </c>
    </row>
    <row r="31" customFormat="false" ht="15" hidden="false" customHeight="false" outlineLevel="0" collapsed="false">
      <c r="A31" s="0" t="s">
        <v>86</v>
      </c>
      <c r="B31" s="0" t="n">
        <v>2022</v>
      </c>
      <c r="C31" s="0" t="s">
        <v>332</v>
      </c>
      <c r="D31" s="0" t="n">
        <v>-0.0022</v>
      </c>
      <c r="E31" s="0" t="n">
        <v>0.005037</v>
      </c>
      <c r="G31" s="0" t="s">
        <v>329</v>
      </c>
      <c r="H31" s="0" t="s">
        <v>330</v>
      </c>
      <c r="J31" s="0" t="s">
        <v>342</v>
      </c>
    </row>
    <row r="32" customFormat="false" ht="15" hidden="false" customHeight="false" outlineLevel="0" collapsed="false">
      <c r="A32" s="0" t="s">
        <v>104</v>
      </c>
      <c r="B32" s="0" t="n">
        <v>2013</v>
      </c>
      <c r="C32" s="0" t="s">
        <v>328</v>
      </c>
      <c r="D32" s="0" t="n">
        <v>0</v>
      </c>
      <c r="E32" s="0" t="n">
        <v>1.500000001</v>
      </c>
      <c r="F32" s="0" t="n">
        <v>1</v>
      </c>
      <c r="G32" s="0" t="s">
        <v>329</v>
      </c>
      <c r="H32" s="0" t="s">
        <v>330</v>
      </c>
    </row>
    <row r="33" customFormat="false" ht="15" hidden="false" customHeight="false" outlineLevel="0" collapsed="false">
      <c r="A33" s="0" t="s">
        <v>104</v>
      </c>
      <c r="B33" s="0" t="n">
        <v>2014</v>
      </c>
      <c r="C33" s="0" t="s">
        <v>328</v>
      </c>
      <c r="D33" s="0" t="n">
        <v>0</v>
      </c>
      <c r="E33" s="0" t="n">
        <v>1.500000001</v>
      </c>
      <c r="F33" s="0" t="n">
        <v>1</v>
      </c>
      <c r="G33" s="0" t="s">
        <v>329</v>
      </c>
      <c r="H33" s="0" t="s">
        <v>330</v>
      </c>
    </row>
    <row r="34" customFormat="false" ht="15" hidden="false" customHeight="false" outlineLevel="0" collapsed="false">
      <c r="A34" s="0" t="s">
        <v>104</v>
      </c>
      <c r="B34" s="0" t="n">
        <v>2016</v>
      </c>
      <c r="C34" s="0" t="s">
        <v>328</v>
      </c>
      <c r="D34" s="0" t="n">
        <v>0</v>
      </c>
      <c r="E34" s="0" t="n">
        <v>1.500000001</v>
      </c>
      <c r="F34" s="0" t="n">
        <v>1</v>
      </c>
      <c r="G34" s="0" t="s">
        <v>329</v>
      </c>
      <c r="H34" s="0" t="s">
        <v>330</v>
      </c>
    </row>
    <row r="35" customFormat="false" ht="15" hidden="false" customHeight="false" outlineLevel="0" collapsed="false">
      <c r="A35" s="0" t="s">
        <v>104</v>
      </c>
      <c r="B35" s="0" t="n">
        <v>2016</v>
      </c>
      <c r="C35" s="0" t="s">
        <v>331</v>
      </c>
      <c r="D35" s="0" t="n">
        <v>0</v>
      </c>
      <c r="E35" s="0" t="n">
        <v>1.500000001</v>
      </c>
      <c r="F35" s="0" t="n">
        <v>1</v>
      </c>
      <c r="G35" s="0" t="s">
        <v>329</v>
      </c>
      <c r="H35" s="0" t="s">
        <v>330</v>
      </c>
    </row>
    <row r="36" customFormat="false" ht="15" hidden="false" customHeight="false" outlineLevel="0" collapsed="false">
      <c r="A36" s="0" t="s">
        <v>104</v>
      </c>
      <c r="B36" s="0" t="n">
        <v>2016</v>
      </c>
      <c r="C36" s="0" t="s">
        <v>332</v>
      </c>
      <c r="D36" s="0" t="n">
        <v>0.0033</v>
      </c>
      <c r="E36" s="0" t="n">
        <v>0.005021</v>
      </c>
      <c r="G36" s="0" t="s">
        <v>329</v>
      </c>
      <c r="H36" s="0" t="s">
        <v>330</v>
      </c>
      <c r="J36" s="0" t="s">
        <v>343</v>
      </c>
    </row>
    <row r="37" customFormat="false" ht="15" hidden="false" customHeight="false" outlineLevel="0" collapsed="false">
      <c r="A37" s="0" t="s">
        <v>104</v>
      </c>
      <c r="B37" s="0" t="n">
        <v>2017</v>
      </c>
      <c r="C37" s="0" t="s">
        <v>328</v>
      </c>
      <c r="D37" s="0" t="n">
        <v>0</v>
      </c>
      <c r="E37" s="0" t="n">
        <v>1.500000001</v>
      </c>
      <c r="F37" s="0" t="n">
        <v>1</v>
      </c>
      <c r="G37" s="0" t="s">
        <v>329</v>
      </c>
      <c r="H37" s="0" t="s">
        <v>330</v>
      </c>
    </row>
    <row r="38" customFormat="false" ht="15" hidden="false" customHeight="false" outlineLevel="0" collapsed="false">
      <c r="A38" s="0" t="s">
        <v>104</v>
      </c>
      <c r="B38" s="0" t="n">
        <v>2017</v>
      </c>
      <c r="C38" s="0" t="s">
        <v>331</v>
      </c>
      <c r="D38" s="0" t="n">
        <v>0</v>
      </c>
      <c r="E38" s="0" t="n">
        <v>1.500000001</v>
      </c>
      <c r="F38" s="0" t="n">
        <v>1</v>
      </c>
      <c r="G38" s="0" t="s">
        <v>329</v>
      </c>
      <c r="H38" s="0" t="s">
        <v>330</v>
      </c>
    </row>
    <row r="39" customFormat="false" ht="15" hidden="false" customHeight="false" outlineLevel="0" collapsed="false">
      <c r="A39" s="0" t="s">
        <v>104</v>
      </c>
      <c r="B39" s="0" t="n">
        <v>2017</v>
      </c>
      <c r="C39" s="0" t="s">
        <v>332</v>
      </c>
      <c r="D39" s="0" t="n">
        <v>0.0011</v>
      </c>
      <c r="E39" s="0" t="n">
        <v>0.005019</v>
      </c>
      <c r="G39" s="0" t="s">
        <v>329</v>
      </c>
      <c r="H39" s="0" t="s">
        <v>330</v>
      </c>
      <c r="J39" s="0" t="s">
        <v>344</v>
      </c>
    </row>
    <row r="40" customFormat="false" ht="15" hidden="false" customHeight="false" outlineLevel="0" collapsed="false">
      <c r="A40" s="0" t="s">
        <v>109</v>
      </c>
      <c r="B40" s="0" t="n">
        <v>2013</v>
      </c>
      <c r="C40" s="0" t="s">
        <v>328</v>
      </c>
      <c r="D40" s="0" t="n">
        <v>0</v>
      </c>
      <c r="E40" s="0" t="n">
        <v>1.500000001</v>
      </c>
      <c r="F40" s="0" t="n">
        <v>1</v>
      </c>
      <c r="G40" s="0" t="s">
        <v>329</v>
      </c>
      <c r="H40" s="0" t="s">
        <v>330</v>
      </c>
    </row>
    <row r="41" customFormat="false" ht="15" hidden="false" customHeight="false" outlineLevel="0" collapsed="false">
      <c r="A41" s="0" t="s">
        <v>109</v>
      </c>
      <c r="B41" s="0" t="n">
        <v>2014</v>
      </c>
      <c r="C41" s="0" t="s">
        <v>328</v>
      </c>
      <c r="D41" s="0" t="n">
        <v>0</v>
      </c>
      <c r="E41" s="0" t="n">
        <v>1.500000001</v>
      </c>
      <c r="F41" s="0" t="n">
        <v>1</v>
      </c>
      <c r="G41" s="0" t="s">
        <v>329</v>
      </c>
      <c r="H41" s="0" t="s">
        <v>330</v>
      </c>
    </row>
    <row r="42" customFormat="false" ht="15" hidden="false" customHeight="false" outlineLevel="0" collapsed="false">
      <c r="A42" s="0" t="s">
        <v>109</v>
      </c>
      <c r="B42" s="0" t="n">
        <v>2017</v>
      </c>
      <c r="C42" s="0" t="s">
        <v>328</v>
      </c>
      <c r="D42" s="0" t="n">
        <v>0</v>
      </c>
      <c r="E42" s="0" t="n">
        <v>0.001500001</v>
      </c>
      <c r="F42" s="0" t="n">
        <v>0.001</v>
      </c>
      <c r="G42" s="0" t="s">
        <v>329</v>
      </c>
      <c r="H42" s="0" t="s">
        <v>330</v>
      </c>
    </row>
    <row r="43" customFormat="false" ht="15" hidden="false" customHeight="false" outlineLevel="0" collapsed="false">
      <c r="A43" s="0" t="s">
        <v>109</v>
      </c>
      <c r="B43" s="0" t="n">
        <v>2017</v>
      </c>
      <c r="C43" s="0" t="s">
        <v>331</v>
      </c>
      <c r="D43" s="0" t="n">
        <v>0</v>
      </c>
      <c r="E43" s="0" t="n">
        <v>0.001500001</v>
      </c>
      <c r="F43" s="0" t="n">
        <v>0.001</v>
      </c>
      <c r="G43" s="0" t="s">
        <v>329</v>
      </c>
      <c r="H43" s="0" t="s">
        <v>330</v>
      </c>
    </row>
    <row r="44" customFormat="false" ht="15" hidden="false" customHeight="false" outlineLevel="0" collapsed="false">
      <c r="A44" s="0" t="s">
        <v>109</v>
      </c>
      <c r="B44" s="0" t="n">
        <v>2018</v>
      </c>
      <c r="C44" s="0" t="s">
        <v>328</v>
      </c>
      <c r="D44" s="0" t="n">
        <v>0</v>
      </c>
      <c r="E44" s="0" t="n">
        <v>0.001500001</v>
      </c>
      <c r="F44" s="0" t="n">
        <v>0.001</v>
      </c>
      <c r="G44" s="0" t="s">
        <v>329</v>
      </c>
      <c r="H44" s="0" t="s">
        <v>330</v>
      </c>
    </row>
    <row r="45" customFormat="false" ht="15" hidden="false" customHeight="false" outlineLevel="0" collapsed="false">
      <c r="A45" s="0" t="s">
        <v>109</v>
      </c>
      <c r="B45" s="0" t="n">
        <v>2018</v>
      </c>
      <c r="C45" s="0" t="s">
        <v>331</v>
      </c>
      <c r="D45" s="0" t="n">
        <v>0</v>
      </c>
      <c r="E45" s="0" t="n">
        <v>0.001500001</v>
      </c>
      <c r="F45" s="0" t="n">
        <v>0.001</v>
      </c>
      <c r="G45" s="0" t="s">
        <v>329</v>
      </c>
      <c r="H45" s="0" t="s">
        <v>330</v>
      </c>
    </row>
    <row r="46" customFormat="false" ht="15" hidden="false" customHeight="false" outlineLevel="0" collapsed="false">
      <c r="A46" s="0" t="s">
        <v>109</v>
      </c>
      <c r="B46" s="0" t="n">
        <v>2019</v>
      </c>
      <c r="C46" s="0" t="s">
        <v>328</v>
      </c>
      <c r="D46" s="0" t="n">
        <v>0</v>
      </c>
      <c r="E46" s="0" t="n">
        <v>0.001500001</v>
      </c>
      <c r="F46" s="0" t="n">
        <v>0.001</v>
      </c>
      <c r="G46" s="0" t="s">
        <v>329</v>
      </c>
      <c r="H46" s="0" t="s">
        <v>330</v>
      </c>
    </row>
    <row r="47" customFormat="false" ht="15" hidden="false" customHeight="false" outlineLevel="0" collapsed="false">
      <c r="A47" s="0" t="s">
        <v>109</v>
      </c>
      <c r="B47" s="0" t="n">
        <v>2019</v>
      </c>
      <c r="C47" s="0" t="s">
        <v>331</v>
      </c>
      <c r="D47" s="0" t="n">
        <v>0</v>
      </c>
      <c r="E47" s="0" t="n">
        <v>0.001500001</v>
      </c>
      <c r="F47" s="0" t="n">
        <v>0.001</v>
      </c>
      <c r="G47" s="0" t="s">
        <v>329</v>
      </c>
      <c r="H47" s="0" t="s">
        <v>330</v>
      </c>
    </row>
    <row r="48" customFormat="false" ht="15" hidden="false" customHeight="false" outlineLevel="0" collapsed="false">
      <c r="A48" s="0" t="s">
        <v>109</v>
      </c>
      <c r="B48" s="0" t="n">
        <v>2019</v>
      </c>
      <c r="C48" s="0" t="s">
        <v>332</v>
      </c>
      <c r="D48" s="0" t="n">
        <v>0.0001</v>
      </c>
      <c r="E48" s="0" t="n">
        <v>0.005</v>
      </c>
      <c r="G48" s="0" t="s">
        <v>329</v>
      </c>
      <c r="H48" s="0" t="s">
        <v>330</v>
      </c>
      <c r="J48" s="0" t="s">
        <v>345</v>
      </c>
    </row>
    <row r="49" customFormat="false" ht="15" hidden="false" customHeight="false" outlineLevel="0" collapsed="false">
      <c r="A49" s="0" t="s">
        <v>116</v>
      </c>
      <c r="B49" s="0" t="n">
        <v>2018</v>
      </c>
      <c r="C49" s="0" t="s">
        <v>328</v>
      </c>
      <c r="D49" s="0" t="n">
        <v>0</v>
      </c>
      <c r="E49" s="0" t="n">
        <v>1.500000001</v>
      </c>
      <c r="F49" s="0" t="n">
        <v>1</v>
      </c>
      <c r="G49" s="0" t="s">
        <v>329</v>
      </c>
      <c r="H49" s="0" t="s">
        <v>330</v>
      </c>
    </row>
    <row r="50" customFormat="false" ht="15" hidden="false" customHeight="false" outlineLevel="0" collapsed="false">
      <c r="A50" s="0" t="s">
        <v>116</v>
      </c>
      <c r="B50" s="0" t="n">
        <v>2019</v>
      </c>
      <c r="C50" s="0" t="s">
        <v>328</v>
      </c>
      <c r="D50" s="0" t="n">
        <v>0</v>
      </c>
      <c r="E50" s="0" t="n">
        <v>1.500000001</v>
      </c>
      <c r="F50" s="0" t="n">
        <v>1</v>
      </c>
      <c r="G50" s="0" t="s">
        <v>329</v>
      </c>
      <c r="H50" s="0" t="s">
        <v>330</v>
      </c>
    </row>
    <row r="51" customFormat="false" ht="15" hidden="false" customHeight="false" outlineLevel="0" collapsed="false">
      <c r="A51" s="0" t="s">
        <v>116</v>
      </c>
      <c r="B51" s="0" t="n">
        <v>2020</v>
      </c>
      <c r="C51" s="0" t="s">
        <v>328</v>
      </c>
      <c r="D51" s="0" t="n">
        <v>0</v>
      </c>
      <c r="E51" s="0" t="n">
        <v>1.500000001</v>
      </c>
      <c r="F51" s="0" t="n">
        <v>1</v>
      </c>
      <c r="G51" s="0" t="s">
        <v>329</v>
      </c>
      <c r="H51" s="0" t="s">
        <v>330</v>
      </c>
    </row>
    <row r="52" customFormat="false" ht="15" hidden="false" customHeight="false" outlineLevel="0" collapsed="false">
      <c r="A52" s="0" t="s">
        <v>116</v>
      </c>
      <c r="B52" s="0" t="n">
        <v>2020</v>
      </c>
      <c r="C52" s="0" t="s">
        <v>331</v>
      </c>
      <c r="D52" s="0" t="n">
        <v>0</v>
      </c>
      <c r="E52" s="0" t="n">
        <v>1.500000001</v>
      </c>
      <c r="F52" s="0" t="n">
        <v>1</v>
      </c>
      <c r="G52" s="0" t="s">
        <v>329</v>
      </c>
      <c r="H52" s="0" t="s">
        <v>330</v>
      </c>
    </row>
    <row r="53" customFormat="false" ht="15" hidden="false" customHeight="false" outlineLevel="0" collapsed="false">
      <c r="A53" s="0" t="s">
        <v>116</v>
      </c>
      <c r="B53" s="0" t="n">
        <v>2020</v>
      </c>
      <c r="C53" s="0" t="s">
        <v>332</v>
      </c>
      <c r="D53" s="0" t="n">
        <v>-0.015</v>
      </c>
      <c r="E53" s="0" t="n">
        <v>0.050052</v>
      </c>
      <c r="G53" s="0" t="s">
        <v>329</v>
      </c>
      <c r="H53" s="0" t="s">
        <v>330</v>
      </c>
      <c r="J53" s="0" t="s">
        <v>346</v>
      </c>
    </row>
    <row r="54" customFormat="false" ht="15" hidden="false" customHeight="false" outlineLevel="0" collapsed="false">
      <c r="A54" s="0" t="s">
        <v>116</v>
      </c>
      <c r="B54" s="0" t="n">
        <v>2021</v>
      </c>
      <c r="C54" s="0" t="s">
        <v>328</v>
      </c>
      <c r="D54" s="0" t="n">
        <v>0</v>
      </c>
      <c r="E54" s="0" t="n">
        <v>1.500000001</v>
      </c>
      <c r="F54" s="0" t="n">
        <v>1</v>
      </c>
      <c r="G54" s="0" t="s">
        <v>329</v>
      </c>
      <c r="H54" s="0" t="s">
        <v>330</v>
      </c>
    </row>
    <row r="55" customFormat="false" ht="15" hidden="false" customHeight="false" outlineLevel="0" collapsed="false">
      <c r="A55" s="0" t="s">
        <v>116</v>
      </c>
      <c r="B55" s="0" t="n">
        <v>2021</v>
      </c>
      <c r="C55" s="0" t="s">
        <v>331</v>
      </c>
      <c r="D55" s="0" t="n">
        <v>0</v>
      </c>
      <c r="E55" s="0" t="n">
        <v>1.500000001</v>
      </c>
      <c r="F55" s="0" t="n">
        <v>1</v>
      </c>
      <c r="G55" s="0" t="s">
        <v>329</v>
      </c>
      <c r="H55" s="0" t="s">
        <v>330</v>
      </c>
    </row>
    <row r="56" customFormat="false" ht="15" hidden="false" customHeight="false" outlineLevel="0" collapsed="false">
      <c r="A56" s="0" t="s">
        <v>116</v>
      </c>
      <c r="B56" s="0" t="n">
        <v>2021</v>
      </c>
      <c r="C56" s="0" t="s">
        <v>332</v>
      </c>
      <c r="D56" s="0" t="n">
        <v>-0.0415</v>
      </c>
      <c r="E56" s="0" t="n">
        <v>0.050041</v>
      </c>
      <c r="G56" s="0" t="s">
        <v>329</v>
      </c>
      <c r="H56" s="0" t="s">
        <v>330</v>
      </c>
      <c r="J56" s="0" t="s">
        <v>347</v>
      </c>
    </row>
    <row r="57" customFormat="false" ht="15" hidden="false" customHeight="false" outlineLevel="0" collapsed="false">
      <c r="A57" s="0" t="s">
        <v>116</v>
      </c>
      <c r="B57" s="0" t="n">
        <v>2022</v>
      </c>
      <c r="C57" s="0" t="s">
        <v>328</v>
      </c>
      <c r="D57" s="0" t="n">
        <v>0</v>
      </c>
      <c r="E57" s="0" t="n">
        <v>1.500000001</v>
      </c>
      <c r="F57" s="0" t="n">
        <v>1</v>
      </c>
      <c r="G57" s="0" t="s">
        <v>329</v>
      </c>
      <c r="H57" s="0" t="s">
        <v>330</v>
      </c>
    </row>
    <row r="58" customFormat="false" ht="15" hidden="false" customHeight="false" outlineLevel="0" collapsed="false">
      <c r="A58" s="0" t="s">
        <v>116</v>
      </c>
      <c r="B58" s="0" t="n">
        <v>2022</v>
      </c>
      <c r="C58" s="0" t="s">
        <v>331</v>
      </c>
      <c r="D58" s="0" t="n">
        <v>0</v>
      </c>
      <c r="E58" s="0" t="n">
        <v>1.500000001</v>
      </c>
      <c r="F58" s="0" t="n">
        <v>1</v>
      </c>
      <c r="G58" s="0" t="s">
        <v>329</v>
      </c>
      <c r="H58" s="0" t="s">
        <v>330</v>
      </c>
    </row>
    <row r="59" customFormat="false" ht="15" hidden="false" customHeight="false" outlineLevel="0" collapsed="false">
      <c r="A59" s="0" t="s">
        <v>116</v>
      </c>
      <c r="B59" s="0" t="n">
        <v>2022</v>
      </c>
      <c r="C59" s="0" t="s">
        <v>332</v>
      </c>
      <c r="D59" s="0" t="n">
        <v>-0.0094</v>
      </c>
      <c r="E59" s="0" t="n">
        <v>0.050038</v>
      </c>
      <c r="G59" s="0" t="s">
        <v>329</v>
      </c>
      <c r="H59" s="0" t="s">
        <v>330</v>
      </c>
      <c r="J59" s="0" t="s">
        <v>348</v>
      </c>
    </row>
    <row r="60" customFormat="false" ht="15" hidden="false" customHeight="false" outlineLevel="0" collapsed="false">
      <c r="A60" s="0" t="s">
        <v>126</v>
      </c>
      <c r="B60" s="0" t="n">
        <v>2013</v>
      </c>
      <c r="C60" s="0" t="s">
        <v>328</v>
      </c>
      <c r="D60" s="0" t="n">
        <v>0</v>
      </c>
      <c r="E60" s="0" t="n">
        <v>0.001500001</v>
      </c>
      <c r="F60" s="0" t="n">
        <v>0.001</v>
      </c>
      <c r="G60" s="0" t="s">
        <v>329</v>
      </c>
      <c r="H60" s="0" t="s">
        <v>330</v>
      </c>
    </row>
    <row r="61" customFormat="false" ht="15" hidden="false" customHeight="false" outlineLevel="0" collapsed="false">
      <c r="A61" s="0" t="s">
        <v>126</v>
      </c>
      <c r="B61" s="0" t="n">
        <v>2014</v>
      </c>
      <c r="C61" s="0" t="s">
        <v>328</v>
      </c>
      <c r="D61" s="0" t="n">
        <v>0</v>
      </c>
      <c r="E61" s="0" t="n">
        <v>0.001500001</v>
      </c>
      <c r="F61" s="0" t="n">
        <v>0.001</v>
      </c>
      <c r="G61" s="0" t="s">
        <v>329</v>
      </c>
      <c r="H61" s="0" t="s">
        <v>330</v>
      </c>
    </row>
    <row r="62" customFormat="false" ht="15" hidden="false" customHeight="false" outlineLevel="0" collapsed="false">
      <c r="A62" s="0" t="s">
        <v>126</v>
      </c>
      <c r="B62" s="0" t="n">
        <v>2018</v>
      </c>
      <c r="C62" s="0" t="s">
        <v>328</v>
      </c>
      <c r="D62" s="0" t="n">
        <v>0</v>
      </c>
      <c r="E62" s="0" t="n">
        <v>1.500000001</v>
      </c>
      <c r="F62" s="0" t="n">
        <v>1</v>
      </c>
      <c r="G62" s="0" t="s">
        <v>329</v>
      </c>
      <c r="H62" s="0" t="s">
        <v>330</v>
      </c>
    </row>
    <row r="63" customFormat="false" ht="15" hidden="false" customHeight="false" outlineLevel="0" collapsed="false">
      <c r="A63" s="0" t="s">
        <v>126</v>
      </c>
      <c r="B63" s="0" t="n">
        <v>2019</v>
      </c>
      <c r="C63" s="0" t="s">
        <v>328</v>
      </c>
      <c r="D63" s="0" t="n">
        <v>0</v>
      </c>
      <c r="E63" s="0" t="n">
        <v>1.500000001</v>
      </c>
      <c r="F63" s="0" t="n">
        <v>1</v>
      </c>
      <c r="G63" s="0" t="s">
        <v>329</v>
      </c>
      <c r="H63" s="0" t="s">
        <v>330</v>
      </c>
    </row>
    <row r="64" customFormat="false" ht="15" hidden="false" customHeight="false" outlineLevel="0" collapsed="false">
      <c r="A64" s="0" t="s">
        <v>129</v>
      </c>
      <c r="B64" s="0" t="n">
        <v>2013</v>
      </c>
      <c r="C64" s="0" t="s">
        <v>328</v>
      </c>
      <c r="D64" s="0" t="n">
        <v>0</v>
      </c>
      <c r="E64" s="0" t="n">
        <v>1.500000001</v>
      </c>
      <c r="F64" s="0" t="n">
        <v>1</v>
      </c>
      <c r="G64" s="0" t="s">
        <v>329</v>
      </c>
      <c r="H64" s="0" t="s">
        <v>330</v>
      </c>
    </row>
    <row r="65" customFormat="false" ht="15" hidden="false" customHeight="false" outlineLevel="0" collapsed="false">
      <c r="A65" s="0" t="s">
        <v>129</v>
      </c>
      <c r="B65" s="0" t="n">
        <v>2014</v>
      </c>
      <c r="C65" s="0" t="s">
        <v>328</v>
      </c>
      <c r="D65" s="0" t="n">
        <v>0</v>
      </c>
      <c r="E65" s="0" t="n">
        <v>1.500000001</v>
      </c>
      <c r="F65" s="0" t="n">
        <v>1</v>
      </c>
      <c r="G65" s="0" t="s">
        <v>329</v>
      </c>
      <c r="H65" s="0" t="s">
        <v>330</v>
      </c>
    </row>
    <row r="66" customFormat="false" ht="15" hidden="false" customHeight="false" outlineLevel="0" collapsed="false">
      <c r="A66" s="0" t="s">
        <v>129</v>
      </c>
      <c r="B66" s="0" t="n">
        <v>2015</v>
      </c>
      <c r="C66" s="0" t="s">
        <v>328</v>
      </c>
      <c r="D66" s="0" t="n">
        <v>0</v>
      </c>
      <c r="E66" s="0" t="n">
        <v>1.500000001</v>
      </c>
      <c r="F66" s="0" t="n">
        <v>1</v>
      </c>
      <c r="G66" s="0" t="s">
        <v>329</v>
      </c>
      <c r="H66" s="0" t="s">
        <v>330</v>
      </c>
    </row>
    <row r="67" customFormat="false" ht="15" hidden="false" customHeight="false" outlineLevel="0" collapsed="false">
      <c r="A67" s="0" t="s">
        <v>129</v>
      </c>
      <c r="B67" s="0" t="n">
        <v>2015</v>
      </c>
      <c r="C67" s="0" t="s">
        <v>331</v>
      </c>
      <c r="D67" s="0" t="n">
        <v>0</v>
      </c>
      <c r="E67" s="0" t="n">
        <v>1.500000001</v>
      </c>
      <c r="F67" s="0" t="n">
        <v>1</v>
      </c>
      <c r="G67" s="0" t="s">
        <v>329</v>
      </c>
      <c r="H67" s="0" t="s">
        <v>330</v>
      </c>
    </row>
    <row r="68" customFormat="false" ht="15" hidden="false" customHeight="false" outlineLevel="0" collapsed="false">
      <c r="A68" s="0" t="s">
        <v>129</v>
      </c>
      <c r="B68" s="0" t="n">
        <v>2015</v>
      </c>
      <c r="C68" s="0" t="s">
        <v>332</v>
      </c>
      <c r="D68" s="0" t="n">
        <v>0.0483</v>
      </c>
      <c r="E68" s="0" t="n">
        <v>0.50005</v>
      </c>
      <c r="G68" s="0" t="s">
        <v>329</v>
      </c>
      <c r="H68" s="0" t="s">
        <v>330</v>
      </c>
      <c r="J68" s="0" t="s">
        <v>349</v>
      </c>
    </row>
    <row r="69" customFormat="false" ht="15" hidden="false" customHeight="false" outlineLevel="0" collapsed="false">
      <c r="A69" s="0" t="s">
        <v>129</v>
      </c>
      <c r="B69" s="0" t="n">
        <v>2016</v>
      </c>
      <c r="C69" s="0" t="s">
        <v>328</v>
      </c>
      <c r="D69" s="0" t="n">
        <v>0</v>
      </c>
      <c r="E69" s="0" t="n">
        <v>1.500000001</v>
      </c>
      <c r="F69" s="0" t="n">
        <v>1</v>
      </c>
      <c r="G69" s="0" t="s">
        <v>329</v>
      </c>
      <c r="H69" s="0" t="s">
        <v>330</v>
      </c>
    </row>
    <row r="70" customFormat="false" ht="15" hidden="false" customHeight="false" outlineLevel="0" collapsed="false">
      <c r="A70" s="0" t="s">
        <v>129</v>
      </c>
      <c r="B70" s="0" t="n">
        <v>2016</v>
      </c>
      <c r="C70" s="0" t="s">
        <v>331</v>
      </c>
      <c r="D70" s="0" t="n">
        <v>0</v>
      </c>
      <c r="E70" s="0" t="n">
        <v>1.500000001</v>
      </c>
      <c r="F70" s="0" t="n">
        <v>1</v>
      </c>
      <c r="G70" s="0" t="s">
        <v>329</v>
      </c>
      <c r="H70" s="0" t="s">
        <v>330</v>
      </c>
    </row>
    <row r="71" customFormat="false" ht="15" hidden="false" customHeight="false" outlineLevel="0" collapsed="false">
      <c r="A71" s="0" t="s">
        <v>129</v>
      </c>
      <c r="B71" s="0" t="n">
        <v>2016</v>
      </c>
      <c r="C71" s="0" t="s">
        <v>332</v>
      </c>
      <c r="D71" s="0" t="n">
        <v>0.2971</v>
      </c>
      <c r="E71" s="0" t="n">
        <v>0.500045</v>
      </c>
      <c r="G71" s="0" t="s">
        <v>329</v>
      </c>
      <c r="H71" s="0" t="s">
        <v>330</v>
      </c>
      <c r="J71" s="0" t="s">
        <v>350</v>
      </c>
    </row>
    <row r="72" customFormat="false" ht="15" hidden="false" customHeight="false" outlineLevel="0" collapsed="false">
      <c r="A72" s="0" t="s">
        <v>129</v>
      </c>
      <c r="B72" s="0" t="n">
        <v>2017</v>
      </c>
      <c r="C72" s="0" t="s">
        <v>328</v>
      </c>
      <c r="D72" s="0" t="n">
        <v>0</v>
      </c>
      <c r="E72" s="0" t="n">
        <v>1.500000001</v>
      </c>
      <c r="F72" s="0" t="n">
        <v>1</v>
      </c>
      <c r="G72" s="0" t="s">
        <v>329</v>
      </c>
      <c r="H72" s="0" t="s">
        <v>330</v>
      </c>
    </row>
    <row r="73" customFormat="false" ht="15" hidden="false" customHeight="false" outlineLevel="0" collapsed="false">
      <c r="A73" s="0" t="s">
        <v>129</v>
      </c>
      <c r="B73" s="0" t="n">
        <v>2017</v>
      </c>
      <c r="C73" s="0" t="s">
        <v>331</v>
      </c>
      <c r="D73" s="0" t="n">
        <v>0</v>
      </c>
      <c r="E73" s="0" t="n">
        <v>1.500000001</v>
      </c>
      <c r="F73" s="0" t="n">
        <v>1</v>
      </c>
      <c r="G73" s="0" t="s">
        <v>329</v>
      </c>
      <c r="H73" s="0" t="s">
        <v>330</v>
      </c>
    </row>
    <row r="74" customFormat="false" ht="15" hidden="false" customHeight="false" outlineLevel="0" collapsed="false">
      <c r="A74" s="0" t="s">
        <v>129</v>
      </c>
      <c r="B74" s="0" t="n">
        <v>2017</v>
      </c>
      <c r="C74" s="0" t="s">
        <v>332</v>
      </c>
      <c r="D74" s="0" t="n">
        <v>-0.1589</v>
      </c>
      <c r="E74" s="0" t="n">
        <v>0.500047</v>
      </c>
      <c r="G74" s="0" t="s">
        <v>329</v>
      </c>
      <c r="H74" s="0" t="s">
        <v>330</v>
      </c>
      <c r="J74" s="0" t="s">
        <v>351</v>
      </c>
    </row>
    <row r="75" customFormat="false" ht="15" hidden="false" customHeight="false" outlineLevel="0" collapsed="false">
      <c r="A75" s="0" t="s">
        <v>129</v>
      </c>
      <c r="B75" s="0" t="n">
        <v>2018</v>
      </c>
      <c r="C75" s="0" t="s">
        <v>328</v>
      </c>
      <c r="D75" s="0" t="n">
        <v>0</v>
      </c>
      <c r="E75" s="0" t="n">
        <v>1.500000001</v>
      </c>
      <c r="F75" s="0" t="n">
        <v>1</v>
      </c>
      <c r="G75" s="0" t="s">
        <v>329</v>
      </c>
      <c r="H75" s="0" t="s">
        <v>330</v>
      </c>
    </row>
    <row r="76" customFormat="false" ht="15" hidden="false" customHeight="false" outlineLevel="0" collapsed="false">
      <c r="A76" s="0" t="s">
        <v>129</v>
      </c>
      <c r="B76" s="0" t="n">
        <v>2018</v>
      </c>
      <c r="C76" s="0" t="s">
        <v>331</v>
      </c>
      <c r="D76" s="0" t="n">
        <v>0</v>
      </c>
      <c r="E76" s="0" t="n">
        <v>1.500000001</v>
      </c>
      <c r="F76" s="0" t="n">
        <v>1</v>
      </c>
      <c r="G76" s="0" t="s">
        <v>329</v>
      </c>
      <c r="H76" s="0" t="s">
        <v>330</v>
      </c>
    </row>
    <row r="77" customFormat="false" ht="15" hidden="false" customHeight="false" outlineLevel="0" collapsed="false">
      <c r="A77" s="0" t="s">
        <v>129</v>
      </c>
      <c r="B77" s="0" t="n">
        <v>2018</v>
      </c>
      <c r="C77" s="0" t="s">
        <v>332</v>
      </c>
      <c r="D77" s="0" t="n">
        <v>0.338</v>
      </c>
      <c r="E77" s="0" t="n">
        <v>0.500048</v>
      </c>
      <c r="G77" s="0" t="s">
        <v>329</v>
      </c>
      <c r="H77" s="0" t="s">
        <v>330</v>
      </c>
      <c r="J77" s="0" t="s">
        <v>352</v>
      </c>
    </row>
    <row r="78" customFormat="false" ht="15" hidden="false" customHeight="false" outlineLevel="0" collapsed="false">
      <c r="A78" s="0" t="s">
        <v>129</v>
      </c>
      <c r="B78" s="0" t="n">
        <v>2019</v>
      </c>
      <c r="C78" s="0" t="s">
        <v>328</v>
      </c>
      <c r="D78" s="0" t="n">
        <v>0</v>
      </c>
      <c r="E78" s="0" t="n">
        <v>1.500000001</v>
      </c>
      <c r="F78" s="0" t="n">
        <v>1</v>
      </c>
      <c r="G78" s="0" t="s">
        <v>329</v>
      </c>
      <c r="H78" s="0" t="s">
        <v>330</v>
      </c>
    </row>
    <row r="79" customFormat="false" ht="15" hidden="false" customHeight="false" outlineLevel="0" collapsed="false">
      <c r="A79" s="0" t="s">
        <v>129</v>
      </c>
      <c r="B79" s="0" t="n">
        <v>2019</v>
      </c>
      <c r="C79" s="0" t="s">
        <v>331</v>
      </c>
      <c r="D79" s="0" t="n">
        <v>0</v>
      </c>
      <c r="E79" s="0" t="n">
        <v>1.500000001</v>
      </c>
      <c r="F79" s="0" t="n">
        <v>1</v>
      </c>
      <c r="G79" s="0" t="s">
        <v>329</v>
      </c>
      <c r="H79" s="0" t="s">
        <v>330</v>
      </c>
    </row>
    <row r="80" customFormat="false" ht="15" hidden="false" customHeight="false" outlineLevel="0" collapsed="false">
      <c r="A80" s="0" t="s">
        <v>129</v>
      </c>
      <c r="B80" s="0" t="n">
        <v>2019</v>
      </c>
      <c r="C80" s="0" t="s">
        <v>332</v>
      </c>
      <c r="D80" s="0" t="n">
        <v>0.4929</v>
      </c>
      <c r="E80" s="0" t="n">
        <v>0.500046</v>
      </c>
      <c r="G80" s="0" t="s">
        <v>329</v>
      </c>
      <c r="H80" s="0" t="s">
        <v>330</v>
      </c>
      <c r="J80" s="0" t="s">
        <v>353</v>
      </c>
    </row>
    <row r="81" customFormat="false" ht="15" hidden="false" customHeight="false" outlineLevel="0" collapsed="false">
      <c r="A81" s="0" t="s">
        <v>129</v>
      </c>
      <c r="B81" s="0" t="n">
        <v>2020</v>
      </c>
      <c r="C81" s="0" t="s">
        <v>328</v>
      </c>
      <c r="D81" s="0" t="n">
        <v>0</v>
      </c>
      <c r="E81" s="0" t="n">
        <v>1.500000001</v>
      </c>
      <c r="F81" s="0" t="n">
        <v>1</v>
      </c>
      <c r="G81" s="0" t="s">
        <v>329</v>
      </c>
      <c r="H81" s="0" t="s">
        <v>330</v>
      </c>
    </row>
    <row r="82" customFormat="false" ht="15" hidden="false" customHeight="false" outlineLevel="0" collapsed="false">
      <c r="A82" s="0" t="s">
        <v>129</v>
      </c>
      <c r="B82" s="0" t="n">
        <v>2020</v>
      </c>
      <c r="C82" s="0" t="s">
        <v>331</v>
      </c>
      <c r="D82" s="0" t="n">
        <v>0</v>
      </c>
      <c r="E82" s="0" t="n">
        <v>1.500000001</v>
      </c>
      <c r="F82" s="0" t="n">
        <v>1</v>
      </c>
      <c r="G82" s="0" t="s">
        <v>329</v>
      </c>
      <c r="H82" s="0" t="s">
        <v>330</v>
      </c>
    </row>
    <row r="83" customFormat="false" ht="15" hidden="false" customHeight="false" outlineLevel="0" collapsed="false">
      <c r="A83" s="0" t="s">
        <v>129</v>
      </c>
      <c r="B83" s="0" t="n">
        <v>2020</v>
      </c>
      <c r="C83" s="0" t="s">
        <v>332</v>
      </c>
      <c r="D83" s="0" t="n">
        <v>0.3048</v>
      </c>
      <c r="E83" s="0" t="n">
        <v>0.500043</v>
      </c>
      <c r="G83" s="0" t="s">
        <v>329</v>
      </c>
      <c r="H83" s="0" t="s">
        <v>330</v>
      </c>
      <c r="J83" s="0" t="s">
        <v>354</v>
      </c>
    </row>
    <row r="84" customFormat="false" ht="15" hidden="false" customHeight="false" outlineLevel="0" collapsed="false">
      <c r="A84" s="0" t="s">
        <v>129</v>
      </c>
      <c r="B84" s="0" t="n">
        <v>2021</v>
      </c>
      <c r="C84" s="0" t="s">
        <v>328</v>
      </c>
      <c r="D84" s="0" t="n">
        <v>0</v>
      </c>
      <c r="E84" s="0" t="n">
        <v>1.500000001</v>
      </c>
      <c r="F84" s="0" t="n">
        <v>1</v>
      </c>
      <c r="G84" s="0" t="s">
        <v>329</v>
      </c>
      <c r="H84" s="0" t="s">
        <v>330</v>
      </c>
    </row>
    <row r="85" customFormat="false" ht="15" hidden="false" customHeight="false" outlineLevel="0" collapsed="false">
      <c r="A85" s="0" t="s">
        <v>129</v>
      </c>
      <c r="B85" s="0" t="n">
        <v>2021</v>
      </c>
      <c r="C85" s="0" t="s">
        <v>331</v>
      </c>
      <c r="D85" s="0" t="n">
        <v>0</v>
      </c>
      <c r="E85" s="0" t="n">
        <v>1.500000001</v>
      </c>
      <c r="F85" s="0" t="n">
        <v>1</v>
      </c>
      <c r="G85" s="0" t="s">
        <v>329</v>
      </c>
      <c r="H85" s="0" t="s">
        <v>330</v>
      </c>
    </row>
    <row r="86" customFormat="false" ht="15" hidden="false" customHeight="false" outlineLevel="0" collapsed="false">
      <c r="A86" s="0" t="s">
        <v>129</v>
      </c>
      <c r="B86" s="0" t="n">
        <v>2021</v>
      </c>
      <c r="C86" s="0" t="s">
        <v>332</v>
      </c>
      <c r="D86" s="0" t="n">
        <v>-0.0218</v>
      </c>
      <c r="E86" s="0" t="n">
        <v>0.050039</v>
      </c>
      <c r="G86" s="0" t="s">
        <v>329</v>
      </c>
      <c r="H86" s="0" t="s">
        <v>330</v>
      </c>
      <c r="J86" s="0" t="s">
        <v>355</v>
      </c>
    </row>
    <row r="87" customFormat="false" ht="15" hidden="false" customHeight="false" outlineLevel="0" collapsed="false">
      <c r="A87" s="0" t="s">
        <v>129</v>
      </c>
      <c r="B87" s="0" t="n">
        <v>2022</v>
      </c>
      <c r="C87" s="0" t="s">
        <v>328</v>
      </c>
      <c r="D87" s="0" t="n">
        <v>0</v>
      </c>
      <c r="E87" s="0" t="n">
        <v>1.500000001</v>
      </c>
      <c r="F87" s="0" t="n">
        <v>1</v>
      </c>
      <c r="G87" s="0" t="s">
        <v>329</v>
      </c>
      <c r="H87" s="0" t="s">
        <v>330</v>
      </c>
    </row>
    <row r="88" customFormat="false" ht="15" hidden="false" customHeight="false" outlineLevel="0" collapsed="false">
      <c r="A88" s="0" t="s">
        <v>129</v>
      </c>
      <c r="B88" s="0" t="n">
        <v>2022</v>
      </c>
      <c r="C88" s="0" t="s">
        <v>331</v>
      </c>
      <c r="D88" s="0" t="n">
        <v>0</v>
      </c>
      <c r="E88" s="0" t="n">
        <v>1.500000001</v>
      </c>
      <c r="F88" s="0" t="n">
        <v>1</v>
      </c>
      <c r="G88" s="0" t="s">
        <v>329</v>
      </c>
      <c r="H88" s="0" t="s">
        <v>330</v>
      </c>
    </row>
    <row r="89" customFormat="false" ht="15" hidden="false" customHeight="false" outlineLevel="0" collapsed="false">
      <c r="A89" s="0" t="s">
        <v>129</v>
      </c>
      <c r="B89" s="0" t="n">
        <v>2022</v>
      </c>
      <c r="C89" s="0" t="s">
        <v>332</v>
      </c>
      <c r="D89" s="0" t="n">
        <v>0.0469</v>
      </c>
      <c r="E89" s="0" t="n">
        <v>0.050036</v>
      </c>
      <c r="G89" s="0" t="s">
        <v>329</v>
      </c>
      <c r="H89" s="0" t="s">
        <v>330</v>
      </c>
      <c r="J89" s="0" t="s">
        <v>356</v>
      </c>
    </row>
    <row r="90" customFormat="false" ht="15" hidden="false" customHeight="false" outlineLevel="0" collapsed="false">
      <c r="A90" s="0" t="s">
        <v>138</v>
      </c>
      <c r="B90" s="0" t="n">
        <v>2013</v>
      </c>
      <c r="C90" s="0" t="s">
        <v>328</v>
      </c>
      <c r="D90" s="0" t="n">
        <v>0</v>
      </c>
      <c r="E90" s="0" t="n">
        <v>1.500000001</v>
      </c>
      <c r="F90" s="0" t="n">
        <v>1</v>
      </c>
      <c r="G90" s="0" t="s">
        <v>329</v>
      </c>
      <c r="H90" s="0" t="s">
        <v>330</v>
      </c>
    </row>
    <row r="91" customFormat="false" ht="15" hidden="false" customHeight="false" outlineLevel="0" collapsed="false">
      <c r="A91" s="0" t="s">
        <v>138</v>
      </c>
      <c r="B91" s="0" t="n">
        <v>2014</v>
      </c>
      <c r="C91" s="0" t="s">
        <v>328</v>
      </c>
      <c r="D91" s="0" t="n">
        <v>0</v>
      </c>
      <c r="E91" s="0" t="n">
        <v>1.500000001</v>
      </c>
      <c r="F91" s="0" t="n">
        <v>1</v>
      </c>
      <c r="G91" s="0" t="s">
        <v>329</v>
      </c>
      <c r="H91" s="0" t="s">
        <v>330</v>
      </c>
    </row>
    <row r="92" customFormat="false" ht="15" hidden="false" customHeight="false" outlineLevel="0" collapsed="false">
      <c r="A92" s="0" t="s">
        <v>138</v>
      </c>
      <c r="B92" s="0" t="n">
        <v>2015</v>
      </c>
      <c r="C92" s="0" t="s">
        <v>328</v>
      </c>
      <c r="D92" s="0" t="n">
        <v>0</v>
      </c>
      <c r="E92" s="0" t="n">
        <v>1.500000001</v>
      </c>
      <c r="F92" s="0" t="n">
        <v>1</v>
      </c>
      <c r="G92" s="0" t="s">
        <v>329</v>
      </c>
      <c r="H92" s="0" t="s">
        <v>330</v>
      </c>
    </row>
    <row r="93" customFormat="false" ht="15" hidden="false" customHeight="false" outlineLevel="0" collapsed="false">
      <c r="A93" s="0" t="s">
        <v>138</v>
      </c>
      <c r="B93" s="0" t="n">
        <v>2015</v>
      </c>
      <c r="C93" s="0" t="s">
        <v>331</v>
      </c>
      <c r="D93" s="0" t="n">
        <v>0</v>
      </c>
      <c r="E93" s="0" t="n">
        <v>1.500000001</v>
      </c>
      <c r="F93" s="0" t="n">
        <v>1</v>
      </c>
      <c r="G93" s="0" t="s">
        <v>329</v>
      </c>
      <c r="H93" s="0" t="s">
        <v>330</v>
      </c>
    </row>
    <row r="94" customFormat="false" ht="15" hidden="false" customHeight="false" outlineLevel="0" collapsed="false">
      <c r="A94" s="0" t="s">
        <v>138</v>
      </c>
      <c r="B94" s="0" t="n">
        <v>2015</v>
      </c>
      <c r="C94" s="0" t="s">
        <v>332</v>
      </c>
      <c r="D94" s="0" t="n">
        <v>-0.048</v>
      </c>
      <c r="E94" s="0" t="n">
        <v>0.050099</v>
      </c>
      <c r="G94" s="0" t="s">
        <v>329</v>
      </c>
      <c r="H94" s="0" t="s">
        <v>330</v>
      </c>
      <c r="J94" s="0" t="s">
        <v>357</v>
      </c>
    </row>
    <row r="95" customFormat="false" ht="15" hidden="false" customHeight="false" outlineLevel="0" collapsed="false">
      <c r="A95" s="0" t="s">
        <v>138</v>
      </c>
      <c r="B95" s="0" t="n">
        <v>2016</v>
      </c>
      <c r="C95" s="0" t="s">
        <v>328</v>
      </c>
      <c r="D95" s="0" t="n">
        <v>0</v>
      </c>
      <c r="E95" s="0" t="n">
        <v>1.500000001</v>
      </c>
      <c r="F95" s="0" t="n">
        <v>1</v>
      </c>
      <c r="G95" s="0" t="s">
        <v>329</v>
      </c>
      <c r="H95" s="0" t="s">
        <v>330</v>
      </c>
    </row>
    <row r="96" customFormat="false" ht="15" hidden="false" customHeight="false" outlineLevel="0" collapsed="false">
      <c r="A96" s="0" t="s">
        <v>138</v>
      </c>
      <c r="B96" s="0" t="n">
        <v>2016</v>
      </c>
      <c r="C96" s="0" t="s">
        <v>331</v>
      </c>
      <c r="D96" s="0" t="n">
        <v>0</v>
      </c>
      <c r="E96" s="0" t="n">
        <v>1.500000001</v>
      </c>
      <c r="F96" s="0" t="n">
        <v>1</v>
      </c>
      <c r="G96" s="0" t="s">
        <v>329</v>
      </c>
      <c r="H96" s="0" t="s">
        <v>330</v>
      </c>
    </row>
    <row r="97" customFormat="false" ht="15" hidden="false" customHeight="false" outlineLevel="0" collapsed="false">
      <c r="A97" s="0" t="s">
        <v>138</v>
      </c>
      <c r="B97" s="0" t="n">
        <v>2016</v>
      </c>
      <c r="C97" s="0" t="s">
        <v>332</v>
      </c>
      <c r="D97" s="0" t="n">
        <v>0.0098</v>
      </c>
      <c r="E97" s="0" t="n">
        <v>0.050078</v>
      </c>
      <c r="G97" s="0" t="s">
        <v>329</v>
      </c>
      <c r="H97" s="0" t="s">
        <v>330</v>
      </c>
      <c r="J97" s="0" t="s">
        <v>358</v>
      </c>
    </row>
    <row r="98" customFormat="false" ht="15" hidden="false" customHeight="false" outlineLevel="0" collapsed="false">
      <c r="A98" s="0" t="s">
        <v>138</v>
      </c>
      <c r="B98" s="0" t="n">
        <v>2017</v>
      </c>
      <c r="C98" s="0" t="s">
        <v>328</v>
      </c>
      <c r="D98" s="0" t="n">
        <v>0</v>
      </c>
      <c r="E98" s="0" t="n">
        <v>1.500000001</v>
      </c>
      <c r="F98" s="0" t="n">
        <v>1</v>
      </c>
      <c r="G98" s="0" t="s">
        <v>329</v>
      </c>
      <c r="H98" s="0" t="s">
        <v>330</v>
      </c>
    </row>
    <row r="99" customFormat="false" ht="15" hidden="false" customHeight="false" outlineLevel="0" collapsed="false">
      <c r="A99" s="0" t="s">
        <v>138</v>
      </c>
      <c r="B99" s="0" t="n">
        <v>2017</v>
      </c>
      <c r="C99" s="0" t="s">
        <v>331</v>
      </c>
      <c r="D99" s="0" t="n">
        <v>0</v>
      </c>
      <c r="E99" s="0" t="n">
        <v>1.500000001</v>
      </c>
      <c r="F99" s="0" t="n">
        <v>1</v>
      </c>
      <c r="G99" s="0" t="s">
        <v>329</v>
      </c>
      <c r="H99" s="0" t="s">
        <v>330</v>
      </c>
    </row>
    <row r="100" customFormat="false" ht="15" hidden="false" customHeight="false" outlineLevel="0" collapsed="false">
      <c r="A100" s="0" t="s">
        <v>138</v>
      </c>
      <c r="B100" s="0" t="n">
        <v>2017</v>
      </c>
      <c r="C100" s="0" t="s">
        <v>332</v>
      </c>
      <c r="D100" s="0" t="n">
        <v>-0.0019</v>
      </c>
      <c r="E100" s="0" t="n">
        <v>0.050076</v>
      </c>
      <c r="G100" s="0" t="s">
        <v>329</v>
      </c>
      <c r="H100" s="0" t="s">
        <v>330</v>
      </c>
      <c r="J100" s="0" t="s">
        <v>359</v>
      </c>
    </row>
    <row r="101" customFormat="false" ht="15" hidden="false" customHeight="false" outlineLevel="0" collapsed="false">
      <c r="A101" s="0" t="s">
        <v>138</v>
      </c>
      <c r="B101" s="0" t="n">
        <v>2018</v>
      </c>
      <c r="C101" s="0" t="s">
        <v>328</v>
      </c>
      <c r="D101" s="0" t="n">
        <v>0</v>
      </c>
      <c r="E101" s="0" t="n">
        <v>1.500000001</v>
      </c>
      <c r="F101" s="0" t="n">
        <v>1</v>
      </c>
      <c r="G101" s="0" t="s">
        <v>329</v>
      </c>
      <c r="H101" s="0" t="s">
        <v>330</v>
      </c>
    </row>
    <row r="102" customFormat="false" ht="15" hidden="false" customHeight="false" outlineLevel="0" collapsed="false">
      <c r="A102" s="0" t="s">
        <v>138</v>
      </c>
      <c r="B102" s="0" t="n">
        <v>2018</v>
      </c>
      <c r="C102" s="0" t="s">
        <v>331</v>
      </c>
      <c r="D102" s="0" t="n">
        <v>0</v>
      </c>
      <c r="E102" s="0" t="n">
        <v>1.500000001</v>
      </c>
      <c r="F102" s="0" t="n">
        <v>1</v>
      </c>
      <c r="G102" s="0" t="s">
        <v>329</v>
      </c>
      <c r="H102" s="0" t="s">
        <v>330</v>
      </c>
    </row>
    <row r="103" customFormat="false" ht="15" hidden="false" customHeight="false" outlineLevel="0" collapsed="false">
      <c r="A103" s="0" t="s">
        <v>138</v>
      </c>
      <c r="B103" s="0" t="n">
        <v>2018</v>
      </c>
      <c r="C103" s="0" t="s">
        <v>332</v>
      </c>
      <c r="D103" s="0" t="n">
        <v>0.036</v>
      </c>
      <c r="E103" s="0" t="n">
        <v>0.050073</v>
      </c>
      <c r="G103" s="0" t="s">
        <v>329</v>
      </c>
      <c r="H103" s="0" t="s">
        <v>330</v>
      </c>
      <c r="J103" s="0" t="s">
        <v>360</v>
      </c>
    </row>
    <row r="104" customFormat="false" ht="15" hidden="false" customHeight="false" outlineLevel="0" collapsed="false">
      <c r="A104" s="0" t="s">
        <v>138</v>
      </c>
      <c r="B104" s="0" t="n">
        <v>2019</v>
      </c>
      <c r="C104" s="0" t="s">
        <v>328</v>
      </c>
      <c r="D104" s="0" t="n">
        <v>0</v>
      </c>
      <c r="E104" s="0" t="n">
        <v>1.500000001</v>
      </c>
      <c r="F104" s="0" t="n">
        <v>1</v>
      </c>
      <c r="G104" s="0" t="s">
        <v>329</v>
      </c>
      <c r="H104" s="0" t="s">
        <v>330</v>
      </c>
    </row>
    <row r="105" customFormat="false" ht="15" hidden="false" customHeight="false" outlineLevel="0" collapsed="false">
      <c r="A105" s="0" t="s">
        <v>138</v>
      </c>
      <c r="B105" s="0" t="n">
        <v>2019</v>
      </c>
      <c r="C105" s="0" t="s">
        <v>331</v>
      </c>
      <c r="D105" s="0" t="n">
        <v>0</v>
      </c>
      <c r="E105" s="0" t="n">
        <v>1.500000001</v>
      </c>
      <c r="F105" s="0" t="n">
        <v>1</v>
      </c>
      <c r="G105" s="0" t="s">
        <v>329</v>
      </c>
      <c r="H105" s="0" t="s">
        <v>330</v>
      </c>
    </row>
    <row r="106" customFormat="false" ht="15" hidden="false" customHeight="false" outlineLevel="0" collapsed="false">
      <c r="A106" s="0" t="s">
        <v>138</v>
      </c>
      <c r="B106" s="0" t="n">
        <v>2019</v>
      </c>
      <c r="C106" s="0" t="s">
        <v>332</v>
      </c>
      <c r="D106" s="0" t="n">
        <v>0.0039</v>
      </c>
      <c r="E106" s="0" t="n">
        <v>0.005066</v>
      </c>
      <c r="G106" s="0" t="s">
        <v>329</v>
      </c>
      <c r="H106" s="0" t="s">
        <v>330</v>
      </c>
      <c r="J106" s="0" t="s">
        <v>361</v>
      </c>
    </row>
    <row r="107" customFormat="false" ht="15" hidden="false" customHeight="false" outlineLevel="0" collapsed="false">
      <c r="A107" s="0" t="s">
        <v>138</v>
      </c>
      <c r="B107" s="0" t="n">
        <v>2020</v>
      </c>
      <c r="C107" s="0" t="s">
        <v>328</v>
      </c>
      <c r="D107" s="0" t="n">
        <v>0</v>
      </c>
      <c r="E107" s="0" t="n">
        <v>1.500000001</v>
      </c>
      <c r="F107" s="0" t="n">
        <v>1</v>
      </c>
      <c r="G107" s="0" t="s">
        <v>329</v>
      </c>
      <c r="H107" s="0" t="s">
        <v>330</v>
      </c>
    </row>
    <row r="108" customFormat="false" ht="15" hidden="false" customHeight="false" outlineLevel="0" collapsed="false">
      <c r="A108" s="0" t="s">
        <v>138</v>
      </c>
      <c r="B108" s="0" t="n">
        <v>2020</v>
      </c>
      <c r="C108" s="0" t="s">
        <v>331</v>
      </c>
      <c r="D108" s="0" t="n">
        <v>0</v>
      </c>
      <c r="E108" s="0" t="n">
        <v>1.500000001</v>
      </c>
      <c r="F108" s="0" t="n">
        <v>1</v>
      </c>
      <c r="G108" s="0" t="s">
        <v>329</v>
      </c>
      <c r="H108" s="0" t="s">
        <v>330</v>
      </c>
    </row>
    <row r="109" customFormat="false" ht="15" hidden="false" customHeight="false" outlineLevel="0" collapsed="false">
      <c r="A109" s="0" t="s">
        <v>138</v>
      </c>
      <c r="B109" s="0" t="n">
        <v>2020</v>
      </c>
      <c r="C109" s="0" t="s">
        <v>332</v>
      </c>
      <c r="D109" s="0" t="n">
        <v>0.0007</v>
      </c>
      <c r="E109" s="0" t="n">
        <v>0.005058</v>
      </c>
      <c r="G109" s="0" t="s">
        <v>329</v>
      </c>
      <c r="H109" s="0" t="s">
        <v>330</v>
      </c>
      <c r="J109" s="0" t="s">
        <v>362</v>
      </c>
    </row>
    <row r="110" customFormat="false" ht="15" hidden="false" customHeight="false" outlineLevel="0" collapsed="false">
      <c r="A110" s="0" t="s">
        <v>138</v>
      </c>
      <c r="B110" s="0" t="n">
        <v>2021</v>
      </c>
      <c r="C110" s="0" t="s">
        <v>328</v>
      </c>
      <c r="D110" s="0" t="n">
        <v>0</v>
      </c>
      <c r="E110" s="0" t="n">
        <v>1.500000001</v>
      </c>
      <c r="F110" s="0" t="n">
        <v>1</v>
      </c>
      <c r="G110" s="0" t="s">
        <v>329</v>
      </c>
      <c r="H110" s="0" t="s">
        <v>330</v>
      </c>
    </row>
    <row r="111" customFormat="false" ht="15" hidden="false" customHeight="false" outlineLevel="0" collapsed="false">
      <c r="A111" s="0" t="s">
        <v>138</v>
      </c>
      <c r="B111" s="0" t="n">
        <v>2021</v>
      </c>
      <c r="C111" s="0" t="s">
        <v>331</v>
      </c>
      <c r="D111" s="0" t="n">
        <v>0</v>
      </c>
      <c r="E111" s="0" t="n">
        <v>1.500000001</v>
      </c>
      <c r="F111" s="0" t="n">
        <v>1</v>
      </c>
      <c r="G111" s="0" t="s">
        <v>329</v>
      </c>
      <c r="H111" s="0" t="s">
        <v>330</v>
      </c>
    </row>
    <row r="112" customFormat="false" ht="15" hidden="false" customHeight="false" outlineLevel="0" collapsed="false">
      <c r="A112" s="0" t="s">
        <v>138</v>
      </c>
      <c r="B112" s="0" t="n">
        <v>2021</v>
      </c>
      <c r="C112" s="0" t="s">
        <v>332</v>
      </c>
      <c r="D112" s="0" t="n">
        <v>0.0014</v>
      </c>
      <c r="E112" s="0" t="n">
        <v>0.005054</v>
      </c>
      <c r="G112" s="0" t="s">
        <v>329</v>
      </c>
      <c r="H112" s="0" t="s">
        <v>330</v>
      </c>
      <c r="J112" s="0" t="s">
        <v>363</v>
      </c>
    </row>
    <row r="113" customFormat="false" ht="15" hidden="false" customHeight="false" outlineLevel="0" collapsed="false">
      <c r="A113" s="0" t="s">
        <v>138</v>
      </c>
      <c r="B113" s="0" t="n">
        <v>2022</v>
      </c>
      <c r="C113" s="0" t="s">
        <v>328</v>
      </c>
      <c r="D113" s="0" t="n">
        <v>0</v>
      </c>
      <c r="E113" s="0" t="n">
        <v>1.500000001</v>
      </c>
      <c r="F113" s="0" t="n">
        <v>1</v>
      </c>
      <c r="G113" s="0" t="s">
        <v>329</v>
      </c>
      <c r="H113" s="0" t="s">
        <v>330</v>
      </c>
    </row>
    <row r="114" customFormat="false" ht="15" hidden="false" customHeight="false" outlineLevel="0" collapsed="false">
      <c r="A114" s="0" t="s">
        <v>138</v>
      </c>
      <c r="B114" s="0" t="n">
        <v>2022</v>
      </c>
      <c r="C114" s="0" t="s">
        <v>331</v>
      </c>
      <c r="D114" s="0" t="n">
        <v>0</v>
      </c>
      <c r="E114" s="0" t="n">
        <v>1.500000001</v>
      </c>
      <c r="F114" s="0" t="n">
        <v>1</v>
      </c>
      <c r="G114" s="0" t="s">
        <v>329</v>
      </c>
      <c r="H114" s="0" t="s">
        <v>330</v>
      </c>
    </row>
    <row r="115" customFormat="false" ht="15" hidden="false" customHeight="false" outlineLevel="0" collapsed="false">
      <c r="A115" s="0" t="s">
        <v>138</v>
      </c>
      <c r="B115" s="0" t="n">
        <v>2022</v>
      </c>
      <c r="C115" s="0" t="s">
        <v>332</v>
      </c>
      <c r="D115" s="0" t="n">
        <v>0.0007</v>
      </c>
      <c r="E115" s="0" t="n">
        <v>0.005046</v>
      </c>
      <c r="G115" s="0" t="s">
        <v>329</v>
      </c>
      <c r="H115" s="0" t="s">
        <v>330</v>
      </c>
      <c r="J115" s="0" t="s">
        <v>364</v>
      </c>
    </row>
    <row r="116" customFormat="false" ht="15" hidden="false" customHeight="false" outlineLevel="0" collapsed="false">
      <c r="A116" s="0" t="s">
        <v>152</v>
      </c>
      <c r="B116" s="0" t="n">
        <v>2018</v>
      </c>
      <c r="C116" s="0" t="s">
        <v>328</v>
      </c>
      <c r="D116" s="0" t="n">
        <v>0</v>
      </c>
      <c r="E116" s="0" t="n">
        <v>0.001500001</v>
      </c>
      <c r="F116" s="0" t="n">
        <v>0.001</v>
      </c>
      <c r="G116" s="0" t="s">
        <v>329</v>
      </c>
      <c r="H116" s="0" t="s">
        <v>330</v>
      </c>
    </row>
    <row r="117" customFormat="false" ht="15" hidden="false" customHeight="false" outlineLevel="0" collapsed="false">
      <c r="A117" s="0" t="s">
        <v>152</v>
      </c>
      <c r="B117" s="0" t="n">
        <v>2019</v>
      </c>
      <c r="C117" s="0" t="s">
        <v>328</v>
      </c>
      <c r="D117" s="0" t="n">
        <v>0</v>
      </c>
      <c r="E117" s="0" t="n">
        <v>0.001500001</v>
      </c>
      <c r="F117" s="0" t="n">
        <v>0.001</v>
      </c>
      <c r="G117" s="0" t="s">
        <v>329</v>
      </c>
      <c r="H117" s="0" t="s">
        <v>330</v>
      </c>
    </row>
    <row r="118" customFormat="false" ht="15" hidden="false" customHeight="false" outlineLevel="0" collapsed="false">
      <c r="A118" s="0" t="s">
        <v>154</v>
      </c>
      <c r="B118" s="0" t="n">
        <v>2014</v>
      </c>
      <c r="C118" s="0" t="s">
        <v>328</v>
      </c>
      <c r="D118" s="0" t="n">
        <v>0</v>
      </c>
      <c r="E118" s="0" t="n">
        <v>0.001500001</v>
      </c>
      <c r="F118" s="0" t="n">
        <v>0.001</v>
      </c>
      <c r="G118" s="0" t="s">
        <v>329</v>
      </c>
      <c r="H118" s="0" t="s">
        <v>330</v>
      </c>
    </row>
    <row r="119" customFormat="false" ht="15" hidden="false" customHeight="false" outlineLevel="0" collapsed="false">
      <c r="A119" s="0" t="s">
        <v>154</v>
      </c>
      <c r="B119" s="0" t="n">
        <v>2015</v>
      </c>
      <c r="C119" s="0" t="s">
        <v>328</v>
      </c>
      <c r="D119" s="0" t="n">
        <v>0</v>
      </c>
      <c r="E119" s="0" t="n">
        <v>0.001500001</v>
      </c>
      <c r="F119" s="0" t="n">
        <v>0.001</v>
      </c>
      <c r="G119" s="0" t="s">
        <v>329</v>
      </c>
      <c r="H119" s="0" t="s">
        <v>330</v>
      </c>
    </row>
    <row r="120" customFormat="false" ht="15" hidden="false" customHeight="false" outlineLevel="0" collapsed="false">
      <c r="A120" s="0" t="s">
        <v>154</v>
      </c>
      <c r="B120" s="0" t="n">
        <v>2016</v>
      </c>
      <c r="C120" s="0" t="s">
        <v>328</v>
      </c>
      <c r="D120" s="0" t="n">
        <v>0</v>
      </c>
      <c r="E120" s="0" t="n">
        <v>0.001500001</v>
      </c>
      <c r="F120" s="0" t="n">
        <v>0.001</v>
      </c>
      <c r="G120" s="0" t="s">
        <v>329</v>
      </c>
      <c r="H120" s="0" t="s">
        <v>330</v>
      </c>
    </row>
    <row r="121" customFormat="false" ht="15" hidden="false" customHeight="false" outlineLevel="0" collapsed="false">
      <c r="A121" s="0" t="s">
        <v>154</v>
      </c>
      <c r="B121" s="0" t="n">
        <v>2017</v>
      </c>
      <c r="C121" s="0" t="s">
        <v>328</v>
      </c>
      <c r="D121" s="0" t="n">
        <v>0</v>
      </c>
      <c r="E121" s="0" t="n">
        <v>0.001500001</v>
      </c>
      <c r="F121" s="0" t="n">
        <v>0.001</v>
      </c>
      <c r="G121" s="0" t="s">
        <v>329</v>
      </c>
      <c r="H121" s="0" t="s">
        <v>330</v>
      </c>
    </row>
    <row r="122" customFormat="false" ht="15" hidden="false" customHeight="false" outlineLevel="0" collapsed="false">
      <c r="A122" s="0" t="s">
        <v>154</v>
      </c>
      <c r="B122" s="0" t="n">
        <v>2018</v>
      </c>
      <c r="C122" s="0" t="s">
        <v>328</v>
      </c>
      <c r="D122" s="0" t="n">
        <v>0</v>
      </c>
      <c r="E122" s="0" t="n">
        <v>0.001500001</v>
      </c>
      <c r="F122" s="0" t="n">
        <v>0.001</v>
      </c>
      <c r="G122" s="0" t="s">
        <v>329</v>
      </c>
      <c r="H122" s="0" t="s">
        <v>330</v>
      </c>
    </row>
    <row r="123" customFormat="false" ht="15" hidden="false" customHeight="false" outlineLevel="0" collapsed="false">
      <c r="A123" s="0" t="s">
        <v>154</v>
      </c>
      <c r="B123" s="0" t="n">
        <v>2019</v>
      </c>
      <c r="C123" s="0" t="s">
        <v>328</v>
      </c>
      <c r="D123" s="0" t="n">
        <v>0</v>
      </c>
      <c r="E123" s="0" t="n">
        <v>0.001500001</v>
      </c>
      <c r="F123" s="0" t="n">
        <v>0.001</v>
      </c>
      <c r="G123" s="0" t="s">
        <v>329</v>
      </c>
      <c r="H123" s="0" t="s">
        <v>330</v>
      </c>
    </row>
    <row r="124" customFormat="false" ht="15" hidden="false" customHeight="false" outlineLevel="0" collapsed="false">
      <c r="A124" s="0" t="s">
        <v>154</v>
      </c>
      <c r="B124" s="0" t="n">
        <v>2019</v>
      </c>
      <c r="C124" s="0" t="s">
        <v>331</v>
      </c>
      <c r="D124" s="0" t="n">
        <v>0</v>
      </c>
      <c r="E124" s="0" t="n">
        <v>0.001500001</v>
      </c>
      <c r="F124" s="0" t="n">
        <v>0.001</v>
      </c>
      <c r="G124" s="0" t="s">
        <v>329</v>
      </c>
      <c r="H124" s="0" t="s">
        <v>330</v>
      </c>
    </row>
    <row r="125" customFormat="false" ht="15" hidden="false" customHeight="false" outlineLevel="0" collapsed="false">
      <c r="A125" s="0" t="s">
        <v>154</v>
      </c>
      <c r="B125" s="0" t="n">
        <v>2019</v>
      </c>
      <c r="C125" s="0" t="s">
        <v>332</v>
      </c>
      <c r="D125" s="0" t="n">
        <v>0.0016</v>
      </c>
      <c r="E125" s="0" t="n">
        <v>0.05</v>
      </c>
      <c r="G125" s="0" t="s">
        <v>329</v>
      </c>
      <c r="H125" s="0" t="s">
        <v>330</v>
      </c>
      <c r="J125" s="0" t="s">
        <v>365</v>
      </c>
    </row>
    <row r="126" customFormat="false" ht="15" hidden="false" customHeight="false" outlineLevel="0" collapsed="false">
      <c r="A126" s="0" t="s">
        <v>154</v>
      </c>
      <c r="B126" s="0" t="n">
        <v>2020</v>
      </c>
      <c r="C126" s="0" t="s">
        <v>328</v>
      </c>
      <c r="D126" s="0" t="n">
        <v>0</v>
      </c>
      <c r="E126" s="0" t="n">
        <v>0.001500001</v>
      </c>
      <c r="F126" s="0" t="n">
        <v>0.001</v>
      </c>
      <c r="G126" s="0" t="s">
        <v>329</v>
      </c>
      <c r="H126" s="0" t="s">
        <v>330</v>
      </c>
    </row>
    <row r="127" customFormat="false" ht="15" hidden="false" customHeight="false" outlineLevel="0" collapsed="false">
      <c r="A127" s="0" t="s">
        <v>154</v>
      </c>
      <c r="B127" s="0" t="n">
        <v>2020</v>
      </c>
      <c r="C127" s="0" t="s">
        <v>331</v>
      </c>
      <c r="D127" s="0" t="n">
        <v>0.001</v>
      </c>
      <c r="E127" s="0" t="n">
        <v>0.001500001</v>
      </c>
      <c r="F127" s="0" t="n">
        <v>0.001</v>
      </c>
      <c r="G127" s="0" t="s">
        <v>329</v>
      </c>
      <c r="H127" s="0" t="s">
        <v>330</v>
      </c>
    </row>
    <row r="128" customFormat="false" ht="15" hidden="false" customHeight="false" outlineLevel="0" collapsed="false">
      <c r="A128" s="0" t="s">
        <v>154</v>
      </c>
      <c r="B128" s="0" t="n">
        <v>2020</v>
      </c>
      <c r="C128" s="0" t="s">
        <v>332</v>
      </c>
      <c r="D128" s="0" t="n">
        <v>-0.0047</v>
      </c>
      <c r="E128" s="0" t="n">
        <v>0.005</v>
      </c>
      <c r="G128" s="0" t="s">
        <v>329</v>
      </c>
      <c r="H128" s="0" t="s">
        <v>330</v>
      </c>
      <c r="J128" s="0" t="s">
        <v>366</v>
      </c>
    </row>
    <row r="129" customFormat="false" ht="15" hidden="false" customHeight="false" outlineLevel="0" collapsed="false">
      <c r="A129" s="0" t="s">
        <v>154</v>
      </c>
      <c r="B129" s="0" t="n">
        <v>2021</v>
      </c>
      <c r="C129" s="0" t="s">
        <v>328</v>
      </c>
      <c r="D129" s="0" t="n">
        <v>0.001</v>
      </c>
      <c r="E129" s="0" t="n">
        <v>0.001500001</v>
      </c>
      <c r="F129" s="0" t="n">
        <v>0.001</v>
      </c>
      <c r="G129" s="0" t="s">
        <v>329</v>
      </c>
      <c r="H129" s="0" t="s">
        <v>330</v>
      </c>
    </row>
    <row r="130" customFormat="false" ht="15" hidden="false" customHeight="false" outlineLevel="0" collapsed="false">
      <c r="A130" s="0" t="s">
        <v>154</v>
      </c>
      <c r="B130" s="0" t="n">
        <v>2021</v>
      </c>
      <c r="C130" s="0" t="s">
        <v>331</v>
      </c>
      <c r="D130" s="0" t="n">
        <v>0</v>
      </c>
      <c r="E130" s="0" t="n">
        <v>0.001500001</v>
      </c>
      <c r="F130" s="0" t="n">
        <v>0.001</v>
      </c>
      <c r="G130" s="0" t="s">
        <v>329</v>
      </c>
      <c r="H130" s="0" t="s">
        <v>330</v>
      </c>
    </row>
    <row r="131" customFormat="false" ht="15" hidden="false" customHeight="false" outlineLevel="0" collapsed="false">
      <c r="A131" s="0" t="s">
        <v>154</v>
      </c>
      <c r="B131" s="0" t="n">
        <v>2021</v>
      </c>
      <c r="C131" s="0" t="s">
        <v>332</v>
      </c>
      <c r="D131" s="0" t="n">
        <v>0.1469</v>
      </c>
      <c r="E131" s="0" t="n">
        <v>0.005</v>
      </c>
      <c r="G131" s="0" t="s">
        <v>335</v>
      </c>
      <c r="H131" s="0" t="s">
        <v>336</v>
      </c>
      <c r="I131" s="0" t="s">
        <v>367</v>
      </c>
      <c r="J131" s="0" t="s">
        <v>368</v>
      </c>
    </row>
    <row r="132" customFormat="false" ht="15" hidden="false" customHeight="false" outlineLevel="0" collapsed="false">
      <c r="A132" s="0" t="s">
        <v>154</v>
      </c>
      <c r="B132" s="0" t="n">
        <v>2022</v>
      </c>
      <c r="C132" s="0" t="s">
        <v>328</v>
      </c>
      <c r="D132" s="0" t="n">
        <v>0</v>
      </c>
      <c r="E132" s="0" t="n">
        <v>0.001500001</v>
      </c>
      <c r="F132" s="0" t="n">
        <v>0.001</v>
      </c>
      <c r="G132" s="0" t="s">
        <v>329</v>
      </c>
      <c r="H132" s="0" t="s">
        <v>330</v>
      </c>
    </row>
    <row r="133" customFormat="false" ht="15" hidden="false" customHeight="false" outlineLevel="0" collapsed="false">
      <c r="A133" s="0" t="s">
        <v>154</v>
      </c>
      <c r="B133" s="0" t="n">
        <v>2022</v>
      </c>
      <c r="C133" s="0" t="s">
        <v>331</v>
      </c>
      <c r="D133" s="0" t="n">
        <v>0</v>
      </c>
      <c r="E133" s="0" t="n">
        <v>0.001500001</v>
      </c>
      <c r="F133" s="0" t="n">
        <v>0.001</v>
      </c>
      <c r="G133" s="0" t="s">
        <v>329</v>
      </c>
      <c r="H133" s="0" t="s">
        <v>330</v>
      </c>
    </row>
    <row r="134" customFormat="false" ht="15" hidden="false" customHeight="false" outlineLevel="0" collapsed="false">
      <c r="A134" s="0" t="s">
        <v>154</v>
      </c>
      <c r="B134" s="0" t="n">
        <v>2022</v>
      </c>
      <c r="C134" s="0" t="s">
        <v>332</v>
      </c>
      <c r="D134" s="0" t="n">
        <v>0.0026</v>
      </c>
      <c r="E134" s="0" t="n">
        <v>0.005</v>
      </c>
      <c r="G134" s="0" t="s">
        <v>329</v>
      </c>
      <c r="H134" s="0" t="s">
        <v>330</v>
      </c>
      <c r="J134" s="0" t="s">
        <v>369</v>
      </c>
    </row>
    <row r="135" customFormat="false" ht="15" hidden="false" customHeight="false" outlineLevel="0" collapsed="false">
      <c r="A135" s="0" t="s">
        <v>163</v>
      </c>
      <c r="B135" s="0" t="n">
        <v>2014</v>
      </c>
      <c r="C135" s="0" t="s">
        <v>328</v>
      </c>
      <c r="D135" s="0" t="n">
        <v>0</v>
      </c>
      <c r="E135" s="0" t="n">
        <v>1.500000001</v>
      </c>
      <c r="F135" s="0" t="n">
        <v>1</v>
      </c>
      <c r="G135" s="0" t="s">
        <v>329</v>
      </c>
      <c r="H135" s="0" t="s">
        <v>330</v>
      </c>
    </row>
    <row r="136" customFormat="false" ht="15" hidden="false" customHeight="false" outlineLevel="0" collapsed="false">
      <c r="A136" s="0" t="s">
        <v>163</v>
      </c>
      <c r="B136" s="0" t="n">
        <v>2015</v>
      </c>
      <c r="C136" s="0" t="s">
        <v>328</v>
      </c>
      <c r="D136" s="0" t="n">
        <v>0</v>
      </c>
      <c r="E136" s="0" t="n">
        <v>1.500000001</v>
      </c>
      <c r="F136" s="0" t="n">
        <v>1</v>
      </c>
      <c r="G136" s="0" t="s">
        <v>329</v>
      </c>
      <c r="H136" s="0" t="s">
        <v>330</v>
      </c>
    </row>
    <row r="137" customFormat="false" ht="15" hidden="false" customHeight="false" outlineLevel="0" collapsed="false">
      <c r="A137" s="0" t="s">
        <v>163</v>
      </c>
      <c r="B137" s="0" t="n">
        <v>2016</v>
      </c>
      <c r="C137" s="0" t="s">
        <v>328</v>
      </c>
      <c r="D137" s="0" t="n">
        <v>0</v>
      </c>
      <c r="E137" s="0" t="n">
        <v>1.500000001</v>
      </c>
      <c r="F137" s="0" t="n">
        <v>1</v>
      </c>
      <c r="G137" s="0" t="s">
        <v>329</v>
      </c>
      <c r="H137" s="0" t="s">
        <v>330</v>
      </c>
    </row>
    <row r="138" customFormat="false" ht="15" hidden="false" customHeight="false" outlineLevel="0" collapsed="false">
      <c r="A138" s="0" t="s">
        <v>163</v>
      </c>
      <c r="B138" s="0" t="n">
        <v>2016</v>
      </c>
      <c r="C138" s="0" t="s">
        <v>331</v>
      </c>
      <c r="D138" s="0" t="n">
        <v>0</v>
      </c>
      <c r="E138" s="0" t="n">
        <v>1.500000001</v>
      </c>
      <c r="F138" s="0" t="n">
        <v>1</v>
      </c>
      <c r="G138" s="0" t="s">
        <v>329</v>
      </c>
      <c r="H138" s="0" t="s">
        <v>330</v>
      </c>
    </row>
    <row r="139" customFormat="false" ht="15" hidden="false" customHeight="false" outlineLevel="0" collapsed="false">
      <c r="A139" s="0" t="s">
        <v>163</v>
      </c>
      <c r="B139" s="0" t="n">
        <v>2016</v>
      </c>
      <c r="C139" s="0" t="s">
        <v>332</v>
      </c>
      <c r="D139" s="0" t="n">
        <v>0.4627</v>
      </c>
      <c r="E139" s="0" t="n">
        <v>0.500023</v>
      </c>
      <c r="G139" s="0" t="s">
        <v>329</v>
      </c>
      <c r="H139" s="0" t="s">
        <v>330</v>
      </c>
      <c r="J139" s="0" t="s">
        <v>370</v>
      </c>
    </row>
    <row r="140" customFormat="false" ht="15" hidden="false" customHeight="false" outlineLevel="0" collapsed="false">
      <c r="A140" s="0" t="s">
        <v>163</v>
      </c>
      <c r="B140" s="0" t="n">
        <v>2017</v>
      </c>
      <c r="C140" s="0" t="s">
        <v>328</v>
      </c>
      <c r="D140" s="0" t="n">
        <v>0</v>
      </c>
      <c r="E140" s="0" t="n">
        <v>1.500000001</v>
      </c>
      <c r="F140" s="0" t="n">
        <v>1</v>
      </c>
      <c r="G140" s="0" t="s">
        <v>329</v>
      </c>
      <c r="H140" s="0" t="s">
        <v>330</v>
      </c>
    </row>
    <row r="141" customFormat="false" ht="15" hidden="false" customHeight="false" outlineLevel="0" collapsed="false">
      <c r="A141" s="0" t="s">
        <v>163</v>
      </c>
      <c r="B141" s="0" t="n">
        <v>2017</v>
      </c>
      <c r="C141" s="0" t="s">
        <v>331</v>
      </c>
      <c r="D141" s="0" t="n">
        <v>0</v>
      </c>
      <c r="E141" s="0" t="n">
        <v>1.500000001</v>
      </c>
      <c r="F141" s="0" t="n">
        <v>1</v>
      </c>
      <c r="G141" s="0" t="s">
        <v>329</v>
      </c>
      <c r="H141" s="0" t="s">
        <v>330</v>
      </c>
    </row>
    <row r="142" customFormat="false" ht="15" hidden="false" customHeight="false" outlineLevel="0" collapsed="false">
      <c r="A142" s="0" t="s">
        <v>163</v>
      </c>
      <c r="B142" s="0" t="n">
        <v>2017</v>
      </c>
      <c r="C142" s="0" t="s">
        <v>332</v>
      </c>
      <c r="D142" s="0" t="n">
        <v>-0.4261</v>
      </c>
      <c r="E142" s="0" t="n">
        <v>0.500023</v>
      </c>
      <c r="G142" s="0" t="s">
        <v>329</v>
      </c>
      <c r="H142" s="0" t="s">
        <v>330</v>
      </c>
      <c r="J142" s="0" t="s">
        <v>371</v>
      </c>
    </row>
    <row r="143" customFormat="false" ht="15" hidden="false" customHeight="false" outlineLevel="0" collapsed="false">
      <c r="A143" s="0" t="s">
        <v>163</v>
      </c>
      <c r="B143" s="0" t="n">
        <v>2018</v>
      </c>
      <c r="C143" s="0" t="s">
        <v>328</v>
      </c>
      <c r="D143" s="0" t="n">
        <v>0</v>
      </c>
      <c r="E143" s="0" t="n">
        <v>1.500000001</v>
      </c>
      <c r="F143" s="0" t="n">
        <v>1</v>
      </c>
      <c r="G143" s="0" t="s">
        <v>329</v>
      </c>
      <c r="H143" s="0" t="s">
        <v>330</v>
      </c>
    </row>
    <row r="144" customFormat="false" ht="15" hidden="false" customHeight="false" outlineLevel="0" collapsed="false">
      <c r="A144" s="0" t="s">
        <v>163</v>
      </c>
      <c r="B144" s="0" t="n">
        <v>2018</v>
      </c>
      <c r="C144" s="0" t="s">
        <v>331</v>
      </c>
      <c r="D144" s="0" t="n">
        <v>0</v>
      </c>
      <c r="E144" s="0" t="n">
        <v>1.500000001</v>
      </c>
      <c r="F144" s="0" t="n">
        <v>1</v>
      </c>
      <c r="G144" s="0" t="s">
        <v>329</v>
      </c>
      <c r="H144" s="0" t="s">
        <v>330</v>
      </c>
    </row>
    <row r="145" customFormat="false" ht="15" hidden="false" customHeight="false" outlineLevel="0" collapsed="false">
      <c r="A145" s="0" t="s">
        <v>163</v>
      </c>
      <c r="B145" s="0" t="n">
        <v>2018</v>
      </c>
      <c r="C145" s="0" t="s">
        <v>332</v>
      </c>
      <c r="D145" s="0" t="n">
        <v>0.1544</v>
      </c>
      <c r="E145" s="0" t="n">
        <v>0.500023</v>
      </c>
      <c r="G145" s="0" t="s">
        <v>329</v>
      </c>
      <c r="H145" s="0" t="s">
        <v>330</v>
      </c>
      <c r="J145" s="0" t="s">
        <v>372</v>
      </c>
    </row>
    <row r="146" customFormat="false" ht="15" hidden="false" customHeight="false" outlineLevel="0" collapsed="false">
      <c r="A146" s="0" t="s">
        <v>163</v>
      </c>
      <c r="B146" s="0" t="n">
        <v>2019</v>
      </c>
      <c r="C146" s="0" t="s">
        <v>328</v>
      </c>
      <c r="D146" s="0" t="n">
        <v>0</v>
      </c>
      <c r="E146" s="0" t="n">
        <v>1.500000001</v>
      </c>
      <c r="F146" s="0" t="n">
        <v>1</v>
      </c>
      <c r="G146" s="0" t="s">
        <v>329</v>
      </c>
      <c r="H146" s="0" t="s">
        <v>330</v>
      </c>
    </row>
    <row r="147" customFormat="false" ht="15" hidden="false" customHeight="false" outlineLevel="0" collapsed="false">
      <c r="A147" s="0" t="s">
        <v>163</v>
      </c>
      <c r="B147" s="0" t="n">
        <v>2019</v>
      </c>
      <c r="C147" s="0" t="s">
        <v>331</v>
      </c>
      <c r="D147" s="0" t="n">
        <v>0</v>
      </c>
      <c r="E147" s="0" t="n">
        <v>1.500000001</v>
      </c>
      <c r="F147" s="0" t="n">
        <v>1</v>
      </c>
      <c r="G147" s="0" t="s">
        <v>329</v>
      </c>
      <c r="H147" s="0" t="s">
        <v>330</v>
      </c>
    </row>
    <row r="148" customFormat="false" ht="15" hidden="false" customHeight="false" outlineLevel="0" collapsed="false">
      <c r="A148" s="0" t="s">
        <v>163</v>
      </c>
      <c r="B148" s="0" t="n">
        <v>2019</v>
      </c>
      <c r="C148" s="0" t="s">
        <v>332</v>
      </c>
      <c r="D148" s="0" t="n">
        <v>0.4355</v>
      </c>
      <c r="E148" s="0" t="n">
        <v>0.500016</v>
      </c>
      <c r="G148" s="0" t="s">
        <v>329</v>
      </c>
      <c r="H148" s="0" t="s">
        <v>330</v>
      </c>
      <c r="J148" s="0" t="s">
        <v>373</v>
      </c>
    </row>
    <row r="149" customFormat="false" ht="15" hidden="false" customHeight="false" outlineLevel="0" collapsed="false">
      <c r="A149" s="0" t="s">
        <v>163</v>
      </c>
      <c r="B149" s="0" t="n">
        <v>2020</v>
      </c>
      <c r="C149" s="0" t="s">
        <v>328</v>
      </c>
      <c r="D149" s="0" t="n">
        <v>0</v>
      </c>
      <c r="E149" s="0" t="n">
        <v>1.500000001</v>
      </c>
      <c r="F149" s="0" t="n">
        <v>1</v>
      </c>
      <c r="G149" s="0" t="s">
        <v>329</v>
      </c>
      <c r="H149" s="0" t="s">
        <v>330</v>
      </c>
    </row>
    <row r="150" customFormat="false" ht="15" hidden="false" customHeight="false" outlineLevel="0" collapsed="false">
      <c r="A150" s="0" t="s">
        <v>163</v>
      </c>
      <c r="B150" s="0" t="n">
        <v>2020</v>
      </c>
      <c r="C150" s="0" t="s">
        <v>331</v>
      </c>
      <c r="D150" s="0" t="n">
        <v>0</v>
      </c>
      <c r="E150" s="0" t="n">
        <v>1.500000001</v>
      </c>
      <c r="F150" s="0" t="n">
        <v>1</v>
      </c>
      <c r="G150" s="0" t="s">
        <v>329</v>
      </c>
      <c r="H150" s="0" t="s">
        <v>330</v>
      </c>
    </row>
    <row r="151" customFormat="false" ht="15" hidden="false" customHeight="false" outlineLevel="0" collapsed="false">
      <c r="A151" s="0" t="s">
        <v>163</v>
      </c>
      <c r="B151" s="0" t="n">
        <v>2021</v>
      </c>
      <c r="C151" s="0" t="s">
        <v>328</v>
      </c>
      <c r="D151" s="0" t="n">
        <v>0</v>
      </c>
      <c r="E151" s="0" t="n">
        <v>1.500000001</v>
      </c>
      <c r="F151" s="0" t="n">
        <v>1</v>
      </c>
      <c r="G151" s="0" t="s">
        <v>329</v>
      </c>
      <c r="H151" s="0" t="s">
        <v>330</v>
      </c>
    </row>
    <row r="152" customFormat="false" ht="15" hidden="false" customHeight="false" outlineLevel="0" collapsed="false">
      <c r="A152" s="0" t="s">
        <v>163</v>
      </c>
      <c r="B152" s="0" t="n">
        <v>2021</v>
      </c>
      <c r="C152" s="0" t="s">
        <v>331</v>
      </c>
      <c r="D152" s="0" t="n">
        <v>0</v>
      </c>
      <c r="E152" s="0" t="n">
        <v>1.500000001</v>
      </c>
      <c r="F152" s="0" t="n">
        <v>1</v>
      </c>
      <c r="G152" s="0" t="s">
        <v>329</v>
      </c>
      <c r="H152" s="0" t="s">
        <v>330</v>
      </c>
    </row>
    <row r="153" customFormat="false" ht="15" hidden="false" customHeight="false" outlineLevel="0" collapsed="false">
      <c r="A153" s="0" t="s">
        <v>163</v>
      </c>
      <c r="B153" s="0" t="n">
        <v>2021</v>
      </c>
      <c r="C153" s="0" t="s">
        <v>332</v>
      </c>
      <c r="D153" s="0" t="n">
        <v>0.4072</v>
      </c>
      <c r="E153" s="0" t="n">
        <v>0.500012</v>
      </c>
      <c r="G153" s="0" t="s">
        <v>329</v>
      </c>
      <c r="H153" s="0" t="s">
        <v>330</v>
      </c>
      <c r="J153" s="0" t="s">
        <v>374</v>
      </c>
    </row>
    <row r="154" customFormat="false" ht="15" hidden="false" customHeight="false" outlineLevel="0" collapsed="false">
      <c r="A154" s="0" t="s">
        <v>163</v>
      </c>
      <c r="B154" s="0" t="n">
        <v>2022</v>
      </c>
      <c r="C154" s="0" t="s">
        <v>328</v>
      </c>
      <c r="D154" s="0" t="n">
        <v>0</v>
      </c>
      <c r="E154" s="0" t="n">
        <v>1.500000001</v>
      </c>
      <c r="F154" s="0" t="n">
        <v>1</v>
      </c>
      <c r="G154" s="0" t="s">
        <v>329</v>
      </c>
      <c r="H154" s="0" t="s">
        <v>330</v>
      </c>
    </row>
    <row r="155" customFormat="false" ht="15" hidden="false" customHeight="false" outlineLevel="0" collapsed="false">
      <c r="A155" s="0" t="s">
        <v>163</v>
      </c>
      <c r="B155" s="0" t="n">
        <v>2022</v>
      </c>
      <c r="C155" s="0" t="s">
        <v>331</v>
      </c>
      <c r="D155" s="0" t="n">
        <v>0</v>
      </c>
      <c r="E155" s="0" t="n">
        <v>1.500000001</v>
      </c>
      <c r="F155" s="0" t="n">
        <v>1</v>
      </c>
      <c r="G155" s="0" t="s">
        <v>329</v>
      </c>
      <c r="H155" s="0" t="s">
        <v>330</v>
      </c>
    </row>
    <row r="156" customFormat="false" ht="15" hidden="false" customHeight="false" outlineLevel="0" collapsed="false">
      <c r="A156" s="0" t="s">
        <v>163</v>
      </c>
      <c r="B156" s="0" t="n">
        <v>2022</v>
      </c>
      <c r="C156" s="0" t="s">
        <v>332</v>
      </c>
      <c r="D156" s="0" t="n">
        <v>0.0036</v>
      </c>
      <c r="E156" s="0" t="n">
        <v>0.500011</v>
      </c>
      <c r="G156" s="0" t="s">
        <v>329</v>
      </c>
      <c r="H156" s="0" t="s">
        <v>330</v>
      </c>
      <c r="J156" s="0" t="s">
        <v>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376</v>
      </c>
    </row>
    <row r="3" customFormat="false" ht="15" hidden="false" customHeight="false" outlineLevel="0" collapsed="false">
      <c r="A3" s="3" t="s">
        <v>50</v>
      </c>
      <c r="B3" s="3" t="s">
        <v>51</v>
      </c>
      <c r="C3" s="3" t="s">
        <v>241</v>
      </c>
      <c r="D3" s="3" t="s">
        <v>216</v>
      </c>
      <c r="E3" s="3" t="s">
        <v>377</v>
      </c>
      <c r="F3" s="3" t="s">
        <v>378</v>
      </c>
      <c r="G3" s="3" t="s">
        <v>379</v>
      </c>
      <c r="H3" s="3" t="s">
        <v>380</v>
      </c>
      <c r="I3" s="3" t="s">
        <v>381</v>
      </c>
    </row>
    <row r="4" customFormat="false" ht="15" hidden="false" customHeight="false" outlineLevel="0" collapsed="false">
      <c r="A4" s="0" t="s">
        <v>77</v>
      </c>
      <c r="B4" s="0" t="n">
        <v>2013</v>
      </c>
      <c r="C4" s="0" t="s">
        <v>54</v>
      </c>
      <c r="D4" s="0" t="n">
        <v>26211.844</v>
      </c>
      <c r="E4" s="0" t="s">
        <v>382</v>
      </c>
      <c r="G4" s="0" t="s">
        <v>81</v>
      </c>
    </row>
    <row r="5" customFormat="false" ht="15" hidden="false" customHeight="false" outlineLevel="0" collapsed="false">
      <c r="A5" s="0" t="s">
        <v>77</v>
      </c>
      <c r="B5" s="0" t="n">
        <v>2013</v>
      </c>
      <c r="C5" s="0" t="s">
        <v>55</v>
      </c>
      <c r="D5" s="0" t="n">
        <v>1704094.012</v>
      </c>
      <c r="E5" s="0" t="s">
        <v>382</v>
      </c>
      <c r="G5" s="0" t="s">
        <v>81</v>
      </c>
    </row>
    <row r="6" customFormat="false" ht="15" hidden="false" customHeight="false" outlineLevel="0" collapsed="false">
      <c r="A6" s="0" t="s">
        <v>77</v>
      </c>
      <c r="B6" s="0" t="n">
        <v>2013</v>
      </c>
      <c r="C6" s="0" t="s">
        <v>56</v>
      </c>
      <c r="D6" s="0" t="n">
        <v>1458912.014</v>
      </c>
      <c r="E6" s="0" t="s">
        <v>382</v>
      </c>
      <c r="G6" s="0" t="s">
        <v>81</v>
      </c>
    </row>
    <row r="7" customFormat="false" ht="15" hidden="false" customHeight="false" outlineLevel="0" collapsed="false">
      <c r="A7" s="0" t="s">
        <v>77</v>
      </c>
      <c r="B7" s="0" t="n">
        <v>2013</v>
      </c>
      <c r="C7" s="0" t="s">
        <v>57</v>
      </c>
      <c r="D7" s="0" t="n">
        <v>245181.998</v>
      </c>
      <c r="E7" s="0" t="s">
        <v>382</v>
      </c>
      <c r="G7" s="0" t="s">
        <v>81</v>
      </c>
    </row>
    <row r="8" customFormat="false" ht="15" hidden="false" customHeight="false" outlineLevel="0" collapsed="false">
      <c r="A8" s="0" t="s">
        <v>77</v>
      </c>
      <c r="B8" s="0" t="n">
        <v>2013</v>
      </c>
      <c r="C8" s="0" t="s">
        <v>63</v>
      </c>
      <c r="D8" s="0" t="n">
        <v>-7508.216</v>
      </c>
      <c r="E8" s="0" t="s">
        <v>382</v>
      </c>
      <c r="G8" s="0" t="s">
        <v>81</v>
      </c>
    </row>
    <row r="9" customFormat="false" ht="15" hidden="false" customHeight="false" outlineLevel="0" collapsed="false">
      <c r="A9" s="0" t="s">
        <v>77</v>
      </c>
      <c r="B9" s="0" t="n">
        <v>2013</v>
      </c>
      <c r="C9" s="0" t="s">
        <v>64</v>
      </c>
      <c r="D9" s="0" t="n">
        <v>17924.178</v>
      </c>
      <c r="E9" s="0" t="s">
        <v>382</v>
      </c>
      <c r="G9" s="0" t="s">
        <v>81</v>
      </c>
    </row>
    <row r="10" customFormat="false" ht="15" hidden="false" customHeight="false" outlineLevel="0" collapsed="false">
      <c r="A10" s="0" t="s">
        <v>77</v>
      </c>
      <c r="B10" s="0" t="n">
        <v>2013</v>
      </c>
      <c r="C10" s="0" t="s">
        <v>266</v>
      </c>
      <c r="D10" s="0" t="n">
        <v>2.35</v>
      </c>
      <c r="E10" s="0" t="s">
        <v>382</v>
      </c>
      <c r="G10" s="0" t="s">
        <v>81</v>
      </c>
    </row>
    <row r="11" customFormat="false" ht="15" hidden="false" customHeight="false" outlineLevel="0" collapsed="false">
      <c r="A11" s="0" t="s">
        <v>77</v>
      </c>
      <c r="B11" s="0" t="n">
        <v>2013</v>
      </c>
      <c r="C11" s="0" t="s">
        <v>27</v>
      </c>
      <c r="D11" s="0" t="n">
        <v>14.3878211104236</v>
      </c>
      <c r="E11" s="0" t="s">
        <v>383</v>
      </c>
    </row>
    <row r="12" customFormat="false" ht="15" hidden="false" customHeight="false" outlineLevel="0" collapsed="false">
      <c r="A12" s="0" t="s">
        <v>77</v>
      </c>
      <c r="B12" s="0" t="n">
        <v>2013</v>
      </c>
      <c r="C12" s="0" t="s">
        <v>43</v>
      </c>
      <c r="D12" s="0" t="n">
        <v>1.5381688929965</v>
      </c>
      <c r="E12" s="0" t="s">
        <v>383</v>
      </c>
    </row>
    <row r="13" customFormat="false" ht="15" hidden="false" customHeight="false" outlineLevel="0" collapsed="false">
      <c r="A13" s="0" t="s">
        <v>77</v>
      </c>
      <c r="B13" s="0" t="n">
        <v>2013</v>
      </c>
      <c r="C13" s="0" t="s">
        <v>31</v>
      </c>
      <c r="D13" s="0" t="n">
        <v>85.6121788895764</v>
      </c>
      <c r="E13" s="0" t="s">
        <v>383</v>
      </c>
    </row>
    <row r="14" customFormat="false" ht="15" hidden="false" customHeight="false" outlineLevel="0" collapsed="false">
      <c r="A14" s="0" t="s">
        <v>77</v>
      </c>
      <c r="B14" s="0" t="n">
        <v>2013</v>
      </c>
      <c r="C14" s="0" t="s">
        <v>33</v>
      </c>
      <c r="D14" s="0" t="n">
        <v>14.348544156211</v>
      </c>
      <c r="E14" s="0" t="s">
        <v>383</v>
      </c>
    </row>
    <row r="15" customFormat="false" ht="15" hidden="false" customHeight="false" outlineLevel="0" collapsed="false">
      <c r="A15" s="0" t="s">
        <v>77</v>
      </c>
      <c r="B15" s="0" t="n">
        <v>2013</v>
      </c>
      <c r="C15" s="0" t="s">
        <v>21</v>
      </c>
      <c r="D15" s="0" t="n">
        <v>1.45519152283669E-010</v>
      </c>
      <c r="E15" s="0" t="s">
        <v>383</v>
      </c>
    </row>
    <row r="16" customFormat="false" ht="15" hidden="false" customHeight="false" outlineLevel="0" collapsed="false">
      <c r="A16" s="0" t="s">
        <v>77</v>
      </c>
      <c r="B16" s="0" t="n">
        <v>2014</v>
      </c>
      <c r="C16" s="0" t="s">
        <v>54</v>
      </c>
      <c r="D16" s="0" t="n">
        <v>39941.126</v>
      </c>
      <c r="E16" s="0" t="s">
        <v>382</v>
      </c>
      <c r="G16" s="0" t="s">
        <v>81</v>
      </c>
    </row>
    <row r="17" customFormat="false" ht="15" hidden="false" customHeight="false" outlineLevel="0" collapsed="false">
      <c r="A17" s="0" t="s">
        <v>77</v>
      </c>
      <c r="B17" s="0" t="n">
        <v>2014</v>
      </c>
      <c r="C17" s="0" t="s">
        <v>55</v>
      </c>
      <c r="D17" s="0" t="n">
        <v>1981955.73</v>
      </c>
      <c r="E17" s="0" t="s">
        <v>382</v>
      </c>
      <c r="G17" s="0" t="s">
        <v>81</v>
      </c>
    </row>
    <row r="18" customFormat="false" ht="15" hidden="false" customHeight="false" outlineLevel="0" collapsed="false">
      <c r="A18" s="0" t="s">
        <v>77</v>
      </c>
      <c r="B18" s="0" t="n">
        <v>2014</v>
      </c>
      <c r="C18" s="0" t="s">
        <v>56</v>
      </c>
      <c r="D18" s="0" t="n">
        <v>1707799.944</v>
      </c>
      <c r="E18" s="0" t="s">
        <v>382</v>
      </c>
      <c r="G18" s="0" t="s">
        <v>81</v>
      </c>
    </row>
    <row r="19" customFormat="false" ht="15" hidden="false" customHeight="false" outlineLevel="0" collapsed="false">
      <c r="A19" s="0" t="s">
        <v>77</v>
      </c>
      <c r="B19" s="0" t="n">
        <v>2014</v>
      </c>
      <c r="C19" s="0" t="s">
        <v>57</v>
      </c>
      <c r="D19" s="0" t="n">
        <v>274155.785</v>
      </c>
      <c r="E19" s="0" t="s">
        <v>382</v>
      </c>
      <c r="G19" s="0" t="s">
        <v>81</v>
      </c>
    </row>
    <row r="20" customFormat="false" ht="15" hidden="false" customHeight="false" outlineLevel="0" collapsed="false">
      <c r="A20" s="0" t="s">
        <v>77</v>
      </c>
      <c r="B20" s="0" t="n">
        <v>2014</v>
      </c>
      <c r="C20" s="0" t="s">
        <v>59</v>
      </c>
      <c r="D20" s="0" t="n">
        <v>1704094.012</v>
      </c>
      <c r="E20" s="0" t="s">
        <v>382</v>
      </c>
      <c r="G20" s="0" t="s">
        <v>81</v>
      </c>
    </row>
    <row r="21" customFormat="false" ht="15" hidden="false" customHeight="false" outlineLevel="0" collapsed="false">
      <c r="A21" s="0" t="s">
        <v>77</v>
      </c>
      <c r="B21" s="0" t="n">
        <v>2014</v>
      </c>
      <c r="C21" s="0" t="s">
        <v>63</v>
      </c>
      <c r="D21" s="0" t="n">
        <v>10609.3</v>
      </c>
      <c r="E21" s="0" t="s">
        <v>382</v>
      </c>
      <c r="G21" s="0" t="s">
        <v>81</v>
      </c>
    </row>
    <row r="22" customFormat="false" ht="15" hidden="false" customHeight="false" outlineLevel="0" collapsed="false">
      <c r="A22" s="0" t="s">
        <v>77</v>
      </c>
      <c r="B22" s="0" t="n">
        <v>2014</v>
      </c>
      <c r="C22" s="0" t="s">
        <v>64</v>
      </c>
      <c r="D22" s="0" t="n">
        <v>19966.521</v>
      </c>
      <c r="E22" s="0" t="s">
        <v>382</v>
      </c>
      <c r="G22" s="0" t="s">
        <v>81</v>
      </c>
    </row>
    <row r="23" customFormat="false" ht="15" hidden="false" customHeight="false" outlineLevel="0" collapsed="false">
      <c r="A23" s="0" t="s">
        <v>77</v>
      </c>
      <c r="B23" s="0" t="n">
        <v>2014</v>
      </c>
      <c r="C23" s="0" t="s">
        <v>266</v>
      </c>
      <c r="D23" s="0" t="n">
        <v>1.83</v>
      </c>
      <c r="E23" s="0" t="s">
        <v>382</v>
      </c>
      <c r="G23" s="0" t="s">
        <v>81</v>
      </c>
    </row>
    <row r="24" customFormat="false" ht="15" hidden="false" customHeight="false" outlineLevel="0" collapsed="false">
      <c r="A24" s="0" t="s">
        <v>77</v>
      </c>
      <c r="B24" s="0" t="n">
        <v>2014</v>
      </c>
      <c r="C24" s="0" t="s">
        <v>19</v>
      </c>
      <c r="D24" s="0" t="n">
        <v>1843024.871</v>
      </c>
      <c r="E24" s="0" t="s">
        <v>383</v>
      </c>
    </row>
    <row r="25" customFormat="false" ht="15" hidden="false" customHeight="false" outlineLevel="0" collapsed="false">
      <c r="A25" s="0" t="s">
        <v>77</v>
      </c>
      <c r="B25" s="0" t="n">
        <v>2014</v>
      </c>
      <c r="C25" s="0" t="s">
        <v>41</v>
      </c>
      <c r="D25" s="0" t="n">
        <v>2.16715067867361</v>
      </c>
      <c r="E25" s="0" t="s">
        <v>383</v>
      </c>
    </row>
    <row r="26" customFormat="false" ht="15" hidden="false" customHeight="false" outlineLevel="0" collapsed="false">
      <c r="A26" s="0" t="s">
        <v>77</v>
      </c>
      <c r="B26" s="0" t="n">
        <v>2014</v>
      </c>
      <c r="C26" s="0" t="s">
        <v>27</v>
      </c>
      <c r="D26" s="0" t="n">
        <v>13.8325887329481</v>
      </c>
      <c r="E26" s="0" t="s">
        <v>383</v>
      </c>
    </row>
    <row r="27" customFormat="false" ht="15" hidden="false" customHeight="false" outlineLevel="0" collapsed="false">
      <c r="A27" s="0" t="s">
        <v>77</v>
      </c>
      <c r="B27" s="0" t="n">
        <v>2014</v>
      </c>
      <c r="C27" s="0" t="s">
        <v>29</v>
      </c>
      <c r="D27" s="0" t="n">
        <v>0.575646057030339</v>
      </c>
      <c r="E27" s="0" t="s">
        <v>383</v>
      </c>
    </row>
    <row r="28" customFormat="false" ht="15" hidden="false" customHeight="false" outlineLevel="0" collapsed="false">
      <c r="A28" s="0" t="s">
        <v>77</v>
      </c>
      <c r="B28" s="0" t="n">
        <v>2014</v>
      </c>
      <c r="C28" s="0" t="s">
        <v>43</v>
      </c>
      <c r="D28" s="0" t="n">
        <v>2.01523804974191</v>
      </c>
      <c r="E28" s="0" t="s">
        <v>383</v>
      </c>
    </row>
    <row r="29" customFormat="false" ht="15" hidden="false" customHeight="false" outlineLevel="0" collapsed="false">
      <c r="A29" s="0" t="s">
        <v>77</v>
      </c>
      <c r="B29" s="0" t="n">
        <v>2014</v>
      </c>
      <c r="C29" s="0" t="s">
        <v>31</v>
      </c>
      <c r="D29" s="0" t="n">
        <v>86.1674112165966</v>
      </c>
      <c r="E29" s="0" t="s">
        <v>383</v>
      </c>
    </row>
    <row r="30" customFormat="false" ht="15" hidden="false" customHeight="false" outlineLevel="0" collapsed="false">
      <c r="A30" s="0" t="s">
        <v>77</v>
      </c>
      <c r="B30" s="0" t="n">
        <v>2014</v>
      </c>
      <c r="C30" s="0" t="s">
        <v>33</v>
      </c>
      <c r="D30" s="0" t="n">
        <v>14.4995946575984</v>
      </c>
      <c r="E30" s="0" t="s">
        <v>383</v>
      </c>
    </row>
    <row r="31" customFormat="false" ht="15" hidden="false" customHeight="false" outlineLevel="0" collapsed="false">
      <c r="A31" s="0" t="s">
        <v>77</v>
      </c>
      <c r="B31" s="0" t="n">
        <v>2014</v>
      </c>
      <c r="C31" s="0" t="s">
        <v>21</v>
      </c>
      <c r="D31" s="0" t="n">
        <v>0.00100000010570511</v>
      </c>
      <c r="E31" s="0" t="s">
        <v>383</v>
      </c>
    </row>
    <row r="32" customFormat="false" ht="15" hidden="false" customHeight="false" outlineLevel="0" collapsed="false">
      <c r="A32" s="0" t="s">
        <v>83</v>
      </c>
      <c r="B32" s="0" t="n">
        <v>2016</v>
      </c>
      <c r="C32" s="0" t="s">
        <v>54</v>
      </c>
      <c r="D32" s="0" t="n">
        <v>5780</v>
      </c>
      <c r="E32" s="0" t="s">
        <v>382</v>
      </c>
      <c r="G32" s="0" t="s">
        <v>81</v>
      </c>
    </row>
    <row r="33" customFormat="false" ht="15" hidden="false" customHeight="false" outlineLevel="0" collapsed="false">
      <c r="A33" s="0" t="s">
        <v>83</v>
      </c>
      <c r="B33" s="0" t="n">
        <v>2016</v>
      </c>
      <c r="C33" s="0" t="s">
        <v>55</v>
      </c>
      <c r="D33" s="0" t="n">
        <v>1808503</v>
      </c>
      <c r="E33" s="0" t="s">
        <v>382</v>
      </c>
      <c r="G33" s="0" t="s">
        <v>81</v>
      </c>
    </row>
    <row r="34" customFormat="false" ht="15" hidden="false" customHeight="false" outlineLevel="0" collapsed="false">
      <c r="A34" s="0" t="s">
        <v>83</v>
      </c>
      <c r="B34" s="0" t="n">
        <v>2016</v>
      </c>
      <c r="C34" s="0" t="s">
        <v>56</v>
      </c>
      <c r="D34" s="0" t="n">
        <v>1587728</v>
      </c>
      <c r="E34" s="0" t="s">
        <v>382</v>
      </c>
      <c r="G34" s="0" t="s">
        <v>81</v>
      </c>
    </row>
    <row r="35" customFormat="false" ht="15" hidden="false" customHeight="false" outlineLevel="0" collapsed="false">
      <c r="A35" s="0" t="s">
        <v>83</v>
      </c>
      <c r="B35" s="0" t="n">
        <v>2016</v>
      </c>
      <c r="C35" s="0" t="s">
        <v>57</v>
      </c>
      <c r="D35" s="0" t="n">
        <v>220775</v>
      </c>
      <c r="E35" s="0" t="s">
        <v>382</v>
      </c>
      <c r="G35" s="0" t="s">
        <v>81</v>
      </c>
    </row>
    <row r="36" customFormat="false" ht="15" hidden="false" customHeight="false" outlineLevel="0" collapsed="false">
      <c r="A36" s="0" t="s">
        <v>83</v>
      </c>
      <c r="B36" s="0" t="n">
        <v>2016</v>
      </c>
      <c r="C36" s="0" t="s">
        <v>63</v>
      </c>
      <c r="D36" s="0" t="n">
        <v>82783</v>
      </c>
      <c r="E36" s="0" t="s">
        <v>382</v>
      </c>
      <c r="G36" s="0" t="s">
        <v>81</v>
      </c>
    </row>
    <row r="37" customFormat="false" ht="15" hidden="false" customHeight="false" outlineLevel="0" collapsed="false">
      <c r="A37" s="0" t="s">
        <v>83</v>
      </c>
      <c r="B37" s="0" t="n">
        <v>2016</v>
      </c>
      <c r="C37" s="0" t="s">
        <v>266</v>
      </c>
      <c r="D37" s="0" t="n">
        <v>9.1</v>
      </c>
      <c r="E37" s="0" t="s">
        <v>382</v>
      </c>
      <c r="G37" s="0" t="s">
        <v>81</v>
      </c>
    </row>
    <row r="38" customFormat="false" ht="15" hidden="false" customHeight="false" outlineLevel="0" collapsed="false">
      <c r="A38" s="0" t="s">
        <v>83</v>
      </c>
      <c r="B38" s="0" t="n">
        <v>2016</v>
      </c>
      <c r="C38" s="0" t="s">
        <v>27</v>
      </c>
      <c r="D38" s="0" t="n">
        <v>12.2076103827309</v>
      </c>
      <c r="E38" s="0" t="s">
        <v>383</v>
      </c>
    </row>
    <row r="39" customFormat="false" ht="15" hidden="false" customHeight="false" outlineLevel="0" collapsed="false">
      <c r="A39" s="0" t="s">
        <v>83</v>
      </c>
      <c r="B39" s="0" t="n">
        <v>2016</v>
      </c>
      <c r="C39" s="0" t="s">
        <v>43</v>
      </c>
      <c r="D39" s="0" t="n">
        <v>0.319601349845701</v>
      </c>
      <c r="E39" s="0" t="s">
        <v>383</v>
      </c>
    </row>
    <row r="40" customFormat="false" ht="15" hidden="false" customHeight="false" outlineLevel="0" collapsed="false">
      <c r="A40" s="0" t="s">
        <v>83</v>
      </c>
      <c r="B40" s="0" t="n">
        <v>2016</v>
      </c>
      <c r="C40" s="0" t="s">
        <v>31</v>
      </c>
      <c r="D40" s="0" t="n">
        <v>87.7923896172691</v>
      </c>
      <c r="E40" s="0" t="s">
        <v>383</v>
      </c>
    </row>
    <row r="41" customFormat="false" ht="15" hidden="false" customHeight="false" outlineLevel="0" collapsed="false">
      <c r="A41" s="0" t="s">
        <v>83</v>
      </c>
      <c r="B41" s="0" t="n">
        <v>2016</v>
      </c>
      <c r="C41" s="0" t="s">
        <v>33</v>
      </c>
      <c r="D41" s="0" t="n">
        <v>14.4080099892062</v>
      </c>
      <c r="E41" s="0" t="s">
        <v>383</v>
      </c>
    </row>
    <row r="42" customFormat="false" ht="15" hidden="false" customHeight="false" outlineLevel="0" collapsed="false">
      <c r="A42" s="0" t="s">
        <v>83</v>
      </c>
      <c r="B42" s="0" t="n">
        <v>2016</v>
      </c>
      <c r="C42" s="0" t="s">
        <v>21</v>
      </c>
      <c r="D42" s="0" t="n">
        <v>0</v>
      </c>
      <c r="E42" s="0" t="s">
        <v>383</v>
      </c>
    </row>
    <row r="43" customFormat="false" ht="15" hidden="false" customHeight="false" outlineLevel="0" collapsed="false">
      <c r="A43" s="0" t="s">
        <v>83</v>
      </c>
      <c r="B43" s="0" t="n">
        <v>2017</v>
      </c>
      <c r="C43" s="0" t="s">
        <v>54</v>
      </c>
      <c r="D43" s="0" t="n">
        <v>20204</v>
      </c>
      <c r="E43" s="0" t="s">
        <v>382</v>
      </c>
      <c r="G43" s="0" t="s">
        <v>81</v>
      </c>
    </row>
    <row r="44" customFormat="false" ht="15" hidden="false" customHeight="false" outlineLevel="0" collapsed="false">
      <c r="A44" s="0" t="s">
        <v>83</v>
      </c>
      <c r="B44" s="0" t="n">
        <v>2017</v>
      </c>
      <c r="C44" s="0" t="s">
        <v>55</v>
      </c>
      <c r="D44" s="0" t="n">
        <v>1829761</v>
      </c>
      <c r="E44" s="0" t="s">
        <v>382</v>
      </c>
      <c r="G44" s="0" t="s">
        <v>81</v>
      </c>
    </row>
    <row r="45" customFormat="false" ht="15" hidden="false" customHeight="false" outlineLevel="0" collapsed="false">
      <c r="A45" s="0" t="s">
        <v>83</v>
      </c>
      <c r="B45" s="0" t="n">
        <v>2017</v>
      </c>
      <c r="C45" s="0" t="s">
        <v>56</v>
      </c>
      <c r="D45" s="0" t="n">
        <v>1562432</v>
      </c>
      <c r="E45" s="0" t="s">
        <v>382</v>
      </c>
      <c r="G45" s="0" t="s">
        <v>81</v>
      </c>
    </row>
    <row r="46" customFormat="false" ht="15" hidden="false" customHeight="false" outlineLevel="0" collapsed="false">
      <c r="A46" s="0" t="s">
        <v>83</v>
      </c>
      <c r="B46" s="0" t="n">
        <v>2017</v>
      </c>
      <c r="C46" s="0" t="s">
        <v>57</v>
      </c>
      <c r="D46" s="0" t="n">
        <v>267329</v>
      </c>
      <c r="E46" s="0" t="s">
        <v>382</v>
      </c>
      <c r="G46" s="0" t="s">
        <v>81</v>
      </c>
    </row>
    <row r="47" customFormat="false" ht="15" hidden="false" customHeight="false" outlineLevel="0" collapsed="false">
      <c r="A47" s="0" t="s">
        <v>83</v>
      </c>
      <c r="B47" s="0" t="n">
        <v>2017</v>
      </c>
      <c r="C47" s="0" t="s">
        <v>59</v>
      </c>
      <c r="D47" s="0" t="n">
        <v>1808503</v>
      </c>
      <c r="E47" s="0" t="s">
        <v>382</v>
      </c>
      <c r="G47" s="0" t="s">
        <v>81</v>
      </c>
    </row>
    <row r="48" customFormat="false" ht="15" hidden="false" customHeight="false" outlineLevel="0" collapsed="false">
      <c r="A48" s="0" t="s">
        <v>83</v>
      </c>
      <c r="B48" s="0" t="n">
        <v>2017</v>
      </c>
      <c r="C48" s="0" t="s">
        <v>63</v>
      </c>
      <c r="D48" s="0" t="n">
        <v>59901</v>
      </c>
      <c r="E48" s="0" t="s">
        <v>382</v>
      </c>
      <c r="G48" s="0" t="s">
        <v>81</v>
      </c>
    </row>
    <row r="49" customFormat="false" ht="15" hidden="false" customHeight="false" outlineLevel="0" collapsed="false">
      <c r="A49" s="0" t="s">
        <v>83</v>
      </c>
      <c r="B49" s="0" t="n">
        <v>2017</v>
      </c>
      <c r="C49" s="0" t="s">
        <v>266</v>
      </c>
      <c r="D49" s="0" t="n">
        <v>14.5</v>
      </c>
      <c r="E49" s="0" t="s">
        <v>382</v>
      </c>
      <c r="G49" s="0" t="s">
        <v>81</v>
      </c>
    </row>
    <row r="50" customFormat="false" ht="15" hidden="false" customHeight="false" outlineLevel="0" collapsed="false">
      <c r="A50" s="0" t="s">
        <v>83</v>
      </c>
      <c r="B50" s="0" t="n">
        <v>2017</v>
      </c>
      <c r="C50" s="0" t="s">
        <v>19</v>
      </c>
      <c r="D50" s="0" t="n">
        <v>1819132</v>
      </c>
      <c r="E50" s="0" t="s">
        <v>383</v>
      </c>
    </row>
    <row r="51" customFormat="false" ht="15" hidden="false" customHeight="false" outlineLevel="0" collapsed="false">
      <c r="A51" s="0" t="s">
        <v>83</v>
      </c>
      <c r="B51" s="0" t="n">
        <v>2017</v>
      </c>
      <c r="C51" s="0" t="s">
        <v>41</v>
      </c>
      <c r="D51" s="0" t="n">
        <v>1.11063957975562</v>
      </c>
      <c r="E51" s="0" t="s">
        <v>383</v>
      </c>
    </row>
    <row r="52" customFormat="false" ht="15" hidden="false" customHeight="false" outlineLevel="0" collapsed="false">
      <c r="A52" s="0" t="s">
        <v>83</v>
      </c>
      <c r="B52" s="0" t="n">
        <v>2017</v>
      </c>
      <c r="C52" s="0" t="s">
        <v>27</v>
      </c>
      <c r="D52" s="0" t="n">
        <v>14.6100501650216</v>
      </c>
      <c r="E52" s="0" t="s">
        <v>383</v>
      </c>
    </row>
    <row r="53" customFormat="false" ht="15" hidden="false" customHeight="false" outlineLevel="0" collapsed="false">
      <c r="A53" s="0" t="s">
        <v>83</v>
      </c>
      <c r="B53" s="0" t="n">
        <v>2017</v>
      </c>
      <c r="C53" s="0" t="s">
        <v>29</v>
      </c>
      <c r="D53" s="0" t="n">
        <v>3.29283416486544</v>
      </c>
      <c r="E53" s="0" t="s">
        <v>383</v>
      </c>
    </row>
    <row r="54" customFormat="false" ht="15" hidden="false" customHeight="false" outlineLevel="0" collapsed="false">
      <c r="A54" s="0" t="s">
        <v>83</v>
      </c>
      <c r="B54" s="0" t="n">
        <v>2017</v>
      </c>
      <c r="C54" s="0" t="s">
        <v>43</v>
      </c>
      <c r="D54" s="0" t="n">
        <v>1.10418792399663</v>
      </c>
      <c r="E54" s="0" t="s">
        <v>383</v>
      </c>
    </row>
    <row r="55" customFormat="false" ht="15" hidden="false" customHeight="false" outlineLevel="0" collapsed="false">
      <c r="A55" s="0" t="s">
        <v>83</v>
      </c>
      <c r="B55" s="0" t="n">
        <v>2017</v>
      </c>
      <c r="C55" s="0" t="s">
        <v>31</v>
      </c>
      <c r="D55" s="0" t="n">
        <v>85.3899498349785</v>
      </c>
      <c r="E55" s="0" t="s">
        <v>383</v>
      </c>
    </row>
    <row r="56" customFormat="false" ht="15" hidden="false" customHeight="false" outlineLevel="0" collapsed="false">
      <c r="A56" s="0" t="s">
        <v>83</v>
      </c>
      <c r="B56" s="0" t="n">
        <v>2017</v>
      </c>
      <c r="C56" s="0" t="s">
        <v>33</v>
      </c>
      <c r="D56" s="0" t="n">
        <v>14.4196959151956</v>
      </c>
      <c r="E56" s="0" t="s">
        <v>383</v>
      </c>
    </row>
    <row r="57" customFormat="false" ht="15" hidden="false" customHeight="false" outlineLevel="0" collapsed="false">
      <c r="A57" s="0" t="s">
        <v>83</v>
      </c>
      <c r="B57" s="0" t="n">
        <v>2017</v>
      </c>
      <c r="C57" s="0" t="s">
        <v>21</v>
      </c>
      <c r="D57" s="0" t="n">
        <v>0</v>
      </c>
      <c r="E57" s="0" t="s">
        <v>383</v>
      </c>
    </row>
    <row r="58" customFormat="false" ht="15" hidden="false" customHeight="false" outlineLevel="0" collapsed="false">
      <c r="A58" s="0" t="s">
        <v>86</v>
      </c>
      <c r="B58" s="0" t="n">
        <v>2013</v>
      </c>
      <c r="C58" s="0" t="s">
        <v>54</v>
      </c>
      <c r="D58" s="0" t="n">
        <v>7721</v>
      </c>
      <c r="E58" s="0" t="s">
        <v>382</v>
      </c>
      <c r="G58" s="0" t="s">
        <v>81</v>
      </c>
    </row>
    <row r="59" customFormat="false" ht="15" hidden="false" customHeight="false" outlineLevel="0" collapsed="false">
      <c r="A59" s="0" t="s">
        <v>86</v>
      </c>
      <c r="B59" s="0" t="n">
        <v>2013</v>
      </c>
      <c r="C59" s="0" t="s">
        <v>55</v>
      </c>
      <c r="D59" s="0" t="n">
        <v>1081217</v>
      </c>
      <c r="E59" s="0" t="s">
        <v>382</v>
      </c>
      <c r="G59" s="0" t="s">
        <v>81</v>
      </c>
    </row>
    <row r="60" customFormat="false" ht="15" hidden="false" customHeight="false" outlineLevel="0" collapsed="false">
      <c r="A60" s="0" t="s">
        <v>86</v>
      </c>
      <c r="B60" s="0" t="n">
        <v>2013</v>
      </c>
      <c r="C60" s="0" t="s">
        <v>56</v>
      </c>
      <c r="D60" s="0" t="n">
        <v>917762</v>
      </c>
      <c r="E60" s="0" t="s">
        <v>382</v>
      </c>
      <c r="G60" s="0" t="s">
        <v>81</v>
      </c>
    </row>
    <row r="61" customFormat="false" ht="15" hidden="false" customHeight="false" outlineLevel="0" collapsed="false">
      <c r="A61" s="0" t="s">
        <v>86</v>
      </c>
      <c r="B61" s="0" t="n">
        <v>2013</v>
      </c>
      <c r="C61" s="0" t="s">
        <v>57</v>
      </c>
      <c r="D61" s="0" t="n">
        <v>163455</v>
      </c>
      <c r="E61" s="0" t="s">
        <v>382</v>
      </c>
      <c r="G61" s="0" t="s">
        <v>81</v>
      </c>
    </row>
    <row r="62" customFormat="false" ht="15" hidden="false" customHeight="false" outlineLevel="0" collapsed="false">
      <c r="A62" s="0" t="s">
        <v>86</v>
      </c>
      <c r="B62" s="0" t="n">
        <v>2013</v>
      </c>
      <c r="C62" s="0" t="s">
        <v>58</v>
      </c>
      <c r="D62" s="0" t="n">
        <v>15048</v>
      </c>
      <c r="E62" s="0" t="s">
        <v>382</v>
      </c>
      <c r="G62" s="0" t="s">
        <v>81</v>
      </c>
    </row>
    <row r="63" customFormat="false" ht="15" hidden="false" customHeight="false" outlineLevel="0" collapsed="false">
      <c r="A63" s="0" t="s">
        <v>86</v>
      </c>
      <c r="B63" s="0" t="n">
        <v>2013</v>
      </c>
      <c r="C63" s="0" t="s">
        <v>59</v>
      </c>
      <c r="D63" s="0" t="n">
        <v>914360</v>
      </c>
      <c r="E63" s="0" t="s">
        <v>382</v>
      </c>
      <c r="G63" s="0" t="s">
        <v>81</v>
      </c>
    </row>
    <row r="64" customFormat="false" ht="15" hidden="false" customHeight="false" outlineLevel="0" collapsed="false">
      <c r="A64" s="0" t="s">
        <v>86</v>
      </c>
      <c r="B64" s="0" t="n">
        <v>2013</v>
      </c>
      <c r="C64" s="0" t="s">
        <v>60</v>
      </c>
      <c r="D64" s="0" t="n">
        <v>442649</v>
      </c>
      <c r="E64" s="0" t="s">
        <v>382</v>
      </c>
      <c r="G64" s="0" t="s">
        <v>81</v>
      </c>
    </row>
    <row r="65" customFormat="false" ht="15" hidden="false" customHeight="false" outlineLevel="0" collapsed="false">
      <c r="A65" s="0" t="s">
        <v>86</v>
      </c>
      <c r="B65" s="0" t="n">
        <v>2013</v>
      </c>
      <c r="C65" s="0" t="s">
        <v>61</v>
      </c>
      <c r="D65" s="0" t="n">
        <v>16573</v>
      </c>
      <c r="E65" s="0" t="s">
        <v>382</v>
      </c>
      <c r="G65" s="0" t="s">
        <v>81</v>
      </c>
    </row>
    <row r="66" customFormat="false" ht="15" hidden="false" customHeight="false" outlineLevel="0" collapsed="false">
      <c r="A66" s="0" t="s">
        <v>86</v>
      </c>
      <c r="B66" s="0" t="n">
        <v>2013</v>
      </c>
      <c r="C66" s="0" t="s">
        <v>63</v>
      </c>
      <c r="D66" s="0" t="n">
        <v>7630</v>
      </c>
      <c r="E66" s="0" t="s">
        <v>382</v>
      </c>
      <c r="G66" s="0" t="s">
        <v>81</v>
      </c>
    </row>
    <row r="67" customFormat="false" ht="15" hidden="false" customHeight="false" outlineLevel="0" collapsed="false">
      <c r="A67" s="0" t="s">
        <v>86</v>
      </c>
      <c r="B67" s="0" t="n">
        <v>2013</v>
      </c>
      <c r="C67" s="0" t="s">
        <v>247</v>
      </c>
      <c r="D67" s="0" t="n">
        <v>3190</v>
      </c>
      <c r="E67" s="0" t="s">
        <v>382</v>
      </c>
      <c r="G67" s="0" t="s">
        <v>81</v>
      </c>
    </row>
    <row r="68" customFormat="false" ht="15" hidden="false" customHeight="false" outlineLevel="0" collapsed="false">
      <c r="A68" s="0" t="s">
        <v>86</v>
      </c>
      <c r="B68" s="0" t="n">
        <v>2013</v>
      </c>
      <c r="C68" s="0" t="s">
        <v>69</v>
      </c>
      <c r="D68" s="0" t="n">
        <v>26</v>
      </c>
      <c r="E68" s="0" t="s">
        <v>382</v>
      </c>
      <c r="G68" s="0" t="s">
        <v>81</v>
      </c>
    </row>
    <row r="69" customFormat="false" ht="15" hidden="false" customHeight="false" outlineLevel="0" collapsed="false">
      <c r="A69" s="0" t="s">
        <v>86</v>
      </c>
      <c r="B69" s="0" t="n">
        <v>2013</v>
      </c>
      <c r="C69" s="0" t="s">
        <v>19</v>
      </c>
      <c r="D69" s="0" t="n">
        <v>997788.5</v>
      </c>
      <c r="E69" s="0" t="s">
        <v>383</v>
      </c>
    </row>
    <row r="70" customFormat="false" ht="15" hidden="false" customHeight="false" outlineLevel="0" collapsed="false">
      <c r="A70" s="0" t="s">
        <v>86</v>
      </c>
      <c r="B70" s="0" t="n">
        <v>2013</v>
      </c>
      <c r="C70" s="0" t="s">
        <v>41</v>
      </c>
      <c r="D70" s="0" t="n">
        <v>0.7738112836538</v>
      </c>
      <c r="E70" s="0" t="s">
        <v>383</v>
      </c>
    </row>
    <row r="71" customFormat="false" ht="15" hidden="false" customHeight="false" outlineLevel="0" collapsed="false">
      <c r="A71" s="0" t="s">
        <v>86</v>
      </c>
      <c r="B71" s="0" t="n">
        <v>2013</v>
      </c>
      <c r="C71" s="0" t="s">
        <v>27</v>
      </c>
      <c r="D71" s="0" t="n">
        <v>15.1176868288235</v>
      </c>
      <c r="E71" s="0" t="s">
        <v>383</v>
      </c>
    </row>
    <row r="72" customFormat="false" ht="15" hidden="false" customHeight="false" outlineLevel="0" collapsed="false">
      <c r="A72" s="0" t="s">
        <v>86</v>
      </c>
      <c r="B72" s="0" t="n">
        <v>2013</v>
      </c>
      <c r="C72" s="0" t="s">
        <v>39</v>
      </c>
      <c r="D72" s="0" t="n">
        <v>1.50813524108566</v>
      </c>
      <c r="E72" s="0" t="s">
        <v>383</v>
      </c>
    </row>
    <row r="73" customFormat="false" ht="15" hidden="false" customHeight="false" outlineLevel="0" collapsed="false">
      <c r="A73" s="0" t="s">
        <v>86</v>
      </c>
      <c r="B73" s="0" t="n">
        <v>2013</v>
      </c>
      <c r="C73" s="0" t="s">
        <v>17</v>
      </c>
      <c r="D73" s="0" t="n">
        <v>3.74405002609291</v>
      </c>
      <c r="E73" s="0" t="s">
        <v>383</v>
      </c>
    </row>
    <row r="74" customFormat="false" ht="15" hidden="false" customHeight="false" outlineLevel="0" collapsed="false">
      <c r="A74" s="0" t="s">
        <v>86</v>
      </c>
      <c r="B74" s="0" t="n">
        <v>2013</v>
      </c>
      <c r="C74" s="0" t="s">
        <v>29</v>
      </c>
      <c r="D74" s="0" t="n">
        <v>0.764691114399494</v>
      </c>
      <c r="E74" s="0" t="s">
        <v>383</v>
      </c>
    </row>
    <row r="75" customFormat="false" ht="15" hidden="false" customHeight="false" outlineLevel="0" collapsed="false">
      <c r="A75" s="0" t="s">
        <v>86</v>
      </c>
      <c r="B75" s="0" t="n">
        <v>2013</v>
      </c>
      <c r="C75" s="0" t="s">
        <v>43</v>
      </c>
      <c r="D75" s="0" t="n">
        <v>0.714102719435599</v>
      </c>
      <c r="E75" s="0" t="s">
        <v>383</v>
      </c>
    </row>
    <row r="76" customFormat="false" ht="15" hidden="false" customHeight="false" outlineLevel="0" collapsed="false">
      <c r="A76" s="0" t="s">
        <v>86</v>
      </c>
      <c r="B76" s="0" t="n">
        <v>2013</v>
      </c>
      <c r="C76" s="0" t="s">
        <v>31</v>
      </c>
      <c r="D76" s="0" t="n">
        <v>84.8823131711766</v>
      </c>
      <c r="E76" s="0" t="s">
        <v>383</v>
      </c>
    </row>
    <row r="77" customFormat="false" ht="15" hidden="false" customHeight="false" outlineLevel="0" collapsed="false">
      <c r="A77" s="0" t="s">
        <v>86</v>
      </c>
      <c r="B77" s="0" t="n">
        <v>2013</v>
      </c>
      <c r="C77" s="0" t="s">
        <v>33</v>
      </c>
      <c r="D77" s="0" t="n">
        <v>13.8935978165313</v>
      </c>
      <c r="E77" s="0" t="s">
        <v>383</v>
      </c>
    </row>
    <row r="78" customFormat="false" ht="15" hidden="false" customHeight="false" outlineLevel="0" collapsed="false">
      <c r="A78" s="0" t="s">
        <v>86</v>
      </c>
      <c r="B78" s="0" t="n">
        <v>2013</v>
      </c>
      <c r="C78" s="0" t="s">
        <v>21</v>
      </c>
      <c r="D78" s="0" t="n">
        <v>0</v>
      </c>
      <c r="E78" s="0" t="s">
        <v>383</v>
      </c>
    </row>
    <row r="79" customFormat="false" ht="15" hidden="false" customHeight="false" outlineLevel="0" collapsed="false">
      <c r="A79" s="0" t="s">
        <v>86</v>
      </c>
      <c r="B79" s="0" t="n">
        <v>2014</v>
      </c>
      <c r="C79" s="0" t="s">
        <v>54</v>
      </c>
      <c r="D79" s="0" t="n">
        <v>13796</v>
      </c>
      <c r="E79" s="0" t="s">
        <v>384</v>
      </c>
      <c r="F79" s="0" t="s">
        <v>385</v>
      </c>
      <c r="G79" s="0" t="s">
        <v>89</v>
      </c>
      <c r="H79" s="0" t="s">
        <v>386</v>
      </c>
    </row>
    <row r="80" customFormat="false" ht="15" hidden="false" customHeight="false" outlineLevel="0" collapsed="false">
      <c r="A80" s="0" t="s">
        <v>86</v>
      </c>
      <c r="B80" s="0" t="n">
        <v>2014</v>
      </c>
      <c r="C80" s="0" t="s">
        <v>55</v>
      </c>
      <c r="D80" s="0" t="n">
        <v>1187025</v>
      </c>
      <c r="E80" s="0" t="s">
        <v>384</v>
      </c>
      <c r="F80" s="0" t="s">
        <v>385</v>
      </c>
      <c r="G80" s="0" t="s">
        <v>89</v>
      </c>
      <c r="H80" s="0" t="s">
        <v>387</v>
      </c>
    </row>
    <row r="81" customFormat="false" ht="15" hidden="false" customHeight="false" outlineLevel="0" collapsed="false">
      <c r="A81" s="0" t="s">
        <v>86</v>
      </c>
      <c r="B81" s="0" t="n">
        <v>2014</v>
      </c>
      <c r="C81" s="0" t="s">
        <v>56</v>
      </c>
      <c r="D81" s="0" t="n">
        <v>1013914</v>
      </c>
      <c r="E81" s="0" t="s">
        <v>384</v>
      </c>
      <c r="F81" s="0" t="s">
        <v>385</v>
      </c>
      <c r="G81" s="0" t="s">
        <v>89</v>
      </c>
      <c r="H81" s="0" t="s">
        <v>388</v>
      </c>
    </row>
    <row r="82" customFormat="false" ht="15" hidden="false" customHeight="false" outlineLevel="0" collapsed="false">
      <c r="A82" s="0" t="s">
        <v>86</v>
      </c>
      <c r="B82" s="0" t="n">
        <v>2014</v>
      </c>
      <c r="C82" s="0" t="s">
        <v>57</v>
      </c>
      <c r="D82" s="0" t="n">
        <v>173111</v>
      </c>
      <c r="E82" s="0" t="s">
        <v>384</v>
      </c>
      <c r="F82" s="0" t="s">
        <v>385</v>
      </c>
      <c r="G82" s="0" t="s">
        <v>89</v>
      </c>
      <c r="H82" s="0" t="s">
        <v>389</v>
      </c>
    </row>
    <row r="83" customFormat="false" ht="15" hidden="false" customHeight="false" outlineLevel="0" collapsed="false">
      <c r="A83" s="0" t="s">
        <v>86</v>
      </c>
      <c r="B83" s="0" t="n">
        <v>2014</v>
      </c>
      <c r="C83" s="0" t="s">
        <v>58</v>
      </c>
      <c r="D83" s="0" t="n">
        <v>53565</v>
      </c>
      <c r="E83" s="0" t="s">
        <v>384</v>
      </c>
      <c r="F83" s="0" t="s">
        <v>385</v>
      </c>
      <c r="G83" s="0" t="s">
        <v>89</v>
      </c>
      <c r="H83" s="0" t="s">
        <v>390</v>
      </c>
    </row>
    <row r="84" customFormat="false" ht="15" hidden="false" customHeight="false" outlineLevel="0" collapsed="false">
      <c r="A84" s="0" t="s">
        <v>86</v>
      </c>
      <c r="B84" s="0" t="n">
        <v>2014</v>
      </c>
      <c r="C84" s="0" t="s">
        <v>59</v>
      </c>
      <c r="D84" s="0" t="n">
        <v>1081217</v>
      </c>
      <c r="E84" s="0" t="s">
        <v>384</v>
      </c>
      <c r="F84" s="0" t="s">
        <v>385</v>
      </c>
      <c r="G84" s="0" t="s">
        <v>89</v>
      </c>
      <c r="H84" s="0" t="s">
        <v>391</v>
      </c>
    </row>
    <row r="85" customFormat="false" ht="15" hidden="false" customHeight="false" outlineLevel="0" collapsed="false">
      <c r="A85" s="0" t="s">
        <v>86</v>
      </c>
      <c r="B85" s="0" t="n">
        <v>2014</v>
      </c>
      <c r="C85" s="0" t="s">
        <v>60</v>
      </c>
      <c r="D85" s="0" t="n">
        <v>559137</v>
      </c>
      <c r="E85" s="0" t="s">
        <v>384</v>
      </c>
      <c r="F85" s="0" t="s">
        <v>385</v>
      </c>
      <c r="G85" s="0" t="s">
        <v>89</v>
      </c>
      <c r="H85" s="0" t="s">
        <v>392</v>
      </c>
    </row>
    <row r="86" customFormat="false" ht="15" hidden="false" customHeight="false" outlineLevel="0" collapsed="false">
      <c r="A86" s="0" t="s">
        <v>86</v>
      </c>
      <c r="B86" s="0" t="n">
        <v>2014</v>
      </c>
      <c r="C86" s="0" t="s">
        <v>61</v>
      </c>
      <c r="D86" s="0" t="n">
        <v>17451</v>
      </c>
      <c r="E86" s="0" t="s">
        <v>384</v>
      </c>
      <c r="F86" s="0" t="s">
        <v>385</v>
      </c>
      <c r="G86" s="0" t="s">
        <v>89</v>
      </c>
      <c r="H86" s="0" t="s">
        <v>393</v>
      </c>
    </row>
    <row r="87" customFormat="false" ht="15" hidden="false" customHeight="false" outlineLevel="0" collapsed="false">
      <c r="A87" s="0" t="s">
        <v>86</v>
      </c>
      <c r="B87" s="0" t="n">
        <v>2014</v>
      </c>
      <c r="C87" s="0" t="s">
        <v>62</v>
      </c>
      <c r="D87" s="0" t="n">
        <v>541686</v>
      </c>
      <c r="E87" s="0" t="s">
        <v>384</v>
      </c>
      <c r="F87" s="0" t="s">
        <v>385</v>
      </c>
      <c r="G87" s="0" t="s">
        <v>89</v>
      </c>
      <c r="H87" s="0" t="s">
        <v>394</v>
      </c>
    </row>
    <row r="88" customFormat="false" ht="15" hidden="false" customHeight="false" outlineLevel="0" collapsed="false">
      <c r="A88" s="0" t="s">
        <v>86</v>
      </c>
      <c r="B88" s="0" t="n">
        <v>2014</v>
      </c>
      <c r="C88" s="0" t="s">
        <v>63</v>
      </c>
      <c r="D88" s="0" t="n">
        <v>4306</v>
      </c>
      <c r="E88" s="0" t="s">
        <v>384</v>
      </c>
      <c r="F88" s="0" t="s">
        <v>385</v>
      </c>
      <c r="G88" s="0" t="s">
        <v>89</v>
      </c>
      <c r="H88" s="0" t="s">
        <v>395</v>
      </c>
    </row>
    <row r="89" customFormat="false" ht="15" hidden="false" customHeight="false" outlineLevel="0" collapsed="false">
      <c r="A89" s="0" t="s">
        <v>86</v>
      </c>
      <c r="B89" s="0" t="n">
        <v>2014</v>
      </c>
      <c r="C89" s="0" t="s">
        <v>69</v>
      </c>
      <c r="D89" s="0" t="n">
        <v>24.21</v>
      </c>
      <c r="E89" s="0" t="s">
        <v>384</v>
      </c>
      <c r="F89" s="0" t="s">
        <v>385</v>
      </c>
      <c r="G89" s="0" t="s">
        <v>89</v>
      </c>
      <c r="H89" s="0" t="s">
        <v>396</v>
      </c>
    </row>
    <row r="90" customFormat="false" ht="15" hidden="false" customHeight="false" outlineLevel="0" collapsed="false">
      <c r="A90" s="0" t="s">
        <v>86</v>
      </c>
      <c r="B90" s="0" t="n">
        <v>2014</v>
      </c>
      <c r="C90" s="0" t="s">
        <v>70</v>
      </c>
      <c r="D90" s="0" t="n">
        <v>15</v>
      </c>
      <c r="E90" s="0" t="s">
        <v>384</v>
      </c>
      <c r="F90" s="0" t="s">
        <v>385</v>
      </c>
      <c r="G90" s="0" t="s">
        <v>89</v>
      </c>
      <c r="H90" s="0" t="s">
        <v>397</v>
      </c>
    </row>
    <row r="91" customFormat="false" ht="15" hidden="false" customHeight="false" outlineLevel="0" collapsed="false">
      <c r="A91" s="0" t="s">
        <v>86</v>
      </c>
      <c r="B91" s="0" t="n">
        <v>2014</v>
      </c>
      <c r="C91" s="0" t="s">
        <v>65</v>
      </c>
      <c r="D91" s="0" t="n">
        <v>198886</v>
      </c>
      <c r="E91" s="0" t="s">
        <v>384</v>
      </c>
      <c r="F91" s="0" t="s">
        <v>385</v>
      </c>
      <c r="G91" s="0" t="s">
        <v>89</v>
      </c>
      <c r="H91" s="0" t="s">
        <v>398</v>
      </c>
    </row>
    <row r="92" customFormat="false" ht="15" hidden="false" customHeight="false" outlineLevel="0" collapsed="false">
      <c r="A92" s="0" t="s">
        <v>86</v>
      </c>
      <c r="B92" s="0" t="n">
        <v>2014</v>
      </c>
      <c r="C92" s="0" t="s">
        <v>66</v>
      </c>
      <c r="D92" s="0" t="n">
        <v>821527</v>
      </c>
      <c r="E92" s="0" t="s">
        <v>384</v>
      </c>
      <c r="F92" s="0" t="s">
        <v>385</v>
      </c>
      <c r="G92" s="0" t="s">
        <v>89</v>
      </c>
      <c r="H92" s="0" t="s">
        <v>399</v>
      </c>
    </row>
    <row r="93" customFormat="false" ht="15" hidden="false" customHeight="false" outlineLevel="0" collapsed="false">
      <c r="A93" s="0" t="s">
        <v>86</v>
      </c>
      <c r="B93" s="0" t="n">
        <v>2014</v>
      </c>
      <c r="C93" s="0" t="s">
        <v>73</v>
      </c>
      <c r="D93" s="0" t="n">
        <v>0</v>
      </c>
      <c r="E93" s="0" t="s">
        <v>400</v>
      </c>
      <c r="F93" s="0" t="s">
        <v>385</v>
      </c>
      <c r="G93" s="0" t="s">
        <v>89</v>
      </c>
      <c r="H93" s="0" t="s">
        <v>401</v>
      </c>
    </row>
    <row r="94" customFormat="false" ht="15" hidden="false" customHeight="false" outlineLevel="0" collapsed="false">
      <c r="A94" s="0" t="s">
        <v>86</v>
      </c>
      <c r="B94" s="0" t="n">
        <v>2014</v>
      </c>
      <c r="C94" s="0" t="s">
        <v>402</v>
      </c>
      <c r="D94" s="0" t="n">
        <v>15515</v>
      </c>
      <c r="E94" s="0" t="s">
        <v>384</v>
      </c>
      <c r="F94" s="0" t="s">
        <v>385</v>
      </c>
      <c r="G94" s="0" t="s">
        <v>89</v>
      </c>
      <c r="H94" s="0" t="s">
        <v>403</v>
      </c>
    </row>
    <row r="95" customFormat="false" ht="15" hidden="false" customHeight="false" outlineLevel="0" collapsed="false">
      <c r="A95" s="0" t="s">
        <v>86</v>
      </c>
      <c r="B95" s="0" t="n">
        <v>2014</v>
      </c>
      <c r="C95" s="0" t="s">
        <v>404</v>
      </c>
      <c r="D95" s="0" t="n">
        <v>10848</v>
      </c>
      <c r="E95" s="0" t="s">
        <v>384</v>
      </c>
      <c r="F95" s="0" t="s">
        <v>385</v>
      </c>
      <c r="G95" s="0" t="s">
        <v>89</v>
      </c>
      <c r="H95" s="0" t="s">
        <v>405</v>
      </c>
    </row>
    <row r="96" customFormat="false" ht="15" hidden="false" customHeight="false" outlineLevel="0" collapsed="false">
      <c r="A96" s="0" t="s">
        <v>86</v>
      </c>
      <c r="B96" s="0" t="n">
        <v>2014</v>
      </c>
      <c r="C96" s="0" t="s">
        <v>406</v>
      </c>
      <c r="D96" s="0" t="n">
        <v>6603</v>
      </c>
      <c r="E96" s="0" t="s">
        <v>384</v>
      </c>
      <c r="F96" s="0" t="s">
        <v>385</v>
      </c>
      <c r="G96" s="0" t="s">
        <v>89</v>
      </c>
      <c r="H96" s="0" t="s">
        <v>407</v>
      </c>
    </row>
    <row r="97" customFormat="false" ht="15" hidden="false" customHeight="false" outlineLevel="0" collapsed="false">
      <c r="A97" s="0" t="s">
        <v>86</v>
      </c>
      <c r="B97" s="0" t="n">
        <v>2014</v>
      </c>
      <c r="C97" s="0" t="s">
        <v>19</v>
      </c>
      <c r="D97" s="0" t="n">
        <v>1134121</v>
      </c>
      <c r="E97" s="0" t="s">
        <v>383</v>
      </c>
    </row>
    <row r="98" customFormat="false" ht="15" hidden="false" customHeight="false" outlineLevel="0" collapsed="false">
      <c r="A98" s="0" t="s">
        <v>86</v>
      </c>
      <c r="B98" s="0" t="n">
        <v>2014</v>
      </c>
      <c r="C98" s="0" t="s">
        <v>41</v>
      </c>
      <c r="D98" s="0" t="n">
        <v>1.21644868581042</v>
      </c>
      <c r="E98" s="0" t="s">
        <v>383</v>
      </c>
    </row>
    <row r="99" customFormat="false" ht="15" hidden="false" customHeight="false" outlineLevel="0" collapsed="false">
      <c r="A99" s="0" t="s">
        <v>86</v>
      </c>
      <c r="B99" s="0" t="n">
        <v>2014</v>
      </c>
      <c r="C99" s="0" t="s">
        <v>27</v>
      </c>
      <c r="D99" s="0" t="n">
        <v>14.5836018617974</v>
      </c>
      <c r="E99" s="0" t="s">
        <v>383</v>
      </c>
    </row>
    <row r="100" customFormat="false" ht="15" hidden="false" customHeight="false" outlineLevel="0" collapsed="false">
      <c r="A100" s="0" t="s">
        <v>86</v>
      </c>
      <c r="B100" s="0" t="n">
        <v>2014</v>
      </c>
      <c r="C100" s="0" t="s">
        <v>39</v>
      </c>
      <c r="D100" s="0" t="n">
        <v>4.72304101590571</v>
      </c>
      <c r="E100" s="0" t="s">
        <v>383</v>
      </c>
    </row>
    <row r="101" customFormat="false" ht="15" hidden="false" customHeight="false" outlineLevel="0" collapsed="false">
      <c r="A101" s="0" t="s">
        <v>86</v>
      </c>
      <c r="B101" s="0" t="n">
        <v>2014</v>
      </c>
      <c r="C101" s="0" t="s">
        <v>17</v>
      </c>
      <c r="D101" s="0" t="n">
        <v>3.12105977604773</v>
      </c>
      <c r="E101" s="0" t="s">
        <v>383</v>
      </c>
    </row>
    <row r="102" customFormat="false" ht="15" hidden="false" customHeight="false" outlineLevel="0" collapsed="false">
      <c r="A102" s="0" t="s">
        <v>86</v>
      </c>
      <c r="B102" s="0" t="n">
        <v>2014</v>
      </c>
      <c r="C102" s="0" t="s">
        <v>25</v>
      </c>
      <c r="D102" s="0" t="n">
        <v>24.2093077890319</v>
      </c>
      <c r="E102" s="0" t="s">
        <v>383</v>
      </c>
    </row>
    <row r="103" customFormat="false" ht="15" hidden="false" customHeight="false" outlineLevel="0" collapsed="false">
      <c r="A103" s="0" t="s">
        <v>86</v>
      </c>
      <c r="B103" s="0" t="n">
        <v>2014</v>
      </c>
      <c r="C103" s="0" t="s">
        <v>29</v>
      </c>
      <c r="D103" s="0" t="n">
        <v>0.379677300746569</v>
      </c>
      <c r="E103" s="0" t="s">
        <v>383</v>
      </c>
    </row>
    <row r="104" customFormat="false" ht="15" hidden="false" customHeight="false" outlineLevel="0" collapsed="false">
      <c r="A104" s="0" t="s">
        <v>86</v>
      </c>
      <c r="B104" s="0" t="n">
        <v>2014</v>
      </c>
      <c r="C104" s="0" t="s">
        <v>43</v>
      </c>
      <c r="D104" s="0" t="n">
        <v>1.16223331437838</v>
      </c>
      <c r="E104" s="0" t="s">
        <v>383</v>
      </c>
    </row>
    <row r="105" customFormat="false" ht="15" hidden="false" customHeight="false" outlineLevel="0" collapsed="false">
      <c r="A105" s="0" t="s">
        <v>86</v>
      </c>
      <c r="B105" s="0" t="n">
        <v>2014</v>
      </c>
      <c r="C105" s="0" t="s">
        <v>31</v>
      </c>
      <c r="D105" s="0" t="n">
        <v>85.4163981382027</v>
      </c>
      <c r="E105" s="0" t="s">
        <v>383</v>
      </c>
    </row>
    <row r="106" customFormat="false" ht="15" hidden="false" customHeight="false" outlineLevel="0" collapsed="false">
      <c r="A106" s="0" t="s">
        <v>86</v>
      </c>
      <c r="B106" s="0" t="n">
        <v>2014</v>
      </c>
      <c r="C106" s="0" t="s">
        <v>33</v>
      </c>
      <c r="D106" s="0" t="n">
        <v>13.9869607348696</v>
      </c>
      <c r="E106" s="0" t="s">
        <v>383</v>
      </c>
    </row>
    <row r="107" customFormat="false" ht="15" hidden="false" customHeight="false" outlineLevel="0" collapsed="false">
      <c r="A107" s="0" t="s">
        <v>86</v>
      </c>
      <c r="B107" s="0" t="n">
        <v>2014</v>
      </c>
      <c r="C107" s="0" t="s">
        <v>21</v>
      </c>
      <c r="D107" s="0" t="n">
        <v>0</v>
      </c>
      <c r="E107" s="0" t="s">
        <v>383</v>
      </c>
    </row>
    <row r="108" customFormat="false" ht="15" hidden="false" customHeight="false" outlineLevel="0" collapsed="false">
      <c r="A108" s="0" t="s">
        <v>86</v>
      </c>
      <c r="B108" s="0" t="n">
        <v>2014</v>
      </c>
      <c r="C108" s="0" t="s">
        <v>35</v>
      </c>
      <c r="D108" s="0" t="n">
        <v>0</v>
      </c>
      <c r="E108" s="0" t="s">
        <v>383</v>
      </c>
    </row>
    <row r="109" customFormat="false" ht="15" hidden="false" customHeight="false" outlineLevel="0" collapsed="false">
      <c r="A109" s="0" t="s">
        <v>86</v>
      </c>
      <c r="B109" s="0" t="n">
        <v>2015</v>
      </c>
      <c r="C109" s="0" t="s">
        <v>54</v>
      </c>
      <c r="D109" s="0" t="n">
        <v>13904</v>
      </c>
      <c r="E109" s="0" t="s">
        <v>384</v>
      </c>
      <c r="F109" s="0" t="s">
        <v>385</v>
      </c>
      <c r="G109" s="0" t="s">
        <v>92</v>
      </c>
      <c r="H109" s="0" t="s">
        <v>408</v>
      </c>
    </row>
    <row r="110" customFormat="false" ht="15" hidden="false" customHeight="false" outlineLevel="0" collapsed="false">
      <c r="A110" s="0" t="s">
        <v>86</v>
      </c>
      <c r="B110" s="0" t="n">
        <v>2015</v>
      </c>
      <c r="C110" s="0" t="s">
        <v>55</v>
      </c>
      <c r="D110" s="0" t="n">
        <v>1231722</v>
      </c>
      <c r="E110" s="0" t="s">
        <v>384</v>
      </c>
      <c r="F110" s="0" t="s">
        <v>385</v>
      </c>
      <c r="G110" s="0" t="s">
        <v>92</v>
      </c>
      <c r="H110" s="0" t="s">
        <v>409</v>
      </c>
    </row>
    <row r="111" customFormat="false" ht="15" hidden="false" customHeight="false" outlineLevel="0" collapsed="false">
      <c r="A111" s="0" t="s">
        <v>86</v>
      </c>
      <c r="B111" s="0" t="n">
        <v>2015</v>
      </c>
      <c r="C111" s="0" t="s">
        <v>56</v>
      </c>
      <c r="D111" s="0" t="n">
        <v>1048206</v>
      </c>
      <c r="E111" s="0" t="s">
        <v>384</v>
      </c>
      <c r="F111" s="0" t="s">
        <v>385</v>
      </c>
      <c r="G111" s="0" t="s">
        <v>92</v>
      </c>
      <c r="H111" s="0" t="s">
        <v>410</v>
      </c>
    </row>
    <row r="112" customFormat="false" ht="15" hidden="false" customHeight="false" outlineLevel="0" collapsed="false">
      <c r="A112" s="0" t="s">
        <v>86</v>
      </c>
      <c r="B112" s="0" t="n">
        <v>2015</v>
      </c>
      <c r="C112" s="0" t="s">
        <v>57</v>
      </c>
      <c r="D112" s="0" t="n">
        <v>183516</v>
      </c>
      <c r="E112" s="0" t="s">
        <v>384</v>
      </c>
      <c r="F112" s="0" t="s">
        <v>385</v>
      </c>
      <c r="G112" s="0" t="s">
        <v>92</v>
      </c>
      <c r="H112" s="0" t="s">
        <v>411</v>
      </c>
    </row>
    <row r="113" customFormat="false" ht="15" hidden="false" customHeight="false" outlineLevel="0" collapsed="false">
      <c r="A113" s="0" t="s">
        <v>86</v>
      </c>
      <c r="B113" s="0" t="n">
        <v>2015</v>
      </c>
      <c r="C113" s="0" t="s">
        <v>58</v>
      </c>
      <c r="D113" s="0" t="n">
        <v>107132</v>
      </c>
      <c r="E113" s="0" t="s">
        <v>384</v>
      </c>
      <c r="F113" s="0" t="s">
        <v>385</v>
      </c>
      <c r="G113" s="0" t="s">
        <v>92</v>
      </c>
      <c r="H113" s="0" t="s">
        <v>412</v>
      </c>
    </row>
    <row r="114" customFormat="false" ht="15" hidden="false" customHeight="false" outlineLevel="0" collapsed="false">
      <c r="A114" s="0" t="s">
        <v>86</v>
      </c>
      <c r="B114" s="0" t="n">
        <v>2015</v>
      </c>
      <c r="C114" s="0" t="s">
        <v>59</v>
      </c>
      <c r="D114" s="0" t="n">
        <v>1187025</v>
      </c>
      <c r="E114" s="0" t="s">
        <v>384</v>
      </c>
      <c r="F114" s="0" t="s">
        <v>385</v>
      </c>
      <c r="G114" s="0" t="s">
        <v>92</v>
      </c>
      <c r="H114" s="0" t="s">
        <v>413</v>
      </c>
    </row>
    <row r="115" customFormat="false" ht="15" hidden="false" customHeight="false" outlineLevel="0" collapsed="false">
      <c r="A115" s="0" t="s">
        <v>86</v>
      </c>
      <c r="B115" s="0" t="n">
        <v>2015</v>
      </c>
      <c r="C115" s="0" t="s">
        <v>60</v>
      </c>
      <c r="D115" s="0" t="n">
        <v>598978</v>
      </c>
      <c r="E115" s="0" t="s">
        <v>384</v>
      </c>
      <c r="F115" s="0" t="s">
        <v>385</v>
      </c>
      <c r="G115" s="0" t="s">
        <v>92</v>
      </c>
      <c r="H115" s="0" t="s">
        <v>414</v>
      </c>
    </row>
    <row r="116" customFormat="false" ht="15" hidden="false" customHeight="false" outlineLevel="0" collapsed="false">
      <c r="A116" s="0" t="s">
        <v>86</v>
      </c>
      <c r="B116" s="0" t="n">
        <v>2015</v>
      </c>
      <c r="C116" s="0" t="s">
        <v>61</v>
      </c>
      <c r="D116" s="0" t="n">
        <v>20776</v>
      </c>
      <c r="E116" s="0" t="s">
        <v>384</v>
      </c>
      <c r="F116" s="0" t="s">
        <v>385</v>
      </c>
      <c r="G116" s="0" t="s">
        <v>92</v>
      </c>
      <c r="H116" s="0" t="s">
        <v>415</v>
      </c>
    </row>
    <row r="117" customFormat="false" ht="15" hidden="false" customHeight="false" outlineLevel="0" collapsed="false">
      <c r="A117" s="0" t="s">
        <v>86</v>
      </c>
      <c r="B117" s="0" t="n">
        <v>2015</v>
      </c>
      <c r="C117" s="0" t="s">
        <v>62</v>
      </c>
      <c r="D117" s="0" t="n">
        <v>578203</v>
      </c>
      <c r="E117" s="0" t="s">
        <v>384</v>
      </c>
      <c r="F117" s="0" t="s">
        <v>385</v>
      </c>
      <c r="G117" s="0" t="s">
        <v>92</v>
      </c>
      <c r="H117" s="0" t="s">
        <v>416</v>
      </c>
    </row>
    <row r="118" customFormat="false" ht="15" hidden="false" customHeight="false" outlineLevel="0" collapsed="false">
      <c r="A118" s="0" t="s">
        <v>86</v>
      </c>
      <c r="B118" s="0" t="n">
        <v>2015</v>
      </c>
      <c r="C118" s="0" t="s">
        <v>63</v>
      </c>
      <c r="D118" s="0" t="n">
        <v>5764</v>
      </c>
      <c r="E118" s="0" t="s">
        <v>384</v>
      </c>
      <c r="F118" s="0" t="s">
        <v>385</v>
      </c>
      <c r="G118" s="0" t="s">
        <v>92</v>
      </c>
      <c r="H118" s="0" t="s">
        <v>417</v>
      </c>
    </row>
    <row r="119" customFormat="false" ht="15" hidden="false" customHeight="false" outlineLevel="0" collapsed="false">
      <c r="A119" s="0" t="s">
        <v>86</v>
      </c>
      <c r="B119" s="0" t="n">
        <v>2015</v>
      </c>
      <c r="C119" s="0" t="s">
        <v>69</v>
      </c>
      <c r="D119" s="0" t="n">
        <v>19</v>
      </c>
      <c r="E119" s="0" t="s">
        <v>384</v>
      </c>
      <c r="F119" s="0" t="s">
        <v>385</v>
      </c>
      <c r="G119" s="0" t="s">
        <v>92</v>
      </c>
      <c r="H119" s="0" t="s">
        <v>418</v>
      </c>
    </row>
    <row r="120" customFormat="false" ht="15" hidden="false" customHeight="false" outlineLevel="0" collapsed="false">
      <c r="A120" s="0" t="s">
        <v>86</v>
      </c>
      <c r="B120" s="0" t="n">
        <v>2015</v>
      </c>
      <c r="C120" s="0" t="s">
        <v>70</v>
      </c>
      <c r="D120" s="0" t="n">
        <v>15</v>
      </c>
      <c r="E120" s="0" t="s">
        <v>384</v>
      </c>
      <c r="F120" s="0" t="s">
        <v>385</v>
      </c>
      <c r="G120" s="0" t="s">
        <v>92</v>
      </c>
      <c r="H120" s="0" t="s">
        <v>419</v>
      </c>
    </row>
    <row r="121" customFormat="false" ht="15" hidden="false" customHeight="false" outlineLevel="0" collapsed="false">
      <c r="A121" s="0" t="s">
        <v>86</v>
      </c>
      <c r="B121" s="0" t="n">
        <v>2015</v>
      </c>
      <c r="C121" s="0" t="s">
        <v>65</v>
      </c>
      <c r="D121" s="0" t="n">
        <v>191595</v>
      </c>
      <c r="E121" s="0" t="s">
        <v>384</v>
      </c>
      <c r="F121" s="0" t="s">
        <v>385</v>
      </c>
      <c r="G121" s="0" t="s">
        <v>92</v>
      </c>
      <c r="H121" s="0" t="s">
        <v>420</v>
      </c>
    </row>
    <row r="122" customFormat="false" ht="15" hidden="false" customHeight="false" outlineLevel="0" collapsed="false">
      <c r="A122" s="0" t="s">
        <v>86</v>
      </c>
      <c r="B122" s="0" t="n">
        <v>2015</v>
      </c>
      <c r="C122" s="0" t="s">
        <v>66</v>
      </c>
      <c r="D122" s="0" t="n">
        <v>1012062</v>
      </c>
      <c r="E122" s="0" t="s">
        <v>384</v>
      </c>
      <c r="F122" s="0" t="s">
        <v>385</v>
      </c>
      <c r="G122" s="0" t="s">
        <v>92</v>
      </c>
      <c r="H122" s="0" t="s">
        <v>421</v>
      </c>
    </row>
    <row r="123" customFormat="false" ht="15" hidden="false" customHeight="false" outlineLevel="0" collapsed="false">
      <c r="A123" s="0" t="s">
        <v>86</v>
      </c>
      <c r="B123" s="0" t="n">
        <v>2015</v>
      </c>
      <c r="C123" s="0" t="s">
        <v>73</v>
      </c>
      <c r="D123" s="0" t="n">
        <v>0</v>
      </c>
      <c r="E123" s="0" t="s">
        <v>400</v>
      </c>
      <c r="F123" s="0" t="s">
        <v>385</v>
      </c>
      <c r="G123" s="0" t="s">
        <v>92</v>
      </c>
      <c r="H123" s="0" t="s">
        <v>422</v>
      </c>
    </row>
    <row r="124" customFormat="false" ht="15" hidden="false" customHeight="false" outlineLevel="0" collapsed="false">
      <c r="A124" s="0" t="s">
        <v>86</v>
      </c>
      <c r="B124" s="0" t="n">
        <v>2015</v>
      </c>
      <c r="C124" s="0" t="s">
        <v>402</v>
      </c>
      <c r="D124" s="0" t="n">
        <v>14024</v>
      </c>
      <c r="E124" s="0" t="s">
        <v>384</v>
      </c>
      <c r="F124" s="0" t="s">
        <v>385</v>
      </c>
      <c r="G124" s="0" t="s">
        <v>92</v>
      </c>
      <c r="H124" s="0" t="s">
        <v>423</v>
      </c>
    </row>
    <row r="125" customFormat="false" ht="15" hidden="false" customHeight="false" outlineLevel="0" collapsed="false">
      <c r="A125" s="0" t="s">
        <v>86</v>
      </c>
      <c r="B125" s="0" t="n">
        <v>2015</v>
      </c>
      <c r="C125" s="0" t="s">
        <v>404</v>
      </c>
      <c r="D125" s="0" t="n">
        <v>13440</v>
      </c>
      <c r="E125" s="0" t="s">
        <v>384</v>
      </c>
      <c r="F125" s="0" t="s">
        <v>385</v>
      </c>
      <c r="G125" s="0" t="s">
        <v>92</v>
      </c>
      <c r="H125" s="0" t="s">
        <v>424</v>
      </c>
    </row>
    <row r="126" customFormat="false" ht="15" hidden="false" customHeight="false" outlineLevel="0" collapsed="false">
      <c r="A126" s="0" t="s">
        <v>86</v>
      </c>
      <c r="B126" s="0" t="n">
        <v>2015</v>
      </c>
      <c r="C126" s="0" t="s">
        <v>406</v>
      </c>
      <c r="D126" s="0" t="n">
        <v>7336</v>
      </c>
      <c r="E126" s="0" t="s">
        <v>384</v>
      </c>
      <c r="F126" s="0" t="s">
        <v>385</v>
      </c>
      <c r="G126" s="0" t="s">
        <v>92</v>
      </c>
      <c r="H126" s="0" t="s">
        <v>425</v>
      </c>
    </row>
    <row r="127" customFormat="false" ht="15" hidden="false" customHeight="false" outlineLevel="0" collapsed="false">
      <c r="A127" s="0" t="s">
        <v>86</v>
      </c>
      <c r="B127" s="0" t="n">
        <v>2015</v>
      </c>
      <c r="C127" s="0" t="s">
        <v>19</v>
      </c>
      <c r="D127" s="0" t="n">
        <v>1209373.5</v>
      </c>
      <c r="E127" s="0" t="s">
        <v>383</v>
      </c>
    </row>
    <row r="128" customFormat="false" ht="15" hidden="false" customHeight="false" outlineLevel="0" collapsed="false">
      <c r="A128" s="0" t="s">
        <v>86</v>
      </c>
      <c r="B128" s="0" t="n">
        <v>2015</v>
      </c>
      <c r="C128" s="0" t="s">
        <v>41</v>
      </c>
      <c r="D128" s="0" t="n">
        <v>1.14968618048932</v>
      </c>
      <c r="E128" s="0" t="s">
        <v>383</v>
      </c>
    </row>
    <row r="129" customFormat="false" ht="15" hidden="false" customHeight="false" outlineLevel="0" collapsed="false">
      <c r="A129" s="0" t="s">
        <v>86</v>
      </c>
      <c r="B129" s="0" t="n">
        <v>2015</v>
      </c>
      <c r="C129" s="0" t="s">
        <v>27</v>
      </c>
      <c r="D129" s="0" t="n">
        <v>14.8991412023168</v>
      </c>
      <c r="E129" s="0" t="s">
        <v>383</v>
      </c>
    </row>
    <row r="130" customFormat="false" ht="15" hidden="false" customHeight="false" outlineLevel="0" collapsed="false">
      <c r="A130" s="0" t="s">
        <v>86</v>
      </c>
      <c r="B130" s="0" t="n">
        <v>2015</v>
      </c>
      <c r="C130" s="0" t="s">
        <v>39</v>
      </c>
      <c r="D130" s="0" t="n">
        <v>8.85847093557119</v>
      </c>
      <c r="E130" s="0" t="s">
        <v>383</v>
      </c>
    </row>
    <row r="131" customFormat="false" ht="15" hidden="false" customHeight="false" outlineLevel="0" collapsed="false">
      <c r="A131" s="0" t="s">
        <v>86</v>
      </c>
      <c r="B131" s="0" t="n">
        <v>2015</v>
      </c>
      <c r="C131" s="0" t="s">
        <v>17</v>
      </c>
      <c r="D131" s="0" t="n">
        <v>3.46857480575247</v>
      </c>
      <c r="E131" s="0" t="s">
        <v>383</v>
      </c>
    </row>
    <row r="132" customFormat="false" ht="15" hidden="false" customHeight="false" outlineLevel="0" collapsed="false">
      <c r="A132" s="0" t="s">
        <v>86</v>
      </c>
      <c r="B132" s="0" t="n">
        <v>2015</v>
      </c>
      <c r="C132" s="0" t="s">
        <v>25</v>
      </c>
      <c r="D132" s="0" t="n">
        <v>18.9311524392774</v>
      </c>
      <c r="E132" s="0" t="s">
        <v>383</v>
      </c>
    </row>
    <row r="133" customFormat="false" ht="15" hidden="false" customHeight="false" outlineLevel="0" collapsed="false">
      <c r="A133" s="0" t="s">
        <v>86</v>
      </c>
      <c r="B133" s="0" t="n">
        <v>2015</v>
      </c>
      <c r="C133" s="0" t="s">
        <v>29</v>
      </c>
      <c r="D133" s="0" t="n">
        <v>0.476610410266142</v>
      </c>
      <c r="E133" s="0" t="s">
        <v>383</v>
      </c>
    </row>
    <row r="134" customFormat="false" ht="15" hidden="false" customHeight="false" outlineLevel="0" collapsed="false">
      <c r="A134" s="0" t="s">
        <v>86</v>
      </c>
      <c r="B134" s="0" t="n">
        <v>2015</v>
      </c>
      <c r="C134" s="0" t="s">
        <v>43</v>
      </c>
      <c r="D134" s="0" t="n">
        <v>1.1288261474586</v>
      </c>
      <c r="E134" s="0" t="s">
        <v>383</v>
      </c>
    </row>
    <row r="135" customFormat="false" ht="15" hidden="false" customHeight="false" outlineLevel="0" collapsed="false">
      <c r="A135" s="0" t="s">
        <v>86</v>
      </c>
      <c r="B135" s="0" t="n">
        <v>2015</v>
      </c>
      <c r="C135" s="0" t="s">
        <v>31</v>
      </c>
      <c r="D135" s="0" t="n">
        <v>85.1008587976832</v>
      </c>
      <c r="E135" s="0" t="s">
        <v>383</v>
      </c>
    </row>
    <row r="136" customFormat="false" ht="15" hidden="false" customHeight="false" outlineLevel="0" collapsed="false">
      <c r="A136" s="0" t="s">
        <v>86</v>
      </c>
      <c r="B136" s="0" t="n">
        <v>2015</v>
      </c>
      <c r="C136" s="0" t="s">
        <v>33</v>
      </c>
      <c r="D136" s="0" t="n">
        <v>14.0239237482623</v>
      </c>
      <c r="E136" s="0" t="s">
        <v>383</v>
      </c>
    </row>
    <row r="137" customFormat="false" ht="15" hidden="false" customHeight="false" outlineLevel="0" collapsed="false">
      <c r="A137" s="0" t="s">
        <v>86</v>
      </c>
      <c r="B137" s="0" t="n">
        <v>2015</v>
      </c>
      <c r="C137" s="0" t="s">
        <v>21</v>
      </c>
      <c r="D137" s="0" t="n">
        <v>0</v>
      </c>
      <c r="E137" s="0" t="s">
        <v>383</v>
      </c>
    </row>
    <row r="138" customFormat="false" ht="15" hidden="false" customHeight="false" outlineLevel="0" collapsed="false">
      <c r="A138" s="0" t="s">
        <v>86</v>
      </c>
      <c r="B138" s="0" t="n">
        <v>2015</v>
      </c>
      <c r="C138" s="0" t="s">
        <v>35</v>
      </c>
      <c r="D138" s="0" t="n">
        <v>-1</v>
      </c>
      <c r="E138" s="0" t="s">
        <v>383</v>
      </c>
    </row>
    <row r="139" customFormat="false" ht="15" hidden="false" customHeight="false" outlineLevel="0" collapsed="false">
      <c r="A139" s="0" t="s">
        <v>86</v>
      </c>
      <c r="B139" s="0" t="n">
        <v>2016</v>
      </c>
      <c r="C139" s="0" t="s">
        <v>54</v>
      </c>
      <c r="D139" s="0" t="n">
        <v>9734</v>
      </c>
      <c r="E139" s="0" t="s">
        <v>384</v>
      </c>
      <c r="F139" s="0" t="s">
        <v>385</v>
      </c>
      <c r="G139" s="0" t="s">
        <v>94</v>
      </c>
      <c r="H139" s="0" t="s">
        <v>426</v>
      </c>
    </row>
    <row r="140" customFormat="false" ht="15" hidden="false" customHeight="false" outlineLevel="0" collapsed="false">
      <c r="A140" s="0" t="s">
        <v>86</v>
      </c>
      <c r="B140" s="0" t="n">
        <v>2016</v>
      </c>
      <c r="C140" s="0" t="s">
        <v>55</v>
      </c>
      <c r="D140" s="0" t="n">
        <v>1298141</v>
      </c>
      <c r="E140" s="0" t="s">
        <v>400</v>
      </c>
      <c r="F140" s="0" t="s">
        <v>385</v>
      </c>
      <c r="G140" s="0" t="s">
        <v>94</v>
      </c>
      <c r="H140" s="0" t="s">
        <v>427</v>
      </c>
    </row>
    <row r="141" customFormat="false" ht="15" hidden="false" customHeight="false" outlineLevel="0" collapsed="false">
      <c r="A141" s="0" t="s">
        <v>86</v>
      </c>
      <c r="B141" s="0" t="n">
        <v>2016</v>
      </c>
      <c r="C141" s="0" t="s">
        <v>56</v>
      </c>
      <c r="D141" s="0" t="n">
        <v>1112739</v>
      </c>
      <c r="E141" s="0" t="s">
        <v>400</v>
      </c>
      <c r="F141" s="0" t="s">
        <v>385</v>
      </c>
      <c r="G141" s="0" t="s">
        <v>94</v>
      </c>
      <c r="H141" s="0" t="s">
        <v>428</v>
      </c>
    </row>
    <row r="142" customFormat="false" ht="15" hidden="false" customHeight="false" outlineLevel="0" collapsed="false">
      <c r="A142" s="0" t="s">
        <v>86</v>
      </c>
      <c r="B142" s="0" t="n">
        <v>2016</v>
      </c>
      <c r="C142" s="0" t="s">
        <v>57</v>
      </c>
      <c r="D142" s="0" t="n">
        <v>185402</v>
      </c>
      <c r="E142" s="0" t="s">
        <v>400</v>
      </c>
      <c r="F142" s="0" t="s">
        <v>385</v>
      </c>
      <c r="G142" s="0" t="s">
        <v>94</v>
      </c>
      <c r="H142" s="0" t="s">
        <v>429</v>
      </c>
    </row>
    <row r="143" customFormat="false" ht="15" hidden="false" customHeight="false" outlineLevel="0" collapsed="false">
      <c r="A143" s="0" t="s">
        <v>86</v>
      </c>
      <c r="B143" s="0" t="n">
        <v>2016</v>
      </c>
      <c r="C143" s="0" t="s">
        <v>58</v>
      </c>
      <c r="D143" s="0" t="n">
        <v>-56907</v>
      </c>
      <c r="E143" s="0" t="s">
        <v>384</v>
      </c>
      <c r="F143" s="0" t="s">
        <v>385</v>
      </c>
      <c r="G143" s="0" t="s">
        <v>94</v>
      </c>
      <c r="H143" s="0" t="s">
        <v>430</v>
      </c>
    </row>
    <row r="144" customFormat="false" ht="15" hidden="false" customHeight="false" outlineLevel="0" collapsed="false">
      <c r="A144" s="0" t="s">
        <v>86</v>
      </c>
      <c r="B144" s="0" t="n">
        <v>2016</v>
      </c>
      <c r="C144" s="0" t="s">
        <v>59</v>
      </c>
      <c r="D144" s="0" t="n">
        <v>1231722</v>
      </c>
      <c r="E144" s="0" t="s">
        <v>400</v>
      </c>
      <c r="F144" s="0" t="s">
        <v>385</v>
      </c>
      <c r="G144" s="0" t="s">
        <v>94</v>
      </c>
      <c r="H144" s="0" t="s">
        <v>431</v>
      </c>
    </row>
    <row r="145" customFormat="false" ht="15" hidden="false" customHeight="false" outlineLevel="0" collapsed="false">
      <c r="A145" s="0" t="s">
        <v>86</v>
      </c>
      <c r="B145" s="0" t="n">
        <v>2016</v>
      </c>
      <c r="C145" s="0" t="s">
        <v>60</v>
      </c>
      <c r="D145" s="0" t="n">
        <v>743120</v>
      </c>
      <c r="E145" s="0" t="s">
        <v>384</v>
      </c>
      <c r="F145" s="0" t="s">
        <v>385</v>
      </c>
      <c r="G145" s="0" t="s">
        <v>94</v>
      </c>
      <c r="H145" s="0" t="s">
        <v>432</v>
      </c>
    </row>
    <row r="146" customFormat="false" ht="15" hidden="false" customHeight="false" outlineLevel="0" collapsed="false">
      <c r="A146" s="0" t="s">
        <v>86</v>
      </c>
      <c r="B146" s="0" t="n">
        <v>2016</v>
      </c>
      <c r="C146" s="0" t="s">
        <v>61</v>
      </c>
      <c r="D146" s="0" t="n">
        <v>24719</v>
      </c>
      <c r="E146" s="0" t="s">
        <v>384</v>
      </c>
      <c r="F146" s="0" t="s">
        <v>385</v>
      </c>
      <c r="G146" s="0" t="s">
        <v>94</v>
      </c>
      <c r="H146" s="0" t="s">
        <v>433</v>
      </c>
    </row>
    <row r="147" customFormat="false" ht="15" hidden="false" customHeight="false" outlineLevel="0" collapsed="false">
      <c r="A147" s="0" t="s">
        <v>86</v>
      </c>
      <c r="B147" s="0" t="n">
        <v>2016</v>
      </c>
      <c r="C147" s="0" t="s">
        <v>62</v>
      </c>
      <c r="D147" s="0" t="n">
        <v>718401</v>
      </c>
      <c r="E147" s="0" t="s">
        <v>384</v>
      </c>
      <c r="F147" s="0" t="s">
        <v>385</v>
      </c>
      <c r="G147" s="0" t="s">
        <v>94</v>
      </c>
      <c r="H147" s="0" t="s">
        <v>434</v>
      </c>
    </row>
    <row r="148" customFormat="false" ht="15" hidden="false" customHeight="false" outlineLevel="0" collapsed="false">
      <c r="A148" s="0" t="s">
        <v>86</v>
      </c>
      <c r="B148" s="0" t="n">
        <v>2016</v>
      </c>
      <c r="C148" s="0" t="s">
        <v>63</v>
      </c>
      <c r="D148" s="0" t="n">
        <v>8671</v>
      </c>
      <c r="E148" s="0" t="s">
        <v>384</v>
      </c>
      <c r="F148" s="0" t="s">
        <v>385</v>
      </c>
      <c r="G148" s="0" t="s">
        <v>94</v>
      </c>
      <c r="H148" s="0" t="s">
        <v>435</v>
      </c>
    </row>
    <row r="149" customFormat="false" ht="15" hidden="false" customHeight="false" outlineLevel="0" collapsed="false">
      <c r="A149" s="0" t="s">
        <v>86</v>
      </c>
      <c r="B149" s="0" t="n">
        <v>2016</v>
      </c>
      <c r="C149" s="0" t="s">
        <v>69</v>
      </c>
      <c r="D149" s="0" t="n">
        <v>17.22</v>
      </c>
      <c r="E149" s="0" t="s">
        <v>384</v>
      </c>
      <c r="F149" s="0" t="s">
        <v>385</v>
      </c>
      <c r="G149" s="0" t="s">
        <v>94</v>
      </c>
      <c r="H149" s="0" t="s">
        <v>436</v>
      </c>
      <c r="I149" s="0" t="s">
        <v>437</v>
      </c>
    </row>
    <row r="150" customFormat="false" ht="15" hidden="false" customHeight="false" outlineLevel="0" collapsed="false">
      <c r="A150" s="0" t="s">
        <v>86</v>
      </c>
      <c r="B150" s="0" t="n">
        <v>2016</v>
      </c>
      <c r="C150" s="0" t="s">
        <v>70</v>
      </c>
      <c r="D150" s="0" t="n">
        <v>15</v>
      </c>
      <c r="E150" s="0" t="s">
        <v>384</v>
      </c>
      <c r="F150" s="0" t="s">
        <v>385</v>
      </c>
      <c r="G150" s="0" t="s">
        <v>94</v>
      </c>
      <c r="H150" s="0" t="s">
        <v>438</v>
      </c>
    </row>
    <row r="151" customFormat="false" ht="15" hidden="false" customHeight="false" outlineLevel="0" collapsed="false">
      <c r="A151" s="0" t="s">
        <v>86</v>
      </c>
      <c r="B151" s="0" t="n">
        <v>2016</v>
      </c>
      <c r="C151" s="0" t="s">
        <v>65</v>
      </c>
      <c r="D151" s="0" t="n">
        <v>196913</v>
      </c>
      <c r="E151" s="0" t="s">
        <v>384</v>
      </c>
      <c r="F151" s="0" t="s">
        <v>385</v>
      </c>
      <c r="G151" s="0" t="s">
        <v>94</v>
      </c>
      <c r="H151" s="0" t="s">
        <v>439</v>
      </c>
    </row>
    <row r="152" customFormat="false" ht="15" hidden="false" customHeight="false" outlineLevel="0" collapsed="false">
      <c r="A152" s="0" t="s">
        <v>86</v>
      </c>
      <c r="B152" s="0" t="n">
        <v>2016</v>
      </c>
      <c r="C152" s="0" t="s">
        <v>66</v>
      </c>
      <c r="D152" s="0" t="n">
        <v>1138258</v>
      </c>
      <c r="E152" s="0" t="s">
        <v>384</v>
      </c>
      <c r="F152" s="0" t="s">
        <v>385</v>
      </c>
      <c r="G152" s="0" t="s">
        <v>94</v>
      </c>
      <c r="H152" s="0" t="s">
        <v>440</v>
      </c>
    </row>
    <row r="153" customFormat="false" ht="15" hidden="false" customHeight="false" outlineLevel="0" collapsed="false">
      <c r="A153" s="0" t="s">
        <v>86</v>
      </c>
      <c r="B153" s="0" t="n">
        <v>2016</v>
      </c>
      <c r="C153" s="0" t="s">
        <v>73</v>
      </c>
      <c r="D153" s="0" t="n">
        <v>0</v>
      </c>
      <c r="E153" s="0" t="s">
        <v>400</v>
      </c>
      <c r="F153" s="0" t="s">
        <v>385</v>
      </c>
      <c r="G153" s="0" t="s">
        <v>94</v>
      </c>
      <c r="H153" s="0" t="s">
        <v>441</v>
      </c>
    </row>
    <row r="154" customFormat="false" ht="15" hidden="false" customHeight="false" outlineLevel="0" collapsed="false">
      <c r="A154" s="0" t="s">
        <v>86</v>
      </c>
      <c r="B154" s="0" t="n">
        <v>2016</v>
      </c>
      <c r="C154" s="0" t="s">
        <v>402</v>
      </c>
      <c r="D154" s="0" t="n">
        <v>11061</v>
      </c>
      <c r="E154" s="0" t="s">
        <v>384</v>
      </c>
      <c r="F154" s="0" t="s">
        <v>385</v>
      </c>
      <c r="G154" s="0" t="s">
        <v>94</v>
      </c>
      <c r="H154" s="0" t="s">
        <v>442</v>
      </c>
    </row>
    <row r="155" customFormat="false" ht="15" hidden="false" customHeight="false" outlineLevel="0" collapsed="false">
      <c r="A155" s="0" t="s">
        <v>86</v>
      </c>
      <c r="B155" s="0" t="n">
        <v>2016</v>
      </c>
      <c r="C155" s="0" t="s">
        <v>404</v>
      </c>
      <c r="D155" s="0" t="n">
        <v>15027</v>
      </c>
      <c r="E155" s="0" t="s">
        <v>384</v>
      </c>
      <c r="F155" s="0" t="s">
        <v>385</v>
      </c>
      <c r="G155" s="0" t="s">
        <v>94</v>
      </c>
      <c r="H155" s="0" t="s">
        <v>443</v>
      </c>
    </row>
    <row r="156" customFormat="false" ht="15" hidden="false" customHeight="false" outlineLevel="0" collapsed="false">
      <c r="A156" s="0" t="s">
        <v>86</v>
      </c>
      <c r="B156" s="0" t="n">
        <v>2016</v>
      </c>
      <c r="C156" s="0" t="s">
        <v>406</v>
      </c>
      <c r="D156" s="0" t="n">
        <v>9692</v>
      </c>
      <c r="E156" s="0" t="s">
        <v>384</v>
      </c>
      <c r="F156" s="0" t="s">
        <v>385</v>
      </c>
      <c r="G156" s="0" t="s">
        <v>94</v>
      </c>
      <c r="H156" s="0" t="s">
        <v>444</v>
      </c>
    </row>
    <row r="157" customFormat="false" ht="15" hidden="false" customHeight="false" outlineLevel="0" collapsed="false">
      <c r="A157" s="0" t="s">
        <v>86</v>
      </c>
      <c r="B157" s="0" t="n">
        <v>2016</v>
      </c>
      <c r="C157" s="0" t="s">
        <v>19</v>
      </c>
      <c r="D157" s="0" t="n">
        <v>1264931.5</v>
      </c>
      <c r="E157" s="0" t="s">
        <v>383</v>
      </c>
    </row>
    <row r="158" customFormat="false" ht="15" hidden="false" customHeight="false" outlineLevel="0" collapsed="false">
      <c r="A158" s="0" t="s">
        <v>86</v>
      </c>
      <c r="B158" s="0" t="n">
        <v>2016</v>
      </c>
      <c r="C158" s="0" t="s">
        <v>41</v>
      </c>
      <c r="D158" s="0" t="n">
        <v>0.76952783609231</v>
      </c>
      <c r="E158" s="0" t="s">
        <v>383</v>
      </c>
    </row>
    <row r="159" customFormat="false" ht="15" hidden="false" customHeight="false" outlineLevel="0" collapsed="false">
      <c r="A159" s="0" t="s">
        <v>86</v>
      </c>
      <c r="B159" s="0" t="n">
        <v>2016</v>
      </c>
      <c r="C159" s="0" t="s">
        <v>27</v>
      </c>
      <c r="D159" s="0" t="n">
        <v>14.2821157331908</v>
      </c>
      <c r="E159" s="0" t="s">
        <v>383</v>
      </c>
    </row>
    <row r="160" customFormat="false" ht="15" hidden="false" customHeight="false" outlineLevel="0" collapsed="false">
      <c r="A160" s="0" t="s">
        <v>86</v>
      </c>
      <c r="B160" s="0" t="n">
        <v>2016</v>
      </c>
      <c r="C160" s="0" t="s">
        <v>39</v>
      </c>
      <c r="D160" s="0" t="n">
        <v>-4.49882068712812</v>
      </c>
      <c r="E160" s="0" t="s">
        <v>383</v>
      </c>
    </row>
    <row r="161" customFormat="false" ht="15" hidden="false" customHeight="false" outlineLevel="0" collapsed="false">
      <c r="A161" s="0" t="s">
        <v>86</v>
      </c>
      <c r="B161" s="0" t="n">
        <v>2016</v>
      </c>
      <c r="C161" s="0" t="s">
        <v>17</v>
      </c>
      <c r="D161" s="0" t="n">
        <v>3.32638066530305</v>
      </c>
      <c r="E161" s="0" t="s">
        <v>383</v>
      </c>
    </row>
    <row r="162" customFormat="false" ht="15" hidden="false" customHeight="false" outlineLevel="0" collapsed="false">
      <c r="A162" s="0" t="s">
        <v>86</v>
      </c>
      <c r="B162" s="0" t="n">
        <v>2016</v>
      </c>
      <c r="C162" s="0" t="s">
        <v>25</v>
      </c>
      <c r="D162" s="0" t="n">
        <v>17.2995050331296</v>
      </c>
      <c r="E162" s="0" t="s">
        <v>383</v>
      </c>
    </row>
    <row r="163" customFormat="false" ht="15" hidden="false" customHeight="false" outlineLevel="0" collapsed="false">
      <c r="A163" s="0" t="s">
        <v>86</v>
      </c>
      <c r="B163" s="0" t="n">
        <v>2016</v>
      </c>
      <c r="C163" s="0" t="s">
        <v>29</v>
      </c>
      <c r="D163" s="0" t="n">
        <v>0.685491664963676</v>
      </c>
      <c r="E163" s="0" t="s">
        <v>383</v>
      </c>
    </row>
    <row r="164" customFormat="false" ht="15" hidden="false" customHeight="false" outlineLevel="0" collapsed="false">
      <c r="A164" s="0" t="s">
        <v>86</v>
      </c>
      <c r="B164" s="0" t="n">
        <v>2016</v>
      </c>
      <c r="C164" s="0" t="s">
        <v>43</v>
      </c>
      <c r="D164" s="0" t="n">
        <v>0.749841504120123</v>
      </c>
      <c r="E164" s="0" t="s">
        <v>383</v>
      </c>
    </row>
    <row r="165" customFormat="false" ht="15" hidden="false" customHeight="false" outlineLevel="0" collapsed="false">
      <c r="A165" s="0" t="s">
        <v>86</v>
      </c>
      <c r="B165" s="0" t="n">
        <v>2016</v>
      </c>
      <c r="C165" s="0" t="s">
        <v>31</v>
      </c>
      <c r="D165" s="0" t="n">
        <v>85.7178842668092</v>
      </c>
      <c r="E165" s="0" t="s">
        <v>383</v>
      </c>
    </row>
    <row r="166" customFormat="false" ht="15" hidden="false" customHeight="false" outlineLevel="0" collapsed="false">
      <c r="A166" s="0" t="s">
        <v>86</v>
      </c>
      <c r="B166" s="0" t="n">
        <v>2016</v>
      </c>
      <c r="C166" s="0" t="s">
        <v>33</v>
      </c>
      <c r="D166" s="0" t="n">
        <v>14.076443799006</v>
      </c>
      <c r="E166" s="0" t="s">
        <v>383</v>
      </c>
    </row>
    <row r="167" customFormat="false" ht="15" hidden="false" customHeight="false" outlineLevel="0" collapsed="false">
      <c r="A167" s="0" t="s">
        <v>86</v>
      </c>
      <c r="B167" s="0" t="n">
        <v>2016</v>
      </c>
      <c r="C167" s="0" t="s">
        <v>21</v>
      </c>
      <c r="D167" s="0" t="n">
        <v>0</v>
      </c>
      <c r="E167" s="0" t="s">
        <v>383</v>
      </c>
    </row>
    <row r="168" customFormat="false" ht="15" hidden="false" customHeight="false" outlineLevel="0" collapsed="false">
      <c r="A168" s="0" t="s">
        <v>86</v>
      </c>
      <c r="B168" s="0" t="n">
        <v>2016</v>
      </c>
      <c r="C168" s="0" t="s">
        <v>35</v>
      </c>
      <c r="D168" s="0" t="n">
        <v>0</v>
      </c>
      <c r="E168" s="0" t="s">
        <v>383</v>
      </c>
    </row>
    <row r="169" customFormat="false" ht="15" hidden="false" customHeight="false" outlineLevel="0" collapsed="false">
      <c r="A169" s="0" t="s">
        <v>86</v>
      </c>
      <c r="B169" s="0" t="n">
        <v>2017</v>
      </c>
      <c r="C169" s="0" t="s">
        <v>54</v>
      </c>
      <c r="D169" s="0" t="n">
        <v>18857</v>
      </c>
      <c r="E169" s="0" t="s">
        <v>384</v>
      </c>
      <c r="F169" s="0" t="s">
        <v>385</v>
      </c>
      <c r="G169" s="0" t="s">
        <v>96</v>
      </c>
      <c r="H169" s="0" t="s">
        <v>445</v>
      </c>
    </row>
    <row r="170" customFormat="false" ht="15" hidden="false" customHeight="false" outlineLevel="0" collapsed="false">
      <c r="A170" s="0" t="s">
        <v>86</v>
      </c>
      <c r="B170" s="0" t="n">
        <v>2017</v>
      </c>
      <c r="C170" s="0" t="s">
        <v>55</v>
      </c>
      <c r="D170" s="0" t="n">
        <v>1379214</v>
      </c>
      <c r="E170" s="0" t="s">
        <v>384</v>
      </c>
      <c r="F170" s="0" t="s">
        <v>385</v>
      </c>
      <c r="G170" s="0" t="s">
        <v>96</v>
      </c>
      <c r="H170" s="0" t="s">
        <v>446</v>
      </c>
    </row>
    <row r="171" customFormat="false" ht="15" hidden="false" customHeight="false" outlineLevel="0" collapsed="false">
      <c r="A171" s="0" t="s">
        <v>86</v>
      </c>
      <c r="B171" s="0" t="n">
        <v>2017</v>
      </c>
      <c r="C171" s="0" t="s">
        <v>56</v>
      </c>
      <c r="D171" s="0" t="n">
        <v>1175899</v>
      </c>
      <c r="E171" s="0" t="s">
        <v>384</v>
      </c>
      <c r="F171" s="0" t="s">
        <v>385</v>
      </c>
      <c r="G171" s="0" t="s">
        <v>96</v>
      </c>
      <c r="H171" s="0" t="s">
        <v>447</v>
      </c>
    </row>
    <row r="172" customFormat="false" ht="15" hidden="false" customHeight="false" outlineLevel="0" collapsed="false">
      <c r="A172" s="0" t="s">
        <v>86</v>
      </c>
      <c r="B172" s="0" t="n">
        <v>2017</v>
      </c>
      <c r="C172" s="0" t="s">
        <v>57</v>
      </c>
      <c r="D172" s="0" t="n">
        <v>203315</v>
      </c>
      <c r="E172" s="0" t="s">
        <v>384</v>
      </c>
      <c r="F172" s="0" t="s">
        <v>385</v>
      </c>
      <c r="G172" s="0" t="s">
        <v>96</v>
      </c>
      <c r="H172" s="0" t="s">
        <v>448</v>
      </c>
    </row>
    <row r="173" customFormat="false" ht="15" hidden="false" customHeight="false" outlineLevel="0" collapsed="false">
      <c r="A173" s="0" t="s">
        <v>86</v>
      </c>
      <c r="B173" s="0" t="n">
        <v>2017</v>
      </c>
      <c r="C173" s="0" t="s">
        <v>58</v>
      </c>
      <c r="D173" s="0" t="n">
        <v>-38026</v>
      </c>
      <c r="E173" s="0" t="s">
        <v>384</v>
      </c>
      <c r="F173" s="0" t="s">
        <v>385</v>
      </c>
      <c r="G173" s="0" t="s">
        <v>96</v>
      </c>
      <c r="H173" s="0" t="s">
        <v>449</v>
      </c>
    </row>
    <row r="174" customFormat="false" ht="15" hidden="false" customHeight="false" outlineLevel="0" collapsed="false">
      <c r="A174" s="0" t="s">
        <v>86</v>
      </c>
      <c r="B174" s="0" t="n">
        <v>2017</v>
      </c>
      <c r="C174" s="0" t="s">
        <v>59</v>
      </c>
      <c r="D174" s="0" t="n">
        <v>1298141</v>
      </c>
      <c r="E174" s="0" t="s">
        <v>384</v>
      </c>
      <c r="F174" s="0" t="s">
        <v>385</v>
      </c>
      <c r="G174" s="0" t="s">
        <v>96</v>
      </c>
      <c r="H174" s="0" t="s">
        <v>450</v>
      </c>
    </row>
    <row r="175" customFormat="false" ht="15" hidden="false" customHeight="false" outlineLevel="0" collapsed="false">
      <c r="A175" s="0" t="s">
        <v>86</v>
      </c>
      <c r="B175" s="0" t="n">
        <v>2017</v>
      </c>
      <c r="C175" s="0" t="s">
        <v>60</v>
      </c>
      <c r="D175" s="0" t="n">
        <v>795315</v>
      </c>
      <c r="E175" s="0" t="s">
        <v>384</v>
      </c>
      <c r="F175" s="0" t="s">
        <v>385</v>
      </c>
      <c r="G175" s="0" t="s">
        <v>96</v>
      </c>
      <c r="H175" s="0" t="s">
        <v>451</v>
      </c>
    </row>
    <row r="176" customFormat="false" ht="15" hidden="false" customHeight="false" outlineLevel="0" collapsed="false">
      <c r="A176" s="0" t="s">
        <v>86</v>
      </c>
      <c r="B176" s="0" t="n">
        <v>2017</v>
      </c>
      <c r="C176" s="0" t="s">
        <v>61</v>
      </c>
      <c r="D176" s="0" t="n">
        <v>26578</v>
      </c>
      <c r="E176" s="0" t="s">
        <v>384</v>
      </c>
      <c r="F176" s="0" t="s">
        <v>385</v>
      </c>
      <c r="G176" s="0" t="s">
        <v>96</v>
      </c>
      <c r="H176" s="0" t="s">
        <v>452</v>
      </c>
    </row>
    <row r="177" customFormat="false" ht="15" hidden="false" customHeight="false" outlineLevel="0" collapsed="false">
      <c r="A177" s="0" t="s">
        <v>86</v>
      </c>
      <c r="B177" s="0" t="n">
        <v>2017</v>
      </c>
      <c r="C177" s="0" t="s">
        <v>62</v>
      </c>
      <c r="D177" s="0" t="n">
        <v>768737</v>
      </c>
      <c r="E177" s="0" t="s">
        <v>384</v>
      </c>
      <c r="F177" s="0" t="s">
        <v>385</v>
      </c>
      <c r="G177" s="0" t="s">
        <v>96</v>
      </c>
      <c r="H177" s="0" t="s">
        <v>453</v>
      </c>
    </row>
    <row r="178" customFormat="false" ht="15" hidden="false" customHeight="false" outlineLevel="0" collapsed="false">
      <c r="A178" s="0" t="s">
        <v>86</v>
      </c>
      <c r="B178" s="0" t="n">
        <v>2017</v>
      </c>
      <c r="C178" s="0" t="s">
        <v>63</v>
      </c>
      <c r="D178" s="0" t="n">
        <v>11315</v>
      </c>
      <c r="E178" s="0" t="s">
        <v>384</v>
      </c>
      <c r="F178" s="0" t="s">
        <v>385</v>
      </c>
      <c r="G178" s="0" t="s">
        <v>96</v>
      </c>
      <c r="H178" s="0" t="s">
        <v>454</v>
      </c>
    </row>
    <row r="179" customFormat="false" ht="15" hidden="false" customHeight="false" outlineLevel="0" collapsed="false">
      <c r="A179" s="0" t="s">
        <v>86</v>
      </c>
      <c r="B179" s="0" t="n">
        <v>2017</v>
      </c>
      <c r="C179" s="0" t="s">
        <v>69</v>
      </c>
      <c r="D179" s="0" t="n">
        <v>16.03</v>
      </c>
      <c r="E179" s="0" t="s">
        <v>384</v>
      </c>
      <c r="F179" s="0" t="s">
        <v>385</v>
      </c>
      <c r="G179" s="0" t="s">
        <v>96</v>
      </c>
      <c r="H179" s="0" t="s">
        <v>455</v>
      </c>
    </row>
    <row r="180" customFormat="false" ht="15" hidden="false" customHeight="false" outlineLevel="0" collapsed="false">
      <c r="A180" s="0" t="s">
        <v>86</v>
      </c>
      <c r="B180" s="0" t="n">
        <v>2017</v>
      </c>
      <c r="C180" s="0" t="s">
        <v>70</v>
      </c>
      <c r="D180" s="0" t="n">
        <v>15</v>
      </c>
      <c r="E180" s="0" t="s">
        <v>384</v>
      </c>
      <c r="F180" s="0" t="s">
        <v>385</v>
      </c>
      <c r="G180" s="0" t="s">
        <v>96</v>
      </c>
      <c r="H180" s="0" t="s">
        <v>456</v>
      </c>
    </row>
    <row r="181" customFormat="false" ht="15" hidden="false" customHeight="false" outlineLevel="0" collapsed="false">
      <c r="A181" s="0" t="s">
        <v>86</v>
      </c>
      <c r="B181" s="0" t="n">
        <v>2017</v>
      </c>
      <c r="C181" s="0" t="s">
        <v>65</v>
      </c>
      <c r="D181" s="0" t="n">
        <v>179341</v>
      </c>
      <c r="E181" s="0" t="s">
        <v>384</v>
      </c>
      <c r="F181" s="0" t="s">
        <v>385</v>
      </c>
      <c r="G181" s="0" t="s">
        <v>96</v>
      </c>
      <c r="H181" s="0" t="s">
        <v>457</v>
      </c>
    </row>
    <row r="182" customFormat="false" ht="15" hidden="false" customHeight="false" outlineLevel="0" collapsed="false">
      <c r="A182" s="0" t="s">
        <v>86</v>
      </c>
      <c r="B182" s="0" t="n">
        <v>2017</v>
      </c>
      <c r="C182" s="0" t="s">
        <v>66</v>
      </c>
      <c r="D182" s="0" t="n">
        <v>1118786</v>
      </c>
      <c r="E182" s="0" t="s">
        <v>384</v>
      </c>
      <c r="F182" s="0" t="s">
        <v>385</v>
      </c>
      <c r="G182" s="0" t="s">
        <v>96</v>
      </c>
      <c r="H182" s="0" t="s">
        <v>458</v>
      </c>
    </row>
    <row r="183" customFormat="false" ht="15" hidden="false" customHeight="false" outlineLevel="0" collapsed="false">
      <c r="A183" s="0" t="s">
        <v>86</v>
      </c>
      <c r="B183" s="0" t="n">
        <v>2017</v>
      </c>
      <c r="C183" s="0" t="s">
        <v>73</v>
      </c>
      <c r="D183" s="0" t="n">
        <v>0</v>
      </c>
      <c r="E183" s="0" t="s">
        <v>400</v>
      </c>
      <c r="F183" s="0" t="s">
        <v>385</v>
      </c>
      <c r="G183" s="0" t="s">
        <v>96</v>
      </c>
      <c r="H183" s="0" t="s">
        <v>459</v>
      </c>
    </row>
    <row r="184" customFormat="false" ht="15" hidden="false" customHeight="false" outlineLevel="0" collapsed="false">
      <c r="A184" s="0" t="s">
        <v>86</v>
      </c>
      <c r="B184" s="0" t="n">
        <v>2017</v>
      </c>
      <c r="C184" s="0" t="s">
        <v>402</v>
      </c>
      <c r="D184" s="0" t="n">
        <v>20302</v>
      </c>
      <c r="E184" s="0" t="s">
        <v>384</v>
      </c>
      <c r="F184" s="0" t="s">
        <v>385</v>
      </c>
      <c r="G184" s="0" t="s">
        <v>96</v>
      </c>
      <c r="H184" s="0" t="s">
        <v>460</v>
      </c>
    </row>
    <row r="185" customFormat="false" ht="15" hidden="false" customHeight="false" outlineLevel="0" collapsed="false">
      <c r="A185" s="0" t="s">
        <v>86</v>
      </c>
      <c r="B185" s="0" t="n">
        <v>2017</v>
      </c>
      <c r="C185" s="0" t="s">
        <v>404</v>
      </c>
      <c r="D185" s="0" t="n">
        <v>16077</v>
      </c>
      <c r="E185" s="0" t="s">
        <v>384</v>
      </c>
      <c r="F185" s="0" t="s">
        <v>385</v>
      </c>
      <c r="G185" s="0" t="s">
        <v>96</v>
      </c>
      <c r="H185" s="0" t="s">
        <v>461</v>
      </c>
    </row>
    <row r="186" customFormat="false" ht="15" hidden="false" customHeight="false" outlineLevel="0" collapsed="false">
      <c r="A186" s="0" t="s">
        <v>86</v>
      </c>
      <c r="B186" s="0" t="n">
        <v>2017</v>
      </c>
      <c r="C186" s="0" t="s">
        <v>406</v>
      </c>
      <c r="D186" s="0" t="n">
        <v>10501</v>
      </c>
      <c r="E186" s="0" t="s">
        <v>384</v>
      </c>
      <c r="F186" s="0" t="s">
        <v>385</v>
      </c>
      <c r="G186" s="0" t="s">
        <v>96</v>
      </c>
      <c r="H186" s="0" t="s">
        <v>462</v>
      </c>
    </row>
    <row r="187" customFormat="false" ht="15" hidden="false" customHeight="false" outlineLevel="0" collapsed="false">
      <c r="A187" s="0" t="s">
        <v>86</v>
      </c>
      <c r="B187" s="0" t="n">
        <v>2017</v>
      </c>
      <c r="C187" s="0" t="s">
        <v>19</v>
      </c>
      <c r="D187" s="0" t="n">
        <v>1338677.5</v>
      </c>
      <c r="E187" s="0" t="s">
        <v>383</v>
      </c>
    </row>
    <row r="188" customFormat="false" ht="15" hidden="false" customHeight="false" outlineLevel="0" collapsed="false">
      <c r="A188" s="0" t="s">
        <v>86</v>
      </c>
      <c r="B188" s="0" t="n">
        <v>2017</v>
      </c>
      <c r="C188" s="0" t="s">
        <v>41</v>
      </c>
      <c r="D188" s="0" t="n">
        <v>1.40862903873412</v>
      </c>
      <c r="E188" s="0" t="s">
        <v>383</v>
      </c>
    </row>
    <row r="189" customFormat="false" ht="15" hidden="false" customHeight="false" outlineLevel="0" collapsed="false">
      <c r="A189" s="0" t="s">
        <v>86</v>
      </c>
      <c r="B189" s="0" t="n">
        <v>2017</v>
      </c>
      <c r="C189" s="0" t="s">
        <v>27</v>
      </c>
      <c r="D189" s="0" t="n">
        <v>14.7413671844978</v>
      </c>
      <c r="E189" s="0" t="s">
        <v>383</v>
      </c>
    </row>
    <row r="190" customFormat="false" ht="15" hidden="false" customHeight="false" outlineLevel="0" collapsed="false">
      <c r="A190" s="0" t="s">
        <v>86</v>
      </c>
      <c r="B190" s="0" t="n">
        <v>2017</v>
      </c>
      <c r="C190" s="0" t="s">
        <v>39</v>
      </c>
      <c r="D190" s="0" t="n">
        <v>-2.84056466176506</v>
      </c>
      <c r="E190" s="0" t="s">
        <v>383</v>
      </c>
    </row>
    <row r="191" customFormat="false" ht="15" hidden="false" customHeight="false" outlineLevel="0" collapsed="false">
      <c r="A191" s="0" t="s">
        <v>86</v>
      </c>
      <c r="B191" s="0" t="n">
        <v>2017</v>
      </c>
      <c r="C191" s="0" t="s">
        <v>17</v>
      </c>
      <c r="D191" s="0" t="n">
        <v>3.34182053651698</v>
      </c>
      <c r="E191" s="0" t="s">
        <v>383</v>
      </c>
    </row>
    <row r="192" customFormat="false" ht="15" hidden="false" customHeight="false" outlineLevel="0" collapsed="false">
      <c r="A192" s="0" t="s">
        <v>86</v>
      </c>
      <c r="B192" s="0" t="n">
        <v>2017</v>
      </c>
      <c r="C192" s="0" t="s">
        <v>25</v>
      </c>
      <c r="D192" s="0" t="n">
        <v>16.0299646223675</v>
      </c>
      <c r="E192" s="0" t="s">
        <v>383</v>
      </c>
    </row>
    <row r="193" customFormat="false" ht="15" hidden="false" customHeight="false" outlineLevel="0" collapsed="false">
      <c r="A193" s="0" t="s">
        <v>86</v>
      </c>
      <c r="B193" s="0" t="n">
        <v>2017</v>
      </c>
      <c r="C193" s="0" t="s">
        <v>29</v>
      </c>
      <c r="D193" s="0" t="n">
        <v>0.84523718371303</v>
      </c>
      <c r="E193" s="0" t="s">
        <v>383</v>
      </c>
    </row>
    <row r="194" customFormat="false" ht="15" hidden="false" customHeight="false" outlineLevel="0" collapsed="false">
      <c r="A194" s="0" t="s">
        <v>86</v>
      </c>
      <c r="B194" s="0" t="n">
        <v>2017</v>
      </c>
      <c r="C194" s="0" t="s">
        <v>43</v>
      </c>
      <c r="D194" s="0" t="n">
        <v>1.36722800087586</v>
      </c>
      <c r="E194" s="0" t="s">
        <v>383</v>
      </c>
    </row>
    <row r="195" customFormat="false" ht="15" hidden="false" customHeight="false" outlineLevel="0" collapsed="false">
      <c r="A195" s="0" t="s">
        <v>86</v>
      </c>
      <c r="B195" s="0" t="n">
        <v>2017</v>
      </c>
      <c r="C195" s="0" t="s">
        <v>31</v>
      </c>
      <c r="D195" s="0" t="n">
        <v>85.2586328155022</v>
      </c>
      <c r="E195" s="0" t="s">
        <v>383</v>
      </c>
    </row>
    <row r="196" customFormat="false" ht="15" hidden="false" customHeight="false" outlineLevel="0" collapsed="false">
      <c r="A196" s="0" t="s">
        <v>86</v>
      </c>
      <c r="B196" s="0" t="n">
        <v>2017</v>
      </c>
      <c r="C196" s="0" t="s">
        <v>33</v>
      </c>
      <c r="D196" s="0" t="n">
        <v>14.1370243296521</v>
      </c>
      <c r="E196" s="0" t="s">
        <v>383</v>
      </c>
    </row>
    <row r="197" customFormat="false" ht="15" hidden="false" customHeight="false" outlineLevel="0" collapsed="false">
      <c r="A197" s="0" t="s">
        <v>86</v>
      </c>
      <c r="B197" s="0" t="n">
        <v>2017</v>
      </c>
      <c r="C197" s="0" t="s">
        <v>21</v>
      </c>
      <c r="D197" s="0" t="n">
        <v>0</v>
      </c>
      <c r="E197" s="0" t="s">
        <v>383</v>
      </c>
    </row>
    <row r="198" customFormat="false" ht="15" hidden="false" customHeight="false" outlineLevel="0" collapsed="false">
      <c r="A198" s="0" t="s">
        <v>86</v>
      </c>
      <c r="B198" s="0" t="n">
        <v>2017</v>
      </c>
      <c r="C198" s="0" t="s">
        <v>35</v>
      </c>
      <c r="D198" s="0" t="n">
        <v>0</v>
      </c>
      <c r="E198" s="0" t="s">
        <v>383</v>
      </c>
    </row>
    <row r="199" customFormat="false" ht="15" hidden="false" customHeight="false" outlineLevel="0" collapsed="false">
      <c r="A199" s="0" t="s">
        <v>86</v>
      </c>
      <c r="B199" s="0" t="n">
        <v>2018</v>
      </c>
      <c r="C199" s="0" t="s">
        <v>54</v>
      </c>
      <c r="D199" s="0" t="n">
        <v>22926</v>
      </c>
      <c r="E199" s="0" t="s">
        <v>382</v>
      </c>
      <c r="G199" s="0" t="s">
        <v>81</v>
      </c>
    </row>
    <row r="200" customFormat="false" ht="15" hidden="false" customHeight="false" outlineLevel="0" collapsed="false">
      <c r="A200" s="0" t="s">
        <v>86</v>
      </c>
      <c r="B200" s="0" t="n">
        <v>2018</v>
      </c>
      <c r="C200" s="0" t="s">
        <v>55</v>
      </c>
      <c r="D200" s="0" t="n">
        <v>1719883</v>
      </c>
      <c r="E200" s="0" t="s">
        <v>382</v>
      </c>
      <c r="G200" s="0" t="s">
        <v>81</v>
      </c>
    </row>
    <row r="201" customFormat="false" ht="15" hidden="false" customHeight="false" outlineLevel="0" collapsed="false">
      <c r="A201" s="0" t="s">
        <v>86</v>
      </c>
      <c r="B201" s="0" t="n">
        <v>2018</v>
      </c>
      <c r="C201" s="0" t="s">
        <v>56</v>
      </c>
      <c r="D201" s="0" t="n">
        <v>1525467</v>
      </c>
      <c r="E201" s="0" t="s">
        <v>382</v>
      </c>
      <c r="G201" s="0" t="s">
        <v>81</v>
      </c>
    </row>
    <row r="202" customFormat="false" ht="15" hidden="false" customHeight="false" outlineLevel="0" collapsed="false">
      <c r="A202" s="0" t="s">
        <v>86</v>
      </c>
      <c r="B202" s="0" t="n">
        <v>2018</v>
      </c>
      <c r="C202" s="0" t="s">
        <v>57</v>
      </c>
      <c r="D202" s="0" t="n">
        <v>194416</v>
      </c>
      <c r="E202" s="0" t="s">
        <v>382</v>
      </c>
      <c r="G202" s="0" t="s">
        <v>81</v>
      </c>
    </row>
    <row r="203" customFormat="false" ht="15" hidden="false" customHeight="false" outlineLevel="0" collapsed="false">
      <c r="A203" s="0" t="s">
        <v>86</v>
      </c>
      <c r="B203" s="0" t="n">
        <v>2018</v>
      </c>
      <c r="C203" s="0" t="s">
        <v>63</v>
      </c>
      <c r="D203" s="0" t="n">
        <v>4215</v>
      </c>
      <c r="E203" s="0" t="s">
        <v>382</v>
      </c>
      <c r="G203" s="0" t="s">
        <v>81</v>
      </c>
    </row>
    <row r="204" customFormat="false" ht="15" hidden="false" customHeight="false" outlineLevel="0" collapsed="false">
      <c r="A204" s="0" t="s">
        <v>86</v>
      </c>
      <c r="B204" s="0" t="n">
        <v>2018</v>
      </c>
      <c r="C204" s="0" t="s">
        <v>27</v>
      </c>
      <c r="D204" s="0" t="n">
        <v>11.3040247505208</v>
      </c>
      <c r="E204" s="0" t="s">
        <v>383</v>
      </c>
    </row>
    <row r="205" customFormat="false" ht="15" hidden="false" customHeight="false" outlineLevel="0" collapsed="false">
      <c r="A205" s="0" t="s">
        <v>86</v>
      </c>
      <c r="B205" s="0" t="n">
        <v>2018</v>
      </c>
      <c r="C205" s="0" t="s">
        <v>43</v>
      </c>
      <c r="D205" s="0" t="n">
        <v>1.33299765158444</v>
      </c>
      <c r="E205" s="0" t="s">
        <v>383</v>
      </c>
    </row>
    <row r="206" customFormat="false" ht="15" hidden="false" customHeight="false" outlineLevel="0" collapsed="false">
      <c r="A206" s="0" t="s">
        <v>86</v>
      </c>
      <c r="B206" s="0" t="n">
        <v>2018</v>
      </c>
      <c r="C206" s="0" t="s">
        <v>31</v>
      </c>
      <c r="D206" s="0" t="n">
        <v>88.6959752494792</v>
      </c>
      <c r="E206" s="0" t="s">
        <v>383</v>
      </c>
    </row>
    <row r="207" customFormat="false" ht="15" hidden="false" customHeight="false" outlineLevel="0" collapsed="false">
      <c r="A207" s="0" t="s">
        <v>86</v>
      </c>
      <c r="B207" s="0" t="n">
        <v>2018</v>
      </c>
      <c r="C207" s="0" t="s">
        <v>33</v>
      </c>
      <c r="D207" s="0" t="n">
        <v>14.3577668232201</v>
      </c>
      <c r="E207" s="0" t="s">
        <v>383</v>
      </c>
    </row>
    <row r="208" customFormat="false" ht="15" hidden="false" customHeight="false" outlineLevel="0" collapsed="false">
      <c r="A208" s="0" t="s">
        <v>86</v>
      </c>
      <c r="B208" s="0" t="n">
        <v>2018</v>
      </c>
      <c r="C208" s="0" t="s">
        <v>21</v>
      </c>
      <c r="D208" s="0" t="n">
        <v>0</v>
      </c>
      <c r="E208" s="0" t="s">
        <v>383</v>
      </c>
    </row>
    <row r="209" customFormat="false" ht="15" hidden="false" customHeight="false" outlineLevel="0" collapsed="false">
      <c r="A209" s="0" t="s">
        <v>86</v>
      </c>
      <c r="B209" s="0" t="n">
        <v>2019</v>
      </c>
      <c r="C209" s="0" t="s">
        <v>54</v>
      </c>
      <c r="D209" s="0" t="n">
        <v>28425</v>
      </c>
      <c r="E209" s="0" t="s">
        <v>382</v>
      </c>
      <c r="G209" s="0" t="s">
        <v>81</v>
      </c>
    </row>
    <row r="210" customFormat="false" ht="15" hidden="false" customHeight="false" outlineLevel="0" collapsed="false">
      <c r="A210" s="0" t="s">
        <v>86</v>
      </c>
      <c r="B210" s="0" t="n">
        <v>2019</v>
      </c>
      <c r="C210" s="0" t="s">
        <v>55</v>
      </c>
      <c r="D210" s="0" t="n">
        <v>2114037</v>
      </c>
      <c r="E210" s="0" t="s">
        <v>382</v>
      </c>
      <c r="G210" s="0" t="s">
        <v>81</v>
      </c>
    </row>
    <row r="211" customFormat="false" ht="15" hidden="false" customHeight="false" outlineLevel="0" collapsed="false">
      <c r="A211" s="0" t="s">
        <v>86</v>
      </c>
      <c r="B211" s="0" t="n">
        <v>2019</v>
      </c>
      <c r="C211" s="0" t="s">
        <v>56</v>
      </c>
      <c r="D211" s="0" t="n">
        <v>1880007</v>
      </c>
      <c r="E211" s="0" t="s">
        <v>382</v>
      </c>
      <c r="G211" s="0" t="s">
        <v>81</v>
      </c>
    </row>
    <row r="212" customFormat="false" ht="15" hidden="false" customHeight="false" outlineLevel="0" collapsed="false">
      <c r="A212" s="0" t="s">
        <v>86</v>
      </c>
      <c r="B212" s="0" t="n">
        <v>2019</v>
      </c>
      <c r="C212" s="0" t="s">
        <v>57</v>
      </c>
      <c r="D212" s="0" t="n">
        <v>234030</v>
      </c>
      <c r="E212" s="0" t="s">
        <v>382</v>
      </c>
      <c r="G212" s="0" t="s">
        <v>81</v>
      </c>
    </row>
    <row r="213" customFormat="false" ht="15" hidden="false" customHeight="false" outlineLevel="0" collapsed="false">
      <c r="A213" s="0" t="s">
        <v>86</v>
      </c>
      <c r="B213" s="0" t="n">
        <v>2019</v>
      </c>
      <c r="C213" s="0" t="s">
        <v>59</v>
      </c>
      <c r="D213" s="0" t="n">
        <v>1719883</v>
      </c>
      <c r="E213" s="0" t="s">
        <v>382</v>
      </c>
      <c r="G213" s="0" t="s">
        <v>81</v>
      </c>
    </row>
    <row r="214" customFormat="false" ht="15" hidden="false" customHeight="false" outlineLevel="0" collapsed="false">
      <c r="A214" s="0" t="s">
        <v>86</v>
      </c>
      <c r="B214" s="0" t="n">
        <v>2019</v>
      </c>
      <c r="C214" s="0" t="s">
        <v>63</v>
      </c>
      <c r="D214" s="0" t="n">
        <v>-5292</v>
      </c>
      <c r="E214" s="0" t="s">
        <v>382</v>
      </c>
      <c r="G214" s="0" t="s">
        <v>81</v>
      </c>
    </row>
    <row r="215" customFormat="false" ht="15" hidden="false" customHeight="false" outlineLevel="0" collapsed="false">
      <c r="A215" s="0" t="s">
        <v>86</v>
      </c>
      <c r="B215" s="0" t="n">
        <v>2019</v>
      </c>
      <c r="C215" s="0" t="s">
        <v>73</v>
      </c>
      <c r="D215" s="0" t="n">
        <v>0</v>
      </c>
      <c r="E215" s="0" t="s">
        <v>400</v>
      </c>
      <c r="F215" s="0" t="s">
        <v>301</v>
      </c>
      <c r="G215" s="0" t="s">
        <v>463</v>
      </c>
      <c r="H215" s="0" t="s">
        <v>309</v>
      </c>
    </row>
    <row r="216" customFormat="false" ht="15" hidden="false" customHeight="false" outlineLevel="0" collapsed="false">
      <c r="A216" s="0" t="s">
        <v>86</v>
      </c>
      <c r="B216" s="0" t="n">
        <v>2019</v>
      </c>
      <c r="C216" s="0" t="s">
        <v>19</v>
      </c>
      <c r="D216" s="0" t="n">
        <v>1916960</v>
      </c>
      <c r="E216" s="0" t="s">
        <v>383</v>
      </c>
    </row>
    <row r="217" customFormat="false" ht="15" hidden="false" customHeight="false" outlineLevel="0" collapsed="false">
      <c r="A217" s="0" t="s">
        <v>86</v>
      </c>
      <c r="B217" s="0" t="n">
        <v>2019</v>
      </c>
      <c r="C217" s="0" t="s">
        <v>41</v>
      </c>
      <c r="D217" s="0" t="n">
        <v>1.48281654285953</v>
      </c>
      <c r="E217" s="0" t="s">
        <v>383</v>
      </c>
    </row>
    <row r="218" customFormat="false" ht="15" hidden="false" customHeight="false" outlineLevel="0" collapsed="false">
      <c r="A218" s="0" t="s">
        <v>86</v>
      </c>
      <c r="B218" s="0" t="n">
        <v>2019</v>
      </c>
      <c r="C218" s="0" t="s">
        <v>27</v>
      </c>
      <c r="D218" s="0" t="n">
        <v>11.0702887413986</v>
      </c>
      <c r="E218" s="0" t="s">
        <v>383</v>
      </c>
    </row>
    <row r="219" customFormat="false" ht="15" hidden="false" customHeight="false" outlineLevel="0" collapsed="false">
      <c r="A219" s="0" t="s">
        <v>86</v>
      </c>
      <c r="B219" s="0" t="n">
        <v>2019</v>
      </c>
      <c r="C219" s="0" t="s">
        <v>29</v>
      </c>
      <c r="D219" s="0" t="n">
        <v>-0.276062098322344</v>
      </c>
      <c r="E219" s="0" t="s">
        <v>383</v>
      </c>
    </row>
    <row r="220" customFormat="false" ht="15" hidden="false" customHeight="false" outlineLevel="0" collapsed="false">
      <c r="A220" s="0" t="s">
        <v>86</v>
      </c>
      <c r="B220" s="0" t="n">
        <v>2019</v>
      </c>
      <c r="C220" s="0" t="s">
        <v>43</v>
      </c>
      <c r="D220" s="0" t="n">
        <v>1.3445838459781</v>
      </c>
      <c r="E220" s="0" t="s">
        <v>383</v>
      </c>
    </row>
    <row r="221" customFormat="false" ht="15" hidden="false" customHeight="false" outlineLevel="0" collapsed="false">
      <c r="A221" s="0" t="s">
        <v>86</v>
      </c>
      <c r="B221" s="0" t="n">
        <v>2019</v>
      </c>
      <c r="C221" s="0" t="s">
        <v>31</v>
      </c>
      <c r="D221" s="0" t="n">
        <v>88.9297112586014</v>
      </c>
      <c r="E221" s="0" t="s">
        <v>383</v>
      </c>
    </row>
    <row r="222" customFormat="false" ht="15" hidden="false" customHeight="false" outlineLevel="0" collapsed="false">
      <c r="A222" s="0" t="s">
        <v>86</v>
      </c>
      <c r="B222" s="0" t="n">
        <v>2019</v>
      </c>
      <c r="C222" s="0" t="s">
        <v>33</v>
      </c>
      <c r="D222" s="0" t="n">
        <v>14.5641099476243</v>
      </c>
      <c r="E222" s="0" t="s">
        <v>383</v>
      </c>
    </row>
    <row r="223" customFormat="false" ht="15" hidden="false" customHeight="false" outlineLevel="0" collapsed="false">
      <c r="A223" s="0" t="s">
        <v>86</v>
      </c>
      <c r="B223" s="0" t="n">
        <v>2019</v>
      </c>
      <c r="C223" s="0" t="s">
        <v>21</v>
      </c>
      <c r="D223" s="0" t="n">
        <v>0</v>
      </c>
      <c r="E223" s="0" t="s">
        <v>383</v>
      </c>
    </row>
    <row r="224" customFormat="false" ht="15" hidden="false" customHeight="false" outlineLevel="0" collapsed="false">
      <c r="A224" s="0" t="s">
        <v>86</v>
      </c>
      <c r="B224" s="0" t="n">
        <v>2020</v>
      </c>
      <c r="C224" s="0" t="s">
        <v>54</v>
      </c>
      <c r="D224" s="0" t="n">
        <v>26650</v>
      </c>
      <c r="E224" s="0" t="s">
        <v>384</v>
      </c>
      <c r="F224" s="0" t="s">
        <v>385</v>
      </c>
      <c r="G224" s="0" t="s">
        <v>100</v>
      </c>
      <c r="H224" s="0" t="s">
        <v>464</v>
      </c>
    </row>
    <row r="225" customFormat="false" ht="15" hidden="false" customHeight="false" outlineLevel="0" collapsed="false">
      <c r="A225" s="0" t="s">
        <v>86</v>
      </c>
      <c r="B225" s="0" t="n">
        <v>2020</v>
      </c>
      <c r="C225" s="0" t="s">
        <v>55</v>
      </c>
      <c r="D225" s="0" t="n">
        <v>2758148</v>
      </c>
      <c r="E225" s="0" t="s">
        <v>384</v>
      </c>
      <c r="F225" s="0" t="s">
        <v>385</v>
      </c>
      <c r="G225" s="0" t="s">
        <v>100</v>
      </c>
      <c r="H225" s="0" t="s">
        <v>465</v>
      </c>
    </row>
    <row r="226" customFormat="false" ht="15" hidden="false" customHeight="false" outlineLevel="0" collapsed="false">
      <c r="A226" s="0" t="s">
        <v>86</v>
      </c>
      <c r="B226" s="0" t="n">
        <v>2020</v>
      </c>
      <c r="C226" s="0" t="s">
        <v>56</v>
      </c>
      <c r="D226" s="0" t="n">
        <v>2484615</v>
      </c>
      <c r="E226" s="0" t="s">
        <v>384</v>
      </c>
      <c r="F226" s="0" t="s">
        <v>385</v>
      </c>
      <c r="G226" s="0" t="s">
        <v>100</v>
      </c>
      <c r="H226" s="0" t="s">
        <v>466</v>
      </c>
    </row>
    <row r="227" customFormat="false" ht="15" hidden="false" customHeight="false" outlineLevel="0" collapsed="false">
      <c r="A227" s="0" t="s">
        <v>86</v>
      </c>
      <c r="B227" s="0" t="n">
        <v>2020</v>
      </c>
      <c r="C227" s="0" t="s">
        <v>57</v>
      </c>
      <c r="D227" s="0" t="n">
        <v>273533</v>
      </c>
      <c r="E227" s="0" t="s">
        <v>384</v>
      </c>
      <c r="F227" s="0" t="s">
        <v>385</v>
      </c>
      <c r="G227" s="0" t="s">
        <v>100</v>
      </c>
      <c r="H227" s="0" t="s">
        <v>467</v>
      </c>
    </row>
    <row r="228" customFormat="false" ht="15" hidden="false" customHeight="false" outlineLevel="0" collapsed="false">
      <c r="A228" s="0" t="s">
        <v>86</v>
      </c>
      <c r="B228" s="0" t="n">
        <v>2020</v>
      </c>
      <c r="C228" s="0" t="s">
        <v>58</v>
      </c>
      <c r="D228" s="0" t="n">
        <v>242619</v>
      </c>
      <c r="E228" s="0" t="s">
        <v>384</v>
      </c>
      <c r="F228" s="0" t="s">
        <v>385</v>
      </c>
      <c r="G228" s="0" t="s">
        <v>100</v>
      </c>
      <c r="H228" s="0" t="s">
        <v>468</v>
      </c>
    </row>
    <row r="229" customFormat="false" ht="15" hidden="false" customHeight="false" outlineLevel="0" collapsed="false">
      <c r="A229" s="0" t="s">
        <v>86</v>
      </c>
      <c r="B229" s="0" t="n">
        <v>2020</v>
      </c>
      <c r="C229" s="0" t="s">
        <v>59</v>
      </c>
      <c r="D229" s="0" t="n">
        <v>2114037</v>
      </c>
      <c r="E229" s="0" t="s">
        <v>384</v>
      </c>
      <c r="F229" s="0" t="s">
        <v>385</v>
      </c>
      <c r="G229" s="0" t="s">
        <v>100</v>
      </c>
      <c r="H229" s="0" t="s">
        <v>469</v>
      </c>
    </row>
    <row r="230" customFormat="false" ht="15" hidden="false" customHeight="false" outlineLevel="0" collapsed="false">
      <c r="A230" s="0" t="s">
        <v>86</v>
      </c>
      <c r="B230" s="0" t="n">
        <v>2020</v>
      </c>
      <c r="C230" s="0" t="s">
        <v>60</v>
      </c>
      <c r="D230" s="0" t="n">
        <v>1393624</v>
      </c>
      <c r="E230" s="0" t="s">
        <v>384</v>
      </c>
      <c r="F230" s="0" t="s">
        <v>385</v>
      </c>
      <c r="G230" s="0" t="s">
        <v>100</v>
      </c>
      <c r="H230" s="0" t="s">
        <v>470</v>
      </c>
    </row>
    <row r="231" customFormat="false" ht="15" hidden="false" customHeight="false" outlineLevel="0" collapsed="false">
      <c r="A231" s="0" t="s">
        <v>86</v>
      </c>
      <c r="B231" s="0" t="n">
        <v>2020</v>
      </c>
      <c r="C231" s="0" t="s">
        <v>61</v>
      </c>
      <c r="D231" s="0" t="n">
        <v>67518</v>
      </c>
      <c r="E231" s="0" t="s">
        <v>384</v>
      </c>
      <c r="F231" s="0" t="s">
        <v>385</v>
      </c>
      <c r="G231" s="0" t="s">
        <v>100</v>
      </c>
      <c r="H231" s="0" t="s">
        <v>471</v>
      </c>
    </row>
    <row r="232" customFormat="false" ht="15" hidden="false" customHeight="false" outlineLevel="0" collapsed="false">
      <c r="A232" s="0" t="s">
        <v>86</v>
      </c>
      <c r="B232" s="0" t="n">
        <v>2020</v>
      </c>
      <c r="C232" s="0" t="s">
        <v>62</v>
      </c>
      <c r="D232" s="0" t="n">
        <v>1326106</v>
      </c>
      <c r="E232" s="0" t="s">
        <v>384</v>
      </c>
      <c r="F232" s="0" t="s">
        <v>385</v>
      </c>
      <c r="G232" s="0" t="s">
        <v>100</v>
      </c>
      <c r="H232" s="0" t="s">
        <v>472</v>
      </c>
    </row>
    <row r="233" customFormat="false" ht="15" hidden="false" customHeight="false" outlineLevel="0" collapsed="false">
      <c r="A233" s="0" t="s">
        <v>86</v>
      </c>
      <c r="B233" s="0" t="n">
        <v>2020</v>
      </c>
      <c r="C233" s="0" t="s">
        <v>63</v>
      </c>
      <c r="D233" s="0" t="n">
        <v>16858</v>
      </c>
      <c r="E233" s="0" t="s">
        <v>384</v>
      </c>
      <c r="F233" s="0" t="s">
        <v>385</v>
      </c>
      <c r="G233" s="0" t="s">
        <v>100</v>
      </c>
      <c r="H233" s="0" t="s">
        <v>473</v>
      </c>
    </row>
    <row r="234" customFormat="false" ht="15" hidden="false" customHeight="false" outlineLevel="0" collapsed="false">
      <c r="A234" s="0" t="s">
        <v>86</v>
      </c>
      <c r="B234" s="0" t="n">
        <v>2020</v>
      </c>
      <c r="C234" s="0" t="s">
        <v>69</v>
      </c>
      <c r="D234" s="0" t="n">
        <v>18.18</v>
      </c>
      <c r="E234" s="0" t="s">
        <v>384</v>
      </c>
      <c r="F234" s="0" t="s">
        <v>385</v>
      </c>
      <c r="G234" s="0" t="s">
        <v>100</v>
      </c>
      <c r="H234" s="0" t="s">
        <v>474</v>
      </c>
    </row>
    <row r="235" customFormat="false" ht="15" hidden="false" customHeight="false" outlineLevel="0" collapsed="false">
      <c r="A235" s="0" t="s">
        <v>86</v>
      </c>
      <c r="B235" s="0" t="n">
        <v>2020</v>
      </c>
      <c r="C235" s="0" t="s">
        <v>70</v>
      </c>
      <c r="D235" s="0" t="n">
        <v>15</v>
      </c>
      <c r="E235" s="0" t="s">
        <v>384</v>
      </c>
      <c r="F235" s="0" t="s">
        <v>385</v>
      </c>
      <c r="G235" s="0" t="s">
        <v>100</v>
      </c>
      <c r="H235" s="0" t="s">
        <v>475</v>
      </c>
    </row>
    <row r="236" customFormat="false" ht="15" hidden="false" customHeight="false" outlineLevel="0" collapsed="false">
      <c r="A236" s="0" t="s">
        <v>86</v>
      </c>
      <c r="B236" s="0" t="n">
        <v>2020</v>
      </c>
      <c r="C236" s="0" t="s">
        <v>65</v>
      </c>
      <c r="D236" s="0" t="n">
        <v>243690</v>
      </c>
      <c r="E236" s="0" t="s">
        <v>384</v>
      </c>
      <c r="F236" s="0" t="s">
        <v>385</v>
      </c>
      <c r="G236" s="0" t="s">
        <v>100</v>
      </c>
      <c r="H236" s="0" t="s">
        <v>476</v>
      </c>
    </row>
    <row r="237" customFormat="false" ht="15" hidden="false" customHeight="false" outlineLevel="0" collapsed="false">
      <c r="A237" s="0" t="s">
        <v>86</v>
      </c>
      <c r="B237" s="0" t="n">
        <v>2020</v>
      </c>
      <c r="C237" s="0" t="s">
        <v>66</v>
      </c>
      <c r="D237" s="0" t="n">
        <v>1340211</v>
      </c>
      <c r="E237" s="0" t="s">
        <v>384</v>
      </c>
      <c r="F237" s="0" t="s">
        <v>385</v>
      </c>
      <c r="G237" s="0" t="s">
        <v>100</v>
      </c>
      <c r="H237" s="0" t="s">
        <v>477</v>
      </c>
    </row>
    <row r="238" customFormat="false" ht="15" hidden="false" customHeight="false" outlineLevel="0" collapsed="false">
      <c r="A238" s="0" t="s">
        <v>86</v>
      </c>
      <c r="B238" s="0" t="n">
        <v>2020</v>
      </c>
      <c r="C238" s="0" t="s">
        <v>73</v>
      </c>
      <c r="D238" s="0" t="n">
        <v>0</v>
      </c>
      <c r="E238" s="0" t="s">
        <v>400</v>
      </c>
      <c r="F238" s="0" t="s">
        <v>385</v>
      </c>
      <c r="G238" s="0" t="s">
        <v>100</v>
      </c>
      <c r="H238" s="0" t="s">
        <v>478</v>
      </c>
    </row>
    <row r="239" customFormat="false" ht="15" hidden="false" customHeight="false" outlineLevel="0" collapsed="false">
      <c r="A239" s="0" t="s">
        <v>86</v>
      </c>
      <c r="B239" s="0" t="n">
        <v>2020</v>
      </c>
      <c r="C239" s="0" t="s">
        <v>402</v>
      </c>
      <c r="D239" s="0" t="n">
        <v>28054</v>
      </c>
      <c r="E239" s="0" t="s">
        <v>384</v>
      </c>
      <c r="F239" s="0" t="s">
        <v>385</v>
      </c>
      <c r="G239" s="0" t="s">
        <v>100</v>
      </c>
      <c r="H239" s="0" t="s">
        <v>479</v>
      </c>
    </row>
    <row r="240" customFormat="false" ht="15" hidden="false" customHeight="false" outlineLevel="0" collapsed="false">
      <c r="A240" s="0" t="s">
        <v>86</v>
      </c>
      <c r="B240" s="0" t="n">
        <v>2020</v>
      </c>
      <c r="C240" s="0" t="s">
        <v>19</v>
      </c>
      <c r="D240" s="0" t="n">
        <v>2436092.5</v>
      </c>
      <c r="E240" s="0" t="s">
        <v>383</v>
      </c>
    </row>
    <row r="241" customFormat="false" ht="15" hidden="false" customHeight="false" outlineLevel="0" collapsed="false">
      <c r="A241" s="0" t="s">
        <v>86</v>
      </c>
      <c r="B241" s="0" t="n">
        <v>2020</v>
      </c>
      <c r="C241" s="0" t="s">
        <v>41</v>
      </c>
      <c r="D241" s="0" t="n">
        <v>1.09396502801105</v>
      </c>
      <c r="E241" s="0" t="s">
        <v>383</v>
      </c>
    </row>
    <row r="242" customFormat="false" ht="15" hidden="false" customHeight="false" outlineLevel="0" collapsed="false">
      <c r="A242" s="0" t="s">
        <v>86</v>
      </c>
      <c r="B242" s="0" t="n">
        <v>2020</v>
      </c>
      <c r="C242" s="0" t="s">
        <v>27</v>
      </c>
      <c r="D242" s="0" t="n">
        <v>9.91727057431291</v>
      </c>
      <c r="E242" s="0" t="s">
        <v>383</v>
      </c>
    </row>
    <row r="243" customFormat="false" ht="15" hidden="false" customHeight="false" outlineLevel="0" collapsed="false">
      <c r="A243" s="0" t="s">
        <v>86</v>
      </c>
      <c r="B243" s="0" t="n">
        <v>2020</v>
      </c>
      <c r="C243" s="0" t="s">
        <v>39</v>
      </c>
      <c r="D243" s="0" t="n">
        <v>9.95935088671715</v>
      </c>
      <c r="E243" s="0" t="s">
        <v>383</v>
      </c>
    </row>
    <row r="244" customFormat="false" ht="15" hidden="false" customHeight="false" outlineLevel="0" collapsed="false">
      <c r="A244" s="0" t="s">
        <v>86</v>
      </c>
      <c r="B244" s="0" t="n">
        <v>2020</v>
      </c>
      <c r="C244" s="0" t="s">
        <v>17</v>
      </c>
      <c r="D244" s="0" t="n">
        <v>4.84477879255811</v>
      </c>
      <c r="E244" s="0" t="s">
        <v>383</v>
      </c>
    </row>
    <row r="245" customFormat="false" ht="15" hidden="false" customHeight="false" outlineLevel="0" collapsed="false">
      <c r="A245" s="0" t="s">
        <v>86</v>
      </c>
      <c r="B245" s="0" t="n">
        <v>2020</v>
      </c>
      <c r="C245" s="0" t="s">
        <v>25</v>
      </c>
      <c r="D245" s="0" t="n">
        <v>18.1829577581441</v>
      </c>
      <c r="E245" s="0" t="s">
        <v>383</v>
      </c>
    </row>
    <row r="246" customFormat="false" ht="15" hidden="false" customHeight="false" outlineLevel="0" collapsed="false">
      <c r="A246" s="0" t="s">
        <v>86</v>
      </c>
      <c r="B246" s="0" t="n">
        <v>2020</v>
      </c>
      <c r="C246" s="0" t="s">
        <v>29</v>
      </c>
      <c r="D246" s="0" t="n">
        <v>0.692009847737719</v>
      </c>
      <c r="E246" s="0" t="s">
        <v>383</v>
      </c>
    </row>
    <row r="247" customFormat="false" ht="15" hidden="false" customHeight="false" outlineLevel="0" collapsed="false">
      <c r="A247" s="0" t="s">
        <v>86</v>
      </c>
      <c r="B247" s="0" t="n">
        <v>2020</v>
      </c>
      <c r="C247" s="0" t="s">
        <v>43</v>
      </c>
      <c r="D247" s="0" t="n">
        <v>0.966228063178626</v>
      </c>
      <c r="E247" s="0" t="s">
        <v>383</v>
      </c>
    </row>
    <row r="248" customFormat="false" ht="15" hidden="false" customHeight="false" outlineLevel="0" collapsed="false">
      <c r="A248" s="0" t="s">
        <v>86</v>
      </c>
      <c r="B248" s="0" t="n">
        <v>2020</v>
      </c>
      <c r="C248" s="0" t="s">
        <v>31</v>
      </c>
      <c r="D248" s="0" t="n">
        <v>90.0827294256871</v>
      </c>
      <c r="E248" s="0" t="s">
        <v>383</v>
      </c>
    </row>
    <row r="249" customFormat="false" ht="15" hidden="false" customHeight="false" outlineLevel="0" collapsed="false">
      <c r="A249" s="0" t="s">
        <v>86</v>
      </c>
      <c r="B249" s="0" t="n">
        <v>2020</v>
      </c>
      <c r="C249" s="0" t="s">
        <v>33</v>
      </c>
      <c r="D249" s="0" t="n">
        <v>14.8300699979696</v>
      </c>
      <c r="E249" s="0" t="s">
        <v>383</v>
      </c>
    </row>
    <row r="250" customFormat="false" ht="15" hidden="false" customHeight="false" outlineLevel="0" collapsed="false">
      <c r="A250" s="0" t="s">
        <v>86</v>
      </c>
      <c r="B250" s="0" t="n">
        <v>2020</v>
      </c>
      <c r="C250" s="0" t="s">
        <v>21</v>
      </c>
      <c r="D250" s="0" t="n">
        <v>0</v>
      </c>
      <c r="E250" s="0" t="s">
        <v>383</v>
      </c>
    </row>
    <row r="251" customFormat="false" ht="15" hidden="false" customHeight="false" outlineLevel="0" collapsed="false">
      <c r="A251" s="0" t="s">
        <v>86</v>
      </c>
      <c r="B251" s="0" t="n">
        <v>2020</v>
      </c>
      <c r="C251" s="0" t="s">
        <v>35</v>
      </c>
      <c r="D251" s="0" t="n">
        <v>0</v>
      </c>
      <c r="E251" s="0" t="s">
        <v>383</v>
      </c>
    </row>
    <row r="252" customFormat="false" ht="15" hidden="false" customHeight="false" outlineLevel="0" collapsed="false">
      <c r="A252" s="0" t="s">
        <v>86</v>
      </c>
      <c r="B252" s="0" t="n">
        <v>2021</v>
      </c>
      <c r="C252" s="0" t="s">
        <v>54</v>
      </c>
      <c r="D252" s="0" t="n">
        <v>23104</v>
      </c>
      <c r="E252" s="0" t="s">
        <v>480</v>
      </c>
      <c r="F252" s="0" t="s">
        <v>385</v>
      </c>
      <c r="G252" s="0" t="s">
        <v>102</v>
      </c>
      <c r="H252" s="0" t="s">
        <v>481</v>
      </c>
    </row>
    <row r="253" customFormat="false" ht="15" hidden="false" customHeight="false" outlineLevel="0" collapsed="false">
      <c r="A253" s="0" t="s">
        <v>86</v>
      </c>
      <c r="B253" s="0" t="n">
        <v>2021</v>
      </c>
      <c r="C253" s="0" t="s">
        <v>55</v>
      </c>
      <c r="D253" s="0" t="n">
        <v>3280454</v>
      </c>
      <c r="E253" s="0" t="s">
        <v>480</v>
      </c>
      <c r="F253" s="0" t="s">
        <v>385</v>
      </c>
      <c r="G253" s="0" t="s">
        <v>102</v>
      </c>
      <c r="H253" s="0" t="s">
        <v>482</v>
      </c>
    </row>
    <row r="254" customFormat="false" ht="15" hidden="false" customHeight="false" outlineLevel="0" collapsed="false">
      <c r="A254" s="0" t="s">
        <v>86</v>
      </c>
      <c r="B254" s="0" t="n">
        <v>2021</v>
      </c>
      <c r="C254" s="0" t="s">
        <v>56</v>
      </c>
      <c r="D254" s="0" t="n">
        <v>2995160</v>
      </c>
      <c r="E254" s="0" t="s">
        <v>480</v>
      </c>
      <c r="F254" s="0" t="s">
        <v>385</v>
      </c>
      <c r="G254" s="0" t="s">
        <v>102</v>
      </c>
      <c r="H254" s="0" t="s">
        <v>483</v>
      </c>
    </row>
    <row r="255" customFormat="false" ht="15" hidden="false" customHeight="false" outlineLevel="0" collapsed="false">
      <c r="A255" s="0" t="s">
        <v>86</v>
      </c>
      <c r="B255" s="0" t="n">
        <v>2021</v>
      </c>
      <c r="C255" s="0" t="s">
        <v>57</v>
      </c>
      <c r="D255" s="0" t="n">
        <v>285294</v>
      </c>
      <c r="E255" s="0" t="s">
        <v>480</v>
      </c>
      <c r="F255" s="0" t="s">
        <v>385</v>
      </c>
      <c r="G255" s="0" t="s">
        <v>102</v>
      </c>
      <c r="H255" s="0" t="s">
        <v>484</v>
      </c>
    </row>
    <row r="256" customFormat="false" ht="15" hidden="false" customHeight="false" outlineLevel="0" collapsed="false">
      <c r="A256" s="0" t="s">
        <v>86</v>
      </c>
      <c r="B256" s="0" t="n">
        <v>2021</v>
      </c>
      <c r="C256" s="0" t="s">
        <v>58</v>
      </c>
      <c r="D256" s="0" t="n">
        <v>-107190</v>
      </c>
      <c r="E256" s="0" t="s">
        <v>480</v>
      </c>
      <c r="F256" s="0" t="s">
        <v>385</v>
      </c>
      <c r="G256" s="0" t="s">
        <v>102</v>
      </c>
      <c r="H256" s="0" t="s">
        <v>485</v>
      </c>
    </row>
    <row r="257" customFormat="false" ht="15" hidden="false" customHeight="false" outlineLevel="0" collapsed="false">
      <c r="A257" s="0" t="s">
        <v>86</v>
      </c>
      <c r="B257" s="0" t="n">
        <v>2021</v>
      </c>
      <c r="C257" s="0" t="s">
        <v>60</v>
      </c>
      <c r="D257" s="0" t="n">
        <v>1732543</v>
      </c>
      <c r="E257" s="0" t="s">
        <v>480</v>
      </c>
      <c r="F257" s="0" t="s">
        <v>385</v>
      </c>
      <c r="G257" s="0" t="s">
        <v>102</v>
      </c>
      <c r="H257" s="0" t="s">
        <v>486</v>
      </c>
    </row>
    <row r="258" customFormat="false" ht="15" hidden="false" customHeight="false" outlineLevel="0" collapsed="false">
      <c r="A258" s="0" t="s">
        <v>86</v>
      </c>
      <c r="B258" s="0" t="n">
        <v>2021</v>
      </c>
      <c r="C258" s="0" t="s">
        <v>61</v>
      </c>
      <c r="D258" s="0" t="n">
        <v>74131</v>
      </c>
      <c r="E258" s="0" t="s">
        <v>480</v>
      </c>
      <c r="F258" s="0" t="s">
        <v>385</v>
      </c>
      <c r="G258" s="0" t="s">
        <v>102</v>
      </c>
      <c r="H258" s="0" t="s">
        <v>487</v>
      </c>
    </row>
    <row r="259" customFormat="false" ht="15" hidden="false" customHeight="false" outlineLevel="0" collapsed="false">
      <c r="A259" s="0" t="s">
        <v>86</v>
      </c>
      <c r="B259" s="0" t="n">
        <v>2021</v>
      </c>
      <c r="C259" s="0" t="s">
        <v>62</v>
      </c>
      <c r="D259" s="0" t="n">
        <v>1658412</v>
      </c>
      <c r="E259" s="0" t="s">
        <v>480</v>
      </c>
      <c r="F259" s="0" t="s">
        <v>385</v>
      </c>
      <c r="G259" s="0" t="s">
        <v>102</v>
      </c>
      <c r="H259" s="0" t="s">
        <v>488</v>
      </c>
    </row>
    <row r="260" customFormat="false" ht="15" hidden="false" customHeight="false" outlineLevel="0" collapsed="false">
      <c r="A260" s="0" t="s">
        <v>86</v>
      </c>
      <c r="B260" s="0" t="n">
        <v>2021</v>
      </c>
      <c r="C260" s="0" t="s">
        <v>63</v>
      </c>
      <c r="D260" s="0" t="n">
        <v>7034</v>
      </c>
      <c r="E260" s="0" t="s">
        <v>480</v>
      </c>
      <c r="F260" s="0" t="s">
        <v>385</v>
      </c>
      <c r="G260" s="0" t="s">
        <v>102</v>
      </c>
      <c r="H260" s="0" t="s">
        <v>489</v>
      </c>
    </row>
    <row r="261" customFormat="false" ht="15" hidden="false" customHeight="false" outlineLevel="0" collapsed="false">
      <c r="A261" s="0" t="s">
        <v>86</v>
      </c>
      <c r="B261" s="0" t="n">
        <v>2021</v>
      </c>
      <c r="C261" s="0" t="s">
        <v>69</v>
      </c>
      <c r="D261" s="0" t="n">
        <v>19.15</v>
      </c>
      <c r="E261" s="0" t="s">
        <v>480</v>
      </c>
      <c r="F261" s="0" t="s">
        <v>385</v>
      </c>
      <c r="G261" s="0" t="s">
        <v>102</v>
      </c>
      <c r="H261" s="0" t="s">
        <v>490</v>
      </c>
    </row>
    <row r="262" customFormat="false" ht="15" hidden="false" customHeight="false" outlineLevel="0" collapsed="false">
      <c r="A262" s="0" t="s">
        <v>86</v>
      </c>
      <c r="B262" s="0" t="n">
        <v>2021</v>
      </c>
      <c r="C262" s="0" t="s">
        <v>70</v>
      </c>
      <c r="D262" s="0" t="n">
        <v>15</v>
      </c>
      <c r="E262" s="0" t="s">
        <v>480</v>
      </c>
      <c r="F262" s="0" t="s">
        <v>385</v>
      </c>
      <c r="G262" s="0" t="s">
        <v>102</v>
      </c>
      <c r="H262" s="0" t="s">
        <v>491</v>
      </c>
    </row>
    <row r="263" customFormat="false" ht="15" hidden="false" customHeight="false" outlineLevel="0" collapsed="false">
      <c r="A263" s="0" t="s">
        <v>86</v>
      </c>
      <c r="B263" s="0" t="n">
        <v>2021</v>
      </c>
      <c r="C263" s="0" t="s">
        <v>65</v>
      </c>
      <c r="D263" s="0" t="n">
        <v>292323</v>
      </c>
      <c r="E263" s="0" t="s">
        <v>480</v>
      </c>
      <c r="F263" s="0" t="s">
        <v>385</v>
      </c>
      <c r="G263" s="0" t="s">
        <v>102</v>
      </c>
      <c r="H263" s="0" t="s">
        <v>492</v>
      </c>
    </row>
    <row r="264" customFormat="false" ht="15" hidden="false" customHeight="false" outlineLevel="0" collapsed="false">
      <c r="A264" s="0" t="s">
        <v>86</v>
      </c>
      <c r="B264" s="0" t="n">
        <v>2021</v>
      </c>
      <c r="C264" s="0" t="s">
        <v>66</v>
      </c>
      <c r="D264" s="0" t="n">
        <v>1526722</v>
      </c>
      <c r="E264" s="0" t="s">
        <v>480</v>
      </c>
      <c r="F264" s="0" t="s">
        <v>385</v>
      </c>
      <c r="G264" s="0" t="s">
        <v>102</v>
      </c>
      <c r="H264" s="0" t="s">
        <v>493</v>
      </c>
    </row>
    <row r="265" customFormat="false" ht="15" hidden="false" customHeight="false" outlineLevel="0" collapsed="false">
      <c r="A265" s="0" t="s">
        <v>86</v>
      </c>
      <c r="B265" s="0" t="n">
        <v>2021</v>
      </c>
      <c r="C265" s="0" t="s">
        <v>402</v>
      </c>
      <c r="D265" s="0" t="n">
        <v>25215</v>
      </c>
      <c r="E265" s="0" t="s">
        <v>480</v>
      </c>
      <c r="F265" s="0" t="s">
        <v>385</v>
      </c>
      <c r="G265" s="0" t="s">
        <v>102</v>
      </c>
      <c r="H265" s="0" t="s">
        <v>494</v>
      </c>
    </row>
    <row r="266" customFormat="false" ht="15" hidden="false" customHeight="false" outlineLevel="0" collapsed="false">
      <c r="A266" s="0" t="s">
        <v>86</v>
      </c>
      <c r="B266" s="0" t="n">
        <v>2021</v>
      </c>
      <c r="C266" s="0" t="s">
        <v>27</v>
      </c>
      <c r="D266" s="0" t="n">
        <v>8.69678404269653</v>
      </c>
      <c r="E266" s="0" t="s">
        <v>383</v>
      </c>
    </row>
    <row r="267" customFormat="false" ht="15" hidden="false" customHeight="false" outlineLevel="0" collapsed="false">
      <c r="A267" s="0" t="s">
        <v>86</v>
      </c>
      <c r="B267" s="0" t="n">
        <v>2021</v>
      </c>
      <c r="C267" s="0" t="s">
        <v>17</v>
      </c>
      <c r="D267" s="0" t="n">
        <v>4.27873940213894</v>
      </c>
      <c r="E267" s="0" t="s">
        <v>383</v>
      </c>
    </row>
    <row r="268" customFormat="false" ht="15" hidden="false" customHeight="false" outlineLevel="0" collapsed="false">
      <c r="A268" s="0" t="s">
        <v>86</v>
      </c>
      <c r="B268" s="0" t="n">
        <v>2021</v>
      </c>
      <c r="C268" s="0" t="s">
        <v>25</v>
      </c>
      <c r="D268" s="0" t="n">
        <v>19.1471007819367</v>
      </c>
      <c r="E268" s="0" t="s">
        <v>383</v>
      </c>
    </row>
    <row r="269" customFormat="false" ht="15" hidden="false" customHeight="false" outlineLevel="0" collapsed="false">
      <c r="A269" s="0" t="s">
        <v>86</v>
      </c>
      <c r="B269" s="0" t="n">
        <v>2021</v>
      </c>
      <c r="C269" s="0" t="s">
        <v>43</v>
      </c>
      <c r="D269" s="0" t="n">
        <v>0.704292759477804</v>
      </c>
      <c r="E269" s="0" t="s">
        <v>383</v>
      </c>
    </row>
    <row r="270" customFormat="false" ht="15" hidden="false" customHeight="false" outlineLevel="0" collapsed="false">
      <c r="A270" s="0" t="s">
        <v>86</v>
      </c>
      <c r="B270" s="0" t="n">
        <v>2021</v>
      </c>
      <c r="C270" s="0" t="s">
        <v>31</v>
      </c>
      <c r="D270" s="0" t="n">
        <v>91.3032159573035</v>
      </c>
      <c r="E270" s="0" t="s">
        <v>383</v>
      </c>
    </row>
    <row r="271" customFormat="false" ht="15" hidden="false" customHeight="false" outlineLevel="0" collapsed="false">
      <c r="A271" s="0" t="s">
        <v>86</v>
      </c>
      <c r="B271" s="0" t="n">
        <v>2021</v>
      </c>
      <c r="C271" s="0" t="s">
        <v>33</v>
      </c>
      <c r="D271" s="0" t="n">
        <v>15.0034923854161</v>
      </c>
      <c r="E271" s="0" t="s">
        <v>383</v>
      </c>
    </row>
    <row r="272" customFormat="false" ht="15" hidden="false" customHeight="false" outlineLevel="0" collapsed="false">
      <c r="A272" s="0" t="s">
        <v>86</v>
      </c>
      <c r="B272" s="0" t="n">
        <v>2021</v>
      </c>
      <c r="C272" s="0" t="s">
        <v>21</v>
      </c>
      <c r="D272" s="0" t="n">
        <v>0</v>
      </c>
      <c r="E272" s="0" t="s">
        <v>383</v>
      </c>
    </row>
    <row r="273" customFormat="false" ht="15" hidden="false" customHeight="false" outlineLevel="0" collapsed="false">
      <c r="A273" s="0" t="s">
        <v>86</v>
      </c>
      <c r="B273" s="0" t="n">
        <v>2021</v>
      </c>
      <c r="C273" s="0" t="s">
        <v>35</v>
      </c>
      <c r="D273" s="0" t="n">
        <v>0</v>
      </c>
      <c r="E273" s="0" t="s">
        <v>383</v>
      </c>
    </row>
    <row r="274" customFormat="false" ht="15" hidden="false" customHeight="false" outlineLevel="0" collapsed="false">
      <c r="A274" s="0" t="s">
        <v>86</v>
      </c>
      <c r="B274" s="0" t="n">
        <v>2022</v>
      </c>
      <c r="C274" s="0" t="s">
        <v>54</v>
      </c>
      <c r="D274" s="0" t="n">
        <v>46724</v>
      </c>
      <c r="E274" s="0" t="s">
        <v>384</v>
      </c>
      <c r="F274" s="0" t="s">
        <v>385</v>
      </c>
      <c r="G274" s="0" t="s">
        <v>103</v>
      </c>
      <c r="H274" s="0" t="s">
        <v>495</v>
      </c>
    </row>
    <row r="275" customFormat="false" ht="15" hidden="false" customHeight="false" outlineLevel="0" collapsed="false">
      <c r="A275" s="0" t="s">
        <v>86</v>
      </c>
      <c r="B275" s="0" t="n">
        <v>2022</v>
      </c>
      <c r="C275" s="0" t="s">
        <v>55</v>
      </c>
      <c r="D275" s="0" t="n">
        <v>3989009</v>
      </c>
      <c r="E275" s="0" t="s">
        <v>384</v>
      </c>
      <c r="F275" s="0" t="s">
        <v>385</v>
      </c>
      <c r="G275" s="0" t="s">
        <v>103</v>
      </c>
      <c r="H275" s="0" t="s">
        <v>496</v>
      </c>
    </row>
    <row r="276" customFormat="false" ht="15" hidden="false" customHeight="false" outlineLevel="0" collapsed="false">
      <c r="A276" s="0" t="s">
        <v>86</v>
      </c>
      <c r="B276" s="0" t="n">
        <v>2022</v>
      </c>
      <c r="C276" s="0" t="s">
        <v>56</v>
      </c>
      <c r="D276" s="0" t="n">
        <v>3674649</v>
      </c>
      <c r="E276" s="0" t="s">
        <v>384</v>
      </c>
      <c r="F276" s="0" t="s">
        <v>385</v>
      </c>
      <c r="G276" s="0" t="s">
        <v>103</v>
      </c>
      <c r="H276" s="0" t="s">
        <v>497</v>
      </c>
    </row>
    <row r="277" customFormat="false" ht="15" hidden="false" customHeight="false" outlineLevel="0" collapsed="false">
      <c r="A277" s="0" t="s">
        <v>86</v>
      </c>
      <c r="B277" s="0" t="n">
        <v>2022</v>
      </c>
      <c r="C277" s="0" t="s">
        <v>57</v>
      </c>
      <c r="D277" s="0" t="n">
        <v>314360</v>
      </c>
      <c r="E277" s="0" t="s">
        <v>384</v>
      </c>
      <c r="F277" s="0" t="s">
        <v>385</v>
      </c>
      <c r="G277" s="0" t="s">
        <v>103</v>
      </c>
      <c r="H277" s="0" t="s">
        <v>498</v>
      </c>
    </row>
    <row r="278" customFormat="false" ht="15" hidden="false" customHeight="false" outlineLevel="0" collapsed="false">
      <c r="A278" s="0" t="s">
        <v>86</v>
      </c>
      <c r="B278" s="0" t="n">
        <v>2022</v>
      </c>
      <c r="C278" s="0" t="s">
        <v>58</v>
      </c>
      <c r="D278" s="0" t="n">
        <v>297592</v>
      </c>
      <c r="E278" s="0" t="s">
        <v>384</v>
      </c>
      <c r="F278" s="0" t="s">
        <v>385</v>
      </c>
      <c r="G278" s="0" t="s">
        <v>103</v>
      </c>
      <c r="H278" s="0" t="s">
        <v>499</v>
      </c>
    </row>
    <row r="279" customFormat="false" ht="15" hidden="false" customHeight="false" outlineLevel="0" collapsed="false">
      <c r="A279" s="0" t="s">
        <v>86</v>
      </c>
      <c r="B279" s="0" t="n">
        <v>2022</v>
      </c>
      <c r="C279" s="0" t="s">
        <v>59</v>
      </c>
      <c r="D279" s="0" t="n">
        <v>3280454</v>
      </c>
      <c r="E279" s="0" t="s">
        <v>384</v>
      </c>
      <c r="F279" s="0" t="s">
        <v>385</v>
      </c>
      <c r="G279" s="0" t="s">
        <v>103</v>
      </c>
      <c r="H279" s="0" t="s">
        <v>500</v>
      </c>
    </row>
    <row r="280" customFormat="false" ht="15" hidden="false" customHeight="false" outlineLevel="0" collapsed="false">
      <c r="A280" s="0" t="s">
        <v>86</v>
      </c>
      <c r="B280" s="0" t="n">
        <v>2022</v>
      </c>
      <c r="C280" s="0" t="s">
        <v>60</v>
      </c>
      <c r="D280" s="0" t="n">
        <v>2196760</v>
      </c>
      <c r="E280" s="0" t="s">
        <v>384</v>
      </c>
      <c r="F280" s="0" t="s">
        <v>385</v>
      </c>
      <c r="G280" s="0" t="s">
        <v>103</v>
      </c>
      <c r="H280" s="0" t="s">
        <v>501</v>
      </c>
    </row>
    <row r="281" customFormat="false" ht="15" hidden="false" customHeight="false" outlineLevel="0" collapsed="false">
      <c r="A281" s="0" t="s">
        <v>86</v>
      </c>
      <c r="B281" s="0" t="n">
        <v>2022</v>
      </c>
      <c r="C281" s="0" t="s">
        <v>61</v>
      </c>
      <c r="D281" s="0" t="n">
        <v>80548</v>
      </c>
      <c r="E281" s="0" t="s">
        <v>384</v>
      </c>
      <c r="F281" s="0" t="s">
        <v>385</v>
      </c>
      <c r="G281" s="0" t="s">
        <v>103</v>
      </c>
      <c r="H281" s="0" t="s">
        <v>502</v>
      </c>
    </row>
    <row r="282" customFormat="false" ht="15" hidden="false" customHeight="false" outlineLevel="0" collapsed="false">
      <c r="A282" s="0" t="s">
        <v>86</v>
      </c>
      <c r="B282" s="0" t="n">
        <v>2022</v>
      </c>
      <c r="C282" s="0" t="s">
        <v>62</v>
      </c>
      <c r="D282" s="0" t="n">
        <v>2116212</v>
      </c>
      <c r="E282" s="0" t="s">
        <v>384</v>
      </c>
      <c r="F282" s="0" t="s">
        <v>385</v>
      </c>
      <c r="G282" s="0" t="s">
        <v>103</v>
      </c>
      <c r="H282" s="0" t="s">
        <v>503</v>
      </c>
    </row>
    <row r="283" customFormat="false" ht="15" hidden="false" customHeight="false" outlineLevel="0" collapsed="false">
      <c r="A283" s="0" t="s">
        <v>86</v>
      </c>
      <c r="B283" s="0" t="n">
        <v>2022</v>
      </c>
      <c r="C283" s="0" t="s">
        <v>63</v>
      </c>
      <c r="D283" s="0" t="n">
        <v>5443</v>
      </c>
      <c r="E283" s="0" t="s">
        <v>384</v>
      </c>
      <c r="F283" s="0" t="s">
        <v>385</v>
      </c>
      <c r="G283" s="0" t="s">
        <v>103</v>
      </c>
      <c r="H283" s="0" t="s">
        <v>504</v>
      </c>
    </row>
    <row r="284" customFormat="false" ht="15" hidden="false" customHeight="false" outlineLevel="0" collapsed="false">
      <c r="A284" s="0" t="s">
        <v>86</v>
      </c>
      <c r="B284" s="0" t="n">
        <v>2022</v>
      </c>
      <c r="C284" s="0" t="s">
        <v>69</v>
      </c>
      <c r="D284" s="0" t="n">
        <v>18.14</v>
      </c>
      <c r="E284" s="0" t="s">
        <v>384</v>
      </c>
      <c r="F284" s="0" t="s">
        <v>385</v>
      </c>
      <c r="G284" s="0" t="s">
        <v>103</v>
      </c>
      <c r="H284" s="0" t="s">
        <v>505</v>
      </c>
    </row>
    <row r="285" customFormat="false" ht="15" hidden="false" customHeight="false" outlineLevel="0" collapsed="false">
      <c r="A285" s="0" t="s">
        <v>86</v>
      </c>
      <c r="B285" s="0" t="n">
        <v>2022</v>
      </c>
      <c r="C285" s="0" t="s">
        <v>70</v>
      </c>
      <c r="D285" s="0" t="n">
        <v>15</v>
      </c>
      <c r="E285" s="0" t="s">
        <v>384</v>
      </c>
      <c r="F285" s="0" t="s">
        <v>385</v>
      </c>
      <c r="G285" s="0" t="s">
        <v>103</v>
      </c>
      <c r="H285" s="0" t="s">
        <v>506</v>
      </c>
    </row>
    <row r="286" customFormat="false" ht="15" hidden="false" customHeight="false" outlineLevel="0" collapsed="false">
      <c r="A286" s="0" t="s">
        <v>86</v>
      </c>
      <c r="B286" s="0" t="n">
        <v>2022</v>
      </c>
      <c r="C286" s="0" t="s">
        <v>65</v>
      </c>
      <c r="D286" s="0" t="n">
        <v>289500</v>
      </c>
      <c r="E286" s="0" t="s">
        <v>384</v>
      </c>
      <c r="F286" s="0" t="s">
        <v>385</v>
      </c>
      <c r="G286" s="0" t="s">
        <v>103</v>
      </c>
      <c r="H286" s="0" t="s">
        <v>507</v>
      </c>
    </row>
    <row r="287" customFormat="false" ht="15" hidden="false" customHeight="false" outlineLevel="0" collapsed="false">
      <c r="A287" s="0" t="s">
        <v>86</v>
      </c>
      <c r="B287" s="0" t="n">
        <v>2022</v>
      </c>
      <c r="C287" s="0" t="s">
        <v>66</v>
      </c>
      <c r="D287" s="0" t="n">
        <v>1595729</v>
      </c>
      <c r="E287" s="0" t="s">
        <v>384</v>
      </c>
      <c r="F287" s="0" t="s">
        <v>385</v>
      </c>
      <c r="G287" s="0" t="s">
        <v>103</v>
      </c>
      <c r="H287" s="0" t="s">
        <v>508</v>
      </c>
    </row>
    <row r="288" customFormat="false" ht="15" hidden="false" customHeight="false" outlineLevel="0" collapsed="false">
      <c r="A288" s="0" t="s">
        <v>86</v>
      </c>
      <c r="B288" s="0" t="n">
        <v>2022</v>
      </c>
      <c r="C288" s="0" t="s">
        <v>73</v>
      </c>
      <c r="D288" s="0" t="n">
        <v>0</v>
      </c>
      <c r="E288" s="0" t="s">
        <v>400</v>
      </c>
      <c r="F288" s="0" t="s">
        <v>385</v>
      </c>
      <c r="G288" s="0" t="s">
        <v>509</v>
      </c>
      <c r="H288" s="0" t="s">
        <v>510</v>
      </c>
    </row>
    <row r="289" customFormat="false" ht="15" hidden="false" customHeight="false" outlineLevel="0" collapsed="false">
      <c r="A289" s="0" t="s">
        <v>86</v>
      </c>
      <c r="B289" s="0" t="n">
        <v>2022</v>
      </c>
      <c r="C289" s="0" t="s">
        <v>402</v>
      </c>
      <c r="D289" s="0" t="n">
        <v>53677</v>
      </c>
      <c r="E289" s="0" t="s">
        <v>384</v>
      </c>
      <c r="F289" s="0" t="s">
        <v>385</v>
      </c>
      <c r="G289" s="0" t="s">
        <v>103</v>
      </c>
      <c r="H289" s="0" t="s">
        <v>511</v>
      </c>
    </row>
    <row r="290" customFormat="false" ht="15" hidden="false" customHeight="false" outlineLevel="0" collapsed="false">
      <c r="A290" s="0" t="s">
        <v>86</v>
      </c>
      <c r="B290" s="0" t="n">
        <v>2022</v>
      </c>
      <c r="C290" s="0" t="s">
        <v>19</v>
      </c>
      <c r="D290" s="0" t="n">
        <v>3634731.5</v>
      </c>
      <c r="E290" s="0" t="s">
        <v>383</v>
      </c>
    </row>
    <row r="291" customFormat="false" ht="15" hidden="false" customHeight="false" outlineLevel="0" collapsed="false">
      <c r="A291" s="0" t="s">
        <v>86</v>
      </c>
      <c r="B291" s="0" t="n">
        <v>2022</v>
      </c>
      <c r="C291" s="0" t="s">
        <v>41</v>
      </c>
      <c r="D291" s="0" t="n">
        <v>1.28548697476003</v>
      </c>
      <c r="E291" s="0" t="s">
        <v>383</v>
      </c>
    </row>
    <row r="292" customFormat="false" ht="15" hidden="false" customHeight="false" outlineLevel="0" collapsed="false">
      <c r="A292" s="0" t="s">
        <v>86</v>
      </c>
      <c r="B292" s="0" t="n">
        <v>2022</v>
      </c>
      <c r="C292" s="0" t="s">
        <v>27</v>
      </c>
      <c r="D292" s="0" t="n">
        <v>7.88065406721319</v>
      </c>
      <c r="E292" s="0" t="s">
        <v>383</v>
      </c>
    </row>
    <row r="293" customFormat="false" ht="15" hidden="false" customHeight="false" outlineLevel="0" collapsed="false">
      <c r="A293" s="0" t="s">
        <v>86</v>
      </c>
      <c r="B293" s="0" t="n">
        <v>2022</v>
      </c>
      <c r="C293" s="0" t="s">
        <v>39</v>
      </c>
      <c r="D293" s="0" t="n">
        <v>8.18745483676029</v>
      </c>
      <c r="E293" s="0" t="s">
        <v>383</v>
      </c>
    </row>
    <row r="294" customFormat="false" ht="15" hidden="false" customHeight="false" outlineLevel="0" collapsed="false">
      <c r="A294" s="0" t="s">
        <v>86</v>
      </c>
      <c r="B294" s="0" t="n">
        <v>2022</v>
      </c>
      <c r="C294" s="0" t="s">
        <v>17</v>
      </c>
      <c r="D294" s="0" t="n">
        <v>3.66667273621151</v>
      </c>
      <c r="E294" s="0" t="s">
        <v>383</v>
      </c>
    </row>
    <row r="295" customFormat="false" ht="15" hidden="false" customHeight="false" outlineLevel="0" collapsed="false">
      <c r="A295" s="0" t="s">
        <v>86</v>
      </c>
      <c r="B295" s="0" t="n">
        <v>2022</v>
      </c>
      <c r="C295" s="0" t="s">
        <v>25</v>
      </c>
      <c r="D295" s="0" t="n">
        <v>18.1421782771385</v>
      </c>
      <c r="E295" s="0" t="s">
        <v>383</v>
      </c>
    </row>
    <row r="296" customFormat="false" ht="15" hidden="false" customHeight="false" outlineLevel="0" collapsed="false">
      <c r="A296" s="0" t="s">
        <v>86</v>
      </c>
      <c r="B296" s="0" t="n">
        <v>2022</v>
      </c>
      <c r="C296" s="0" t="s">
        <v>29</v>
      </c>
      <c r="D296" s="0" t="n">
        <v>0.149749713286937</v>
      </c>
      <c r="E296" s="0" t="s">
        <v>383</v>
      </c>
    </row>
    <row r="297" customFormat="false" ht="15" hidden="false" customHeight="false" outlineLevel="0" collapsed="false">
      <c r="A297" s="0" t="s">
        <v>86</v>
      </c>
      <c r="B297" s="0" t="n">
        <v>2022</v>
      </c>
      <c r="C297" s="0" t="s">
        <v>43</v>
      </c>
      <c r="D297" s="0" t="n">
        <v>1.17131849038195</v>
      </c>
      <c r="E297" s="0" t="s">
        <v>383</v>
      </c>
    </row>
    <row r="298" customFormat="false" ht="15" hidden="false" customHeight="false" outlineLevel="0" collapsed="false">
      <c r="A298" s="0" t="s">
        <v>86</v>
      </c>
      <c r="B298" s="0" t="n">
        <v>2022</v>
      </c>
      <c r="C298" s="0" t="s">
        <v>31</v>
      </c>
      <c r="D298" s="0" t="n">
        <v>92.1193459327868</v>
      </c>
      <c r="E298" s="0" t="s">
        <v>383</v>
      </c>
    </row>
    <row r="299" customFormat="false" ht="15" hidden="false" customHeight="false" outlineLevel="0" collapsed="false">
      <c r="A299" s="0" t="s">
        <v>86</v>
      </c>
      <c r="B299" s="0" t="n">
        <v>2022</v>
      </c>
      <c r="C299" s="0" t="s">
        <v>33</v>
      </c>
      <c r="D299" s="0" t="n">
        <v>15.1990533870896</v>
      </c>
      <c r="E299" s="0" t="s">
        <v>383</v>
      </c>
    </row>
    <row r="300" customFormat="false" ht="15" hidden="false" customHeight="false" outlineLevel="0" collapsed="false">
      <c r="A300" s="0" t="s">
        <v>86</v>
      </c>
      <c r="B300" s="0" t="n">
        <v>2022</v>
      </c>
      <c r="C300" s="0" t="s">
        <v>21</v>
      </c>
      <c r="D300" s="0" t="n">
        <v>0</v>
      </c>
      <c r="E300" s="0" t="s">
        <v>383</v>
      </c>
    </row>
    <row r="301" customFormat="false" ht="15" hidden="false" customHeight="false" outlineLevel="0" collapsed="false">
      <c r="A301" s="0" t="s">
        <v>86</v>
      </c>
      <c r="B301" s="0" t="n">
        <v>2022</v>
      </c>
      <c r="C301" s="0" t="s">
        <v>35</v>
      </c>
      <c r="D301" s="0" t="n">
        <v>0</v>
      </c>
      <c r="E301" s="0" t="s">
        <v>383</v>
      </c>
    </row>
    <row r="302" customFormat="false" ht="15" hidden="false" customHeight="false" outlineLevel="0" collapsed="false">
      <c r="A302" s="0" t="s">
        <v>104</v>
      </c>
      <c r="B302" s="0" t="n">
        <v>2013</v>
      </c>
      <c r="C302" s="0" t="s">
        <v>54</v>
      </c>
      <c r="D302" s="0" t="n">
        <v>59365</v>
      </c>
      <c r="E302" s="0" t="s">
        <v>382</v>
      </c>
      <c r="G302" s="0" t="s">
        <v>81</v>
      </c>
    </row>
    <row r="303" customFormat="false" ht="15" hidden="false" customHeight="false" outlineLevel="0" collapsed="false">
      <c r="A303" s="0" t="s">
        <v>104</v>
      </c>
      <c r="B303" s="0" t="n">
        <v>2013</v>
      </c>
      <c r="C303" s="0" t="s">
        <v>55</v>
      </c>
      <c r="D303" s="0" t="n">
        <v>3246579</v>
      </c>
      <c r="E303" s="0" t="s">
        <v>382</v>
      </c>
      <c r="G303" s="0" t="s">
        <v>81</v>
      </c>
    </row>
    <row r="304" customFormat="false" ht="15" hidden="false" customHeight="false" outlineLevel="0" collapsed="false">
      <c r="A304" s="0" t="s">
        <v>104</v>
      </c>
      <c r="B304" s="0" t="n">
        <v>2013</v>
      </c>
      <c r="C304" s="0" t="s">
        <v>56</v>
      </c>
      <c r="D304" s="0" t="n">
        <v>2895870</v>
      </c>
      <c r="E304" s="0" t="s">
        <v>382</v>
      </c>
      <c r="G304" s="0" t="s">
        <v>81</v>
      </c>
    </row>
    <row r="305" customFormat="false" ht="15" hidden="false" customHeight="false" outlineLevel="0" collapsed="false">
      <c r="A305" s="0" t="s">
        <v>104</v>
      </c>
      <c r="B305" s="0" t="n">
        <v>2013</v>
      </c>
      <c r="C305" s="0" t="s">
        <v>57</v>
      </c>
      <c r="D305" s="0" t="n">
        <v>350709</v>
      </c>
      <c r="E305" s="0" t="s">
        <v>382</v>
      </c>
      <c r="G305" s="0" t="s">
        <v>81</v>
      </c>
    </row>
    <row r="306" customFormat="false" ht="15" hidden="false" customHeight="false" outlineLevel="0" collapsed="false">
      <c r="A306" s="0" t="s">
        <v>104</v>
      </c>
      <c r="B306" s="0" t="n">
        <v>2013</v>
      </c>
      <c r="C306" s="0" t="s">
        <v>58</v>
      </c>
      <c r="D306" s="0" t="n">
        <v>179950</v>
      </c>
      <c r="E306" s="0" t="s">
        <v>382</v>
      </c>
      <c r="G306" s="0" t="s">
        <v>81</v>
      </c>
    </row>
    <row r="307" customFormat="false" ht="15" hidden="false" customHeight="false" outlineLevel="0" collapsed="false">
      <c r="A307" s="0" t="s">
        <v>104</v>
      </c>
      <c r="B307" s="0" t="n">
        <v>2013</v>
      </c>
      <c r="C307" s="0" t="s">
        <v>60</v>
      </c>
      <c r="D307" s="0" t="n">
        <v>1515288</v>
      </c>
      <c r="E307" s="0" t="s">
        <v>382</v>
      </c>
      <c r="G307" s="0" t="s">
        <v>81</v>
      </c>
    </row>
    <row r="308" customFormat="false" ht="15" hidden="false" customHeight="false" outlineLevel="0" collapsed="false">
      <c r="A308" s="0" t="s">
        <v>104</v>
      </c>
      <c r="B308" s="0" t="n">
        <v>2013</v>
      </c>
      <c r="C308" s="0" t="s">
        <v>61</v>
      </c>
      <c r="D308" s="0" t="n">
        <v>41449</v>
      </c>
      <c r="E308" s="0" t="s">
        <v>382</v>
      </c>
      <c r="G308" s="0" t="s">
        <v>81</v>
      </c>
    </row>
    <row r="309" customFormat="false" ht="15" hidden="false" customHeight="false" outlineLevel="0" collapsed="false">
      <c r="A309" s="0" t="s">
        <v>104</v>
      </c>
      <c r="B309" s="0" t="n">
        <v>2013</v>
      </c>
      <c r="C309" s="0" t="s">
        <v>63</v>
      </c>
      <c r="D309" s="0" t="n">
        <v>19838</v>
      </c>
      <c r="E309" s="0" t="s">
        <v>382</v>
      </c>
      <c r="G309" s="0" t="s">
        <v>81</v>
      </c>
    </row>
    <row r="310" customFormat="false" ht="15" hidden="false" customHeight="false" outlineLevel="0" collapsed="false">
      <c r="A310" s="0" t="s">
        <v>104</v>
      </c>
      <c r="B310" s="0" t="n">
        <v>2013</v>
      </c>
      <c r="C310" s="0" t="s">
        <v>69</v>
      </c>
      <c r="D310" s="0" t="n">
        <v>13.54</v>
      </c>
      <c r="E310" s="0" t="s">
        <v>382</v>
      </c>
      <c r="G310" s="0" t="s">
        <v>81</v>
      </c>
    </row>
    <row r="311" customFormat="false" ht="15" hidden="false" customHeight="false" outlineLevel="0" collapsed="false">
      <c r="A311" s="0" t="s">
        <v>104</v>
      </c>
      <c r="B311" s="0" t="n">
        <v>2013</v>
      </c>
      <c r="C311" s="0" t="s">
        <v>27</v>
      </c>
      <c r="D311" s="0" t="n">
        <v>10.8024169441126</v>
      </c>
      <c r="E311" s="0" t="s">
        <v>383</v>
      </c>
    </row>
    <row r="312" customFormat="false" ht="15" hidden="false" customHeight="false" outlineLevel="0" collapsed="false">
      <c r="A312" s="0" t="s">
        <v>104</v>
      </c>
      <c r="B312" s="0" t="n">
        <v>2013</v>
      </c>
      <c r="C312" s="0" t="s">
        <v>17</v>
      </c>
      <c r="D312" s="0" t="n">
        <v>2.73538759628533</v>
      </c>
      <c r="E312" s="0" t="s">
        <v>383</v>
      </c>
    </row>
    <row r="313" customFormat="false" ht="15" hidden="false" customHeight="false" outlineLevel="0" collapsed="false">
      <c r="A313" s="0" t="s">
        <v>104</v>
      </c>
      <c r="B313" s="0" t="n">
        <v>2013</v>
      </c>
      <c r="C313" s="0" t="s">
        <v>43</v>
      </c>
      <c r="D313" s="0" t="n">
        <v>1.82854013409192</v>
      </c>
      <c r="E313" s="0" t="s">
        <v>383</v>
      </c>
    </row>
    <row r="314" customFormat="false" ht="15" hidden="false" customHeight="false" outlineLevel="0" collapsed="false">
      <c r="A314" s="0" t="s">
        <v>104</v>
      </c>
      <c r="B314" s="0" t="n">
        <v>2013</v>
      </c>
      <c r="C314" s="0" t="s">
        <v>31</v>
      </c>
      <c r="D314" s="0" t="n">
        <v>89.1975830558875</v>
      </c>
      <c r="E314" s="0" t="s">
        <v>383</v>
      </c>
    </row>
    <row r="315" customFormat="false" ht="15" hidden="false" customHeight="false" outlineLevel="0" collapsed="false">
      <c r="A315" s="0" t="s">
        <v>104</v>
      </c>
      <c r="B315" s="0" t="n">
        <v>2013</v>
      </c>
      <c r="C315" s="0" t="s">
        <v>33</v>
      </c>
      <c r="D315" s="0" t="n">
        <v>14.9931123845327</v>
      </c>
      <c r="E315" s="0" t="s">
        <v>383</v>
      </c>
    </row>
    <row r="316" customFormat="false" ht="15" hidden="false" customHeight="false" outlineLevel="0" collapsed="false">
      <c r="A316" s="0" t="s">
        <v>104</v>
      </c>
      <c r="B316" s="0" t="n">
        <v>2013</v>
      </c>
      <c r="C316" s="0" t="s">
        <v>21</v>
      </c>
      <c r="D316" s="0" t="n">
        <v>0</v>
      </c>
      <c r="E316" s="0" t="s">
        <v>383</v>
      </c>
    </row>
    <row r="317" customFormat="false" ht="15" hidden="false" customHeight="false" outlineLevel="0" collapsed="false">
      <c r="A317" s="0" t="s">
        <v>104</v>
      </c>
      <c r="B317" s="0" t="n">
        <v>2014</v>
      </c>
      <c r="C317" s="0" t="s">
        <v>54</v>
      </c>
      <c r="D317" s="0" t="n">
        <v>79351</v>
      </c>
      <c r="E317" s="0" t="s">
        <v>382</v>
      </c>
      <c r="G317" s="0" t="s">
        <v>81</v>
      </c>
    </row>
    <row r="318" customFormat="false" ht="15" hidden="false" customHeight="false" outlineLevel="0" collapsed="false">
      <c r="A318" s="0" t="s">
        <v>104</v>
      </c>
      <c r="B318" s="0" t="n">
        <v>2014</v>
      </c>
      <c r="C318" s="0" t="s">
        <v>55</v>
      </c>
      <c r="D318" s="0" t="n">
        <v>3490871</v>
      </c>
      <c r="E318" s="0" t="s">
        <v>382</v>
      </c>
      <c r="G318" s="0" t="s">
        <v>81</v>
      </c>
    </row>
    <row r="319" customFormat="false" ht="15" hidden="false" customHeight="false" outlineLevel="0" collapsed="false">
      <c r="A319" s="0" t="s">
        <v>104</v>
      </c>
      <c r="B319" s="0" t="n">
        <v>2014</v>
      </c>
      <c r="C319" s="0" t="s">
        <v>56</v>
      </c>
      <c r="D319" s="0" t="n">
        <v>3067824</v>
      </c>
      <c r="E319" s="0" t="s">
        <v>382</v>
      </c>
      <c r="G319" s="0" t="s">
        <v>81</v>
      </c>
    </row>
    <row r="320" customFormat="false" ht="15" hidden="false" customHeight="false" outlineLevel="0" collapsed="false">
      <c r="A320" s="0" t="s">
        <v>104</v>
      </c>
      <c r="B320" s="0" t="n">
        <v>2014</v>
      </c>
      <c r="C320" s="0" t="s">
        <v>57</v>
      </c>
      <c r="D320" s="0" t="n">
        <v>423047</v>
      </c>
      <c r="E320" s="0" t="s">
        <v>382</v>
      </c>
      <c r="G320" s="0" t="s">
        <v>81</v>
      </c>
    </row>
    <row r="321" customFormat="false" ht="15" hidden="false" customHeight="false" outlineLevel="0" collapsed="false">
      <c r="A321" s="0" t="s">
        <v>104</v>
      </c>
      <c r="B321" s="0" t="n">
        <v>2014</v>
      </c>
      <c r="C321" s="0" t="s">
        <v>58</v>
      </c>
      <c r="D321" s="0" t="n">
        <v>-506665</v>
      </c>
      <c r="E321" s="0" t="s">
        <v>382</v>
      </c>
      <c r="G321" s="0" t="s">
        <v>81</v>
      </c>
    </row>
    <row r="322" customFormat="false" ht="15" hidden="false" customHeight="false" outlineLevel="0" collapsed="false">
      <c r="A322" s="0" t="s">
        <v>104</v>
      </c>
      <c r="B322" s="0" t="n">
        <v>2014</v>
      </c>
      <c r="C322" s="0" t="s">
        <v>59</v>
      </c>
      <c r="D322" s="0" t="n">
        <v>3246579</v>
      </c>
      <c r="E322" s="0" t="s">
        <v>382</v>
      </c>
      <c r="G322" s="0" t="s">
        <v>81</v>
      </c>
    </row>
    <row r="323" customFormat="false" ht="15" hidden="false" customHeight="false" outlineLevel="0" collapsed="false">
      <c r="A323" s="0" t="s">
        <v>104</v>
      </c>
      <c r="B323" s="0" t="n">
        <v>2014</v>
      </c>
      <c r="C323" s="0" t="s">
        <v>60</v>
      </c>
      <c r="D323" s="0" t="n">
        <v>1832107</v>
      </c>
      <c r="E323" s="0" t="s">
        <v>382</v>
      </c>
      <c r="G323" s="0" t="s">
        <v>81</v>
      </c>
    </row>
    <row r="324" customFormat="false" ht="15" hidden="false" customHeight="false" outlineLevel="0" collapsed="false">
      <c r="A324" s="0" t="s">
        <v>104</v>
      </c>
      <c r="B324" s="0" t="n">
        <v>2014</v>
      </c>
      <c r="C324" s="0" t="s">
        <v>61</v>
      </c>
      <c r="D324" s="0" t="n">
        <v>38070</v>
      </c>
      <c r="E324" s="0" t="s">
        <v>382</v>
      </c>
      <c r="G324" s="0" t="s">
        <v>81</v>
      </c>
    </row>
    <row r="325" customFormat="false" ht="15" hidden="false" customHeight="false" outlineLevel="0" collapsed="false">
      <c r="A325" s="0" t="s">
        <v>104</v>
      </c>
      <c r="B325" s="0" t="n">
        <v>2014</v>
      </c>
      <c r="C325" s="0" t="s">
        <v>63</v>
      </c>
      <c r="D325" s="0" t="n">
        <v>20924</v>
      </c>
      <c r="E325" s="0" t="s">
        <v>382</v>
      </c>
      <c r="G325" s="0" t="s">
        <v>81</v>
      </c>
    </row>
    <row r="326" customFormat="false" ht="15" hidden="false" customHeight="false" outlineLevel="0" collapsed="false">
      <c r="A326" s="0" t="s">
        <v>104</v>
      </c>
      <c r="B326" s="0" t="n">
        <v>2014</v>
      </c>
      <c r="C326" s="0" t="s">
        <v>69</v>
      </c>
      <c r="D326" s="0" t="n">
        <v>15.78</v>
      </c>
      <c r="E326" s="0" t="s">
        <v>382</v>
      </c>
      <c r="G326" s="0" t="s">
        <v>81</v>
      </c>
    </row>
    <row r="327" customFormat="false" ht="15" hidden="false" customHeight="false" outlineLevel="0" collapsed="false">
      <c r="A327" s="0" t="s">
        <v>104</v>
      </c>
      <c r="B327" s="0" t="n">
        <v>2014</v>
      </c>
      <c r="C327" s="0" t="s">
        <v>19</v>
      </c>
      <c r="D327" s="0" t="n">
        <v>3368725</v>
      </c>
      <c r="E327" s="0" t="s">
        <v>383</v>
      </c>
    </row>
    <row r="328" customFormat="false" ht="15" hidden="false" customHeight="false" outlineLevel="0" collapsed="false">
      <c r="A328" s="0" t="s">
        <v>104</v>
      </c>
      <c r="B328" s="0" t="n">
        <v>2014</v>
      </c>
      <c r="C328" s="0" t="s">
        <v>41</v>
      </c>
      <c r="D328" s="0" t="n">
        <v>2.35552026360121</v>
      </c>
      <c r="E328" s="0" t="s">
        <v>383</v>
      </c>
    </row>
    <row r="329" customFormat="false" ht="15" hidden="false" customHeight="false" outlineLevel="0" collapsed="false">
      <c r="A329" s="0" t="s">
        <v>104</v>
      </c>
      <c r="B329" s="0" t="n">
        <v>2014</v>
      </c>
      <c r="C329" s="0" t="s">
        <v>27</v>
      </c>
      <c r="D329" s="0" t="n">
        <v>12.1186660864867</v>
      </c>
      <c r="E329" s="0" t="s">
        <v>383</v>
      </c>
    </row>
    <row r="330" customFormat="false" ht="15" hidden="false" customHeight="false" outlineLevel="0" collapsed="false">
      <c r="A330" s="0" t="s">
        <v>104</v>
      </c>
      <c r="B330" s="0" t="n">
        <v>2014</v>
      </c>
      <c r="C330" s="0" t="s">
        <v>39</v>
      </c>
      <c r="D330" s="0" t="n">
        <v>-15.0402600390355</v>
      </c>
      <c r="E330" s="0" t="s">
        <v>383</v>
      </c>
    </row>
    <row r="331" customFormat="false" ht="15" hidden="false" customHeight="false" outlineLevel="0" collapsed="false">
      <c r="A331" s="0" t="s">
        <v>104</v>
      </c>
      <c r="B331" s="0" t="n">
        <v>2014</v>
      </c>
      <c r="C331" s="0" t="s">
        <v>17</v>
      </c>
      <c r="D331" s="0" t="n">
        <v>2.0779354044278</v>
      </c>
      <c r="E331" s="0" t="s">
        <v>383</v>
      </c>
    </row>
    <row r="332" customFormat="false" ht="15" hidden="false" customHeight="false" outlineLevel="0" collapsed="false">
      <c r="A332" s="0" t="s">
        <v>104</v>
      </c>
      <c r="B332" s="0" t="n">
        <v>2014</v>
      </c>
      <c r="C332" s="0" t="s">
        <v>29</v>
      </c>
      <c r="D332" s="0" t="n">
        <v>0.621125203155497</v>
      </c>
      <c r="E332" s="0" t="s">
        <v>383</v>
      </c>
    </row>
    <row r="333" customFormat="false" ht="15" hidden="false" customHeight="false" outlineLevel="0" collapsed="false">
      <c r="A333" s="0" t="s">
        <v>104</v>
      </c>
      <c r="B333" s="0" t="n">
        <v>2014</v>
      </c>
      <c r="C333" s="0" t="s">
        <v>43</v>
      </c>
      <c r="D333" s="0" t="n">
        <v>2.2731003236728</v>
      </c>
      <c r="E333" s="0" t="s">
        <v>383</v>
      </c>
    </row>
    <row r="334" customFormat="false" ht="15" hidden="false" customHeight="false" outlineLevel="0" collapsed="false">
      <c r="A334" s="0" t="s">
        <v>104</v>
      </c>
      <c r="B334" s="0" t="n">
        <v>2014</v>
      </c>
      <c r="C334" s="0" t="s">
        <v>31</v>
      </c>
      <c r="D334" s="0" t="n">
        <v>87.8813339135133</v>
      </c>
      <c r="E334" s="0" t="s">
        <v>383</v>
      </c>
    </row>
    <row r="335" customFormat="false" ht="15" hidden="false" customHeight="false" outlineLevel="0" collapsed="false">
      <c r="A335" s="0" t="s">
        <v>104</v>
      </c>
      <c r="B335" s="0" t="n">
        <v>2014</v>
      </c>
      <c r="C335" s="0" t="s">
        <v>33</v>
      </c>
      <c r="D335" s="0" t="n">
        <v>15.0656618332417</v>
      </c>
      <c r="E335" s="0" t="s">
        <v>383</v>
      </c>
    </row>
    <row r="336" customFormat="false" ht="15" hidden="false" customHeight="false" outlineLevel="0" collapsed="false">
      <c r="A336" s="0" t="s">
        <v>104</v>
      </c>
      <c r="B336" s="0" t="n">
        <v>2014</v>
      </c>
      <c r="C336" s="0" t="s">
        <v>21</v>
      </c>
      <c r="D336" s="0" t="n">
        <v>0</v>
      </c>
      <c r="E336" s="0" t="s">
        <v>383</v>
      </c>
    </row>
    <row r="337" customFormat="false" ht="15" hidden="false" customHeight="false" outlineLevel="0" collapsed="false">
      <c r="A337" s="0" t="s">
        <v>104</v>
      </c>
      <c r="B337" s="0" t="n">
        <v>2016</v>
      </c>
      <c r="C337" s="0" t="s">
        <v>54</v>
      </c>
      <c r="D337" s="0" t="n">
        <v>50072</v>
      </c>
      <c r="E337" s="0" t="s">
        <v>384</v>
      </c>
      <c r="F337" s="0" t="s">
        <v>385</v>
      </c>
      <c r="G337" s="0" t="s">
        <v>107</v>
      </c>
      <c r="H337" s="0" t="s">
        <v>512</v>
      </c>
    </row>
    <row r="338" customFormat="false" ht="15" hidden="false" customHeight="false" outlineLevel="0" collapsed="false">
      <c r="A338" s="0" t="s">
        <v>104</v>
      </c>
      <c r="B338" s="0" t="n">
        <v>2016</v>
      </c>
      <c r="C338" s="0" t="s">
        <v>55</v>
      </c>
      <c r="D338" s="0" t="n">
        <v>3557782</v>
      </c>
      <c r="E338" s="0" t="s">
        <v>384</v>
      </c>
      <c r="F338" s="0" t="s">
        <v>385</v>
      </c>
      <c r="G338" s="0" t="s">
        <v>107</v>
      </c>
      <c r="H338" s="0" t="s">
        <v>513</v>
      </c>
    </row>
    <row r="339" customFormat="false" ht="15" hidden="false" customHeight="false" outlineLevel="0" collapsed="false">
      <c r="A339" s="0" t="s">
        <v>104</v>
      </c>
      <c r="B339" s="0" t="n">
        <v>2016</v>
      </c>
      <c r="C339" s="0" t="s">
        <v>56</v>
      </c>
      <c r="D339" s="0" t="n">
        <v>3071695</v>
      </c>
      <c r="E339" s="0" t="s">
        <v>384</v>
      </c>
      <c r="F339" s="0" t="s">
        <v>385</v>
      </c>
      <c r="G339" s="0" t="s">
        <v>107</v>
      </c>
      <c r="H339" s="0" t="s">
        <v>514</v>
      </c>
    </row>
    <row r="340" customFormat="false" ht="15" hidden="false" customHeight="false" outlineLevel="0" collapsed="false">
      <c r="A340" s="0" t="s">
        <v>104</v>
      </c>
      <c r="B340" s="0" t="n">
        <v>2016</v>
      </c>
      <c r="C340" s="0" t="s">
        <v>57</v>
      </c>
      <c r="D340" s="0" t="n">
        <v>486087</v>
      </c>
      <c r="E340" s="0" t="s">
        <v>384</v>
      </c>
      <c r="F340" s="0" t="s">
        <v>385</v>
      </c>
      <c r="G340" s="0" t="s">
        <v>107</v>
      </c>
      <c r="H340" s="0" t="s">
        <v>515</v>
      </c>
    </row>
    <row r="341" customFormat="false" ht="15" hidden="false" customHeight="false" outlineLevel="0" collapsed="false">
      <c r="A341" s="0" t="s">
        <v>104</v>
      </c>
      <c r="B341" s="0" t="n">
        <v>2016</v>
      </c>
      <c r="C341" s="0" t="s">
        <v>58</v>
      </c>
      <c r="D341" s="0" t="n">
        <v>-171230</v>
      </c>
      <c r="E341" s="0" t="s">
        <v>384</v>
      </c>
      <c r="F341" s="0" t="s">
        <v>385</v>
      </c>
      <c r="G341" s="0" t="s">
        <v>107</v>
      </c>
      <c r="H341" s="0" t="s">
        <v>516</v>
      </c>
    </row>
    <row r="342" customFormat="false" ht="15" hidden="false" customHeight="false" outlineLevel="0" collapsed="false">
      <c r="A342" s="0" t="s">
        <v>104</v>
      </c>
      <c r="B342" s="0" t="n">
        <v>2016</v>
      </c>
      <c r="C342" s="0" t="s">
        <v>60</v>
      </c>
      <c r="D342" s="0" t="n">
        <v>1933407</v>
      </c>
      <c r="E342" s="0" t="s">
        <v>384</v>
      </c>
      <c r="F342" s="0" t="s">
        <v>385</v>
      </c>
      <c r="G342" s="0" t="s">
        <v>107</v>
      </c>
      <c r="H342" s="0" t="s">
        <v>517</v>
      </c>
    </row>
    <row r="343" customFormat="false" ht="15" hidden="false" customHeight="false" outlineLevel="0" collapsed="false">
      <c r="A343" s="0" t="s">
        <v>104</v>
      </c>
      <c r="B343" s="0" t="n">
        <v>2016</v>
      </c>
      <c r="C343" s="0" t="s">
        <v>61</v>
      </c>
      <c r="D343" s="0" t="n">
        <v>240695</v>
      </c>
      <c r="E343" s="0" t="s">
        <v>384</v>
      </c>
      <c r="F343" s="0" t="s">
        <v>385</v>
      </c>
      <c r="G343" s="0" t="s">
        <v>107</v>
      </c>
      <c r="H343" s="0" t="s">
        <v>518</v>
      </c>
    </row>
    <row r="344" customFormat="false" ht="15" hidden="false" customHeight="false" outlineLevel="0" collapsed="false">
      <c r="A344" s="0" t="s">
        <v>104</v>
      </c>
      <c r="B344" s="0" t="n">
        <v>2016</v>
      </c>
      <c r="C344" s="0" t="s">
        <v>62</v>
      </c>
      <c r="D344" s="0" t="n">
        <v>1692712</v>
      </c>
      <c r="E344" s="0" t="s">
        <v>384</v>
      </c>
      <c r="F344" s="0" t="s">
        <v>385</v>
      </c>
      <c r="G344" s="0" t="s">
        <v>107</v>
      </c>
      <c r="H344" s="0" t="s">
        <v>519</v>
      </c>
    </row>
    <row r="345" customFormat="false" ht="15" hidden="false" customHeight="false" outlineLevel="0" collapsed="false">
      <c r="A345" s="0" t="s">
        <v>104</v>
      </c>
      <c r="B345" s="0" t="n">
        <v>2016</v>
      </c>
      <c r="C345" s="0" t="s">
        <v>247</v>
      </c>
      <c r="D345" s="0" t="n">
        <v>159841</v>
      </c>
      <c r="E345" s="0" t="s">
        <v>384</v>
      </c>
      <c r="F345" s="0" t="s">
        <v>385</v>
      </c>
      <c r="G345" s="0" t="s">
        <v>107</v>
      </c>
      <c r="H345" s="0" t="s">
        <v>520</v>
      </c>
    </row>
    <row r="346" customFormat="false" ht="15" hidden="false" customHeight="false" outlineLevel="0" collapsed="false">
      <c r="A346" s="0" t="s">
        <v>104</v>
      </c>
      <c r="B346" s="0" t="n">
        <v>2016</v>
      </c>
      <c r="C346" s="0" t="s">
        <v>69</v>
      </c>
      <c r="D346" s="0" t="n">
        <v>17.79</v>
      </c>
      <c r="E346" s="0" t="s">
        <v>384</v>
      </c>
      <c r="F346" s="0" t="s">
        <v>385</v>
      </c>
      <c r="G346" s="0" t="s">
        <v>107</v>
      </c>
      <c r="H346" s="0" t="s">
        <v>521</v>
      </c>
    </row>
    <row r="347" customFormat="false" ht="15" hidden="false" customHeight="false" outlineLevel="0" collapsed="false">
      <c r="A347" s="0" t="s">
        <v>104</v>
      </c>
      <c r="B347" s="0" t="n">
        <v>2016</v>
      </c>
      <c r="C347" s="0" t="s">
        <v>70</v>
      </c>
      <c r="D347" s="0" t="n">
        <v>15</v>
      </c>
      <c r="E347" s="0" t="s">
        <v>384</v>
      </c>
      <c r="F347" s="0" t="s">
        <v>385</v>
      </c>
      <c r="G347" s="0" t="s">
        <v>107</v>
      </c>
      <c r="H347" s="0" t="s">
        <v>522</v>
      </c>
    </row>
    <row r="348" customFormat="false" ht="15" hidden="false" customHeight="false" outlineLevel="0" collapsed="false">
      <c r="A348" s="0" t="s">
        <v>104</v>
      </c>
      <c r="B348" s="0" t="n">
        <v>2016</v>
      </c>
      <c r="C348" s="0" t="s">
        <v>65</v>
      </c>
      <c r="D348" s="0" t="n">
        <v>501256</v>
      </c>
      <c r="E348" s="0" t="s">
        <v>384</v>
      </c>
      <c r="F348" s="0" t="s">
        <v>385</v>
      </c>
      <c r="G348" s="0" t="s">
        <v>107</v>
      </c>
      <c r="H348" s="0" t="s">
        <v>523</v>
      </c>
    </row>
    <row r="349" customFormat="false" ht="15" hidden="false" customHeight="false" outlineLevel="0" collapsed="false">
      <c r="A349" s="0" t="s">
        <v>104</v>
      </c>
      <c r="B349" s="0" t="n">
        <v>2016</v>
      </c>
      <c r="C349" s="0" t="s">
        <v>66</v>
      </c>
      <c r="D349" s="0" t="n">
        <v>2818158</v>
      </c>
      <c r="E349" s="0" t="s">
        <v>384</v>
      </c>
      <c r="F349" s="0" t="s">
        <v>385</v>
      </c>
      <c r="G349" s="0" t="s">
        <v>107</v>
      </c>
      <c r="H349" s="0" t="s">
        <v>524</v>
      </c>
    </row>
    <row r="350" customFormat="false" ht="15" hidden="false" customHeight="false" outlineLevel="0" collapsed="false">
      <c r="A350" s="0" t="s">
        <v>104</v>
      </c>
      <c r="B350" s="0" t="n">
        <v>2016</v>
      </c>
      <c r="C350" s="0" t="s">
        <v>402</v>
      </c>
      <c r="D350" s="0" t="n">
        <v>54733</v>
      </c>
      <c r="E350" s="0" t="s">
        <v>384</v>
      </c>
      <c r="F350" s="0" t="s">
        <v>385</v>
      </c>
      <c r="G350" s="0" t="s">
        <v>107</v>
      </c>
      <c r="H350" s="0" t="s">
        <v>525</v>
      </c>
    </row>
    <row r="351" customFormat="false" ht="15" hidden="false" customHeight="false" outlineLevel="0" collapsed="false">
      <c r="A351" s="0" t="s">
        <v>104</v>
      </c>
      <c r="B351" s="0" t="n">
        <v>2016</v>
      </c>
      <c r="C351" s="0" t="s">
        <v>404</v>
      </c>
      <c r="D351" s="0" t="n">
        <v>210105</v>
      </c>
      <c r="E351" s="0" t="s">
        <v>384</v>
      </c>
      <c r="F351" s="0" t="s">
        <v>385</v>
      </c>
      <c r="G351" s="0" t="s">
        <v>107</v>
      </c>
      <c r="H351" s="0" t="s">
        <v>526</v>
      </c>
    </row>
    <row r="352" customFormat="false" ht="15" hidden="false" customHeight="false" outlineLevel="0" collapsed="false">
      <c r="A352" s="0" t="s">
        <v>104</v>
      </c>
      <c r="B352" s="0" t="n">
        <v>2016</v>
      </c>
      <c r="C352" s="0" t="s">
        <v>406</v>
      </c>
      <c r="D352" s="0" t="n">
        <v>30590</v>
      </c>
      <c r="E352" s="0" t="s">
        <v>384</v>
      </c>
      <c r="F352" s="0" t="s">
        <v>385</v>
      </c>
      <c r="G352" s="0" t="s">
        <v>107</v>
      </c>
      <c r="H352" s="0" t="s">
        <v>527</v>
      </c>
    </row>
    <row r="353" customFormat="false" ht="15" hidden="false" customHeight="false" outlineLevel="0" collapsed="false">
      <c r="A353" s="0" t="s">
        <v>104</v>
      </c>
      <c r="B353" s="0" t="n">
        <v>2016</v>
      </c>
      <c r="C353" s="0" t="s">
        <v>27</v>
      </c>
      <c r="D353" s="0" t="n">
        <v>13.6626414996759</v>
      </c>
      <c r="E353" s="0" t="s">
        <v>383</v>
      </c>
    </row>
    <row r="354" customFormat="false" ht="15" hidden="false" customHeight="false" outlineLevel="0" collapsed="false">
      <c r="A354" s="0" t="s">
        <v>104</v>
      </c>
      <c r="B354" s="0" t="n">
        <v>2016</v>
      </c>
      <c r="C354" s="0" t="s">
        <v>17</v>
      </c>
      <c r="D354" s="0" t="n">
        <v>12.4492670193084</v>
      </c>
      <c r="E354" s="0" t="s">
        <v>383</v>
      </c>
    </row>
    <row r="355" customFormat="false" ht="15" hidden="false" customHeight="false" outlineLevel="0" collapsed="false">
      <c r="A355" s="0" t="s">
        <v>104</v>
      </c>
      <c r="B355" s="0" t="n">
        <v>2016</v>
      </c>
      <c r="C355" s="0" t="s">
        <v>25</v>
      </c>
      <c r="D355" s="0" t="n">
        <v>17.7866535517171</v>
      </c>
      <c r="E355" s="0" t="s">
        <v>383</v>
      </c>
    </row>
    <row r="356" customFormat="false" ht="15" hidden="false" customHeight="false" outlineLevel="0" collapsed="false">
      <c r="A356" s="0" t="s">
        <v>104</v>
      </c>
      <c r="B356" s="0" t="n">
        <v>2016</v>
      </c>
      <c r="C356" s="0" t="s">
        <v>43</v>
      </c>
      <c r="D356" s="0" t="n">
        <v>1.40739370765269</v>
      </c>
      <c r="E356" s="0" t="s">
        <v>383</v>
      </c>
    </row>
    <row r="357" customFormat="false" ht="15" hidden="false" customHeight="false" outlineLevel="0" collapsed="false">
      <c r="A357" s="0" t="s">
        <v>104</v>
      </c>
      <c r="B357" s="0" t="n">
        <v>2016</v>
      </c>
      <c r="C357" s="0" t="s">
        <v>31</v>
      </c>
      <c r="D357" s="0" t="n">
        <v>86.3373585003241</v>
      </c>
      <c r="E357" s="0" t="s">
        <v>383</v>
      </c>
    </row>
    <row r="358" customFormat="false" ht="15" hidden="false" customHeight="false" outlineLevel="0" collapsed="false">
      <c r="A358" s="0" t="s">
        <v>104</v>
      </c>
      <c r="B358" s="0" t="n">
        <v>2016</v>
      </c>
      <c r="C358" s="0" t="s">
        <v>33</v>
      </c>
      <c r="D358" s="0" t="n">
        <v>15.0846478749542</v>
      </c>
      <c r="E358" s="0" t="s">
        <v>383</v>
      </c>
    </row>
    <row r="359" customFormat="false" ht="15" hidden="false" customHeight="false" outlineLevel="0" collapsed="false">
      <c r="A359" s="0" t="s">
        <v>104</v>
      </c>
      <c r="B359" s="0" t="n">
        <v>2016</v>
      </c>
      <c r="C359" s="0" t="s">
        <v>21</v>
      </c>
      <c r="D359" s="0" t="n">
        <v>0</v>
      </c>
      <c r="E359" s="0" t="s">
        <v>383</v>
      </c>
    </row>
    <row r="360" customFormat="false" ht="15" hidden="false" customHeight="false" outlineLevel="0" collapsed="false">
      <c r="A360" s="0" t="s">
        <v>104</v>
      </c>
      <c r="B360" s="0" t="n">
        <v>2016</v>
      </c>
      <c r="C360" s="0" t="s">
        <v>35</v>
      </c>
      <c r="D360" s="0" t="n">
        <v>0</v>
      </c>
      <c r="E360" s="0" t="s">
        <v>383</v>
      </c>
    </row>
    <row r="361" customFormat="false" ht="15" hidden="false" customHeight="false" outlineLevel="0" collapsed="false">
      <c r="A361" s="0" t="s">
        <v>104</v>
      </c>
      <c r="B361" s="0" t="n">
        <v>2017</v>
      </c>
      <c r="C361" s="0" t="s">
        <v>54</v>
      </c>
      <c r="D361" s="0" t="n">
        <v>46918</v>
      </c>
      <c r="E361" s="0" t="s">
        <v>384</v>
      </c>
      <c r="F361" s="0" t="s">
        <v>385</v>
      </c>
      <c r="G361" s="0" t="s">
        <v>108</v>
      </c>
      <c r="H361" s="0" t="s">
        <v>528</v>
      </c>
    </row>
    <row r="362" customFormat="false" ht="15" hidden="false" customHeight="false" outlineLevel="0" collapsed="false">
      <c r="A362" s="0" t="s">
        <v>104</v>
      </c>
      <c r="B362" s="0" t="n">
        <v>2017</v>
      </c>
      <c r="C362" s="0" t="s">
        <v>55</v>
      </c>
      <c r="D362" s="0" t="n">
        <v>3777039</v>
      </c>
      <c r="E362" s="0" t="s">
        <v>384</v>
      </c>
      <c r="F362" s="0" t="s">
        <v>385</v>
      </c>
      <c r="G362" s="0" t="s">
        <v>108</v>
      </c>
      <c r="H362" s="0" t="s">
        <v>529</v>
      </c>
    </row>
    <row r="363" customFormat="false" ht="15" hidden="false" customHeight="false" outlineLevel="0" collapsed="false">
      <c r="A363" s="0" t="s">
        <v>104</v>
      </c>
      <c r="B363" s="0" t="n">
        <v>2017</v>
      </c>
      <c r="C363" s="0" t="s">
        <v>56</v>
      </c>
      <c r="D363" s="0" t="n">
        <v>3197196</v>
      </c>
      <c r="E363" s="0" t="s">
        <v>384</v>
      </c>
      <c r="F363" s="0" t="s">
        <v>385</v>
      </c>
      <c r="G363" s="0" t="s">
        <v>108</v>
      </c>
      <c r="H363" s="0" t="s">
        <v>530</v>
      </c>
    </row>
    <row r="364" customFormat="false" ht="15" hidden="false" customHeight="false" outlineLevel="0" collapsed="false">
      <c r="A364" s="0" t="s">
        <v>104</v>
      </c>
      <c r="B364" s="0" t="n">
        <v>2017</v>
      </c>
      <c r="C364" s="0" t="s">
        <v>57</v>
      </c>
      <c r="D364" s="0" t="n">
        <v>579843</v>
      </c>
      <c r="E364" s="0" t="s">
        <v>384</v>
      </c>
      <c r="F364" s="0" t="s">
        <v>385</v>
      </c>
      <c r="G364" s="0" t="s">
        <v>108</v>
      </c>
      <c r="H364" s="0" t="s">
        <v>531</v>
      </c>
    </row>
    <row r="365" customFormat="false" ht="15" hidden="false" customHeight="false" outlineLevel="0" collapsed="false">
      <c r="A365" s="0" t="s">
        <v>104</v>
      </c>
      <c r="B365" s="0" t="n">
        <v>2017</v>
      </c>
      <c r="C365" s="0" t="s">
        <v>58</v>
      </c>
      <c r="D365" s="0" t="n">
        <v>113212</v>
      </c>
      <c r="E365" s="0" t="s">
        <v>384</v>
      </c>
      <c r="F365" s="0" t="s">
        <v>385</v>
      </c>
      <c r="G365" s="0" t="s">
        <v>108</v>
      </c>
      <c r="H365" s="0" t="s">
        <v>532</v>
      </c>
    </row>
    <row r="366" customFormat="false" ht="15" hidden="false" customHeight="false" outlineLevel="0" collapsed="false">
      <c r="A366" s="0" t="s">
        <v>104</v>
      </c>
      <c r="B366" s="0" t="n">
        <v>2017</v>
      </c>
      <c r="C366" s="0" t="s">
        <v>59</v>
      </c>
      <c r="D366" s="0" t="n">
        <v>3557782</v>
      </c>
      <c r="E366" s="0" t="s">
        <v>384</v>
      </c>
      <c r="F366" s="0" t="s">
        <v>385</v>
      </c>
      <c r="G366" s="0" t="s">
        <v>108</v>
      </c>
      <c r="H366" s="0" t="s">
        <v>533</v>
      </c>
    </row>
    <row r="367" customFormat="false" ht="15" hidden="false" customHeight="false" outlineLevel="0" collapsed="false">
      <c r="A367" s="0" t="s">
        <v>104</v>
      </c>
      <c r="B367" s="0" t="n">
        <v>2017</v>
      </c>
      <c r="C367" s="0" t="s">
        <v>60</v>
      </c>
      <c r="D367" s="0" t="n">
        <v>1837515</v>
      </c>
      <c r="E367" s="0" t="s">
        <v>384</v>
      </c>
      <c r="F367" s="0" t="s">
        <v>385</v>
      </c>
      <c r="G367" s="0" t="s">
        <v>108</v>
      </c>
      <c r="H367" s="0" t="s">
        <v>534</v>
      </c>
    </row>
    <row r="368" customFormat="false" ht="15" hidden="false" customHeight="false" outlineLevel="0" collapsed="false">
      <c r="A368" s="0" t="s">
        <v>104</v>
      </c>
      <c r="B368" s="0" t="n">
        <v>2017</v>
      </c>
      <c r="C368" s="0" t="s">
        <v>61</v>
      </c>
      <c r="D368" s="0" t="n">
        <v>178719</v>
      </c>
      <c r="E368" s="0" t="s">
        <v>384</v>
      </c>
      <c r="F368" s="0" t="s">
        <v>385</v>
      </c>
      <c r="G368" s="0" t="s">
        <v>108</v>
      </c>
      <c r="H368" s="0" t="s">
        <v>535</v>
      </c>
    </row>
    <row r="369" customFormat="false" ht="15" hidden="false" customHeight="false" outlineLevel="0" collapsed="false">
      <c r="A369" s="0" t="s">
        <v>104</v>
      </c>
      <c r="B369" s="0" t="n">
        <v>2017</v>
      </c>
      <c r="C369" s="0" t="s">
        <v>62</v>
      </c>
      <c r="D369" s="0" t="n">
        <v>1658796</v>
      </c>
      <c r="E369" s="0" t="s">
        <v>384</v>
      </c>
      <c r="F369" s="0" t="s">
        <v>385</v>
      </c>
      <c r="G369" s="0" t="s">
        <v>108</v>
      </c>
      <c r="H369" s="0" t="s">
        <v>536</v>
      </c>
    </row>
    <row r="370" customFormat="false" ht="15" hidden="false" customHeight="false" outlineLevel="0" collapsed="false">
      <c r="A370" s="0" t="s">
        <v>104</v>
      </c>
      <c r="B370" s="0" t="n">
        <v>2017</v>
      </c>
      <c r="C370" s="0" t="s">
        <v>247</v>
      </c>
      <c r="D370" s="0" t="n">
        <v>126190</v>
      </c>
      <c r="E370" s="0" t="s">
        <v>384</v>
      </c>
      <c r="F370" s="0" t="s">
        <v>385</v>
      </c>
      <c r="G370" s="0" t="s">
        <v>108</v>
      </c>
      <c r="H370" s="0" t="s">
        <v>537</v>
      </c>
    </row>
    <row r="371" customFormat="false" ht="15" hidden="false" customHeight="false" outlineLevel="0" collapsed="false">
      <c r="A371" s="0" t="s">
        <v>104</v>
      </c>
      <c r="B371" s="0" t="n">
        <v>2017</v>
      </c>
      <c r="C371" s="0" t="s">
        <v>69</v>
      </c>
      <c r="D371" s="0" t="n">
        <v>17.74</v>
      </c>
      <c r="E371" s="0" t="s">
        <v>384</v>
      </c>
      <c r="F371" s="0" t="s">
        <v>385</v>
      </c>
      <c r="G371" s="0" t="s">
        <v>108</v>
      </c>
      <c r="H371" s="0" t="s">
        <v>538</v>
      </c>
    </row>
    <row r="372" customFormat="false" ht="15" hidden="false" customHeight="false" outlineLevel="0" collapsed="false">
      <c r="A372" s="0" t="s">
        <v>104</v>
      </c>
      <c r="B372" s="0" t="n">
        <v>2017</v>
      </c>
      <c r="C372" s="0" t="s">
        <v>70</v>
      </c>
      <c r="D372" s="0" t="n">
        <v>15</v>
      </c>
      <c r="E372" s="0" t="s">
        <v>384</v>
      </c>
      <c r="F372" s="0" t="s">
        <v>385</v>
      </c>
      <c r="G372" s="0" t="s">
        <v>108</v>
      </c>
      <c r="H372" s="0" t="s">
        <v>539</v>
      </c>
    </row>
    <row r="373" customFormat="false" ht="15" hidden="false" customHeight="false" outlineLevel="0" collapsed="false">
      <c r="A373" s="0" t="s">
        <v>104</v>
      </c>
      <c r="B373" s="0" t="n">
        <v>2017</v>
      </c>
      <c r="C373" s="0" t="s">
        <v>65</v>
      </c>
      <c r="D373" s="0" t="n">
        <v>535692</v>
      </c>
      <c r="E373" s="0" t="s">
        <v>384</v>
      </c>
      <c r="F373" s="0" t="s">
        <v>385</v>
      </c>
      <c r="G373" s="0" t="s">
        <v>108</v>
      </c>
      <c r="H373" s="0" t="s">
        <v>540</v>
      </c>
    </row>
    <row r="374" customFormat="false" ht="15" hidden="false" customHeight="false" outlineLevel="0" collapsed="false">
      <c r="A374" s="0" t="s">
        <v>104</v>
      </c>
      <c r="B374" s="0" t="n">
        <v>2017</v>
      </c>
      <c r="C374" s="0" t="s">
        <v>66</v>
      </c>
      <c r="D374" s="0" t="n">
        <v>3019880</v>
      </c>
      <c r="E374" s="0" t="s">
        <v>384</v>
      </c>
      <c r="F374" s="0" t="s">
        <v>385</v>
      </c>
      <c r="G374" s="0" t="s">
        <v>108</v>
      </c>
      <c r="H374" s="0" t="s">
        <v>541</v>
      </c>
    </row>
    <row r="375" customFormat="false" ht="15" hidden="false" customHeight="false" outlineLevel="0" collapsed="false">
      <c r="A375" s="0" t="s">
        <v>104</v>
      </c>
      <c r="B375" s="0" t="n">
        <v>2017</v>
      </c>
      <c r="C375" s="0" t="s">
        <v>402</v>
      </c>
      <c r="D375" s="0" t="n">
        <v>52263</v>
      </c>
      <c r="E375" s="0" t="s">
        <v>384</v>
      </c>
      <c r="F375" s="0" t="s">
        <v>385</v>
      </c>
      <c r="G375" s="0" t="s">
        <v>108</v>
      </c>
      <c r="H375" s="0" t="s">
        <v>542</v>
      </c>
    </row>
    <row r="376" customFormat="false" ht="15" hidden="false" customHeight="false" outlineLevel="0" collapsed="false">
      <c r="A376" s="0" t="s">
        <v>104</v>
      </c>
      <c r="B376" s="0" t="n">
        <v>2017</v>
      </c>
      <c r="C376" s="0" t="s">
        <v>404</v>
      </c>
      <c r="D376" s="0" t="n">
        <v>133484</v>
      </c>
      <c r="E376" s="0" t="s">
        <v>384</v>
      </c>
      <c r="F376" s="0" t="s">
        <v>385</v>
      </c>
      <c r="G376" s="0" t="s">
        <v>108</v>
      </c>
      <c r="H376" s="0" t="s">
        <v>543</v>
      </c>
    </row>
    <row r="377" customFormat="false" ht="15" hidden="false" customHeight="false" outlineLevel="0" collapsed="false">
      <c r="A377" s="0" t="s">
        <v>104</v>
      </c>
      <c r="B377" s="0" t="n">
        <v>2017</v>
      </c>
      <c r="C377" s="0" t="s">
        <v>406</v>
      </c>
      <c r="D377" s="0" t="n">
        <v>45235</v>
      </c>
      <c r="E377" s="0" t="s">
        <v>384</v>
      </c>
      <c r="F377" s="0" t="s">
        <v>385</v>
      </c>
      <c r="G377" s="0" t="s">
        <v>108</v>
      </c>
      <c r="H377" s="0" t="s">
        <v>544</v>
      </c>
    </row>
    <row r="378" customFormat="false" ht="15" hidden="false" customHeight="false" outlineLevel="0" collapsed="false">
      <c r="A378" s="0" t="s">
        <v>104</v>
      </c>
      <c r="B378" s="0" t="n">
        <v>2017</v>
      </c>
      <c r="C378" s="0" t="s">
        <v>19</v>
      </c>
      <c r="D378" s="0" t="n">
        <v>3667410.5</v>
      </c>
      <c r="E378" s="0" t="s">
        <v>383</v>
      </c>
    </row>
    <row r="379" customFormat="false" ht="15" hidden="false" customHeight="false" outlineLevel="0" collapsed="false">
      <c r="A379" s="0" t="s">
        <v>104</v>
      </c>
      <c r="B379" s="0" t="n">
        <v>2017</v>
      </c>
      <c r="C379" s="0" t="s">
        <v>41</v>
      </c>
      <c r="D379" s="0" t="n">
        <v>1.27932229020995</v>
      </c>
      <c r="E379" s="0" t="s">
        <v>383</v>
      </c>
    </row>
    <row r="380" customFormat="false" ht="15" hidden="false" customHeight="false" outlineLevel="0" collapsed="false">
      <c r="A380" s="0" t="s">
        <v>104</v>
      </c>
      <c r="B380" s="0" t="n">
        <v>2017</v>
      </c>
      <c r="C380" s="0" t="s">
        <v>27</v>
      </c>
      <c r="D380" s="0" t="n">
        <v>15.3517874716147</v>
      </c>
      <c r="E380" s="0" t="s">
        <v>383</v>
      </c>
    </row>
    <row r="381" customFormat="false" ht="15" hidden="false" customHeight="false" outlineLevel="0" collapsed="false">
      <c r="A381" s="0" t="s">
        <v>104</v>
      </c>
      <c r="B381" s="0" t="n">
        <v>2017</v>
      </c>
      <c r="C381" s="0" t="s">
        <v>39</v>
      </c>
      <c r="D381" s="0" t="n">
        <v>3.08697376527662</v>
      </c>
      <c r="E381" s="0" t="s">
        <v>383</v>
      </c>
    </row>
    <row r="382" customFormat="false" ht="15" hidden="false" customHeight="false" outlineLevel="0" collapsed="false">
      <c r="A382" s="0" t="s">
        <v>104</v>
      </c>
      <c r="B382" s="0" t="n">
        <v>2017</v>
      </c>
      <c r="C382" s="0" t="s">
        <v>17</v>
      </c>
      <c r="D382" s="0" t="n">
        <v>9.72612468469645</v>
      </c>
      <c r="E382" s="0" t="s">
        <v>383</v>
      </c>
    </row>
    <row r="383" customFormat="false" ht="15" hidden="false" customHeight="false" outlineLevel="0" collapsed="false">
      <c r="A383" s="0" t="s">
        <v>104</v>
      </c>
      <c r="B383" s="0" t="n">
        <v>2017</v>
      </c>
      <c r="C383" s="0" t="s">
        <v>25</v>
      </c>
      <c r="D383" s="0" t="n">
        <v>17.738850550353</v>
      </c>
      <c r="E383" s="0" t="s">
        <v>383</v>
      </c>
    </row>
    <row r="384" customFormat="false" ht="15" hidden="false" customHeight="false" outlineLevel="0" collapsed="false">
      <c r="A384" s="0" t="s">
        <v>104</v>
      </c>
      <c r="B384" s="0" t="n">
        <v>2017</v>
      </c>
      <c r="C384" s="0" t="s">
        <v>43</v>
      </c>
      <c r="D384" s="0" t="n">
        <v>1.24218998003463</v>
      </c>
      <c r="E384" s="0" t="s">
        <v>383</v>
      </c>
    </row>
    <row r="385" customFormat="false" ht="15" hidden="false" customHeight="false" outlineLevel="0" collapsed="false">
      <c r="A385" s="0" t="s">
        <v>104</v>
      </c>
      <c r="B385" s="0" t="n">
        <v>2017</v>
      </c>
      <c r="C385" s="0" t="s">
        <v>31</v>
      </c>
      <c r="D385" s="0" t="n">
        <v>84.6482125283853</v>
      </c>
      <c r="E385" s="0" t="s">
        <v>383</v>
      </c>
    </row>
    <row r="386" customFormat="false" ht="15" hidden="false" customHeight="false" outlineLevel="0" collapsed="false">
      <c r="A386" s="0" t="s">
        <v>104</v>
      </c>
      <c r="B386" s="0" t="n">
        <v>2017</v>
      </c>
      <c r="C386" s="0" t="s">
        <v>33</v>
      </c>
      <c r="D386" s="0" t="n">
        <v>15.1444509272966</v>
      </c>
      <c r="E386" s="0" t="s">
        <v>383</v>
      </c>
    </row>
    <row r="387" customFormat="false" ht="15" hidden="false" customHeight="false" outlineLevel="0" collapsed="false">
      <c r="A387" s="0" t="s">
        <v>104</v>
      </c>
      <c r="B387" s="0" t="n">
        <v>2017</v>
      </c>
      <c r="C387" s="0" t="s">
        <v>21</v>
      </c>
      <c r="D387" s="0" t="n">
        <v>0</v>
      </c>
      <c r="E387" s="0" t="s">
        <v>383</v>
      </c>
    </row>
    <row r="388" customFormat="false" ht="15" hidden="false" customHeight="false" outlineLevel="0" collapsed="false">
      <c r="A388" s="0" t="s">
        <v>104</v>
      </c>
      <c r="B388" s="0" t="n">
        <v>2017</v>
      </c>
      <c r="C388" s="0" t="s">
        <v>35</v>
      </c>
      <c r="D388" s="0" t="n">
        <v>0</v>
      </c>
      <c r="E388" s="0" t="s">
        <v>383</v>
      </c>
    </row>
    <row r="389" customFormat="false" ht="15" hidden="false" customHeight="false" outlineLevel="0" collapsed="false">
      <c r="A389" s="0" t="s">
        <v>109</v>
      </c>
      <c r="B389" s="0" t="n">
        <v>2013</v>
      </c>
      <c r="C389" s="0" t="s">
        <v>54</v>
      </c>
      <c r="D389" s="0" t="n">
        <v>85546</v>
      </c>
      <c r="E389" s="0" t="s">
        <v>382</v>
      </c>
      <c r="G389" s="0" t="s">
        <v>81</v>
      </c>
    </row>
    <row r="390" customFormat="false" ht="15" hidden="false" customHeight="false" outlineLevel="0" collapsed="false">
      <c r="A390" s="0" t="s">
        <v>109</v>
      </c>
      <c r="B390" s="0" t="n">
        <v>2013</v>
      </c>
      <c r="C390" s="0" t="s">
        <v>55</v>
      </c>
      <c r="D390" s="0" t="n">
        <v>1904366</v>
      </c>
      <c r="E390" s="0" t="s">
        <v>382</v>
      </c>
      <c r="G390" s="0" t="s">
        <v>81</v>
      </c>
    </row>
    <row r="391" customFormat="false" ht="15" hidden="false" customHeight="false" outlineLevel="0" collapsed="false">
      <c r="A391" s="0" t="s">
        <v>109</v>
      </c>
      <c r="B391" s="0" t="n">
        <v>2013</v>
      </c>
      <c r="C391" s="0" t="s">
        <v>56</v>
      </c>
      <c r="D391" s="0" t="n">
        <v>1574719</v>
      </c>
      <c r="E391" s="0" t="s">
        <v>382</v>
      </c>
      <c r="G391" s="0" t="s">
        <v>81</v>
      </c>
    </row>
    <row r="392" customFormat="false" ht="15" hidden="false" customHeight="false" outlineLevel="0" collapsed="false">
      <c r="A392" s="0" t="s">
        <v>109</v>
      </c>
      <c r="B392" s="0" t="n">
        <v>2013</v>
      </c>
      <c r="C392" s="0" t="s">
        <v>57</v>
      </c>
      <c r="D392" s="0" t="n">
        <v>329647</v>
      </c>
      <c r="E392" s="0" t="s">
        <v>382</v>
      </c>
      <c r="G392" s="0" t="s">
        <v>81</v>
      </c>
    </row>
    <row r="393" customFormat="false" ht="15" hidden="false" customHeight="false" outlineLevel="0" collapsed="false">
      <c r="A393" s="0" t="s">
        <v>109</v>
      </c>
      <c r="B393" s="0" t="n">
        <v>2013</v>
      </c>
      <c r="C393" s="0" t="s">
        <v>247</v>
      </c>
      <c r="D393" s="0" t="n">
        <v>2913</v>
      </c>
      <c r="E393" s="0" t="s">
        <v>382</v>
      </c>
      <c r="G393" s="0" t="s">
        <v>81</v>
      </c>
    </row>
    <row r="394" customFormat="false" ht="15" hidden="false" customHeight="false" outlineLevel="0" collapsed="false">
      <c r="A394" s="0" t="s">
        <v>109</v>
      </c>
      <c r="B394" s="0" t="n">
        <v>2013</v>
      </c>
      <c r="C394" s="0" t="s">
        <v>64</v>
      </c>
      <c r="D394" s="0" t="n">
        <v>27707</v>
      </c>
      <c r="E394" s="0" t="s">
        <v>382</v>
      </c>
      <c r="G394" s="0" t="s">
        <v>81</v>
      </c>
    </row>
    <row r="395" customFormat="false" ht="15" hidden="false" customHeight="false" outlineLevel="0" collapsed="false">
      <c r="A395" s="0" t="s">
        <v>109</v>
      </c>
      <c r="B395" s="0" t="n">
        <v>2013</v>
      </c>
      <c r="C395" s="0" t="s">
        <v>266</v>
      </c>
      <c r="D395" s="0" t="n">
        <v>2.93</v>
      </c>
      <c r="E395" s="0" t="s">
        <v>382</v>
      </c>
      <c r="G395" s="0" t="s">
        <v>81</v>
      </c>
    </row>
    <row r="396" customFormat="false" ht="15" hidden="false" customHeight="false" outlineLevel="0" collapsed="false">
      <c r="A396" s="0" t="s">
        <v>109</v>
      </c>
      <c r="B396" s="0" t="n">
        <v>2013</v>
      </c>
      <c r="C396" s="0" t="s">
        <v>27</v>
      </c>
      <c r="D396" s="0" t="n">
        <v>17.3100653970928</v>
      </c>
      <c r="E396" s="0" t="s">
        <v>383</v>
      </c>
    </row>
    <row r="397" customFormat="false" ht="15" hidden="false" customHeight="false" outlineLevel="0" collapsed="false">
      <c r="A397" s="0" t="s">
        <v>109</v>
      </c>
      <c r="B397" s="0" t="n">
        <v>2013</v>
      </c>
      <c r="C397" s="0" t="s">
        <v>43</v>
      </c>
      <c r="D397" s="0" t="n">
        <v>4.4920986827112</v>
      </c>
      <c r="E397" s="0" t="s">
        <v>383</v>
      </c>
    </row>
    <row r="398" customFormat="false" ht="15" hidden="false" customHeight="false" outlineLevel="0" collapsed="false">
      <c r="A398" s="0" t="s">
        <v>109</v>
      </c>
      <c r="B398" s="0" t="n">
        <v>2013</v>
      </c>
      <c r="C398" s="0" t="s">
        <v>31</v>
      </c>
      <c r="D398" s="0" t="n">
        <v>82.6899346029072</v>
      </c>
      <c r="E398" s="0" t="s">
        <v>383</v>
      </c>
    </row>
    <row r="399" customFormat="false" ht="15" hidden="false" customHeight="false" outlineLevel="0" collapsed="false">
      <c r="A399" s="0" t="s">
        <v>109</v>
      </c>
      <c r="B399" s="0" t="n">
        <v>2013</v>
      </c>
      <c r="C399" s="0" t="s">
        <v>33</v>
      </c>
      <c r="D399" s="0" t="n">
        <v>14.459659702751</v>
      </c>
      <c r="E399" s="0" t="s">
        <v>383</v>
      </c>
    </row>
    <row r="400" customFormat="false" ht="15" hidden="false" customHeight="false" outlineLevel="0" collapsed="false">
      <c r="A400" s="0" t="s">
        <v>109</v>
      </c>
      <c r="B400" s="0" t="n">
        <v>2013</v>
      </c>
      <c r="C400" s="0" t="s">
        <v>21</v>
      </c>
      <c r="D400" s="0" t="n">
        <v>0</v>
      </c>
      <c r="E400" s="0" t="s">
        <v>383</v>
      </c>
    </row>
    <row r="401" customFormat="false" ht="15" hidden="false" customHeight="false" outlineLevel="0" collapsed="false">
      <c r="A401" s="0" t="s">
        <v>109</v>
      </c>
      <c r="B401" s="0" t="n">
        <v>2014</v>
      </c>
      <c r="C401" s="0" t="s">
        <v>54</v>
      </c>
      <c r="D401" s="0" t="n">
        <v>93432</v>
      </c>
      <c r="E401" s="0" t="s">
        <v>382</v>
      </c>
      <c r="G401" s="0" t="s">
        <v>81</v>
      </c>
    </row>
    <row r="402" customFormat="false" ht="15" hidden="false" customHeight="false" outlineLevel="0" collapsed="false">
      <c r="A402" s="0" t="s">
        <v>109</v>
      </c>
      <c r="B402" s="0" t="n">
        <v>2014</v>
      </c>
      <c r="C402" s="0" t="s">
        <v>55</v>
      </c>
      <c r="D402" s="0" t="n">
        <v>2126608</v>
      </c>
      <c r="E402" s="0" t="s">
        <v>382</v>
      </c>
      <c r="G402" s="0" t="s">
        <v>81</v>
      </c>
    </row>
    <row r="403" customFormat="false" ht="15" hidden="false" customHeight="false" outlineLevel="0" collapsed="false">
      <c r="A403" s="0" t="s">
        <v>109</v>
      </c>
      <c r="B403" s="0" t="n">
        <v>2014</v>
      </c>
      <c r="C403" s="0" t="s">
        <v>56</v>
      </c>
      <c r="D403" s="0" t="n">
        <v>1757078</v>
      </c>
      <c r="E403" s="0" t="s">
        <v>382</v>
      </c>
      <c r="G403" s="0" t="s">
        <v>81</v>
      </c>
    </row>
    <row r="404" customFormat="false" ht="15" hidden="false" customHeight="false" outlineLevel="0" collapsed="false">
      <c r="A404" s="0" t="s">
        <v>109</v>
      </c>
      <c r="B404" s="0" t="n">
        <v>2014</v>
      </c>
      <c r="C404" s="0" t="s">
        <v>57</v>
      </c>
      <c r="D404" s="0" t="n">
        <v>369530</v>
      </c>
      <c r="E404" s="0" t="s">
        <v>382</v>
      </c>
      <c r="G404" s="0" t="s">
        <v>81</v>
      </c>
    </row>
    <row r="405" customFormat="false" ht="15" hidden="false" customHeight="false" outlineLevel="0" collapsed="false">
      <c r="A405" s="0" t="s">
        <v>109</v>
      </c>
      <c r="B405" s="0" t="n">
        <v>2014</v>
      </c>
      <c r="C405" s="0" t="s">
        <v>59</v>
      </c>
      <c r="D405" s="0" t="n">
        <v>1904366</v>
      </c>
      <c r="E405" s="0" t="s">
        <v>382</v>
      </c>
      <c r="G405" s="0" t="s">
        <v>81</v>
      </c>
    </row>
    <row r="406" customFormat="false" ht="15" hidden="false" customHeight="false" outlineLevel="0" collapsed="false">
      <c r="A406" s="0" t="s">
        <v>109</v>
      </c>
      <c r="B406" s="0" t="n">
        <v>2014</v>
      </c>
      <c r="C406" s="0" t="s">
        <v>247</v>
      </c>
      <c r="D406" s="0" t="n">
        <v>6184</v>
      </c>
      <c r="E406" s="0" t="s">
        <v>382</v>
      </c>
      <c r="G406" s="0" t="s">
        <v>81</v>
      </c>
    </row>
    <row r="407" customFormat="false" ht="15" hidden="false" customHeight="false" outlineLevel="0" collapsed="false">
      <c r="A407" s="0" t="s">
        <v>109</v>
      </c>
      <c r="B407" s="0" t="n">
        <v>2014</v>
      </c>
      <c r="C407" s="0" t="s">
        <v>64</v>
      </c>
      <c r="D407" s="0" t="n">
        <v>32616</v>
      </c>
      <c r="E407" s="0" t="s">
        <v>382</v>
      </c>
      <c r="G407" s="0" t="s">
        <v>81</v>
      </c>
    </row>
    <row r="408" customFormat="false" ht="15" hidden="false" customHeight="false" outlineLevel="0" collapsed="false">
      <c r="A408" s="0" t="s">
        <v>109</v>
      </c>
      <c r="B408" s="0" t="n">
        <v>2014</v>
      </c>
      <c r="C408" s="0" t="s">
        <v>266</v>
      </c>
      <c r="D408" s="0" t="n">
        <v>2.7</v>
      </c>
      <c r="E408" s="0" t="s">
        <v>382</v>
      </c>
      <c r="G408" s="0" t="s">
        <v>81</v>
      </c>
    </row>
    <row r="409" customFormat="false" ht="15" hidden="false" customHeight="false" outlineLevel="0" collapsed="false">
      <c r="A409" s="0" t="s">
        <v>109</v>
      </c>
      <c r="B409" s="0" t="n">
        <v>2014</v>
      </c>
      <c r="C409" s="0" t="s">
        <v>19</v>
      </c>
      <c r="D409" s="0" t="n">
        <v>2015487</v>
      </c>
      <c r="E409" s="0" t="s">
        <v>383</v>
      </c>
    </row>
    <row r="410" customFormat="false" ht="15" hidden="false" customHeight="false" outlineLevel="0" collapsed="false">
      <c r="A410" s="0" t="s">
        <v>109</v>
      </c>
      <c r="B410" s="0" t="n">
        <v>2014</v>
      </c>
      <c r="C410" s="0" t="s">
        <v>41</v>
      </c>
      <c r="D410" s="0" t="n">
        <v>4.63570343048603</v>
      </c>
      <c r="E410" s="0" t="s">
        <v>383</v>
      </c>
    </row>
    <row r="411" customFormat="false" ht="15" hidden="false" customHeight="false" outlineLevel="0" collapsed="false">
      <c r="A411" s="0" t="s">
        <v>109</v>
      </c>
      <c r="B411" s="0" t="n">
        <v>2014</v>
      </c>
      <c r="C411" s="0" t="s">
        <v>27</v>
      </c>
      <c r="D411" s="0" t="n">
        <v>17.3764981604508</v>
      </c>
      <c r="E411" s="0" t="s">
        <v>383</v>
      </c>
    </row>
    <row r="412" customFormat="false" ht="15" hidden="false" customHeight="false" outlineLevel="0" collapsed="false">
      <c r="A412" s="0" t="s">
        <v>109</v>
      </c>
      <c r="B412" s="0" t="n">
        <v>2014</v>
      </c>
      <c r="C412" s="0" t="s">
        <v>43</v>
      </c>
      <c r="D412" s="0" t="n">
        <v>4.39347543129717</v>
      </c>
      <c r="E412" s="0" t="s">
        <v>383</v>
      </c>
    </row>
    <row r="413" customFormat="false" ht="15" hidden="false" customHeight="false" outlineLevel="0" collapsed="false">
      <c r="A413" s="0" t="s">
        <v>109</v>
      </c>
      <c r="B413" s="0" t="n">
        <v>2014</v>
      </c>
      <c r="C413" s="0" t="s">
        <v>31</v>
      </c>
      <c r="D413" s="0" t="n">
        <v>82.6235018395492</v>
      </c>
      <c r="E413" s="0" t="s">
        <v>383</v>
      </c>
    </row>
    <row r="414" customFormat="false" ht="15" hidden="false" customHeight="false" outlineLevel="0" collapsed="false">
      <c r="A414" s="0" t="s">
        <v>109</v>
      </c>
      <c r="B414" s="0" t="n">
        <v>2014</v>
      </c>
      <c r="C414" s="0" t="s">
        <v>33</v>
      </c>
      <c r="D414" s="0" t="n">
        <v>14.5700387800655</v>
      </c>
      <c r="E414" s="0" t="s">
        <v>383</v>
      </c>
    </row>
    <row r="415" customFormat="false" ht="15" hidden="false" customHeight="false" outlineLevel="0" collapsed="false">
      <c r="A415" s="0" t="s">
        <v>109</v>
      </c>
      <c r="B415" s="0" t="n">
        <v>2014</v>
      </c>
      <c r="C415" s="0" t="s">
        <v>21</v>
      </c>
      <c r="D415" s="0" t="n">
        <v>0</v>
      </c>
      <c r="E415" s="0" t="s">
        <v>383</v>
      </c>
    </row>
    <row r="416" customFormat="false" ht="15" hidden="false" customHeight="false" outlineLevel="0" collapsed="false">
      <c r="A416" s="0" t="s">
        <v>109</v>
      </c>
      <c r="B416" s="0" t="n">
        <v>2017</v>
      </c>
      <c r="C416" s="0" t="s">
        <v>54</v>
      </c>
      <c r="D416" s="0" t="n">
        <v>158727.705</v>
      </c>
      <c r="E416" s="0" t="s">
        <v>480</v>
      </c>
      <c r="F416" s="0" t="s">
        <v>385</v>
      </c>
      <c r="G416" s="0" t="s">
        <v>112</v>
      </c>
      <c r="H416" s="0" t="s">
        <v>545</v>
      </c>
    </row>
    <row r="417" customFormat="false" ht="15" hidden="false" customHeight="false" outlineLevel="0" collapsed="false">
      <c r="A417" s="0" t="s">
        <v>109</v>
      </c>
      <c r="B417" s="0" t="n">
        <v>2017</v>
      </c>
      <c r="C417" s="0" t="s">
        <v>55</v>
      </c>
      <c r="D417" s="0" t="n">
        <v>2824928.985</v>
      </c>
      <c r="E417" s="0" t="s">
        <v>480</v>
      </c>
      <c r="F417" s="0" t="s">
        <v>385</v>
      </c>
      <c r="G417" s="0" t="s">
        <v>112</v>
      </c>
      <c r="H417" s="0" t="s">
        <v>546</v>
      </c>
    </row>
    <row r="418" customFormat="false" ht="15" hidden="false" customHeight="false" outlineLevel="0" collapsed="false">
      <c r="A418" s="0" t="s">
        <v>109</v>
      </c>
      <c r="B418" s="0" t="n">
        <v>2017</v>
      </c>
      <c r="C418" s="0" t="s">
        <v>56</v>
      </c>
      <c r="D418" s="0" t="n">
        <v>2246352.209</v>
      </c>
      <c r="E418" s="0" t="s">
        <v>480</v>
      </c>
      <c r="F418" s="0" t="s">
        <v>385</v>
      </c>
      <c r="G418" s="0" t="s">
        <v>112</v>
      </c>
      <c r="H418" s="0" t="s">
        <v>547</v>
      </c>
    </row>
    <row r="419" customFormat="false" ht="15" hidden="false" customHeight="false" outlineLevel="0" collapsed="false">
      <c r="A419" s="0" t="s">
        <v>109</v>
      </c>
      <c r="B419" s="0" t="n">
        <v>2017</v>
      </c>
      <c r="C419" s="0" t="s">
        <v>57</v>
      </c>
      <c r="D419" s="0" t="n">
        <v>578576.776</v>
      </c>
      <c r="E419" s="0" t="s">
        <v>480</v>
      </c>
      <c r="F419" s="0" t="s">
        <v>385</v>
      </c>
      <c r="G419" s="0" t="s">
        <v>112</v>
      </c>
      <c r="H419" s="0" t="s">
        <v>548</v>
      </c>
    </row>
    <row r="420" customFormat="false" ht="15" hidden="false" customHeight="false" outlineLevel="0" collapsed="false">
      <c r="A420" s="0" t="s">
        <v>109</v>
      </c>
      <c r="B420" s="0" t="n">
        <v>2017</v>
      </c>
      <c r="C420" s="0" t="s">
        <v>58</v>
      </c>
      <c r="D420" s="0" t="n">
        <v>353397.327</v>
      </c>
      <c r="E420" s="0" t="s">
        <v>480</v>
      </c>
      <c r="F420" s="0" t="s">
        <v>385</v>
      </c>
      <c r="G420" s="0" t="s">
        <v>112</v>
      </c>
      <c r="H420" s="0" t="s">
        <v>549</v>
      </c>
    </row>
    <row r="421" customFormat="false" ht="15" hidden="false" customHeight="false" outlineLevel="0" collapsed="false">
      <c r="A421" s="0" t="s">
        <v>109</v>
      </c>
      <c r="B421" s="0" t="n">
        <v>2017</v>
      </c>
      <c r="C421" s="0" t="s">
        <v>59</v>
      </c>
      <c r="D421" s="0" t="n">
        <v>2613340.074</v>
      </c>
      <c r="E421" s="0" t="s">
        <v>480</v>
      </c>
      <c r="F421" s="0" t="s">
        <v>385</v>
      </c>
      <c r="G421" s="0" t="s">
        <v>112</v>
      </c>
      <c r="H421" s="0" t="s">
        <v>550</v>
      </c>
    </row>
    <row r="422" customFormat="false" ht="15" hidden="false" customHeight="false" outlineLevel="0" collapsed="false">
      <c r="A422" s="0" t="s">
        <v>109</v>
      </c>
      <c r="B422" s="0" t="n">
        <v>2017</v>
      </c>
      <c r="C422" s="0" t="s">
        <v>60</v>
      </c>
      <c r="D422" s="0" t="n">
        <v>1326250.395</v>
      </c>
      <c r="E422" s="0" t="s">
        <v>551</v>
      </c>
      <c r="F422" s="0" t="s">
        <v>385</v>
      </c>
      <c r="G422" s="0" t="s">
        <v>112</v>
      </c>
      <c r="H422" s="0" t="s">
        <v>552</v>
      </c>
    </row>
    <row r="423" customFormat="false" ht="15" hidden="false" customHeight="false" outlineLevel="0" collapsed="false">
      <c r="A423" s="0" t="s">
        <v>109</v>
      </c>
      <c r="B423" s="0" t="n">
        <v>2017</v>
      </c>
      <c r="C423" s="0" t="s">
        <v>61</v>
      </c>
      <c r="D423" s="0" t="n">
        <v>60278.707</v>
      </c>
      <c r="E423" s="0" t="s">
        <v>551</v>
      </c>
      <c r="F423" s="0" t="s">
        <v>385</v>
      </c>
      <c r="G423" s="0" t="s">
        <v>112</v>
      </c>
      <c r="H423" s="0" t="s">
        <v>553</v>
      </c>
    </row>
    <row r="424" customFormat="false" ht="15" hidden="false" customHeight="false" outlineLevel="0" collapsed="false">
      <c r="A424" s="0" t="s">
        <v>109</v>
      </c>
      <c r="B424" s="0" t="n">
        <v>2017</v>
      </c>
      <c r="C424" s="0" t="s">
        <v>62</v>
      </c>
      <c r="D424" s="0" t="n">
        <v>1265971.688</v>
      </c>
      <c r="E424" s="0" t="s">
        <v>480</v>
      </c>
      <c r="F424" s="0" t="s">
        <v>385</v>
      </c>
      <c r="G424" s="0" t="s">
        <v>112</v>
      </c>
      <c r="H424" s="0" t="s">
        <v>554</v>
      </c>
    </row>
    <row r="425" customFormat="false" ht="15" hidden="false" customHeight="false" outlineLevel="0" collapsed="false">
      <c r="A425" s="0" t="s">
        <v>109</v>
      </c>
      <c r="B425" s="0" t="n">
        <v>2017</v>
      </c>
      <c r="C425" s="0" t="s">
        <v>63</v>
      </c>
      <c r="D425" s="0" t="n">
        <v>11531.292</v>
      </c>
      <c r="E425" s="0" t="s">
        <v>551</v>
      </c>
      <c r="F425" s="0" t="s">
        <v>385</v>
      </c>
      <c r="G425" s="0" t="s">
        <v>112</v>
      </c>
      <c r="H425" s="0" t="s">
        <v>555</v>
      </c>
    </row>
    <row r="426" customFormat="false" ht="15" hidden="false" customHeight="false" outlineLevel="0" collapsed="false">
      <c r="A426" s="0" t="s">
        <v>109</v>
      </c>
      <c r="B426" s="0" t="n">
        <v>2017</v>
      </c>
      <c r="C426" s="0" t="s">
        <v>247</v>
      </c>
      <c r="D426" s="0" t="n">
        <v>10834.612</v>
      </c>
      <c r="E426" s="0" t="s">
        <v>480</v>
      </c>
      <c r="F426" s="0" t="s">
        <v>385</v>
      </c>
      <c r="G426" s="0" t="s">
        <v>112</v>
      </c>
      <c r="H426" s="0" t="s">
        <v>556</v>
      </c>
    </row>
    <row r="427" customFormat="false" ht="15" hidden="false" customHeight="false" outlineLevel="0" collapsed="false">
      <c r="A427" s="0" t="s">
        <v>109</v>
      </c>
      <c r="B427" s="0" t="n">
        <v>2017</v>
      </c>
      <c r="C427" s="0" t="s">
        <v>557</v>
      </c>
      <c r="D427" s="0" t="n">
        <v>696.68</v>
      </c>
      <c r="E427" s="0" t="s">
        <v>480</v>
      </c>
      <c r="F427" s="0" t="s">
        <v>385</v>
      </c>
      <c r="G427" s="0" t="s">
        <v>112</v>
      </c>
      <c r="H427" s="0" t="s">
        <v>558</v>
      </c>
    </row>
    <row r="428" customFormat="false" ht="15" hidden="false" customHeight="false" outlineLevel="0" collapsed="false">
      <c r="A428" s="0" t="s">
        <v>109</v>
      </c>
      <c r="B428" s="0" t="n">
        <v>2017</v>
      </c>
      <c r="C428" s="0" t="s">
        <v>402</v>
      </c>
      <c r="D428" s="0" t="n">
        <v>183647.629</v>
      </c>
      <c r="E428" s="0" t="s">
        <v>480</v>
      </c>
      <c r="F428" s="0" t="s">
        <v>385</v>
      </c>
      <c r="G428" s="0" t="s">
        <v>112</v>
      </c>
      <c r="H428" s="0" t="s">
        <v>559</v>
      </c>
    </row>
    <row r="429" customFormat="false" ht="15" hidden="false" customHeight="false" outlineLevel="0" collapsed="false">
      <c r="A429" s="0" t="s">
        <v>109</v>
      </c>
      <c r="B429" s="0" t="n">
        <v>2017</v>
      </c>
      <c r="C429" s="0" t="s">
        <v>19</v>
      </c>
      <c r="D429" s="0" t="n">
        <v>2719134.5295</v>
      </c>
      <c r="E429" s="0" t="s">
        <v>383</v>
      </c>
    </row>
    <row r="430" customFormat="false" ht="15" hidden="false" customHeight="false" outlineLevel="0" collapsed="false">
      <c r="A430" s="0" t="s">
        <v>109</v>
      </c>
      <c r="B430" s="0" t="n">
        <v>2017</v>
      </c>
      <c r="C430" s="0" t="s">
        <v>41</v>
      </c>
      <c r="D430" s="0" t="n">
        <v>5.83743478956104</v>
      </c>
      <c r="E430" s="0" t="s">
        <v>383</v>
      </c>
    </row>
    <row r="431" customFormat="false" ht="15" hidden="false" customHeight="false" outlineLevel="0" collapsed="false">
      <c r="A431" s="0" t="s">
        <v>109</v>
      </c>
      <c r="B431" s="0" t="n">
        <v>2017</v>
      </c>
      <c r="C431" s="0" t="s">
        <v>27</v>
      </c>
      <c r="D431" s="0" t="n">
        <v>20.4811086959059</v>
      </c>
      <c r="E431" s="0" t="s">
        <v>383</v>
      </c>
    </row>
    <row r="432" customFormat="false" ht="15" hidden="false" customHeight="false" outlineLevel="0" collapsed="false">
      <c r="A432" s="0" t="s">
        <v>109</v>
      </c>
      <c r="B432" s="0" t="n">
        <v>2017</v>
      </c>
      <c r="C432" s="0" t="s">
        <v>39</v>
      </c>
      <c r="D432" s="0" t="n">
        <v>12.9966841715987</v>
      </c>
      <c r="E432" s="0" t="s">
        <v>383</v>
      </c>
    </row>
    <row r="433" customFormat="false" ht="15" hidden="false" customHeight="false" outlineLevel="0" collapsed="false">
      <c r="A433" s="0" t="s">
        <v>109</v>
      </c>
      <c r="B433" s="0" t="n">
        <v>2017</v>
      </c>
      <c r="C433" s="0" t="s">
        <v>17</v>
      </c>
      <c r="D433" s="0" t="n">
        <v>4.5450472420029</v>
      </c>
      <c r="E433" s="0" t="s">
        <v>383</v>
      </c>
    </row>
    <row r="434" customFormat="false" ht="15" hidden="false" customHeight="false" outlineLevel="0" collapsed="false">
      <c r="A434" s="0" t="s">
        <v>109</v>
      </c>
      <c r="B434" s="0" t="n">
        <v>2017</v>
      </c>
      <c r="C434" s="0" t="s">
        <v>29</v>
      </c>
      <c r="D434" s="0" t="n">
        <v>0.424079495696022</v>
      </c>
      <c r="E434" s="0" t="s">
        <v>383</v>
      </c>
    </row>
    <row r="435" customFormat="false" ht="15" hidden="false" customHeight="false" outlineLevel="0" collapsed="false">
      <c r="A435" s="0" t="s">
        <v>109</v>
      </c>
      <c r="B435" s="0" t="n">
        <v>2017</v>
      </c>
      <c r="C435" s="0" t="s">
        <v>43</v>
      </c>
      <c r="D435" s="0" t="n">
        <v>5.61882106923123</v>
      </c>
      <c r="E435" s="0" t="s">
        <v>383</v>
      </c>
    </row>
    <row r="436" customFormat="false" ht="15" hidden="false" customHeight="false" outlineLevel="0" collapsed="false">
      <c r="A436" s="0" t="s">
        <v>109</v>
      </c>
      <c r="B436" s="0" t="n">
        <v>2017</v>
      </c>
      <c r="C436" s="0" t="s">
        <v>31</v>
      </c>
      <c r="D436" s="0" t="n">
        <v>79.5188913040941</v>
      </c>
      <c r="E436" s="0" t="s">
        <v>383</v>
      </c>
    </row>
    <row r="437" customFormat="false" ht="15" hidden="false" customHeight="false" outlineLevel="0" collapsed="false">
      <c r="A437" s="0" t="s">
        <v>109</v>
      </c>
      <c r="B437" s="0" t="n">
        <v>2017</v>
      </c>
      <c r="C437" s="0" t="s">
        <v>33</v>
      </c>
      <c r="D437" s="0" t="n">
        <v>14.8539937841936</v>
      </c>
      <c r="E437" s="0" t="s">
        <v>383</v>
      </c>
    </row>
    <row r="438" customFormat="false" ht="15" hidden="false" customHeight="false" outlineLevel="0" collapsed="false">
      <c r="A438" s="0" t="s">
        <v>109</v>
      </c>
      <c r="B438" s="0" t="n">
        <v>2017</v>
      </c>
      <c r="C438" s="0" t="s">
        <v>21</v>
      </c>
      <c r="D438" s="0" t="n">
        <v>1.16415321826935E-010</v>
      </c>
      <c r="E438" s="0" t="s">
        <v>383</v>
      </c>
    </row>
    <row r="439" customFormat="false" ht="15" hidden="false" customHeight="false" outlineLevel="0" collapsed="false">
      <c r="A439" s="0" t="s">
        <v>109</v>
      </c>
      <c r="B439" s="0" t="n">
        <v>2017</v>
      </c>
      <c r="C439" s="0" t="s">
        <v>35</v>
      </c>
      <c r="D439" s="0" t="n">
        <v>0</v>
      </c>
      <c r="E439" s="0" t="s">
        <v>383</v>
      </c>
    </row>
    <row r="440" customFormat="false" ht="15" hidden="false" customHeight="false" outlineLevel="0" collapsed="false">
      <c r="A440" s="0" t="s">
        <v>109</v>
      </c>
      <c r="B440" s="0" t="n">
        <v>2018</v>
      </c>
      <c r="C440" s="0" t="s">
        <v>54</v>
      </c>
      <c r="D440" s="0" t="n">
        <v>166919.765</v>
      </c>
      <c r="E440" s="0" t="s">
        <v>384</v>
      </c>
      <c r="F440" s="0" t="s">
        <v>385</v>
      </c>
      <c r="G440" s="0" t="s">
        <v>113</v>
      </c>
      <c r="H440" s="0" t="s">
        <v>560</v>
      </c>
    </row>
    <row r="441" customFormat="false" ht="15" hidden="false" customHeight="false" outlineLevel="0" collapsed="false">
      <c r="A441" s="0" t="s">
        <v>109</v>
      </c>
      <c r="B441" s="0" t="n">
        <v>2018</v>
      </c>
      <c r="C441" s="0" t="s">
        <v>55</v>
      </c>
      <c r="D441" s="0" t="n">
        <v>2712521.494</v>
      </c>
      <c r="E441" s="0" t="s">
        <v>384</v>
      </c>
      <c r="F441" s="0" t="s">
        <v>385</v>
      </c>
      <c r="G441" s="0" t="s">
        <v>113</v>
      </c>
      <c r="H441" s="0" t="s">
        <v>561</v>
      </c>
    </row>
    <row r="442" customFormat="false" ht="15" hidden="false" customHeight="false" outlineLevel="0" collapsed="false">
      <c r="A442" s="0" t="s">
        <v>109</v>
      </c>
      <c r="B442" s="0" t="n">
        <v>2018</v>
      </c>
      <c r="C442" s="0" t="s">
        <v>56</v>
      </c>
      <c r="D442" s="0" t="n">
        <v>2200679.235</v>
      </c>
      <c r="E442" s="0" t="s">
        <v>384</v>
      </c>
      <c r="F442" s="0" t="s">
        <v>385</v>
      </c>
      <c r="G442" s="0" t="s">
        <v>113</v>
      </c>
      <c r="H442" s="0" t="s">
        <v>562</v>
      </c>
    </row>
    <row r="443" customFormat="false" ht="15" hidden="false" customHeight="false" outlineLevel="0" collapsed="false">
      <c r="A443" s="0" t="s">
        <v>109</v>
      </c>
      <c r="B443" s="0" t="n">
        <v>2018</v>
      </c>
      <c r="C443" s="0" t="s">
        <v>57</v>
      </c>
      <c r="D443" s="0" t="n">
        <v>511842.259</v>
      </c>
      <c r="E443" s="0" t="s">
        <v>384</v>
      </c>
      <c r="F443" s="0" t="s">
        <v>385</v>
      </c>
      <c r="G443" s="0" t="s">
        <v>113</v>
      </c>
      <c r="H443" s="0" t="s">
        <v>563</v>
      </c>
      <c r="I443" s="0" t="s">
        <v>564</v>
      </c>
    </row>
    <row r="444" customFormat="false" ht="15" hidden="false" customHeight="false" outlineLevel="0" collapsed="false">
      <c r="A444" s="0" t="s">
        <v>109</v>
      </c>
      <c r="B444" s="0" t="n">
        <v>2018</v>
      </c>
      <c r="C444" s="0" t="s">
        <v>58</v>
      </c>
      <c r="D444" s="0" t="n">
        <v>224625.664</v>
      </c>
      <c r="E444" s="0" t="s">
        <v>384</v>
      </c>
      <c r="F444" s="0" t="s">
        <v>385</v>
      </c>
      <c r="G444" s="0" t="s">
        <v>113</v>
      </c>
      <c r="H444" s="0" t="s">
        <v>565</v>
      </c>
    </row>
    <row r="445" customFormat="false" ht="15" hidden="false" customHeight="false" outlineLevel="0" collapsed="false">
      <c r="A445" s="0" t="s">
        <v>109</v>
      </c>
      <c r="B445" s="0" t="n">
        <v>2018</v>
      </c>
      <c r="C445" s="0" t="s">
        <v>59</v>
      </c>
      <c r="D445" s="0" t="n">
        <v>2824928.985</v>
      </c>
      <c r="E445" s="0" t="s">
        <v>384</v>
      </c>
      <c r="F445" s="0" t="s">
        <v>385</v>
      </c>
      <c r="G445" s="0" t="s">
        <v>113</v>
      </c>
      <c r="H445" s="0" t="s">
        <v>566</v>
      </c>
    </row>
    <row r="446" customFormat="false" ht="15" hidden="false" customHeight="false" outlineLevel="0" collapsed="false">
      <c r="A446" s="0" t="s">
        <v>109</v>
      </c>
      <c r="B446" s="0" t="n">
        <v>2018</v>
      </c>
      <c r="C446" s="0" t="s">
        <v>60</v>
      </c>
      <c r="D446" s="0" t="n">
        <v>1158980.803</v>
      </c>
      <c r="E446" s="0" t="s">
        <v>567</v>
      </c>
      <c r="F446" s="0" t="s">
        <v>385</v>
      </c>
      <c r="G446" s="0" t="s">
        <v>113</v>
      </c>
      <c r="H446" s="0" t="s">
        <v>568</v>
      </c>
    </row>
    <row r="447" customFormat="false" ht="15" hidden="false" customHeight="false" outlineLevel="0" collapsed="false">
      <c r="A447" s="0" t="s">
        <v>109</v>
      </c>
      <c r="B447" s="0" t="n">
        <v>2018</v>
      </c>
      <c r="C447" s="0" t="s">
        <v>61</v>
      </c>
      <c r="D447" s="0" t="n">
        <v>90981.784</v>
      </c>
      <c r="E447" s="0" t="s">
        <v>567</v>
      </c>
      <c r="F447" s="0" t="s">
        <v>385</v>
      </c>
      <c r="G447" s="0" t="s">
        <v>113</v>
      </c>
      <c r="H447" s="0" t="s">
        <v>569</v>
      </c>
    </row>
    <row r="448" customFormat="false" ht="15" hidden="false" customHeight="false" outlineLevel="0" collapsed="false">
      <c r="A448" s="0" t="s">
        <v>109</v>
      </c>
      <c r="B448" s="0" t="n">
        <v>2018</v>
      </c>
      <c r="C448" s="0" t="s">
        <v>62</v>
      </c>
      <c r="D448" s="0" t="n">
        <v>1067999.019</v>
      </c>
      <c r="E448" s="0" t="s">
        <v>384</v>
      </c>
      <c r="F448" s="0" t="s">
        <v>385</v>
      </c>
      <c r="G448" s="0" t="s">
        <v>113</v>
      </c>
      <c r="H448" s="0" t="s">
        <v>570</v>
      </c>
    </row>
    <row r="449" customFormat="false" ht="15" hidden="false" customHeight="false" outlineLevel="0" collapsed="false">
      <c r="A449" s="0" t="s">
        <v>109</v>
      </c>
      <c r="B449" s="0" t="n">
        <v>2018</v>
      </c>
      <c r="C449" s="0" t="s">
        <v>63</v>
      </c>
      <c r="D449" s="0" t="n">
        <v>1384.004</v>
      </c>
      <c r="E449" s="0" t="s">
        <v>567</v>
      </c>
      <c r="F449" s="0" t="s">
        <v>385</v>
      </c>
      <c r="G449" s="0" t="s">
        <v>113</v>
      </c>
      <c r="H449" s="0" t="s">
        <v>571</v>
      </c>
    </row>
    <row r="450" customFormat="false" ht="15" hidden="false" customHeight="false" outlineLevel="0" collapsed="false">
      <c r="A450" s="0" t="s">
        <v>109</v>
      </c>
      <c r="B450" s="0" t="n">
        <v>2018</v>
      </c>
      <c r="C450" s="0" t="s">
        <v>247</v>
      </c>
      <c r="D450" s="0" t="n">
        <v>1504.303</v>
      </c>
      <c r="E450" s="0" t="s">
        <v>384</v>
      </c>
      <c r="F450" s="0" t="s">
        <v>385</v>
      </c>
      <c r="G450" s="0" t="s">
        <v>113</v>
      </c>
      <c r="H450" s="0" t="s">
        <v>572</v>
      </c>
    </row>
    <row r="451" customFormat="false" ht="15" hidden="false" customHeight="false" outlineLevel="0" collapsed="false">
      <c r="A451" s="0" t="s">
        <v>109</v>
      </c>
      <c r="B451" s="0" t="n">
        <v>2018</v>
      </c>
      <c r="C451" s="0" t="s">
        <v>557</v>
      </c>
      <c r="D451" s="0" t="n">
        <v>-120.299</v>
      </c>
      <c r="E451" s="0" t="s">
        <v>384</v>
      </c>
      <c r="F451" s="0" t="s">
        <v>385</v>
      </c>
      <c r="G451" s="0" t="s">
        <v>113</v>
      </c>
      <c r="H451" s="0" t="s">
        <v>573</v>
      </c>
    </row>
    <row r="452" customFormat="false" ht="15" hidden="false" customHeight="false" outlineLevel="0" collapsed="false">
      <c r="A452" s="0" t="s">
        <v>109</v>
      </c>
      <c r="B452" s="0" t="n">
        <v>2018</v>
      </c>
      <c r="C452" s="0" t="s">
        <v>73</v>
      </c>
      <c r="D452" s="0" t="n">
        <v>0</v>
      </c>
      <c r="E452" s="0" t="s">
        <v>400</v>
      </c>
      <c r="F452" s="0" t="s">
        <v>385</v>
      </c>
      <c r="G452" s="0" t="s">
        <v>574</v>
      </c>
      <c r="H452" s="0" t="s">
        <v>575</v>
      </c>
    </row>
    <row r="453" customFormat="false" ht="15" hidden="false" customHeight="false" outlineLevel="0" collapsed="false">
      <c r="A453" s="0" t="s">
        <v>109</v>
      </c>
      <c r="B453" s="0" t="n">
        <v>2018</v>
      </c>
      <c r="C453" s="0" t="s">
        <v>68</v>
      </c>
      <c r="D453" s="0" t="n">
        <v>74667.995</v>
      </c>
      <c r="E453" s="0" t="s">
        <v>567</v>
      </c>
      <c r="F453" s="0" t="s">
        <v>385</v>
      </c>
      <c r="G453" s="0" t="s">
        <v>113</v>
      </c>
      <c r="H453" s="0" t="s">
        <v>576</v>
      </c>
    </row>
    <row r="454" customFormat="false" ht="15" hidden="false" customHeight="false" outlineLevel="0" collapsed="false">
      <c r="A454" s="0" t="s">
        <v>109</v>
      </c>
      <c r="B454" s="0" t="n">
        <v>2018</v>
      </c>
      <c r="C454" s="0" t="s">
        <v>402</v>
      </c>
      <c r="D454" s="0" t="n">
        <v>190209.286</v>
      </c>
      <c r="E454" s="0" t="s">
        <v>384</v>
      </c>
      <c r="F454" s="0" t="s">
        <v>385</v>
      </c>
      <c r="G454" s="0" t="s">
        <v>113</v>
      </c>
      <c r="H454" s="0" t="s">
        <v>577</v>
      </c>
    </row>
    <row r="455" customFormat="false" ht="15" hidden="false" customHeight="false" outlineLevel="0" collapsed="false">
      <c r="A455" s="0" t="s">
        <v>109</v>
      </c>
      <c r="B455" s="0" t="n">
        <v>2018</v>
      </c>
      <c r="C455" s="0" t="s">
        <v>19</v>
      </c>
      <c r="D455" s="0" t="n">
        <v>2768725.2395</v>
      </c>
      <c r="E455" s="0" t="s">
        <v>383</v>
      </c>
    </row>
    <row r="456" customFormat="false" ht="15" hidden="false" customHeight="false" outlineLevel="0" collapsed="false">
      <c r="A456" s="0" t="s">
        <v>109</v>
      </c>
      <c r="B456" s="0" t="n">
        <v>2018</v>
      </c>
      <c r="C456" s="0" t="s">
        <v>41</v>
      </c>
      <c r="D456" s="0" t="n">
        <v>6.02875874495021</v>
      </c>
      <c r="E456" s="0" t="s">
        <v>383</v>
      </c>
    </row>
    <row r="457" customFormat="false" ht="15" hidden="false" customHeight="false" outlineLevel="0" collapsed="false">
      <c r="A457" s="0" t="s">
        <v>109</v>
      </c>
      <c r="B457" s="0" t="n">
        <v>2018</v>
      </c>
      <c r="C457" s="0" t="s">
        <v>27</v>
      </c>
      <c r="D457" s="0" t="n">
        <v>18.8696111766184</v>
      </c>
      <c r="E457" s="0" t="s">
        <v>383</v>
      </c>
    </row>
    <row r="458" customFormat="false" ht="15" hidden="false" customHeight="false" outlineLevel="0" collapsed="false">
      <c r="A458" s="0" t="s">
        <v>109</v>
      </c>
      <c r="B458" s="0" t="n">
        <v>2018</v>
      </c>
      <c r="C458" s="0" t="s">
        <v>39</v>
      </c>
      <c r="D458" s="0" t="n">
        <v>8.11296335206468</v>
      </c>
      <c r="E458" s="0" t="s">
        <v>383</v>
      </c>
    </row>
    <row r="459" customFormat="false" ht="15" hidden="false" customHeight="false" outlineLevel="0" collapsed="false">
      <c r="A459" s="0" t="s">
        <v>109</v>
      </c>
      <c r="B459" s="0" t="n">
        <v>2018</v>
      </c>
      <c r="C459" s="0" t="s">
        <v>17</v>
      </c>
      <c r="D459" s="0" t="n">
        <v>7.85015452926359</v>
      </c>
      <c r="E459" s="0" t="s">
        <v>383</v>
      </c>
    </row>
    <row r="460" customFormat="false" ht="15" hidden="false" customHeight="false" outlineLevel="0" collapsed="false">
      <c r="A460" s="0" t="s">
        <v>109</v>
      </c>
      <c r="B460" s="0" t="n">
        <v>2018</v>
      </c>
      <c r="C460" s="0" t="s">
        <v>29</v>
      </c>
      <c r="D460" s="0" t="n">
        <v>0.0499870474778471</v>
      </c>
      <c r="E460" s="0" t="s">
        <v>383</v>
      </c>
    </row>
    <row r="461" customFormat="false" ht="15" hidden="false" customHeight="false" outlineLevel="0" collapsed="false">
      <c r="A461" s="0" t="s">
        <v>109</v>
      </c>
      <c r="B461" s="0" t="n">
        <v>2018</v>
      </c>
      <c r="C461" s="0" t="s">
        <v>43</v>
      </c>
      <c r="D461" s="0" t="n">
        <v>6.15367529323622</v>
      </c>
      <c r="E461" s="0" t="s">
        <v>383</v>
      </c>
    </row>
    <row r="462" customFormat="false" ht="15" hidden="false" customHeight="false" outlineLevel="0" collapsed="false">
      <c r="A462" s="0" t="s">
        <v>109</v>
      </c>
      <c r="B462" s="0" t="n">
        <v>2018</v>
      </c>
      <c r="C462" s="0" t="s">
        <v>31</v>
      </c>
      <c r="D462" s="0" t="n">
        <v>81.1303888233816</v>
      </c>
      <c r="E462" s="0" t="s">
        <v>383</v>
      </c>
    </row>
    <row r="463" customFormat="false" ht="15" hidden="false" customHeight="false" outlineLevel="0" collapsed="false">
      <c r="A463" s="0" t="s">
        <v>109</v>
      </c>
      <c r="B463" s="0" t="n">
        <v>2018</v>
      </c>
      <c r="C463" s="0" t="s">
        <v>33</v>
      </c>
      <c r="D463" s="0" t="n">
        <v>14.8133892008548</v>
      </c>
      <c r="E463" s="0" t="s">
        <v>383</v>
      </c>
    </row>
    <row r="464" customFormat="false" ht="15" hidden="false" customHeight="false" outlineLevel="0" collapsed="false">
      <c r="A464" s="0" t="s">
        <v>109</v>
      </c>
      <c r="B464" s="0" t="n">
        <v>2018</v>
      </c>
      <c r="C464" s="0" t="s">
        <v>21</v>
      </c>
      <c r="D464" s="0" t="n">
        <v>5.82076609134674E-011</v>
      </c>
      <c r="E464" s="0" t="s">
        <v>383</v>
      </c>
    </row>
    <row r="465" customFormat="false" ht="15" hidden="false" customHeight="false" outlineLevel="0" collapsed="false">
      <c r="A465" s="0" t="s">
        <v>109</v>
      </c>
      <c r="B465" s="0" t="n">
        <v>2018</v>
      </c>
      <c r="C465" s="0" t="s">
        <v>35</v>
      </c>
      <c r="D465" s="0" t="n">
        <v>0</v>
      </c>
      <c r="E465" s="0" t="s">
        <v>383</v>
      </c>
    </row>
    <row r="466" customFormat="false" ht="15" hidden="false" customHeight="false" outlineLevel="0" collapsed="false">
      <c r="A466" s="0" t="s">
        <v>109</v>
      </c>
      <c r="B466" s="0" t="n">
        <v>2019</v>
      </c>
      <c r="C466" s="0" t="s">
        <v>54</v>
      </c>
      <c r="D466" s="0" t="n">
        <v>175125.281</v>
      </c>
      <c r="E466" s="0" t="s">
        <v>384</v>
      </c>
      <c r="F466" s="0" t="s">
        <v>385</v>
      </c>
      <c r="G466" s="0" t="s">
        <v>115</v>
      </c>
      <c r="H466" s="0" t="s">
        <v>578</v>
      </c>
    </row>
    <row r="467" customFormat="false" ht="15" hidden="false" customHeight="false" outlineLevel="0" collapsed="false">
      <c r="A467" s="0" t="s">
        <v>109</v>
      </c>
      <c r="B467" s="0" t="n">
        <v>2019</v>
      </c>
      <c r="C467" s="0" t="s">
        <v>55</v>
      </c>
      <c r="D467" s="0" t="n">
        <v>3097248.495</v>
      </c>
      <c r="E467" s="0" t="s">
        <v>384</v>
      </c>
      <c r="F467" s="0" t="s">
        <v>385</v>
      </c>
      <c r="G467" s="0" t="s">
        <v>115</v>
      </c>
      <c r="H467" s="0" t="s">
        <v>579</v>
      </c>
    </row>
    <row r="468" customFormat="false" ht="15" hidden="false" customHeight="false" outlineLevel="0" collapsed="false">
      <c r="A468" s="0" t="s">
        <v>109</v>
      </c>
      <c r="B468" s="0" t="n">
        <v>2019</v>
      </c>
      <c r="C468" s="0" t="s">
        <v>56</v>
      </c>
      <c r="D468" s="0" t="n">
        <v>2491358.899</v>
      </c>
      <c r="E468" s="0" t="s">
        <v>384</v>
      </c>
      <c r="F468" s="0" t="s">
        <v>385</v>
      </c>
      <c r="G468" s="0" t="s">
        <v>115</v>
      </c>
      <c r="H468" s="0" t="s">
        <v>580</v>
      </c>
    </row>
    <row r="469" customFormat="false" ht="15" hidden="false" customHeight="false" outlineLevel="0" collapsed="false">
      <c r="A469" s="0" t="s">
        <v>109</v>
      </c>
      <c r="B469" s="0" t="n">
        <v>2019</v>
      </c>
      <c r="C469" s="0" t="s">
        <v>57</v>
      </c>
      <c r="D469" s="0" t="n">
        <v>605889.596</v>
      </c>
      <c r="E469" s="0" t="s">
        <v>384</v>
      </c>
      <c r="F469" s="0" t="s">
        <v>385</v>
      </c>
      <c r="G469" s="0" t="s">
        <v>115</v>
      </c>
      <c r="H469" s="0" t="s">
        <v>581</v>
      </c>
    </row>
    <row r="470" customFormat="false" ht="15" hidden="false" customHeight="false" outlineLevel="0" collapsed="false">
      <c r="A470" s="0" t="s">
        <v>109</v>
      </c>
      <c r="B470" s="0" t="n">
        <v>2019</v>
      </c>
      <c r="C470" s="0" t="s">
        <v>58</v>
      </c>
      <c r="D470" s="0" t="n">
        <v>197853.667</v>
      </c>
      <c r="E470" s="0" t="s">
        <v>384</v>
      </c>
      <c r="F470" s="0" t="s">
        <v>385</v>
      </c>
      <c r="G470" s="0" t="s">
        <v>115</v>
      </c>
      <c r="H470" s="0" t="s">
        <v>582</v>
      </c>
    </row>
    <row r="471" customFormat="false" ht="15" hidden="false" customHeight="false" outlineLevel="0" collapsed="false">
      <c r="A471" s="0" t="s">
        <v>109</v>
      </c>
      <c r="B471" s="0" t="n">
        <v>2019</v>
      </c>
      <c r="C471" s="0" t="s">
        <v>59</v>
      </c>
      <c r="D471" s="0" t="n">
        <v>2712521.494</v>
      </c>
      <c r="E471" s="0" t="s">
        <v>384</v>
      </c>
      <c r="F471" s="0" t="s">
        <v>385</v>
      </c>
      <c r="G471" s="0" t="s">
        <v>115</v>
      </c>
      <c r="H471" s="0" t="s">
        <v>583</v>
      </c>
    </row>
    <row r="472" customFormat="false" ht="15" hidden="false" customHeight="false" outlineLevel="0" collapsed="false">
      <c r="A472" s="0" t="s">
        <v>109</v>
      </c>
      <c r="B472" s="0" t="n">
        <v>2019</v>
      </c>
      <c r="C472" s="0" t="s">
        <v>60</v>
      </c>
      <c r="D472" s="0" t="n">
        <v>1357066.246</v>
      </c>
      <c r="E472" s="0" t="s">
        <v>567</v>
      </c>
      <c r="F472" s="0" t="s">
        <v>385</v>
      </c>
      <c r="G472" s="0" t="s">
        <v>115</v>
      </c>
      <c r="H472" s="0" t="s">
        <v>584</v>
      </c>
    </row>
    <row r="473" customFormat="false" ht="15" hidden="false" customHeight="false" outlineLevel="0" collapsed="false">
      <c r="A473" s="0" t="s">
        <v>109</v>
      </c>
      <c r="B473" s="0" t="n">
        <v>2019</v>
      </c>
      <c r="C473" s="0" t="s">
        <v>61</v>
      </c>
      <c r="D473" s="0" t="n">
        <v>56245.599</v>
      </c>
      <c r="E473" s="0" t="s">
        <v>567</v>
      </c>
      <c r="F473" s="0" t="s">
        <v>385</v>
      </c>
      <c r="G473" s="0" t="s">
        <v>115</v>
      </c>
      <c r="H473" s="0" t="s">
        <v>585</v>
      </c>
    </row>
    <row r="474" customFormat="false" ht="15" hidden="false" customHeight="false" outlineLevel="0" collapsed="false">
      <c r="A474" s="0" t="s">
        <v>109</v>
      </c>
      <c r="B474" s="0" t="n">
        <v>2019</v>
      </c>
      <c r="C474" s="0" t="s">
        <v>62</v>
      </c>
      <c r="D474" s="0" t="n">
        <v>1300820.647</v>
      </c>
      <c r="E474" s="0" t="s">
        <v>384</v>
      </c>
      <c r="F474" s="0" t="s">
        <v>385</v>
      </c>
      <c r="G474" s="0" t="s">
        <v>115</v>
      </c>
      <c r="H474" s="0" t="s">
        <v>586</v>
      </c>
    </row>
    <row r="475" customFormat="false" ht="15" hidden="false" customHeight="false" outlineLevel="0" collapsed="false">
      <c r="A475" s="0" t="s">
        <v>109</v>
      </c>
      <c r="B475" s="0" t="n">
        <v>2019</v>
      </c>
      <c r="C475" s="0" t="s">
        <v>63</v>
      </c>
      <c r="D475" s="0" t="n">
        <v>1859.247</v>
      </c>
      <c r="E475" s="0" t="s">
        <v>567</v>
      </c>
      <c r="F475" s="0" t="s">
        <v>385</v>
      </c>
      <c r="G475" s="0" t="s">
        <v>115</v>
      </c>
      <c r="H475" s="0" t="s">
        <v>587</v>
      </c>
    </row>
    <row r="476" customFormat="false" ht="15" hidden="false" customHeight="false" outlineLevel="0" collapsed="false">
      <c r="A476" s="0" t="s">
        <v>109</v>
      </c>
      <c r="B476" s="0" t="n">
        <v>2019</v>
      </c>
      <c r="C476" s="0" t="s">
        <v>247</v>
      </c>
      <c r="D476" s="0" t="n">
        <v>2221.501</v>
      </c>
      <c r="E476" s="0" t="s">
        <v>384</v>
      </c>
      <c r="F476" s="0" t="s">
        <v>385</v>
      </c>
      <c r="G476" s="0" t="s">
        <v>115</v>
      </c>
      <c r="H476" s="0" t="s">
        <v>588</v>
      </c>
    </row>
    <row r="477" customFormat="false" ht="15" hidden="false" customHeight="false" outlineLevel="0" collapsed="false">
      <c r="A477" s="0" t="s">
        <v>109</v>
      </c>
      <c r="B477" s="0" t="n">
        <v>2019</v>
      </c>
      <c r="C477" s="0" t="s">
        <v>557</v>
      </c>
      <c r="D477" s="0" t="n">
        <v>-362.254</v>
      </c>
      <c r="E477" s="0" t="s">
        <v>384</v>
      </c>
      <c r="F477" s="0" t="s">
        <v>385</v>
      </c>
      <c r="G477" s="0" t="s">
        <v>115</v>
      </c>
      <c r="H477" s="0" t="s">
        <v>589</v>
      </c>
    </row>
    <row r="478" customFormat="false" ht="15" hidden="false" customHeight="false" outlineLevel="0" collapsed="false">
      <c r="A478" s="0" t="s">
        <v>109</v>
      </c>
      <c r="B478" s="0" t="n">
        <v>2019</v>
      </c>
      <c r="C478" s="0" t="s">
        <v>69</v>
      </c>
      <c r="D478" s="0" t="n">
        <v>20.66</v>
      </c>
      <c r="E478" s="0" t="s">
        <v>400</v>
      </c>
      <c r="F478" s="0" t="s">
        <v>385</v>
      </c>
      <c r="G478" s="0" t="s">
        <v>115</v>
      </c>
      <c r="H478" s="0" t="s">
        <v>590</v>
      </c>
    </row>
    <row r="479" customFormat="false" ht="15" hidden="false" customHeight="false" outlineLevel="0" collapsed="false">
      <c r="A479" s="0" t="s">
        <v>109</v>
      </c>
      <c r="B479" s="0" t="n">
        <v>2019</v>
      </c>
      <c r="C479" s="0" t="s">
        <v>591</v>
      </c>
      <c r="D479" s="0" t="n">
        <v>24.74</v>
      </c>
      <c r="E479" s="0" t="s">
        <v>400</v>
      </c>
      <c r="F479" s="0" t="s">
        <v>385</v>
      </c>
      <c r="G479" s="0" t="s">
        <v>115</v>
      </c>
      <c r="H479" s="0" t="s">
        <v>592</v>
      </c>
    </row>
    <row r="480" customFormat="false" ht="15" hidden="false" customHeight="false" outlineLevel="0" collapsed="false">
      <c r="A480" s="0" t="s">
        <v>109</v>
      </c>
      <c r="B480" s="0" t="n">
        <v>2019</v>
      </c>
      <c r="C480" s="0" t="s">
        <v>65</v>
      </c>
      <c r="D480" s="0" t="n">
        <v>418652.17</v>
      </c>
      <c r="E480" s="0" t="s">
        <v>400</v>
      </c>
      <c r="F480" s="0" t="s">
        <v>385</v>
      </c>
      <c r="G480" s="0" t="s">
        <v>115</v>
      </c>
      <c r="H480" s="0" t="s">
        <v>593</v>
      </c>
    </row>
    <row r="481" customFormat="false" ht="15" hidden="false" customHeight="false" outlineLevel="0" collapsed="false">
      <c r="A481" s="0" t="s">
        <v>109</v>
      </c>
      <c r="B481" s="0" t="n">
        <v>2019</v>
      </c>
      <c r="C481" s="0" t="s">
        <v>66</v>
      </c>
      <c r="D481" s="0" t="n">
        <v>2026402.562</v>
      </c>
      <c r="E481" s="0" t="s">
        <v>400</v>
      </c>
      <c r="F481" s="0" t="s">
        <v>385</v>
      </c>
      <c r="G481" s="0" t="s">
        <v>115</v>
      </c>
      <c r="H481" s="0" t="s">
        <v>594</v>
      </c>
    </row>
    <row r="482" customFormat="false" ht="15" hidden="false" customHeight="false" outlineLevel="0" collapsed="false">
      <c r="A482" s="0" t="s">
        <v>109</v>
      </c>
      <c r="B482" s="0" t="n">
        <v>2019</v>
      </c>
      <c r="C482" s="0" t="s">
        <v>595</v>
      </c>
      <c r="D482" s="0" t="n">
        <v>517502.852</v>
      </c>
      <c r="E482" s="0" t="s">
        <v>400</v>
      </c>
      <c r="F482" s="0" t="s">
        <v>385</v>
      </c>
      <c r="G482" s="0" t="s">
        <v>115</v>
      </c>
      <c r="H482" s="0" t="s">
        <v>596</v>
      </c>
    </row>
    <row r="483" customFormat="false" ht="15" hidden="false" customHeight="false" outlineLevel="0" collapsed="false">
      <c r="A483" s="0" t="s">
        <v>109</v>
      </c>
      <c r="B483" s="0" t="n">
        <v>2019</v>
      </c>
      <c r="C483" s="0" t="s">
        <v>73</v>
      </c>
      <c r="D483" s="0" t="n">
        <v>0</v>
      </c>
      <c r="E483" s="0" t="s">
        <v>400</v>
      </c>
      <c r="F483" s="0" t="s">
        <v>385</v>
      </c>
      <c r="G483" s="0" t="s">
        <v>463</v>
      </c>
      <c r="H483" s="0" t="s">
        <v>597</v>
      </c>
    </row>
    <row r="484" customFormat="false" ht="15" hidden="false" customHeight="false" outlineLevel="0" collapsed="false">
      <c r="A484" s="0" t="s">
        <v>109</v>
      </c>
      <c r="B484" s="0" t="n">
        <v>2019</v>
      </c>
      <c r="C484" s="0" t="s">
        <v>68</v>
      </c>
      <c r="D484" s="0" t="n">
        <v>45503.961</v>
      </c>
      <c r="E484" s="0" t="s">
        <v>567</v>
      </c>
      <c r="F484" s="0" t="s">
        <v>385</v>
      </c>
      <c r="G484" s="0" t="s">
        <v>115</v>
      </c>
      <c r="H484" s="0" t="s">
        <v>598</v>
      </c>
    </row>
    <row r="485" customFormat="false" ht="15" hidden="false" customHeight="false" outlineLevel="0" collapsed="false">
      <c r="A485" s="0" t="s">
        <v>109</v>
      </c>
      <c r="B485" s="0" t="n">
        <v>2019</v>
      </c>
      <c r="C485" s="0" t="s">
        <v>402</v>
      </c>
      <c r="D485" s="0" t="n">
        <v>200177.89</v>
      </c>
      <c r="E485" s="0" t="s">
        <v>384</v>
      </c>
      <c r="F485" s="0" t="s">
        <v>385</v>
      </c>
      <c r="G485" s="0" t="s">
        <v>115</v>
      </c>
      <c r="H485" s="0" t="s">
        <v>599</v>
      </c>
    </row>
    <row r="486" customFormat="false" ht="15" hidden="false" customHeight="false" outlineLevel="0" collapsed="false">
      <c r="A486" s="0" t="s">
        <v>109</v>
      </c>
      <c r="B486" s="0" t="n">
        <v>2019</v>
      </c>
      <c r="C486" s="0" t="s">
        <v>19</v>
      </c>
      <c r="D486" s="0" t="n">
        <v>2904884.9945</v>
      </c>
      <c r="E486" s="0" t="s">
        <v>383</v>
      </c>
    </row>
    <row r="487" customFormat="false" ht="15" hidden="false" customHeight="false" outlineLevel="0" collapsed="false">
      <c r="A487" s="0" t="s">
        <v>109</v>
      </c>
      <c r="B487" s="0" t="n">
        <v>2019</v>
      </c>
      <c r="C487" s="0" t="s">
        <v>41</v>
      </c>
      <c r="D487" s="0" t="n">
        <v>6.02864765151032</v>
      </c>
      <c r="E487" s="0" t="s">
        <v>383</v>
      </c>
    </row>
    <row r="488" customFormat="false" ht="15" hidden="false" customHeight="false" outlineLevel="0" collapsed="false">
      <c r="A488" s="0" t="s">
        <v>109</v>
      </c>
      <c r="B488" s="0" t="n">
        <v>2019</v>
      </c>
      <c r="C488" s="0" t="s">
        <v>27</v>
      </c>
      <c r="D488" s="0" t="n">
        <v>19.5621887290642</v>
      </c>
      <c r="E488" s="0" t="s">
        <v>383</v>
      </c>
    </row>
    <row r="489" customFormat="false" ht="15" hidden="false" customHeight="false" outlineLevel="0" collapsed="false">
      <c r="A489" s="0" t="s">
        <v>109</v>
      </c>
      <c r="B489" s="0" t="n">
        <v>2019</v>
      </c>
      <c r="C489" s="0" t="s">
        <v>39</v>
      </c>
      <c r="D489" s="0" t="n">
        <v>6.81106712914999</v>
      </c>
      <c r="E489" s="0" t="s">
        <v>383</v>
      </c>
    </row>
    <row r="490" customFormat="false" ht="15" hidden="false" customHeight="false" outlineLevel="0" collapsed="false">
      <c r="A490" s="0" t="s">
        <v>109</v>
      </c>
      <c r="B490" s="0" t="n">
        <v>2019</v>
      </c>
      <c r="C490" s="0" t="s">
        <v>17</v>
      </c>
      <c r="D490" s="0" t="n">
        <v>4.14464652449988</v>
      </c>
      <c r="E490" s="0" t="s">
        <v>383</v>
      </c>
    </row>
    <row r="491" customFormat="false" ht="15" hidden="false" customHeight="false" outlineLevel="0" collapsed="false">
      <c r="A491" s="0" t="s">
        <v>109</v>
      </c>
      <c r="B491" s="0" t="n">
        <v>2019</v>
      </c>
      <c r="C491" s="0" t="s">
        <v>25</v>
      </c>
      <c r="D491" s="0" t="n">
        <v>20.6598717278961</v>
      </c>
      <c r="E491" s="0" t="s">
        <v>383</v>
      </c>
    </row>
    <row r="492" customFormat="false" ht="15" hidden="false" customHeight="false" outlineLevel="0" collapsed="false">
      <c r="A492" s="0" t="s">
        <v>109</v>
      </c>
      <c r="B492" s="0" t="n">
        <v>2019</v>
      </c>
      <c r="C492" s="0" t="s">
        <v>29</v>
      </c>
      <c r="D492" s="0" t="n">
        <v>0.064004151748528</v>
      </c>
      <c r="E492" s="0" t="s">
        <v>383</v>
      </c>
    </row>
    <row r="493" customFormat="false" ht="15" hidden="false" customHeight="false" outlineLevel="0" collapsed="false">
      <c r="A493" s="0" t="s">
        <v>109</v>
      </c>
      <c r="B493" s="0" t="n">
        <v>2019</v>
      </c>
      <c r="C493" s="0" t="s">
        <v>43</v>
      </c>
      <c r="D493" s="0" t="n">
        <v>5.65422119932292</v>
      </c>
      <c r="E493" s="0" t="s">
        <v>383</v>
      </c>
    </row>
    <row r="494" customFormat="false" ht="15" hidden="false" customHeight="false" outlineLevel="0" collapsed="false">
      <c r="A494" s="0" t="s">
        <v>109</v>
      </c>
      <c r="B494" s="0" t="n">
        <v>2019</v>
      </c>
      <c r="C494" s="0" t="s">
        <v>31</v>
      </c>
      <c r="D494" s="0" t="n">
        <v>80.4378112709358</v>
      </c>
      <c r="E494" s="0" t="s">
        <v>383</v>
      </c>
    </row>
    <row r="495" customFormat="false" ht="15" hidden="false" customHeight="false" outlineLevel="0" collapsed="false">
      <c r="A495" s="0" t="s">
        <v>109</v>
      </c>
      <c r="B495" s="0" t="n">
        <v>2019</v>
      </c>
      <c r="C495" s="0" t="s">
        <v>33</v>
      </c>
      <c r="D495" s="0" t="n">
        <v>14.9460246930629</v>
      </c>
      <c r="E495" s="0" t="s">
        <v>383</v>
      </c>
    </row>
    <row r="496" customFormat="false" ht="15" hidden="false" customHeight="false" outlineLevel="0" collapsed="false">
      <c r="A496" s="0" t="s">
        <v>109</v>
      </c>
      <c r="B496" s="0" t="n">
        <v>2019</v>
      </c>
      <c r="C496" s="0" t="s">
        <v>21</v>
      </c>
      <c r="D496" s="0" t="n">
        <v>-1.16415321826935E-010</v>
      </c>
      <c r="E496" s="0" t="s">
        <v>383</v>
      </c>
    </row>
    <row r="497" customFormat="false" ht="15" hidden="false" customHeight="false" outlineLevel="0" collapsed="false">
      <c r="A497" s="0" t="s">
        <v>109</v>
      </c>
      <c r="B497" s="0" t="n">
        <v>2019</v>
      </c>
      <c r="C497" s="0" t="s">
        <v>35</v>
      </c>
      <c r="D497" s="0" t="n">
        <v>0</v>
      </c>
      <c r="E497" s="0" t="s">
        <v>383</v>
      </c>
    </row>
    <row r="498" customFormat="false" ht="15" hidden="false" customHeight="false" outlineLevel="0" collapsed="false">
      <c r="A498" s="0" t="s">
        <v>116</v>
      </c>
      <c r="B498" s="0" t="n">
        <v>2018</v>
      </c>
      <c r="C498" s="0" t="s">
        <v>54</v>
      </c>
      <c r="D498" s="0" t="n">
        <v>49912</v>
      </c>
      <c r="E498" s="0" t="s">
        <v>384</v>
      </c>
      <c r="F498" s="0" t="s">
        <v>385</v>
      </c>
      <c r="G498" s="0" t="s">
        <v>118</v>
      </c>
      <c r="H498" s="0" t="s">
        <v>600</v>
      </c>
    </row>
    <row r="499" customFormat="false" ht="15" hidden="false" customHeight="false" outlineLevel="0" collapsed="false">
      <c r="A499" s="0" t="s">
        <v>116</v>
      </c>
      <c r="B499" s="0" t="n">
        <v>2018</v>
      </c>
      <c r="C499" s="0" t="s">
        <v>55</v>
      </c>
      <c r="D499" s="0" t="n">
        <v>1599245</v>
      </c>
      <c r="E499" s="0" t="s">
        <v>400</v>
      </c>
      <c r="F499" s="0" t="s">
        <v>385</v>
      </c>
      <c r="G499" s="0" t="s">
        <v>118</v>
      </c>
      <c r="H499" s="0" t="s">
        <v>601</v>
      </c>
    </row>
    <row r="500" customFormat="false" ht="15" hidden="false" customHeight="false" outlineLevel="0" collapsed="false">
      <c r="A500" s="0" t="s">
        <v>116</v>
      </c>
      <c r="B500" s="0" t="n">
        <v>2018</v>
      </c>
      <c r="C500" s="0" t="s">
        <v>56</v>
      </c>
      <c r="D500" s="0" t="n">
        <v>1428904</v>
      </c>
      <c r="E500" s="0" t="s">
        <v>400</v>
      </c>
      <c r="F500" s="0" t="s">
        <v>385</v>
      </c>
      <c r="G500" s="0" t="s">
        <v>118</v>
      </c>
      <c r="H500" s="0" t="s">
        <v>602</v>
      </c>
    </row>
    <row r="501" customFormat="false" ht="15" hidden="false" customHeight="false" outlineLevel="0" collapsed="false">
      <c r="A501" s="0" t="s">
        <v>116</v>
      </c>
      <c r="B501" s="0" t="n">
        <v>2018</v>
      </c>
      <c r="C501" s="0" t="s">
        <v>57</v>
      </c>
      <c r="D501" s="0" t="n">
        <v>170341</v>
      </c>
      <c r="E501" s="0" t="s">
        <v>400</v>
      </c>
      <c r="F501" s="0" t="s">
        <v>385</v>
      </c>
      <c r="G501" s="0" t="s">
        <v>118</v>
      </c>
      <c r="H501" s="0" t="s">
        <v>603</v>
      </c>
    </row>
    <row r="502" customFormat="false" ht="15" hidden="false" customHeight="false" outlineLevel="0" collapsed="false">
      <c r="A502" s="0" t="s">
        <v>116</v>
      </c>
      <c r="B502" s="0" t="n">
        <v>2018</v>
      </c>
      <c r="C502" s="0" t="s">
        <v>59</v>
      </c>
      <c r="D502" s="0" t="n">
        <v>1332723</v>
      </c>
      <c r="E502" s="0" t="s">
        <v>400</v>
      </c>
      <c r="F502" s="0" t="s">
        <v>385</v>
      </c>
      <c r="G502" s="0" t="s">
        <v>118</v>
      </c>
      <c r="H502" s="0" t="s">
        <v>604</v>
      </c>
    </row>
    <row r="503" customFormat="false" ht="15" hidden="false" customHeight="false" outlineLevel="0" collapsed="false">
      <c r="A503" s="0" t="s">
        <v>116</v>
      </c>
      <c r="B503" s="0" t="n">
        <v>2018</v>
      </c>
      <c r="C503" s="0" t="s">
        <v>62</v>
      </c>
      <c r="D503" s="0" t="n">
        <v>432713</v>
      </c>
      <c r="E503" s="0" t="s">
        <v>400</v>
      </c>
      <c r="F503" s="0" t="s">
        <v>385</v>
      </c>
      <c r="G503" s="0" t="s">
        <v>118</v>
      </c>
      <c r="H503" s="0" t="s">
        <v>605</v>
      </c>
    </row>
    <row r="504" customFormat="false" ht="15" hidden="false" customHeight="false" outlineLevel="0" collapsed="false">
      <c r="A504" s="0" t="s">
        <v>116</v>
      </c>
      <c r="B504" s="0" t="n">
        <v>2018</v>
      </c>
      <c r="C504" s="0" t="s">
        <v>63</v>
      </c>
      <c r="D504" s="0" t="n">
        <v>-2988</v>
      </c>
      <c r="E504" s="0" t="s">
        <v>384</v>
      </c>
      <c r="F504" s="0" t="s">
        <v>385</v>
      </c>
      <c r="G504" s="0" t="s">
        <v>118</v>
      </c>
      <c r="H504" s="0" t="s">
        <v>606</v>
      </c>
    </row>
    <row r="505" customFormat="false" ht="15" hidden="false" customHeight="false" outlineLevel="0" collapsed="false">
      <c r="A505" s="0" t="s">
        <v>116</v>
      </c>
      <c r="B505" s="0" t="n">
        <v>2018</v>
      </c>
      <c r="C505" s="0" t="s">
        <v>73</v>
      </c>
      <c r="D505" s="0" t="n">
        <v>0</v>
      </c>
      <c r="E505" s="0" t="s">
        <v>400</v>
      </c>
      <c r="F505" s="0" t="s">
        <v>385</v>
      </c>
      <c r="G505" s="0" t="s">
        <v>118</v>
      </c>
      <c r="H505" s="0" t="s">
        <v>607</v>
      </c>
    </row>
    <row r="506" customFormat="false" ht="15" hidden="false" customHeight="false" outlineLevel="0" collapsed="false">
      <c r="A506" s="0" t="s">
        <v>116</v>
      </c>
      <c r="B506" s="0" t="n">
        <v>2018</v>
      </c>
      <c r="C506" s="0" t="s">
        <v>402</v>
      </c>
      <c r="D506" s="0" t="n">
        <v>52058</v>
      </c>
      <c r="E506" s="0" t="s">
        <v>384</v>
      </c>
      <c r="F506" s="0" t="s">
        <v>385</v>
      </c>
      <c r="G506" s="0" t="s">
        <v>118</v>
      </c>
      <c r="H506" s="0" t="s">
        <v>608</v>
      </c>
    </row>
    <row r="507" customFormat="false" ht="15" hidden="false" customHeight="false" outlineLevel="0" collapsed="false">
      <c r="A507" s="0" t="s">
        <v>116</v>
      </c>
      <c r="B507" s="0" t="n">
        <v>2018</v>
      </c>
      <c r="C507" s="0" t="s">
        <v>19</v>
      </c>
      <c r="D507" s="0" t="n">
        <v>1465984</v>
      </c>
      <c r="E507" s="0" t="s">
        <v>383</v>
      </c>
    </row>
    <row r="508" customFormat="false" ht="15" hidden="false" customHeight="false" outlineLevel="0" collapsed="false">
      <c r="A508" s="0" t="s">
        <v>116</v>
      </c>
      <c r="B508" s="0" t="n">
        <v>2018</v>
      </c>
      <c r="C508" s="0" t="s">
        <v>41</v>
      </c>
      <c r="D508" s="0" t="n">
        <v>3.40467563083908</v>
      </c>
      <c r="E508" s="0" t="s">
        <v>383</v>
      </c>
    </row>
    <row r="509" customFormat="false" ht="15" hidden="false" customHeight="false" outlineLevel="0" collapsed="false">
      <c r="A509" s="0" t="s">
        <v>116</v>
      </c>
      <c r="B509" s="0" t="n">
        <v>2018</v>
      </c>
      <c r="C509" s="0" t="s">
        <v>27</v>
      </c>
      <c r="D509" s="0" t="n">
        <v>10.6513386004021</v>
      </c>
      <c r="E509" s="0" t="s">
        <v>383</v>
      </c>
    </row>
    <row r="510" customFormat="false" ht="15" hidden="false" customHeight="false" outlineLevel="0" collapsed="false">
      <c r="A510" s="0" t="s">
        <v>116</v>
      </c>
      <c r="B510" s="0" t="n">
        <v>2018</v>
      </c>
      <c r="C510" s="0" t="s">
        <v>29</v>
      </c>
      <c r="D510" s="0" t="n">
        <v>-0.203822142670043</v>
      </c>
      <c r="E510" s="0" t="s">
        <v>383</v>
      </c>
    </row>
    <row r="511" customFormat="false" ht="15" hidden="false" customHeight="false" outlineLevel="0" collapsed="false">
      <c r="A511" s="0" t="s">
        <v>116</v>
      </c>
      <c r="B511" s="0" t="n">
        <v>2018</v>
      </c>
      <c r="C511" s="0" t="s">
        <v>43</v>
      </c>
      <c r="D511" s="0" t="n">
        <v>3.12097270899706</v>
      </c>
      <c r="E511" s="0" t="s">
        <v>383</v>
      </c>
    </row>
    <row r="512" customFormat="false" ht="15" hidden="false" customHeight="false" outlineLevel="0" collapsed="false">
      <c r="A512" s="0" t="s">
        <v>116</v>
      </c>
      <c r="B512" s="0" t="n">
        <v>2018</v>
      </c>
      <c r="C512" s="0" t="s">
        <v>31</v>
      </c>
      <c r="D512" s="0" t="n">
        <v>89.3486613995979</v>
      </c>
      <c r="E512" s="0" t="s">
        <v>383</v>
      </c>
    </row>
    <row r="513" customFormat="false" ht="15" hidden="false" customHeight="false" outlineLevel="0" collapsed="false">
      <c r="A513" s="0" t="s">
        <v>116</v>
      </c>
      <c r="B513" s="0" t="n">
        <v>2018</v>
      </c>
      <c r="C513" s="0" t="s">
        <v>33</v>
      </c>
      <c r="D513" s="0" t="n">
        <v>14.285042200842</v>
      </c>
      <c r="E513" s="0" t="s">
        <v>383</v>
      </c>
    </row>
    <row r="514" customFormat="false" ht="15" hidden="false" customHeight="false" outlineLevel="0" collapsed="false">
      <c r="A514" s="0" t="s">
        <v>116</v>
      </c>
      <c r="B514" s="0" t="n">
        <v>2018</v>
      </c>
      <c r="C514" s="0" t="s">
        <v>21</v>
      </c>
      <c r="D514" s="0" t="n">
        <v>0</v>
      </c>
      <c r="E514" s="0" t="s">
        <v>383</v>
      </c>
    </row>
    <row r="515" customFormat="false" ht="15" hidden="false" customHeight="false" outlineLevel="0" collapsed="false">
      <c r="A515" s="0" t="s">
        <v>116</v>
      </c>
      <c r="B515" s="0" t="n">
        <v>2019</v>
      </c>
      <c r="C515" s="0" t="s">
        <v>54</v>
      </c>
      <c r="D515" s="0" t="n">
        <v>52287</v>
      </c>
      <c r="E515" s="0" t="s">
        <v>384</v>
      </c>
      <c r="F515" s="0" t="s">
        <v>385</v>
      </c>
      <c r="G515" s="0" t="s">
        <v>120</v>
      </c>
      <c r="H515" s="0" t="s">
        <v>609</v>
      </c>
    </row>
    <row r="516" customFormat="false" ht="15" hidden="false" customHeight="false" outlineLevel="0" collapsed="false">
      <c r="A516" s="0" t="s">
        <v>116</v>
      </c>
      <c r="B516" s="0" t="n">
        <v>2019</v>
      </c>
      <c r="C516" s="0" t="s">
        <v>55</v>
      </c>
      <c r="D516" s="0" t="n">
        <v>1792320</v>
      </c>
      <c r="E516" s="0" t="s">
        <v>400</v>
      </c>
      <c r="F516" s="0" t="s">
        <v>385</v>
      </c>
      <c r="G516" s="0" t="s">
        <v>120</v>
      </c>
      <c r="H516" s="0" t="s">
        <v>610</v>
      </c>
    </row>
    <row r="517" customFormat="false" ht="15" hidden="false" customHeight="false" outlineLevel="0" collapsed="false">
      <c r="A517" s="0" t="s">
        <v>116</v>
      </c>
      <c r="B517" s="0" t="n">
        <v>2019</v>
      </c>
      <c r="C517" s="0" t="s">
        <v>56</v>
      </c>
      <c r="D517" s="0" t="n">
        <v>1590980</v>
      </c>
      <c r="E517" s="0" t="s">
        <v>400</v>
      </c>
      <c r="F517" s="0" t="s">
        <v>385</v>
      </c>
      <c r="G517" s="0" t="s">
        <v>120</v>
      </c>
      <c r="H517" s="0" t="s">
        <v>611</v>
      </c>
    </row>
    <row r="518" customFormat="false" ht="15" hidden="false" customHeight="false" outlineLevel="0" collapsed="false">
      <c r="A518" s="0" t="s">
        <v>116</v>
      </c>
      <c r="B518" s="0" t="n">
        <v>2019</v>
      </c>
      <c r="C518" s="0" t="s">
        <v>57</v>
      </c>
      <c r="D518" s="0" t="n">
        <v>201340</v>
      </c>
      <c r="E518" s="0" t="s">
        <v>400</v>
      </c>
      <c r="F518" s="0" t="s">
        <v>385</v>
      </c>
      <c r="G518" s="0" t="s">
        <v>120</v>
      </c>
      <c r="H518" s="0" t="s">
        <v>612</v>
      </c>
    </row>
    <row r="519" customFormat="false" ht="15" hidden="false" customHeight="false" outlineLevel="0" collapsed="false">
      <c r="A519" s="0" t="s">
        <v>116</v>
      </c>
      <c r="B519" s="0" t="n">
        <v>2019</v>
      </c>
      <c r="C519" s="0" t="s">
        <v>59</v>
      </c>
      <c r="D519" s="0" t="n">
        <v>1599245</v>
      </c>
      <c r="E519" s="0" t="s">
        <v>400</v>
      </c>
      <c r="F519" s="0" t="s">
        <v>385</v>
      </c>
      <c r="G519" s="0" t="s">
        <v>120</v>
      </c>
      <c r="H519" s="0" t="s">
        <v>613</v>
      </c>
    </row>
    <row r="520" customFormat="false" ht="15" hidden="false" customHeight="false" outlineLevel="0" collapsed="false">
      <c r="A520" s="0" t="s">
        <v>116</v>
      </c>
      <c r="B520" s="0" t="n">
        <v>2019</v>
      </c>
      <c r="C520" s="0" t="s">
        <v>62</v>
      </c>
      <c r="D520" s="0" t="n">
        <v>532124</v>
      </c>
      <c r="E520" s="0" t="s">
        <v>400</v>
      </c>
      <c r="F520" s="0" t="s">
        <v>385</v>
      </c>
      <c r="G520" s="0" t="s">
        <v>120</v>
      </c>
      <c r="H520" s="0" t="s">
        <v>614</v>
      </c>
    </row>
    <row r="521" customFormat="false" ht="15" hidden="false" customHeight="false" outlineLevel="0" collapsed="false">
      <c r="A521" s="0" t="s">
        <v>116</v>
      </c>
      <c r="B521" s="0" t="n">
        <v>2019</v>
      </c>
      <c r="C521" s="0" t="s">
        <v>63</v>
      </c>
      <c r="D521" s="0" t="n">
        <v>1664</v>
      </c>
      <c r="E521" s="0" t="s">
        <v>384</v>
      </c>
      <c r="F521" s="0" t="s">
        <v>385</v>
      </c>
      <c r="G521" s="0" t="s">
        <v>120</v>
      </c>
      <c r="H521" s="0" t="s">
        <v>615</v>
      </c>
    </row>
    <row r="522" customFormat="false" ht="15" hidden="false" customHeight="false" outlineLevel="0" collapsed="false">
      <c r="A522" s="0" t="s">
        <v>116</v>
      </c>
      <c r="B522" s="0" t="n">
        <v>2019</v>
      </c>
      <c r="C522" s="0" t="s">
        <v>73</v>
      </c>
      <c r="D522" s="0" t="n">
        <v>0</v>
      </c>
      <c r="E522" s="0" t="s">
        <v>400</v>
      </c>
      <c r="F522" s="0" t="s">
        <v>385</v>
      </c>
      <c r="G522" s="0" t="s">
        <v>120</v>
      </c>
      <c r="H522" s="0" t="s">
        <v>616</v>
      </c>
    </row>
    <row r="523" customFormat="false" ht="15" hidden="false" customHeight="false" outlineLevel="0" collapsed="false">
      <c r="A523" s="0" t="s">
        <v>116</v>
      </c>
      <c r="B523" s="0" t="n">
        <v>2019</v>
      </c>
      <c r="C523" s="0" t="s">
        <v>402</v>
      </c>
      <c r="D523" s="0" t="n">
        <v>56983</v>
      </c>
      <c r="E523" s="0" t="s">
        <v>384</v>
      </c>
      <c r="F523" s="0" t="s">
        <v>385</v>
      </c>
      <c r="G523" s="0" t="s">
        <v>120</v>
      </c>
      <c r="H523" s="0" t="s">
        <v>617</v>
      </c>
    </row>
    <row r="524" customFormat="false" ht="15" hidden="false" customHeight="false" outlineLevel="0" collapsed="false">
      <c r="A524" s="0" t="s">
        <v>116</v>
      </c>
      <c r="B524" s="0" t="n">
        <v>2019</v>
      </c>
      <c r="C524" s="0" t="s">
        <v>19</v>
      </c>
      <c r="D524" s="0" t="n">
        <v>1695782.5</v>
      </c>
      <c r="E524" s="0" t="s">
        <v>383</v>
      </c>
    </row>
    <row r="525" customFormat="false" ht="15" hidden="false" customHeight="false" outlineLevel="0" collapsed="false">
      <c r="A525" s="0" t="s">
        <v>116</v>
      </c>
      <c r="B525" s="0" t="n">
        <v>2019</v>
      </c>
      <c r="C525" s="0" t="s">
        <v>41</v>
      </c>
      <c r="D525" s="0" t="n">
        <v>3.08335532416451</v>
      </c>
      <c r="E525" s="0" t="s">
        <v>383</v>
      </c>
    </row>
    <row r="526" customFormat="false" ht="15" hidden="false" customHeight="false" outlineLevel="0" collapsed="false">
      <c r="A526" s="0" t="s">
        <v>116</v>
      </c>
      <c r="B526" s="0" t="n">
        <v>2019</v>
      </c>
      <c r="C526" s="0" t="s">
        <v>27</v>
      </c>
      <c r="D526" s="0" t="n">
        <v>11.2334850919479</v>
      </c>
      <c r="E526" s="0" t="s">
        <v>383</v>
      </c>
    </row>
    <row r="527" customFormat="false" ht="15" hidden="false" customHeight="false" outlineLevel="0" collapsed="false">
      <c r="A527" s="0" t="s">
        <v>116</v>
      </c>
      <c r="B527" s="0" t="n">
        <v>2019</v>
      </c>
      <c r="C527" s="0" t="s">
        <v>29</v>
      </c>
      <c r="D527" s="0" t="n">
        <v>0.0981257914856416</v>
      </c>
      <c r="E527" s="0" t="s">
        <v>383</v>
      </c>
    </row>
    <row r="528" customFormat="false" ht="15" hidden="false" customHeight="false" outlineLevel="0" collapsed="false">
      <c r="A528" s="0" t="s">
        <v>116</v>
      </c>
      <c r="B528" s="0" t="n">
        <v>2019</v>
      </c>
      <c r="C528" s="0" t="s">
        <v>43</v>
      </c>
      <c r="D528" s="0" t="n">
        <v>2.91728039635779</v>
      </c>
      <c r="E528" s="0" t="s">
        <v>383</v>
      </c>
    </row>
    <row r="529" customFormat="false" ht="15" hidden="false" customHeight="false" outlineLevel="0" collapsed="false">
      <c r="A529" s="0" t="s">
        <v>116</v>
      </c>
      <c r="B529" s="0" t="n">
        <v>2019</v>
      </c>
      <c r="C529" s="0" t="s">
        <v>31</v>
      </c>
      <c r="D529" s="0" t="n">
        <v>88.7665149080521</v>
      </c>
      <c r="E529" s="0" t="s">
        <v>383</v>
      </c>
    </row>
    <row r="530" customFormat="false" ht="15" hidden="false" customHeight="false" outlineLevel="0" collapsed="false">
      <c r="A530" s="0" t="s">
        <v>116</v>
      </c>
      <c r="B530" s="0" t="n">
        <v>2019</v>
      </c>
      <c r="C530" s="0" t="s">
        <v>33</v>
      </c>
      <c r="D530" s="0" t="n">
        <v>14.3990214280036</v>
      </c>
      <c r="E530" s="0" t="s">
        <v>383</v>
      </c>
    </row>
    <row r="531" customFormat="false" ht="15" hidden="false" customHeight="false" outlineLevel="0" collapsed="false">
      <c r="A531" s="0" t="s">
        <v>116</v>
      </c>
      <c r="B531" s="0" t="n">
        <v>2019</v>
      </c>
      <c r="C531" s="0" t="s">
        <v>21</v>
      </c>
      <c r="D531" s="0" t="n">
        <v>0</v>
      </c>
      <c r="E531" s="0" t="s">
        <v>383</v>
      </c>
    </row>
    <row r="532" customFormat="false" ht="15" hidden="false" customHeight="false" outlineLevel="0" collapsed="false">
      <c r="A532" s="0" t="s">
        <v>116</v>
      </c>
      <c r="B532" s="0" t="n">
        <v>2020</v>
      </c>
      <c r="C532" s="0" t="s">
        <v>54</v>
      </c>
      <c r="D532" s="0" t="n">
        <v>59489</v>
      </c>
      <c r="E532" s="0" t="s">
        <v>384</v>
      </c>
      <c r="F532" s="0" t="s">
        <v>385</v>
      </c>
      <c r="G532" s="0" t="s">
        <v>122</v>
      </c>
      <c r="H532" s="0" t="s">
        <v>618</v>
      </c>
    </row>
    <row r="533" customFormat="false" ht="15" hidden="false" customHeight="false" outlineLevel="0" collapsed="false">
      <c r="A533" s="0" t="s">
        <v>116</v>
      </c>
      <c r="B533" s="0" t="n">
        <v>2020</v>
      </c>
      <c r="C533" s="0" t="s">
        <v>55</v>
      </c>
      <c r="D533" s="0" t="n">
        <v>2370347</v>
      </c>
      <c r="E533" s="0" t="s">
        <v>384</v>
      </c>
      <c r="F533" s="0" t="s">
        <v>385</v>
      </c>
      <c r="G533" s="0" t="s">
        <v>122</v>
      </c>
      <c r="H533" s="0" t="s">
        <v>619</v>
      </c>
    </row>
    <row r="534" customFormat="false" ht="15" hidden="false" customHeight="false" outlineLevel="0" collapsed="false">
      <c r="A534" s="0" t="s">
        <v>116</v>
      </c>
      <c r="B534" s="0" t="n">
        <v>2020</v>
      </c>
      <c r="C534" s="0" t="s">
        <v>56</v>
      </c>
      <c r="D534" s="0" t="n">
        <v>2128226</v>
      </c>
      <c r="E534" s="0" t="s">
        <v>384</v>
      </c>
      <c r="F534" s="0" t="s">
        <v>385</v>
      </c>
      <c r="G534" s="0" t="s">
        <v>122</v>
      </c>
      <c r="H534" s="0" t="s">
        <v>620</v>
      </c>
    </row>
    <row r="535" customFormat="false" ht="15" hidden="false" customHeight="false" outlineLevel="0" collapsed="false">
      <c r="A535" s="0" t="s">
        <v>116</v>
      </c>
      <c r="B535" s="0" t="n">
        <v>2020</v>
      </c>
      <c r="C535" s="0" t="s">
        <v>57</v>
      </c>
      <c r="D535" s="0" t="n">
        <v>242121</v>
      </c>
      <c r="E535" s="0" t="s">
        <v>384</v>
      </c>
      <c r="F535" s="0" t="s">
        <v>385</v>
      </c>
      <c r="G535" s="0" t="s">
        <v>122</v>
      </c>
      <c r="H535" s="0" t="s">
        <v>621</v>
      </c>
    </row>
    <row r="536" customFormat="false" ht="15" hidden="false" customHeight="false" outlineLevel="0" collapsed="false">
      <c r="A536" s="0" t="s">
        <v>116</v>
      </c>
      <c r="B536" s="0" t="n">
        <v>2020</v>
      </c>
      <c r="C536" s="0" t="s">
        <v>58</v>
      </c>
      <c r="D536" s="0" t="n">
        <v>465539</v>
      </c>
      <c r="E536" s="0" t="s">
        <v>384</v>
      </c>
      <c r="F536" s="0" t="s">
        <v>385</v>
      </c>
      <c r="G536" s="0" t="s">
        <v>122</v>
      </c>
      <c r="H536" s="0" t="s">
        <v>622</v>
      </c>
    </row>
    <row r="537" customFormat="false" ht="15" hidden="false" customHeight="false" outlineLevel="0" collapsed="false">
      <c r="A537" s="0" t="s">
        <v>116</v>
      </c>
      <c r="B537" s="0" t="n">
        <v>2020</v>
      </c>
      <c r="C537" s="0" t="s">
        <v>60</v>
      </c>
      <c r="D537" s="0" t="n">
        <v>655292</v>
      </c>
      <c r="E537" s="0" t="s">
        <v>384</v>
      </c>
      <c r="F537" s="0" t="s">
        <v>385</v>
      </c>
      <c r="G537" s="0" t="s">
        <v>122</v>
      </c>
      <c r="H537" s="0" t="s">
        <v>623</v>
      </c>
    </row>
    <row r="538" customFormat="false" ht="15" hidden="false" customHeight="false" outlineLevel="0" collapsed="false">
      <c r="A538" s="0" t="s">
        <v>116</v>
      </c>
      <c r="B538" s="0" t="n">
        <v>2020</v>
      </c>
      <c r="C538" s="0" t="s">
        <v>61</v>
      </c>
      <c r="D538" s="0" t="n">
        <v>30153</v>
      </c>
      <c r="E538" s="0" t="s">
        <v>384</v>
      </c>
      <c r="F538" s="0" t="s">
        <v>385</v>
      </c>
      <c r="G538" s="0" t="s">
        <v>122</v>
      </c>
      <c r="H538" s="0" t="s">
        <v>624</v>
      </c>
    </row>
    <row r="539" customFormat="false" ht="15" hidden="false" customHeight="false" outlineLevel="0" collapsed="false">
      <c r="A539" s="0" t="s">
        <v>116</v>
      </c>
      <c r="B539" s="0" t="n">
        <v>2020</v>
      </c>
      <c r="C539" s="0" t="s">
        <v>62</v>
      </c>
      <c r="D539" s="0" t="n">
        <v>625139</v>
      </c>
      <c r="E539" s="0" t="s">
        <v>384</v>
      </c>
      <c r="F539" s="0" t="s">
        <v>385</v>
      </c>
      <c r="G539" s="0" t="s">
        <v>122</v>
      </c>
      <c r="H539" s="0" t="s">
        <v>625</v>
      </c>
    </row>
    <row r="540" customFormat="false" ht="15" hidden="false" customHeight="false" outlineLevel="0" collapsed="false">
      <c r="A540" s="0" t="s">
        <v>116</v>
      </c>
      <c r="B540" s="0" t="n">
        <v>2020</v>
      </c>
      <c r="C540" s="0" t="s">
        <v>63</v>
      </c>
      <c r="D540" s="0" t="n">
        <v>10170</v>
      </c>
      <c r="E540" s="0" t="s">
        <v>384</v>
      </c>
      <c r="F540" s="0" t="s">
        <v>385</v>
      </c>
      <c r="G540" s="0" t="s">
        <v>122</v>
      </c>
      <c r="H540" s="0" t="s">
        <v>626</v>
      </c>
    </row>
    <row r="541" customFormat="false" ht="15" hidden="false" customHeight="false" outlineLevel="0" collapsed="false">
      <c r="A541" s="0" t="s">
        <v>116</v>
      </c>
      <c r="B541" s="0" t="n">
        <v>2020</v>
      </c>
      <c r="C541" s="0" t="s">
        <v>69</v>
      </c>
      <c r="D541" s="0" t="n">
        <v>19.4</v>
      </c>
      <c r="E541" s="0" t="s">
        <v>384</v>
      </c>
      <c r="F541" s="0" t="s">
        <v>385</v>
      </c>
      <c r="G541" s="0" t="s">
        <v>122</v>
      </c>
      <c r="H541" s="0" t="s">
        <v>627</v>
      </c>
    </row>
    <row r="542" customFormat="false" ht="15" hidden="false" customHeight="false" outlineLevel="0" collapsed="false">
      <c r="A542" s="0" t="s">
        <v>116</v>
      </c>
      <c r="B542" s="0" t="n">
        <v>2020</v>
      </c>
      <c r="C542" s="0" t="s">
        <v>591</v>
      </c>
      <c r="D542" s="0" t="n">
        <v>19.6</v>
      </c>
      <c r="E542" s="0" t="s">
        <v>384</v>
      </c>
      <c r="F542" s="0" t="s">
        <v>385</v>
      </c>
      <c r="G542" s="0" t="s">
        <v>122</v>
      </c>
      <c r="H542" s="0" t="s">
        <v>628</v>
      </c>
    </row>
    <row r="543" customFormat="false" ht="15" hidden="false" customHeight="false" outlineLevel="0" collapsed="false">
      <c r="A543" s="0" t="s">
        <v>116</v>
      </c>
      <c r="B543" s="0" t="n">
        <v>2020</v>
      </c>
      <c r="C543" s="0" t="s">
        <v>65</v>
      </c>
      <c r="D543" s="0" t="n">
        <v>221408</v>
      </c>
      <c r="E543" s="0" t="s">
        <v>567</v>
      </c>
      <c r="F543" s="0" t="s">
        <v>385</v>
      </c>
      <c r="G543" s="0" t="s">
        <v>122</v>
      </c>
      <c r="H543" s="0" t="s">
        <v>629</v>
      </c>
      <c r="I543" s="0" t="s">
        <v>437</v>
      </c>
    </row>
    <row r="544" customFormat="false" ht="15" hidden="false" customHeight="false" outlineLevel="0" collapsed="false">
      <c r="A544" s="0" t="s">
        <v>116</v>
      </c>
      <c r="B544" s="0" t="n">
        <v>2020</v>
      </c>
      <c r="C544" s="0" t="s">
        <v>66</v>
      </c>
      <c r="D544" s="0" t="n">
        <v>1140396</v>
      </c>
      <c r="E544" s="0" t="s">
        <v>384</v>
      </c>
      <c r="F544" s="0" t="s">
        <v>385</v>
      </c>
      <c r="G544" s="0" t="s">
        <v>122</v>
      </c>
      <c r="H544" s="0" t="s">
        <v>630</v>
      </c>
    </row>
    <row r="545" customFormat="false" ht="15" hidden="false" customHeight="false" outlineLevel="0" collapsed="false">
      <c r="A545" s="0" t="s">
        <v>116</v>
      </c>
      <c r="B545" s="0" t="n">
        <v>2020</v>
      </c>
      <c r="C545" s="0" t="s">
        <v>595</v>
      </c>
      <c r="D545" s="0" t="n">
        <v>223468</v>
      </c>
      <c r="E545" s="0" t="s">
        <v>567</v>
      </c>
      <c r="F545" s="0" t="s">
        <v>385</v>
      </c>
      <c r="G545" s="0" t="s">
        <v>122</v>
      </c>
      <c r="H545" s="0" t="s">
        <v>631</v>
      </c>
    </row>
    <row r="546" customFormat="false" ht="15" hidden="false" customHeight="false" outlineLevel="0" collapsed="false">
      <c r="A546" s="0" t="s">
        <v>116</v>
      </c>
      <c r="B546" s="0" t="n">
        <v>2020</v>
      </c>
      <c r="C546" s="0" t="s">
        <v>68</v>
      </c>
      <c r="D546" s="0" t="n">
        <v>21963</v>
      </c>
      <c r="E546" s="0" t="s">
        <v>384</v>
      </c>
      <c r="F546" s="0" t="s">
        <v>385</v>
      </c>
      <c r="G546" s="0" t="s">
        <v>122</v>
      </c>
      <c r="H546" s="0" t="s">
        <v>632</v>
      </c>
    </row>
    <row r="547" customFormat="false" ht="15" hidden="false" customHeight="false" outlineLevel="0" collapsed="false">
      <c r="A547" s="0" t="s">
        <v>116</v>
      </c>
      <c r="B547" s="0" t="n">
        <v>2020</v>
      </c>
      <c r="C547" s="0" t="s">
        <v>402</v>
      </c>
      <c r="D547" s="0" t="n">
        <v>58306</v>
      </c>
      <c r="E547" s="0" t="s">
        <v>384</v>
      </c>
      <c r="F547" s="0" t="s">
        <v>385</v>
      </c>
      <c r="G547" s="0" t="s">
        <v>122</v>
      </c>
      <c r="H547" s="0" t="s">
        <v>633</v>
      </c>
    </row>
    <row r="548" customFormat="false" ht="15" hidden="false" customHeight="false" outlineLevel="0" collapsed="false">
      <c r="A548" s="0" t="s">
        <v>116</v>
      </c>
      <c r="B548" s="0" t="n">
        <v>2020</v>
      </c>
      <c r="C548" s="0" t="s">
        <v>27</v>
      </c>
      <c r="D548" s="0" t="n">
        <v>10.2145803968786</v>
      </c>
      <c r="E548" s="0" t="s">
        <v>383</v>
      </c>
    </row>
    <row r="549" customFormat="false" ht="15" hidden="false" customHeight="false" outlineLevel="0" collapsed="false">
      <c r="A549" s="0" t="s">
        <v>116</v>
      </c>
      <c r="B549" s="0" t="n">
        <v>2020</v>
      </c>
      <c r="C549" s="0" t="s">
        <v>17</v>
      </c>
      <c r="D549" s="0" t="n">
        <v>4.60146011243842</v>
      </c>
      <c r="E549" s="0" t="s">
        <v>383</v>
      </c>
    </row>
    <row r="550" customFormat="false" ht="15" hidden="false" customHeight="false" outlineLevel="0" collapsed="false">
      <c r="A550" s="0" t="s">
        <v>116</v>
      </c>
      <c r="B550" s="0" t="n">
        <v>2020</v>
      </c>
      <c r="C550" s="0" t="s">
        <v>25</v>
      </c>
      <c r="D550" s="0" t="n">
        <v>19.4150102245185</v>
      </c>
      <c r="E550" s="0" t="s">
        <v>383</v>
      </c>
    </row>
    <row r="551" customFormat="false" ht="15" hidden="false" customHeight="false" outlineLevel="0" collapsed="false">
      <c r="A551" s="0" t="s">
        <v>116</v>
      </c>
      <c r="B551" s="0" t="n">
        <v>2020</v>
      </c>
      <c r="C551" s="0" t="s">
        <v>43</v>
      </c>
      <c r="D551" s="0" t="n">
        <v>2.50971693174037</v>
      </c>
      <c r="E551" s="0" t="s">
        <v>383</v>
      </c>
    </row>
    <row r="552" customFormat="false" ht="15" hidden="false" customHeight="false" outlineLevel="0" collapsed="false">
      <c r="A552" s="0" t="s">
        <v>116</v>
      </c>
      <c r="B552" s="0" t="n">
        <v>2020</v>
      </c>
      <c r="C552" s="0" t="s">
        <v>31</v>
      </c>
      <c r="D552" s="0" t="n">
        <v>89.7854196031214</v>
      </c>
      <c r="E552" s="0" t="s">
        <v>383</v>
      </c>
    </row>
    <row r="553" customFormat="false" ht="15" hidden="false" customHeight="false" outlineLevel="0" collapsed="false">
      <c r="A553" s="0" t="s">
        <v>116</v>
      </c>
      <c r="B553" s="0" t="n">
        <v>2020</v>
      </c>
      <c r="C553" s="0" t="s">
        <v>33</v>
      </c>
      <c r="D553" s="0" t="n">
        <v>14.678546915896</v>
      </c>
      <c r="E553" s="0" t="s">
        <v>383</v>
      </c>
    </row>
    <row r="554" customFormat="false" ht="15" hidden="false" customHeight="false" outlineLevel="0" collapsed="false">
      <c r="A554" s="0" t="s">
        <v>116</v>
      </c>
      <c r="B554" s="0" t="n">
        <v>2020</v>
      </c>
      <c r="C554" s="0" t="s">
        <v>21</v>
      </c>
      <c r="D554" s="0" t="n">
        <v>0</v>
      </c>
      <c r="E554" s="0" t="s">
        <v>383</v>
      </c>
    </row>
    <row r="555" customFormat="false" ht="15" hidden="false" customHeight="false" outlineLevel="0" collapsed="false">
      <c r="A555" s="0" t="s">
        <v>116</v>
      </c>
      <c r="B555" s="0" t="n">
        <v>2020</v>
      </c>
      <c r="C555" s="0" t="s">
        <v>35</v>
      </c>
      <c r="D555" s="0" t="n">
        <v>0</v>
      </c>
      <c r="E555" s="0" t="s">
        <v>383</v>
      </c>
    </row>
    <row r="556" customFormat="false" ht="15" hidden="false" customHeight="false" outlineLevel="0" collapsed="false">
      <c r="A556" s="0" t="s">
        <v>116</v>
      </c>
      <c r="B556" s="0" t="n">
        <v>2021</v>
      </c>
      <c r="C556" s="0" t="s">
        <v>54</v>
      </c>
      <c r="D556" s="0" t="n">
        <v>29570</v>
      </c>
      <c r="E556" s="0" t="s">
        <v>384</v>
      </c>
      <c r="F556" s="0" t="s">
        <v>385</v>
      </c>
      <c r="G556" s="0" t="s">
        <v>123</v>
      </c>
      <c r="H556" s="0" t="s">
        <v>634</v>
      </c>
    </row>
    <row r="557" customFormat="false" ht="15" hidden="false" customHeight="false" outlineLevel="0" collapsed="false">
      <c r="A557" s="0" t="s">
        <v>116</v>
      </c>
      <c r="B557" s="0" t="n">
        <v>2021</v>
      </c>
      <c r="C557" s="0" t="s">
        <v>55</v>
      </c>
      <c r="D557" s="0" t="n">
        <v>2614087</v>
      </c>
      <c r="E557" s="0" t="s">
        <v>384</v>
      </c>
      <c r="F557" s="0" t="s">
        <v>385</v>
      </c>
      <c r="G557" s="0" t="s">
        <v>123</v>
      </c>
      <c r="H557" s="0" t="s">
        <v>635</v>
      </c>
    </row>
    <row r="558" customFormat="false" ht="15" hidden="false" customHeight="false" outlineLevel="0" collapsed="false">
      <c r="A558" s="0" t="s">
        <v>116</v>
      </c>
      <c r="B558" s="0" t="n">
        <v>2021</v>
      </c>
      <c r="C558" s="0" t="s">
        <v>56</v>
      </c>
      <c r="D558" s="0" t="n">
        <v>2362312</v>
      </c>
      <c r="E558" s="0" t="s">
        <v>384</v>
      </c>
      <c r="F558" s="0" t="s">
        <v>385</v>
      </c>
      <c r="G558" s="0" t="s">
        <v>123</v>
      </c>
      <c r="H558" s="0" t="s">
        <v>636</v>
      </c>
    </row>
    <row r="559" customFormat="false" ht="15" hidden="false" customHeight="false" outlineLevel="0" collapsed="false">
      <c r="A559" s="0" t="s">
        <v>116</v>
      </c>
      <c r="B559" s="0" t="n">
        <v>2021</v>
      </c>
      <c r="C559" s="0" t="s">
        <v>57</v>
      </c>
      <c r="D559" s="0" t="n">
        <v>251775</v>
      </c>
      <c r="E559" s="0" t="s">
        <v>384</v>
      </c>
      <c r="F559" s="0" t="s">
        <v>385</v>
      </c>
      <c r="G559" s="0" t="s">
        <v>123</v>
      </c>
      <c r="H559" s="0" t="s">
        <v>637</v>
      </c>
    </row>
    <row r="560" customFormat="false" ht="15" hidden="false" customHeight="false" outlineLevel="0" collapsed="false">
      <c r="A560" s="0" t="s">
        <v>116</v>
      </c>
      <c r="B560" s="0" t="n">
        <v>2021</v>
      </c>
      <c r="C560" s="0" t="s">
        <v>58</v>
      </c>
      <c r="D560" s="0" t="n">
        <v>55771</v>
      </c>
      <c r="E560" s="0" t="s">
        <v>384</v>
      </c>
      <c r="F560" s="0" t="s">
        <v>385</v>
      </c>
      <c r="G560" s="0" t="s">
        <v>123</v>
      </c>
      <c r="H560" s="0" t="s">
        <v>638</v>
      </c>
    </row>
    <row r="561" customFormat="false" ht="15" hidden="false" customHeight="false" outlineLevel="0" collapsed="false">
      <c r="A561" s="0" t="s">
        <v>116</v>
      </c>
      <c r="B561" s="0" t="n">
        <v>2021</v>
      </c>
      <c r="C561" s="0" t="s">
        <v>59</v>
      </c>
      <c r="D561" s="0" t="n">
        <v>2370347</v>
      </c>
      <c r="E561" s="0" t="s">
        <v>384</v>
      </c>
      <c r="F561" s="0" t="s">
        <v>385</v>
      </c>
      <c r="G561" s="0" t="s">
        <v>123</v>
      </c>
      <c r="H561" s="0" t="s">
        <v>639</v>
      </c>
    </row>
    <row r="562" customFormat="false" ht="15" hidden="false" customHeight="false" outlineLevel="0" collapsed="false">
      <c r="A562" s="0" t="s">
        <v>116</v>
      </c>
      <c r="B562" s="0" t="n">
        <v>2021</v>
      </c>
      <c r="C562" s="0" t="s">
        <v>60</v>
      </c>
      <c r="D562" s="0" t="n">
        <v>946259</v>
      </c>
      <c r="E562" s="0" t="s">
        <v>384</v>
      </c>
      <c r="F562" s="0" t="s">
        <v>385</v>
      </c>
      <c r="G562" s="0" t="s">
        <v>123</v>
      </c>
      <c r="H562" s="0" t="s">
        <v>640</v>
      </c>
    </row>
    <row r="563" customFormat="false" ht="15" hidden="false" customHeight="false" outlineLevel="0" collapsed="false">
      <c r="A563" s="0" t="s">
        <v>116</v>
      </c>
      <c r="B563" s="0" t="n">
        <v>2021</v>
      </c>
      <c r="C563" s="0" t="s">
        <v>61</v>
      </c>
      <c r="D563" s="0" t="n">
        <v>25215</v>
      </c>
      <c r="E563" s="0" t="s">
        <v>384</v>
      </c>
      <c r="F563" s="0" t="s">
        <v>385</v>
      </c>
      <c r="G563" s="0" t="s">
        <v>123</v>
      </c>
      <c r="H563" s="0" t="s">
        <v>641</v>
      </c>
    </row>
    <row r="564" customFormat="false" ht="15" hidden="false" customHeight="false" outlineLevel="0" collapsed="false">
      <c r="A564" s="0" t="s">
        <v>116</v>
      </c>
      <c r="B564" s="0" t="n">
        <v>2021</v>
      </c>
      <c r="C564" s="0" t="s">
        <v>62</v>
      </c>
      <c r="D564" s="0" t="n">
        <v>921044</v>
      </c>
      <c r="E564" s="0" t="s">
        <v>384</v>
      </c>
      <c r="F564" s="0" t="s">
        <v>385</v>
      </c>
      <c r="G564" s="0" t="s">
        <v>123</v>
      </c>
      <c r="H564" s="0" t="s">
        <v>642</v>
      </c>
    </row>
    <row r="565" customFormat="false" ht="15" hidden="false" customHeight="false" outlineLevel="0" collapsed="false">
      <c r="A565" s="0" t="s">
        <v>116</v>
      </c>
      <c r="B565" s="0" t="n">
        <v>2021</v>
      </c>
      <c r="C565" s="0" t="s">
        <v>63</v>
      </c>
      <c r="D565" s="0" t="n">
        <v>-1208</v>
      </c>
      <c r="E565" s="0" t="s">
        <v>384</v>
      </c>
      <c r="F565" s="0" t="s">
        <v>385</v>
      </c>
      <c r="G565" s="0" t="s">
        <v>123</v>
      </c>
      <c r="H565" s="0" t="s">
        <v>643</v>
      </c>
    </row>
    <row r="566" customFormat="false" ht="15" hidden="false" customHeight="false" outlineLevel="0" collapsed="false">
      <c r="A566" s="0" t="s">
        <v>116</v>
      </c>
      <c r="B566" s="0" t="n">
        <v>2021</v>
      </c>
      <c r="C566" s="0" t="s">
        <v>69</v>
      </c>
      <c r="D566" s="0" t="n">
        <v>16.1</v>
      </c>
      <c r="E566" s="0" t="s">
        <v>384</v>
      </c>
      <c r="F566" s="0" t="s">
        <v>385</v>
      </c>
      <c r="G566" s="0" t="s">
        <v>123</v>
      </c>
      <c r="H566" s="0" t="s">
        <v>644</v>
      </c>
    </row>
    <row r="567" customFormat="false" ht="15" hidden="false" customHeight="false" outlineLevel="0" collapsed="false">
      <c r="A567" s="0" t="s">
        <v>116</v>
      </c>
      <c r="B567" s="0" t="n">
        <v>2021</v>
      </c>
      <c r="C567" s="0" t="s">
        <v>591</v>
      </c>
      <c r="D567" s="0" t="n">
        <v>16.1</v>
      </c>
      <c r="E567" s="0" t="s">
        <v>384</v>
      </c>
      <c r="F567" s="0" t="s">
        <v>385</v>
      </c>
      <c r="G567" s="0" t="s">
        <v>123</v>
      </c>
      <c r="H567" s="0" t="s">
        <v>645</v>
      </c>
    </row>
    <row r="568" customFormat="false" ht="15" hidden="false" customHeight="false" outlineLevel="0" collapsed="false">
      <c r="A568" s="0" t="s">
        <v>116</v>
      </c>
      <c r="B568" s="0" t="n">
        <v>2021</v>
      </c>
      <c r="C568" s="0" t="s">
        <v>65</v>
      </c>
      <c r="D568" s="0" t="n">
        <v>226940</v>
      </c>
      <c r="E568" s="0" t="s">
        <v>384</v>
      </c>
      <c r="F568" s="0" t="s">
        <v>385</v>
      </c>
      <c r="G568" s="0" t="s">
        <v>123</v>
      </c>
      <c r="H568" s="0" t="s">
        <v>646</v>
      </c>
      <c r="I568" s="0" t="s">
        <v>564</v>
      </c>
    </row>
    <row r="569" customFormat="false" ht="15" hidden="false" customHeight="false" outlineLevel="0" collapsed="false">
      <c r="A569" s="0" t="s">
        <v>116</v>
      </c>
      <c r="B569" s="0" t="n">
        <v>2021</v>
      </c>
      <c r="C569" s="0" t="s">
        <v>66</v>
      </c>
      <c r="D569" s="0" t="n">
        <v>1405941</v>
      </c>
      <c r="E569" s="0" t="s">
        <v>384</v>
      </c>
      <c r="F569" s="0" t="s">
        <v>385</v>
      </c>
      <c r="G569" s="0" t="s">
        <v>123</v>
      </c>
      <c r="H569" s="0" t="s">
        <v>647</v>
      </c>
    </row>
    <row r="570" customFormat="false" ht="15" hidden="false" customHeight="false" outlineLevel="0" collapsed="false">
      <c r="A570" s="0" t="s">
        <v>116</v>
      </c>
      <c r="B570" s="0" t="n">
        <v>2021</v>
      </c>
      <c r="C570" s="0" t="s">
        <v>73</v>
      </c>
      <c r="D570" s="0" t="n">
        <v>0</v>
      </c>
      <c r="E570" s="0" t="s">
        <v>400</v>
      </c>
      <c r="F570" s="0" t="s">
        <v>385</v>
      </c>
      <c r="G570" s="0" t="s">
        <v>123</v>
      </c>
      <c r="H570" s="0" t="s">
        <v>648</v>
      </c>
    </row>
    <row r="571" customFormat="false" ht="15" hidden="false" customHeight="false" outlineLevel="0" collapsed="false">
      <c r="A571" s="0" t="s">
        <v>116</v>
      </c>
      <c r="B571" s="0" t="n">
        <v>2021</v>
      </c>
      <c r="C571" s="0" t="s">
        <v>68</v>
      </c>
      <c r="D571" s="0" t="n">
        <v>15907</v>
      </c>
      <c r="E571" s="0" t="s">
        <v>384</v>
      </c>
      <c r="F571" s="0" t="s">
        <v>385</v>
      </c>
      <c r="G571" s="0" t="s">
        <v>123</v>
      </c>
      <c r="H571" s="0" t="s">
        <v>649</v>
      </c>
    </row>
    <row r="572" customFormat="false" ht="15" hidden="false" customHeight="false" outlineLevel="0" collapsed="false">
      <c r="A572" s="0" t="s">
        <v>116</v>
      </c>
      <c r="B572" s="0" t="n">
        <v>2021</v>
      </c>
      <c r="C572" s="0" t="s">
        <v>402</v>
      </c>
      <c r="D572" s="0" t="n">
        <v>23433</v>
      </c>
      <c r="E572" s="0" t="s">
        <v>384</v>
      </c>
      <c r="F572" s="0" t="s">
        <v>385</v>
      </c>
      <c r="G572" s="0" t="s">
        <v>123</v>
      </c>
      <c r="H572" s="0" t="s">
        <v>650</v>
      </c>
    </row>
    <row r="573" customFormat="false" ht="15" hidden="false" customHeight="false" outlineLevel="0" collapsed="false">
      <c r="A573" s="0" t="s">
        <v>116</v>
      </c>
      <c r="B573" s="0" t="n">
        <v>2021</v>
      </c>
      <c r="C573" s="0" t="s">
        <v>19</v>
      </c>
      <c r="D573" s="0" t="n">
        <v>2492217</v>
      </c>
      <c r="E573" s="0" t="s">
        <v>383</v>
      </c>
    </row>
    <row r="574" customFormat="false" ht="15" hidden="false" customHeight="false" outlineLevel="0" collapsed="false">
      <c r="A574" s="0" t="s">
        <v>116</v>
      </c>
      <c r="B574" s="0" t="n">
        <v>2021</v>
      </c>
      <c r="C574" s="0" t="s">
        <v>41</v>
      </c>
      <c r="D574" s="0" t="n">
        <v>1.18649379247473</v>
      </c>
      <c r="E574" s="0" t="s">
        <v>383</v>
      </c>
    </row>
    <row r="575" customFormat="false" ht="15" hidden="false" customHeight="false" outlineLevel="0" collapsed="false">
      <c r="A575" s="0" t="s">
        <v>116</v>
      </c>
      <c r="B575" s="0" t="n">
        <v>2021</v>
      </c>
      <c r="C575" s="0" t="s">
        <v>27</v>
      </c>
      <c r="D575" s="0" t="n">
        <v>9.63146980188494</v>
      </c>
      <c r="E575" s="0" t="s">
        <v>383</v>
      </c>
    </row>
    <row r="576" customFormat="false" ht="15" hidden="false" customHeight="false" outlineLevel="0" collapsed="false">
      <c r="A576" s="0" t="s">
        <v>116</v>
      </c>
      <c r="B576" s="0" t="n">
        <v>2021</v>
      </c>
      <c r="C576" s="0" t="s">
        <v>39</v>
      </c>
      <c r="D576" s="0" t="n">
        <v>2.23780673994279</v>
      </c>
      <c r="E576" s="0" t="s">
        <v>383</v>
      </c>
    </row>
    <row r="577" customFormat="false" ht="15" hidden="false" customHeight="false" outlineLevel="0" collapsed="false">
      <c r="A577" s="0" t="s">
        <v>116</v>
      </c>
      <c r="B577" s="0" t="n">
        <v>2021</v>
      </c>
      <c r="C577" s="0" t="s">
        <v>17</v>
      </c>
      <c r="D577" s="0" t="n">
        <v>2.6647038495803</v>
      </c>
      <c r="E577" s="0" t="s">
        <v>383</v>
      </c>
    </row>
    <row r="578" customFormat="false" ht="15" hidden="false" customHeight="false" outlineLevel="0" collapsed="false">
      <c r="A578" s="0" t="s">
        <v>116</v>
      </c>
      <c r="B578" s="0" t="n">
        <v>2021</v>
      </c>
      <c r="C578" s="0" t="s">
        <v>25</v>
      </c>
      <c r="D578" s="0" t="n">
        <v>16.1415023816789</v>
      </c>
      <c r="E578" s="0" t="s">
        <v>383</v>
      </c>
    </row>
    <row r="579" customFormat="false" ht="15" hidden="false" customHeight="false" outlineLevel="0" collapsed="false">
      <c r="A579" s="0" t="s">
        <v>116</v>
      </c>
      <c r="B579" s="0" t="n">
        <v>2021</v>
      </c>
      <c r="C579" s="0" t="s">
        <v>29</v>
      </c>
      <c r="D579" s="0" t="n">
        <v>-0.0484708996046492</v>
      </c>
      <c r="E579" s="0" t="s">
        <v>383</v>
      </c>
    </row>
    <row r="580" customFormat="false" ht="15" hidden="false" customHeight="false" outlineLevel="0" collapsed="false">
      <c r="A580" s="0" t="s">
        <v>116</v>
      </c>
      <c r="B580" s="0" t="n">
        <v>2021</v>
      </c>
      <c r="C580" s="0" t="s">
        <v>43</v>
      </c>
      <c r="D580" s="0" t="n">
        <v>1.13117887813221</v>
      </c>
      <c r="E580" s="0" t="s">
        <v>383</v>
      </c>
    </row>
    <row r="581" customFormat="false" ht="15" hidden="false" customHeight="false" outlineLevel="0" collapsed="false">
      <c r="A581" s="0" t="s">
        <v>116</v>
      </c>
      <c r="B581" s="0" t="n">
        <v>2021</v>
      </c>
      <c r="C581" s="0" t="s">
        <v>31</v>
      </c>
      <c r="D581" s="0" t="n">
        <v>90.3685301981151</v>
      </c>
      <c r="E581" s="0" t="s">
        <v>383</v>
      </c>
    </row>
    <row r="582" customFormat="false" ht="15" hidden="false" customHeight="false" outlineLevel="0" collapsed="false">
      <c r="A582" s="0" t="s">
        <v>116</v>
      </c>
      <c r="B582" s="0" t="n">
        <v>2021</v>
      </c>
      <c r="C582" s="0" t="s">
        <v>33</v>
      </c>
      <c r="D582" s="0" t="n">
        <v>14.7764254549384</v>
      </c>
      <c r="E582" s="0" t="s">
        <v>383</v>
      </c>
    </row>
    <row r="583" customFormat="false" ht="15" hidden="false" customHeight="false" outlineLevel="0" collapsed="false">
      <c r="A583" s="0" t="s">
        <v>116</v>
      </c>
      <c r="B583" s="0" t="n">
        <v>2021</v>
      </c>
      <c r="C583" s="0" t="s">
        <v>21</v>
      </c>
      <c r="D583" s="0" t="n">
        <v>0</v>
      </c>
      <c r="E583" s="0" t="s">
        <v>383</v>
      </c>
    </row>
    <row r="584" customFormat="false" ht="15" hidden="false" customHeight="false" outlineLevel="0" collapsed="false">
      <c r="A584" s="0" t="s">
        <v>116</v>
      </c>
      <c r="B584" s="0" t="n">
        <v>2021</v>
      </c>
      <c r="C584" s="0" t="s">
        <v>35</v>
      </c>
      <c r="D584" s="0" t="n">
        <v>0</v>
      </c>
      <c r="E584" s="0" t="s">
        <v>383</v>
      </c>
    </row>
    <row r="585" customFormat="false" ht="15" hidden="false" customHeight="false" outlineLevel="0" collapsed="false">
      <c r="A585" s="0" t="s">
        <v>116</v>
      </c>
      <c r="B585" s="0" t="n">
        <v>2022</v>
      </c>
      <c r="C585" s="0" t="s">
        <v>54</v>
      </c>
      <c r="D585" s="0" t="n">
        <v>55150</v>
      </c>
      <c r="E585" s="0" t="s">
        <v>384</v>
      </c>
      <c r="F585" s="0" t="s">
        <v>385</v>
      </c>
      <c r="G585" s="0" t="s">
        <v>125</v>
      </c>
      <c r="H585" s="0" t="s">
        <v>651</v>
      </c>
    </row>
    <row r="586" customFormat="false" ht="15" hidden="false" customHeight="false" outlineLevel="0" collapsed="false">
      <c r="A586" s="0" t="s">
        <v>116</v>
      </c>
      <c r="B586" s="0" t="n">
        <v>2022</v>
      </c>
      <c r="C586" s="0" t="s">
        <v>55</v>
      </c>
      <c r="D586" s="0" t="n">
        <v>2854509</v>
      </c>
      <c r="E586" s="0" t="s">
        <v>384</v>
      </c>
      <c r="F586" s="0" t="s">
        <v>385</v>
      </c>
      <c r="G586" s="0" t="s">
        <v>125</v>
      </c>
      <c r="H586" s="0" t="s">
        <v>652</v>
      </c>
    </row>
    <row r="587" customFormat="false" ht="15" hidden="false" customHeight="false" outlineLevel="0" collapsed="false">
      <c r="A587" s="0" t="s">
        <v>116</v>
      </c>
      <c r="B587" s="0" t="n">
        <v>2022</v>
      </c>
      <c r="C587" s="0" t="s">
        <v>56</v>
      </c>
      <c r="D587" s="0" t="n">
        <v>2575402</v>
      </c>
      <c r="E587" s="0" t="s">
        <v>384</v>
      </c>
      <c r="F587" s="0" t="s">
        <v>385</v>
      </c>
      <c r="G587" s="0" t="s">
        <v>125</v>
      </c>
      <c r="H587" s="0" t="s">
        <v>653</v>
      </c>
    </row>
    <row r="588" customFormat="false" ht="15" hidden="false" customHeight="false" outlineLevel="0" collapsed="false">
      <c r="A588" s="0" t="s">
        <v>116</v>
      </c>
      <c r="B588" s="0" t="n">
        <v>2022</v>
      </c>
      <c r="C588" s="0" t="s">
        <v>57</v>
      </c>
      <c r="D588" s="0" t="n">
        <v>279107</v>
      </c>
      <c r="E588" s="0" t="s">
        <v>384</v>
      </c>
      <c r="F588" s="0" t="s">
        <v>385</v>
      </c>
      <c r="G588" s="0" t="s">
        <v>125</v>
      </c>
      <c r="H588" s="0" t="s">
        <v>654</v>
      </c>
    </row>
    <row r="589" customFormat="false" ht="15" hidden="false" customHeight="false" outlineLevel="0" collapsed="false">
      <c r="A589" s="0" t="s">
        <v>116</v>
      </c>
      <c r="B589" s="0" t="n">
        <v>2022</v>
      </c>
      <c r="C589" s="0" t="s">
        <v>58</v>
      </c>
      <c r="D589" s="0" t="n">
        <v>-144391</v>
      </c>
      <c r="E589" s="0" t="s">
        <v>384</v>
      </c>
      <c r="F589" s="0" t="s">
        <v>385</v>
      </c>
      <c r="G589" s="0" t="s">
        <v>125</v>
      </c>
      <c r="H589" s="0" t="s">
        <v>655</v>
      </c>
    </row>
    <row r="590" customFormat="false" ht="15" hidden="false" customHeight="false" outlineLevel="0" collapsed="false">
      <c r="A590" s="0" t="s">
        <v>116</v>
      </c>
      <c r="B590" s="0" t="n">
        <v>2022</v>
      </c>
      <c r="C590" s="0" t="s">
        <v>59</v>
      </c>
      <c r="D590" s="0" t="n">
        <v>2614087</v>
      </c>
      <c r="E590" s="0" t="s">
        <v>384</v>
      </c>
      <c r="F590" s="0" t="s">
        <v>385</v>
      </c>
      <c r="G590" s="0" t="s">
        <v>125</v>
      </c>
      <c r="H590" s="0" t="s">
        <v>656</v>
      </c>
    </row>
    <row r="591" customFormat="false" ht="15" hidden="false" customHeight="false" outlineLevel="0" collapsed="false">
      <c r="A591" s="0" t="s">
        <v>116</v>
      </c>
      <c r="B591" s="0" t="n">
        <v>2022</v>
      </c>
      <c r="C591" s="0" t="s">
        <v>60</v>
      </c>
      <c r="D591" s="0" t="n">
        <v>1238195</v>
      </c>
      <c r="E591" s="0" t="s">
        <v>384</v>
      </c>
      <c r="F591" s="0" t="s">
        <v>385</v>
      </c>
      <c r="G591" s="0" t="s">
        <v>125</v>
      </c>
      <c r="H591" s="0" t="s">
        <v>657</v>
      </c>
    </row>
    <row r="592" customFormat="false" ht="15" hidden="false" customHeight="false" outlineLevel="0" collapsed="false">
      <c r="A592" s="0" t="s">
        <v>116</v>
      </c>
      <c r="B592" s="0" t="n">
        <v>2022</v>
      </c>
      <c r="C592" s="0" t="s">
        <v>61</v>
      </c>
      <c r="D592" s="0" t="n">
        <v>33410</v>
      </c>
      <c r="E592" s="0" t="s">
        <v>384</v>
      </c>
      <c r="F592" s="0" t="s">
        <v>385</v>
      </c>
      <c r="G592" s="0" t="s">
        <v>125</v>
      </c>
      <c r="H592" s="0" t="s">
        <v>658</v>
      </c>
    </row>
    <row r="593" customFormat="false" ht="15" hidden="false" customHeight="false" outlineLevel="0" collapsed="false">
      <c r="A593" s="0" t="s">
        <v>116</v>
      </c>
      <c r="B593" s="0" t="n">
        <v>2022</v>
      </c>
      <c r="C593" s="0" t="s">
        <v>62</v>
      </c>
      <c r="D593" s="0" t="n">
        <v>1204785</v>
      </c>
      <c r="E593" s="0" t="s">
        <v>384</v>
      </c>
      <c r="F593" s="0" t="s">
        <v>385</v>
      </c>
      <c r="G593" s="0" t="s">
        <v>125</v>
      </c>
      <c r="H593" s="0" t="s">
        <v>659</v>
      </c>
    </row>
    <row r="594" customFormat="false" ht="15" hidden="false" customHeight="false" outlineLevel="0" collapsed="false">
      <c r="A594" s="0" t="s">
        <v>116</v>
      </c>
      <c r="B594" s="0" t="n">
        <v>2022</v>
      </c>
      <c r="C594" s="0" t="s">
        <v>63</v>
      </c>
      <c r="D594" s="0" t="n">
        <v>10147</v>
      </c>
      <c r="E594" s="0" t="s">
        <v>384</v>
      </c>
      <c r="F594" s="0" t="s">
        <v>385</v>
      </c>
      <c r="G594" s="0" t="s">
        <v>125</v>
      </c>
      <c r="H594" s="0" t="s">
        <v>660</v>
      </c>
    </row>
    <row r="595" customFormat="false" ht="15" hidden="false" customHeight="false" outlineLevel="0" collapsed="false">
      <c r="A595" s="0" t="s">
        <v>116</v>
      </c>
      <c r="B595" s="0" t="n">
        <v>2022</v>
      </c>
      <c r="C595" s="0" t="s">
        <v>69</v>
      </c>
      <c r="D595" s="0" t="n">
        <v>18.4</v>
      </c>
      <c r="E595" s="0" t="s">
        <v>384</v>
      </c>
      <c r="F595" s="0" t="s">
        <v>385</v>
      </c>
      <c r="G595" s="0" t="s">
        <v>125</v>
      </c>
      <c r="H595" s="0" t="s">
        <v>661</v>
      </c>
    </row>
    <row r="596" customFormat="false" ht="15" hidden="false" customHeight="false" outlineLevel="0" collapsed="false">
      <c r="A596" s="0" t="s">
        <v>116</v>
      </c>
      <c r="B596" s="0" t="n">
        <v>2022</v>
      </c>
      <c r="C596" s="0" t="s">
        <v>591</v>
      </c>
      <c r="D596" s="0" t="n">
        <v>18.4</v>
      </c>
      <c r="E596" s="0" t="s">
        <v>384</v>
      </c>
      <c r="F596" s="0" t="s">
        <v>385</v>
      </c>
      <c r="G596" s="0" t="s">
        <v>125</v>
      </c>
      <c r="H596" s="0" t="s">
        <v>662</v>
      </c>
    </row>
    <row r="597" customFormat="false" ht="15" hidden="false" customHeight="false" outlineLevel="0" collapsed="false">
      <c r="A597" s="0" t="s">
        <v>116</v>
      </c>
      <c r="B597" s="0" t="n">
        <v>2022</v>
      </c>
      <c r="C597" s="0" t="s">
        <v>70</v>
      </c>
      <c r="D597" s="0" t="n">
        <v>10</v>
      </c>
      <c r="E597" s="0" t="s">
        <v>384</v>
      </c>
      <c r="F597" s="0" t="s">
        <v>385</v>
      </c>
      <c r="G597" s="0" t="s">
        <v>125</v>
      </c>
      <c r="H597" s="0" t="s">
        <v>663</v>
      </c>
    </row>
    <row r="598" customFormat="false" ht="15" hidden="false" customHeight="false" outlineLevel="0" collapsed="false">
      <c r="A598" s="0" t="s">
        <v>116</v>
      </c>
      <c r="B598" s="0" t="n">
        <v>2022</v>
      </c>
      <c r="C598" s="0" t="s">
        <v>65</v>
      </c>
      <c r="D598" s="0" t="n">
        <v>284446</v>
      </c>
      <c r="E598" s="0" t="s">
        <v>384</v>
      </c>
      <c r="F598" s="0" t="s">
        <v>385</v>
      </c>
      <c r="G598" s="0" t="s">
        <v>125</v>
      </c>
      <c r="H598" s="0" t="s">
        <v>664</v>
      </c>
    </row>
    <row r="599" customFormat="false" ht="15" hidden="false" customHeight="false" outlineLevel="0" collapsed="false">
      <c r="A599" s="0" t="s">
        <v>116</v>
      </c>
      <c r="B599" s="0" t="n">
        <v>2022</v>
      </c>
      <c r="C599" s="0" t="s">
        <v>66</v>
      </c>
      <c r="D599" s="0" t="n">
        <v>1545117</v>
      </c>
      <c r="E599" s="0" t="s">
        <v>384</v>
      </c>
      <c r="F599" s="0" t="s">
        <v>385</v>
      </c>
      <c r="G599" s="0" t="s">
        <v>125</v>
      </c>
      <c r="H599" s="0" t="s">
        <v>665</v>
      </c>
    </row>
    <row r="600" customFormat="false" ht="15" hidden="false" customHeight="false" outlineLevel="0" collapsed="false">
      <c r="A600" s="0" t="s">
        <v>116</v>
      </c>
      <c r="B600" s="0" t="n">
        <v>2022</v>
      </c>
      <c r="C600" s="0" t="s">
        <v>73</v>
      </c>
      <c r="D600" s="0" t="n">
        <v>0</v>
      </c>
      <c r="E600" s="0" t="s">
        <v>400</v>
      </c>
      <c r="F600" s="0" t="s">
        <v>385</v>
      </c>
      <c r="G600" s="0" t="s">
        <v>125</v>
      </c>
      <c r="H600" s="0" t="s">
        <v>666</v>
      </c>
    </row>
    <row r="601" customFormat="false" ht="15" hidden="false" customHeight="false" outlineLevel="0" collapsed="false">
      <c r="A601" s="0" t="s">
        <v>116</v>
      </c>
      <c r="B601" s="0" t="n">
        <v>2022</v>
      </c>
      <c r="C601" s="0" t="s">
        <v>68</v>
      </c>
      <c r="D601" s="0" t="n">
        <v>20616</v>
      </c>
      <c r="E601" s="0" t="s">
        <v>384</v>
      </c>
      <c r="F601" s="0" t="s">
        <v>385</v>
      </c>
      <c r="G601" s="0" t="s">
        <v>125</v>
      </c>
      <c r="H601" s="0" t="s">
        <v>667</v>
      </c>
    </row>
    <row r="602" customFormat="false" ht="15" hidden="false" customHeight="false" outlineLevel="0" collapsed="false">
      <c r="A602" s="0" t="s">
        <v>116</v>
      </c>
      <c r="B602" s="0" t="n">
        <v>2022</v>
      </c>
      <c r="C602" s="0" t="s">
        <v>402</v>
      </c>
      <c r="D602" s="0" t="n">
        <v>59732</v>
      </c>
      <c r="E602" s="0" t="s">
        <v>384</v>
      </c>
      <c r="F602" s="0" t="s">
        <v>385</v>
      </c>
      <c r="G602" s="0" t="s">
        <v>125</v>
      </c>
      <c r="H602" s="0" t="s">
        <v>668</v>
      </c>
    </row>
    <row r="603" customFormat="false" ht="15" hidden="false" customHeight="false" outlineLevel="0" collapsed="false">
      <c r="A603" s="0" t="s">
        <v>116</v>
      </c>
      <c r="B603" s="0" t="n">
        <v>2022</v>
      </c>
      <c r="C603" s="0" t="s">
        <v>19</v>
      </c>
      <c r="D603" s="0" t="n">
        <v>2734298</v>
      </c>
      <c r="E603" s="0" t="s">
        <v>383</v>
      </c>
    </row>
    <row r="604" customFormat="false" ht="15" hidden="false" customHeight="false" outlineLevel="0" collapsed="false">
      <c r="A604" s="0" t="s">
        <v>116</v>
      </c>
      <c r="B604" s="0" t="n">
        <v>2022</v>
      </c>
      <c r="C604" s="0" t="s">
        <v>41</v>
      </c>
      <c r="D604" s="0" t="n">
        <v>2.01697108362</v>
      </c>
      <c r="E604" s="0" t="s">
        <v>383</v>
      </c>
    </row>
    <row r="605" customFormat="false" ht="15" hidden="false" customHeight="false" outlineLevel="0" collapsed="false">
      <c r="A605" s="0" t="s">
        <v>116</v>
      </c>
      <c r="B605" s="0" t="n">
        <v>2022</v>
      </c>
      <c r="C605" s="0" t="s">
        <v>27</v>
      </c>
      <c r="D605" s="0" t="n">
        <v>9.77775862679011</v>
      </c>
      <c r="E605" s="0" t="s">
        <v>383</v>
      </c>
    </row>
    <row r="606" customFormat="false" ht="15" hidden="false" customHeight="false" outlineLevel="0" collapsed="false">
      <c r="A606" s="0" t="s">
        <v>116</v>
      </c>
      <c r="B606" s="0" t="n">
        <v>2022</v>
      </c>
      <c r="C606" s="0" t="s">
        <v>39</v>
      </c>
      <c r="D606" s="0" t="n">
        <v>-5.28073384832231</v>
      </c>
      <c r="E606" s="0" t="s">
        <v>383</v>
      </c>
    </row>
    <row r="607" customFormat="false" ht="15" hidden="false" customHeight="false" outlineLevel="0" collapsed="false">
      <c r="A607" s="0" t="s">
        <v>116</v>
      </c>
      <c r="B607" s="0" t="n">
        <v>2022</v>
      </c>
      <c r="C607" s="0" t="s">
        <v>17</v>
      </c>
      <c r="D607" s="0" t="n">
        <v>2.69828258069206</v>
      </c>
      <c r="E607" s="0" t="s">
        <v>383</v>
      </c>
    </row>
    <row r="608" customFormat="false" ht="15" hidden="false" customHeight="false" outlineLevel="0" collapsed="false">
      <c r="A608" s="0" t="s">
        <v>116</v>
      </c>
      <c r="B608" s="0" t="n">
        <v>2022</v>
      </c>
      <c r="C608" s="0" t="s">
        <v>25</v>
      </c>
      <c r="D608" s="0" t="n">
        <v>18.4093502304356</v>
      </c>
      <c r="E608" s="0" t="s">
        <v>383</v>
      </c>
    </row>
    <row r="609" customFormat="false" ht="15" hidden="false" customHeight="false" outlineLevel="0" collapsed="false">
      <c r="A609" s="0" t="s">
        <v>116</v>
      </c>
      <c r="B609" s="0" t="n">
        <v>2022</v>
      </c>
      <c r="C609" s="0" t="s">
        <v>29</v>
      </c>
      <c r="D609" s="0" t="n">
        <v>0.371100735911009</v>
      </c>
      <c r="E609" s="0" t="s">
        <v>383</v>
      </c>
    </row>
    <row r="610" customFormat="false" ht="15" hidden="false" customHeight="false" outlineLevel="0" collapsed="false">
      <c r="A610" s="0" t="s">
        <v>116</v>
      </c>
      <c r="B610" s="0" t="n">
        <v>2022</v>
      </c>
      <c r="C610" s="0" t="s">
        <v>43</v>
      </c>
      <c r="D610" s="0" t="n">
        <v>1.93203104281682</v>
      </c>
      <c r="E610" s="0" t="s">
        <v>383</v>
      </c>
    </row>
    <row r="611" customFormat="false" ht="15" hidden="false" customHeight="false" outlineLevel="0" collapsed="false">
      <c r="A611" s="0" t="s">
        <v>116</v>
      </c>
      <c r="B611" s="0" t="n">
        <v>2022</v>
      </c>
      <c r="C611" s="0" t="s">
        <v>31</v>
      </c>
      <c r="D611" s="0" t="n">
        <v>90.2222413732099</v>
      </c>
      <c r="E611" s="0" t="s">
        <v>383</v>
      </c>
    </row>
    <row r="612" customFormat="false" ht="15" hidden="false" customHeight="false" outlineLevel="0" collapsed="false">
      <c r="A612" s="0" t="s">
        <v>116</v>
      </c>
      <c r="B612" s="0" t="n">
        <v>2022</v>
      </c>
      <c r="C612" s="0" t="s">
        <v>33</v>
      </c>
      <c r="D612" s="0" t="n">
        <v>14.8644104072979</v>
      </c>
      <c r="E612" s="0" t="s">
        <v>383</v>
      </c>
    </row>
    <row r="613" customFormat="false" ht="15" hidden="false" customHeight="false" outlineLevel="0" collapsed="false">
      <c r="A613" s="0" t="s">
        <v>116</v>
      </c>
      <c r="B613" s="0" t="n">
        <v>2022</v>
      </c>
      <c r="C613" s="0" t="s">
        <v>21</v>
      </c>
      <c r="D613" s="0" t="n">
        <v>0</v>
      </c>
      <c r="E613" s="0" t="s">
        <v>383</v>
      </c>
    </row>
    <row r="614" customFormat="false" ht="15" hidden="false" customHeight="false" outlineLevel="0" collapsed="false">
      <c r="A614" s="0" t="s">
        <v>116</v>
      </c>
      <c r="B614" s="0" t="n">
        <v>2022</v>
      </c>
      <c r="C614" s="0" t="s">
        <v>35</v>
      </c>
      <c r="D614" s="0" t="n">
        <v>0</v>
      </c>
      <c r="E614" s="0" t="s">
        <v>383</v>
      </c>
    </row>
    <row r="615" customFormat="false" ht="15" hidden="false" customHeight="false" outlineLevel="0" collapsed="false">
      <c r="A615" s="0" t="s">
        <v>126</v>
      </c>
      <c r="B615" s="0" t="n">
        <v>2013</v>
      </c>
      <c r="C615" s="0" t="s">
        <v>54</v>
      </c>
      <c r="D615" s="0" t="n">
        <v>8274.864</v>
      </c>
      <c r="E615" s="0" t="s">
        <v>382</v>
      </c>
      <c r="G615" s="0" t="s">
        <v>81</v>
      </c>
    </row>
    <row r="616" customFormat="false" ht="15" hidden="false" customHeight="false" outlineLevel="0" collapsed="false">
      <c r="A616" s="0" t="s">
        <v>126</v>
      </c>
      <c r="B616" s="0" t="n">
        <v>2013</v>
      </c>
      <c r="C616" s="0" t="s">
        <v>55</v>
      </c>
      <c r="D616" s="0" t="n">
        <v>707797.181</v>
      </c>
      <c r="E616" s="0" t="s">
        <v>382</v>
      </c>
      <c r="G616" s="0" t="s">
        <v>81</v>
      </c>
    </row>
    <row r="617" customFormat="false" ht="15" hidden="false" customHeight="false" outlineLevel="0" collapsed="false">
      <c r="A617" s="0" t="s">
        <v>126</v>
      </c>
      <c r="B617" s="0" t="n">
        <v>2013</v>
      </c>
      <c r="C617" s="0" t="s">
        <v>56</v>
      </c>
      <c r="D617" s="0" t="n">
        <v>644339.285</v>
      </c>
      <c r="E617" s="0" t="s">
        <v>382</v>
      </c>
      <c r="G617" s="0" t="s">
        <v>81</v>
      </c>
    </row>
    <row r="618" customFormat="false" ht="15" hidden="false" customHeight="false" outlineLevel="0" collapsed="false">
      <c r="A618" s="0" t="s">
        <v>126</v>
      </c>
      <c r="B618" s="0" t="n">
        <v>2013</v>
      </c>
      <c r="C618" s="0" t="s">
        <v>57</v>
      </c>
      <c r="D618" s="0" t="n">
        <v>63457.896</v>
      </c>
      <c r="E618" s="0" t="s">
        <v>382</v>
      </c>
      <c r="G618" s="0" t="s">
        <v>81</v>
      </c>
    </row>
    <row r="619" customFormat="false" ht="15" hidden="false" customHeight="false" outlineLevel="0" collapsed="false">
      <c r="A619" s="0" t="s">
        <v>126</v>
      </c>
      <c r="B619" s="0" t="n">
        <v>2013</v>
      </c>
      <c r="C619" s="0" t="s">
        <v>58</v>
      </c>
      <c r="D619" s="0" t="n">
        <v>-41953.972</v>
      </c>
      <c r="E619" s="0" t="s">
        <v>382</v>
      </c>
      <c r="G619" s="0" t="s">
        <v>81</v>
      </c>
    </row>
    <row r="620" customFormat="false" ht="15" hidden="false" customHeight="false" outlineLevel="0" collapsed="false">
      <c r="A620" s="0" t="s">
        <v>126</v>
      </c>
      <c r="B620" s="0" t="n">
        <v>2013</v>
      </c>
      <c r="C620" s="0" t="s">
        <v>60</v>
      </c>
      <c r="D620" s="0" t="n">
        <v>328664.904</v>
      </c>
      <c r="E620" s="0" t="s">
        <v>382</v>
      </c>
      <c r="G620" s="0" t="s">
        <v>81</v>
      </c>
    </row>
    <row r="621" customFormat="false" ht="15" hidden="false" customHeight="false" outlineLevel="0" collapsed="false">
      <c r="A621" s="0" t="s">
        <v>126</v>
      </c>
      <c r="B621" s="0" t="n">
        <v>2013</v>
      </c>
      <c r="C621" s="0" t="s">
        <v>61</v>
      </c>
      <c r="D621" s="0" t="n">
        <v>6921.156</v>
      </c>
      <c r="E621" s="0" t="s">
        <v>382</v>
      </c>
      <c r="G621" s="0" t="s">
        <v>81</v>
      </c>
    </row>
    <row r="622" customFormat="false" ht="15" hidden="false" customHeight="false" outlineLevel="0" collapsed="false">
      <c r="A622" s="0" t="s">
        <v>126</v>
      </c>
      <c r="B622" s="0" t="n">
        <v>2013</v>
      </c>
      <c r="C622" s="0" t="s">
        <v>63</v>
      </c>
      <c r="D622" s="0" t="n">
        <v>8259.094</v>
      </c>
      <c r="E622" s="0" t="s">
        <v>382</v>
      </c>
      <c r="G622" s="0" t="s">
        <v>81</v>
      </c>
    </row>
    <row r="623" customFormat="false" ht="15" hidden="false" customHeight="false" outlineLevel="0" collapsed="false">
      <c r="A623" s="0" t="s">
        <v>126</v>
      </c>
      <c r="B623" s="0" t="n">
        <v>2013</v>
      </c>
      <c r="C623" s="0" t="s">
        <v>266</v>
      </c>
      <c r="D623" s="0" t="n">
        <v>2.1</v>
      </c>
      <c r="E623" s="0" t="s">
        <v>382</v>
      </c>
      <c r="G623" s="0" t="s">
        <v>81</v>
      </c>
    </row>
    <row r="624" customFormat="false" ht="15" hidden="false" customHeight="false" outlineLevel="0" collapsed="false">
      <c r="A624" s="0" t="s">
        <v>126</v>
      </c>
      <c r="B624" s="0" t="n">
        <v>2013</v>
      </c>
      <c r="C624" s="0" t="s">
        <v>69</v>
      </c>
      <c r="D624" s="0" t="n">
        <v>14</v>
      </c>
      <c r="E624" s="0" t="s">
        <v>382</v>
      </c>
      <c r="G624" s="0" t="s">
        <v>81</v>
      </c>
    </row>
    <row r="625" customFormat="false" ht="15" hidden="false" customHeight="false" outlineLevel="0" collapsed="false">
      <c r="A625" s="0" t="s">
        <v>126</v>
      </c>
      <c r="B625" s="0" t="n">
        <v>2013</v>
      </c>
      <c r="C625" s="0" t="s">
        <v>27</v>
      </c>
      <c r="D625" s="0" t="n">
        <v>8.96554799926506</v>
      </c>
      <c r="E625" s="0" t="s">
        <v>383</v>
      </c>
    </row>
    <row r="626" customFormat="false" ht="15" hidden="false" customHeight="false" outlineLevel="0" collapsed="false">
      <c r="A626" s="0" t="s">
        <v>126</v>
      </c>
      <c r="B626" s="0" t="n">
        <v>2013</v>
      </c>
      <c r="C626" s="0" t="s">
        <v>17</v>
      </c>
      <c r="D626" s="0" t="n">
        <v>2.10583969135932</v>
      </c>
      <c r="E626" s="0" t="s">
        <v>383</v>
      </c>
    </row>
    <row r="627" customFormat="false" ht="15" hidden="false" customHeight="false" outlineLevel="0" collapsed="false">
      <c r="A627" s="0" t="s">
        <v>126</v>
      </c>
      <c r="B627" s="0" t="n">
        <v>2013</v>
      </c>
      <c r="C627" s="0" t="s">
        <v>43</v>
      </c>
      <c r="D627" s="0" t="n">
        <v>1.16910101115534</v>
      </c>
      <c r="E627" s="0" t="s">
        <v>383</v>
      </c>
    </row>
    <row r="628" customFormat="false" ht="15" hidden="false" customHeight="false" outlineLevel="0" collapsed="false">
      <c r="A628" s="0" t="s">
        <v>126</v>
      </c>
      <c r="B628" s="0" t="n">
        <v>2013</v>
      </c>
      <c r="C628" s="0" t="s">
        <v>31</v>
      </c>
      <c r="D628" s="0" t="n">
        <v>91.0344520007349</v>
      </c>
      <c r="E628" s="0" t="s">
        <v>383</v>
      </c>
    </row>
    <row r="629" customFormat="false" ht="15" hidden="false" customHeight="false" outlineLevel="0" collapsed="false">
      <c r="A629" s="0" t="s">
        <v>126</v>
      </c>
      <c r="B629" s="0" t="n">
        <v>2013</v>
      </c>
      <c r="C629" s="0" t="s">
        <v>33</v>
      </c>
      <c r="D629" s="0" t="n">
        <v>13.4699128641221</v>
      </c>
      <c r="E629" s="0" t="s">
        <v>383</v>
      </c>
    </row>
    <row r="630" customFormat="false" ht="15" hidden="false" customHeight="false" outlineLevel="0" collapsed="false">
      <c r="A630" s="0" t="s">
        <v>126</v>
      </c>
      <c r="B630" s="0" t="n">
        <v>2013</v>
      </c>
      <c r="C630" s="0" t="s">
        <v>21</v>
      </c>
      <c r="D630" s="0" t="n">
        <v>-5.0931703299284E-011</v>
      </c>
      <c r="E630" s="0" t="s">
        <v>383</v>
      </c>
    </row>
    <row r="631" customFormat="false" ht="15" hidden="false" customHeight="false" outlineLevel="0" collapsed="false">
      <c r="A631" s="0" t="s">
        <v>126</v>
      </c>
      <c r="B631" s="0" t="n">
        <v>2014</v>
      </c>
      <c r="C631" s="0" t="s">
        <v>54</v>
      </c>
      <c r="D631" s="0" t="n">
        <v>9004.973</v>
      </c>
      <c r="E631" s="0" t="s">
        <v>382</v>
      </c>
      <c r="G631" s="0" t="s">
        <v>81</v>
      </c>
    </row>
    <row r="632" customFormat="false" ht="15" hidden="false" customHeight="false" outlineLevel="0" collapsed="false">
      <c r="A632" s="0" t="s">
        <v>126</v>
      </c>
      <c r="B632" s="0" t="n">
        <v>2014</v>
      </c>
      <c r="C632" s="0" t="s">
        <v>55</v>
      </c>
      <c r="D632" s="0" t="n">
        <v>824539.426</v>
      </c>
      <c r="E632" s="0" t="s">
        <v>382</v>
      </c>
      <c r="G632" s="0" t="s">
        <v>81</v>
      </c>
    </row>
    <row r="633" customFormat="false" ht="15" hidden="false" customHeight="false" outlineLevel="0" collapsed="false">
      <c r="A633" s="0" t="s">
        <v>126</v>
      </c>
      <c r="B633" s="0" t="n">
        <v>2014</v>
      </c>
      <c r="C633" s="0" t="s">
        <v>56</v>
      </c>
      <c r="D633" s="0" t="n">
        <v>739824.141</v>
      </c>
      <c r="E633" s="0" t="s">
        <v>382</v>
      </c>
      <c r="G633" s="0" t="s">
        <v>81</v>
      </c>
    </row>
    <row r="634" customFormat="false" ht="15" hidden="false" customHeight="false" outlineLevel="0" collapsed="false">
      <c r="A634" s="0" t="s">
        <v>126</v>
      </c>
      <c r="B634" s="0" t="n">
        <v>2014</v>
      </c>
      <c r="C634" s="0" t="s">
        <v>57</v>
      </c>
      <c r="D634" s="0" t="n">
        <v>84715.285</v>
      </c>
      <c r="E634" s="0" t="s">
        <v>382</v>
      </c>
      <c r="G634" s="0" t="s">
        <v>81</v>
      </c>
    </row>
    <row r="635" customFormat="false" ht="15" hidden="false" customHeight="false" outlineLevel="0" collapsed="false">
      <c r="A635" s="0" t="s">
        <v>126</v>
      </c>
      <c r="B635" s="0" t="n">
        <v>2014</v>
      </c>
      <c r="C635" s="0" t="s">
        <v>58</v>
      </c>
      <c r="D635" s="0" t="n">
        <v>-755.006</v>
      </c>
      <c r="E635" s="0" t="s">
        <v>382</v>
      </c>
      <c r="G635" s="0" t="s">
        <v>81</v>
      </c>
    </row>
    <row r="636" customFormat="false" ht="15" hidden="false" customHeight="false" outlineLevel="0" collapsed="false">
      <c r="A636" s="0" t="s">
        <v>126</v>
      </c>
      <c r="B636" s="0" t="n">
        <v>2014</v>
      </c>
      <c r="C636" s="0" t="s">
        <v>59</v>
      </c>
      <c r="D636" s="0" t="n">
        <v>707797.181</v>
      </c>
      <c r="E636" s="0" t="s">
        <v>382</v>
      </c>
      <c r="G636" s="0" t="s">
        <v>81</v>
      </c>
    </row>
    <row r="637" customFormat="false" ht="15" hidden="false" customHeight="false" outlineLevel="0" collapsed="false">
      <c r="A637" s="0" t="s">
        <v>126</v>
      </c>
      <c r="B637" s="0" t="n">
        <v>2014</v>
      </c>
      <c r="C637" s="0" t="s">
        <v>60</v>
      </c>
      <c r="D637" s="0" t="n">
        <v>380924.4</v>
      </c>
      <c r="E637" s="0" t="s">
        <v>382</v>
      </c>
      <c r="G637" s="0" t="s">
        <v>81</v>
      </c>
    </row>
    <row r="638" customFormat="false" ht="15" hidden="false" customHeight="false" outlineLevel="0" collapsed="false">
      <c r="A638" s="0" t="s">
        <v>126</v>
      </c>
      <c r="B638" s="0" t="n">
        <v>2014</v>
      </c>
      <c r="C638" s="0" t="s">
        <v>61</v>
      </c>
      <c r="D638" s="0" t="n">
        <v>9678.127</v>
      </c>
      <c r="E638" s="0" t="s">
        <v>382</v>
      </c>
      <c r="G638" s="0" t="s">
        <v>81</v>
      </c>
    </row>
    <row r="639" customFormat="false" ht="15" hidden="false" customHeight="false" outlineLevel="0" collapsed="false">
      <c r="A639" s="0" t="s">
        <v>126</v>
      </c>
      <c r="B639" s="0" t="n">
        <v>2014</v>
      </c>
      <c r="C639" s="0" t="s">
        <v>63</v>
      </c>
      <c r="D639" s="0" t="n">
        <v>7389.159</v>
      </c>
      <c r="E639" s="0" t="s">
        <v>382</v>
      </c>
      <c r="G639" s="0" t="s">
        <v>81</v>
      </c>
    </row>
    <row r="640" customFormat="false" ht="15" hidden="false" customHeight="false" outlineLevel="0" collapsed="false">
      <c r="A640" s="0" t="s">
        <v>126</v>
      </c>
      <c r="B640" s="0" t="n">
        <v>2014</v>
      </c>
      <c r="C640" s="0" t="s">
        <v>266</v>
      </c>
      <c r="D640" s="0" t="n">
        <v>3.1</v>
      </c>
      <c r="E640" s="0" t="s">
        <v>382</v>
      </c>
      <c r="G640" s="0" t="s">
        <v>81</v>
      </c>
    </row>
    <row r="641" customFormat="false" ht="15" hidden="false" customHeight="false" outlineLevel="0" collapsed="false">
      <c r="A641" s="0" t="s">
        <v>126</v>
      </c>
      <c r="B641" s="0" t="n">
        <v>2014</v>
      </c>
      <c r="C641" s="0" t="s">
        <v>69</v>
      </c>
      <c r="D641" s="0" t="n">
        <v>14</v>
      </c>
      <c r="E641" s="0" t="s">
        <v>382</v>
      </c>
      <c r="G641" s="0" t="s">
        <v>81</v>
      </c>
    </row>
    <row r="642" customFormat="false" ht="15" hidden="false" customHeight="false" outlineLevel="0" collapsed="false">
      <c r="A642" s="0" t="s">
        <v>126</v>
      </c>
      <c r="B642" s="0" t="n">
        <v>2014</v>
      </c>
      <c r="C642" s="0" t="s">
        <v>71</v>
      </c>
      <c r="D642" s="0" t="n">
        <v>34</v>
      </c>
      <c r="E642" s="0" t="s">
        <v>382</v>
      </c>
      <c r="G642" s="0" t="s">
        <v>81</v>
      </c>
    </row>
    <row r="643" customFormat="false" ht="15" hidden="false" customHeight="false" outlineLevel="0" collapsed="false">
      <c r="A643" s="0" t="s">
        <v>126</v>
      </c>
      <c r="B643" s="0" t="n">
        <v>2014</v>
      </c>
      <c r="C643" s="0" t="s">
        <v>73</v>
      </c>
      <c r="D643" s="0" t="n">
        <v>0</v>
      </c>
      <c r="E643" s="0" t="s">
        <v>400</v>
      </c>
      <c r="F643" s="0" t="s">
        <v>301</v>
      </c>
      <c r="G643" s="0" t="s">
        <v>669</v>
      </c>
      <c r="H643" s="0" t="s">
        <v>310</v>
      </c>
    </row>
    <row r="644" customFormat="false" ht="15" hidden="false" customHeight="false" outlineLevel="0" collapsed="false">
      <c r="A644" s="0" t="s">
        <v>126</v>
      </c>
      <c r="B644" s="0" t="n">
        <v>2014</v>
      </c>
      <c r="C644" s="0" t="s">
        <v>19</v>
      </c>
      <c r="D644" s="0" t="n">
        <v>766168.3035</v>
      </c>
      <c r="E644" s="0" t="s">
        <v>383</v>
      </c>
    </row>
    <row r="645" customFormat="false" ht="15" hidden="false" customHeight="false" outlineLevel="0" collapsed="false">
      <c r="A645" s="0" t="s">
        <v>126</v>
      </c>
      <c r="B645" s="0" t="n">
        <v>2014</v>
      </c>
      <c r="C645" s="0" t="s">
        <v>41</v>
      </c>
      <c r="D645" s="0" t="n">
        <v>1.17532570309469</v>
      </c>
      <c r="E645" s="0" t="s">
        <v>383</v>
      </c>
    </row>
    <row r="646" customFormat="false" ht="15" hidden="false" customHeight="false" outlineLevel="0" collapsed="false">
      <c r="A646" s="0" t="s">
        <v>126</v>
      </c>
      <c r="B646" s="0" t="n">
        <v>2014</v>
      </c>
      <c r="C646" s="0" t="s">
        <v>27</v>
      </c>
      <c r="D646" s="0" t="n">
        <v>10.274255217967</v>
      </c>
      <c r="E646" s="0" t="s">
        <v>383</v>
      </c>
    </row>
    <row r="647" customFormat="false" ht="15" hidden="false" customHeight="false" outlineLevel="0" collapsed="false">
      <c r="A647" s="0" t="s">
        <v>126</v>
      </c>
      <c r="B647" s="0" t="n">
        <v>2014</v>
      </c>
      <c r="C647" s="0" t="s">
        <v>39</v>
      </c>
      <c r="D647" s="0" t="n">
        <v>-0.0985431003280861</v>
      </c>
      <c r="E647" s="0" t="s">
        <v>383</v>
      </c>
    </row>
    <row r="648" customFormat="false" ht="15" hidden="false" customHeight="false" outlineLevel="0" collapsed="false">
      <c r="A648" s="0" t="s">
        <v>126</v>
      </c>
      <c r="B648" s="0" t="n">
        <v>2014</v>
      </c>
      <c r="C648" s="0" t="s">
        <v>17</v>
      </c>
      <c r="D648" s="0" t="n">
        <v>2.54069495154419</v>
      </c>
      <c r="E648" s="0" t="s">
        <v>383</v>
      </c>
    </row>
    <row r="649" customFormat="false" ht="15" hidden="false" customHeight="false" outlineLevel="0" collapsed="false">
      <c r="A649" s="0" t="s">
        <v>126</v>
      </c>
      <c r="B649" s="0" t="n">
        <v>2014</v>
      </c>
      <c r="C649" s="0" t="s">
        <v>29</v>
      </c>
      <c r="D649" s="0" t="n">
        <v>0.964430265027272</v>
      </c>
      <c r="E649" s="0" t="s">
        <v>383</v>
      </c>
    </row>
    <row r="650" customFormat="false" ht="15" hidden="false" customHeight="false" outlineLevel="0" collapsed="false">
      <c r="A650" s="0" t="s">
        <v>126</v>
      </c>
      <c r="B650" s="0" t="n">
        <v>2014</v>
      </c>
      <c r="C650" s="0" t="s">
        <v>43</v>
      </c>
      <c r="D650" s="0" t="n">
        <v>1.0921215791566</v>
      </c>
      <c r="E650" s="0" t="s">
        <v>383</v>
      </c>
    </row>
    <row r="651" customFormat="false" ht="15" hidden="false" customHeight="false" outlineLevel="0" collapsed="false">
      <c r="A651" s="0" t="s">
        <v>126</v>
      </c>
      <c r="B651" s="0" t="n">
        <v>2014</v>
      </c>
      <c r="C651" s="0" t="s">
        <v>31</v>
      </c>
      <c r="D651" s="0" t="n">
        <v>89.725744782033</v>
      </c>
      <c r="E651" s="0" t="s">
        <v>383</v>
      </c>
    </row>
    <row r="652" customFormat="false" ht="15" hidden="false" customHeight="false" outlineLevel="0" collapsed="false">
      <c r="A652" s="0" t="s">
        <v>126</v>
      </c>
      <c r="B652" s="0" t="n">
        <v>2014</v>
      </c>
      <c r="C652" s="0" t="s">
        <v>33</v>
      </c>
      <c r="D652" s="0" t="n">
        <v>13.6225802379101</v>
      </c>
      <c r="E652" s="0" t="s">
        <v>383</v>
      </c>
    </row>
    <row r="653" customFormat="false" ht="15" hidden="false" customHeight="false" outlineLevel="0" collapsed="false">
      <c r="A653" s="0" t="s">
        <v>126</v>
      </c>
      <c r="B653" s="0" t="n">
        <v>2014</v>
      </c>
      <c r="C653" s="0" t="s">
        <v>21</v>
      </c>
      <c r="D653" s="0" t="n">
        <v>2.91038304567337E-011</v>
      </c>
      <c r="E653" s="0" t="s">
        <v>383</v>
      </c>
    </row>
    <row r="654" customFormat="false" ht="15" hidden="false" customHeight="false" outlineLevel="0" collapsed="false">
      <c r="A654" s="0" t="s">
        <v>126</v>
      </c>
      <c r="B654" s="0" t="n">
        <v>2018</v>
      </c>
      <c r="C654" s="0" t="s">
        <v>54</v>
      </c>
      <c r="D654" s="0" t="n">
        <v>9468</v>
      </c>
      <c r="E654" s="0" t="s">
        <v>382</v>
      </c>
      <c r="G654" s="0" t="s">
        <v>81</v>
      </c>
    </row>
    <row r="655" customFormat="false" ht="15" hidden="false" customHeight="false" outlineLevel="0" collapsed="false">
      <c r="A655" s="0" t="s">
        <v>126</v>
      </c>
      <c r="B655" s="0" t="n">
        <v>2018</v>
      </c>
      <c r="C655" s="0" t="s">
        <v>55</v>
      </c>
      <c r="D655" s="0" t="n">
        <v>1085876</v>
      </c>
      <c r="E655" s="0" t="s">
        <v>382</v>
      </c>
      <c r="G655" s="0" t="s">
        <v>81</v>
      </c>
    </row>
    <row r="656" customFormat="false" ht="15" hidden="false" customHeight="false" outlineLevel="0" collapsed="false">
      <c r="A656" s="0" t="s">
        <v>126</v>
      </c>
      <c r="B656" s="0" t="n">
        <v>2018</v>
      </c>
      <c r="C656" s="0" t="s">
        <v>56</v>
      </c>
      <c r="D656" s="0" t="n">
        <v>987867</v>
      </c>
      <c r="E656" s="0" t="s">
        <v>382</v>
      </c>
      <c r="G656" s="0" t="s">
        <v>81</v>
      </c>
    </row>
    <row r="657" customFormat="false" ht="15" hidden="false" customHeight="false" outlineLevel="0" collapsed="false">
      <c r="A657" s="0" t="s">
        <v>126</v>
      </c>
      <c r="B657" s="0" t="n">
        <v>2018</v>
      </c>
      <c r="C657" s="0" t="s">
        <v>57</v>
      </c>
      <c r="D657" s="0" t="n">
        <v>98009</v>
      </c>
      <c r="E657" s="0" t="s">
        <v>382</v>
      </c>
      <c r="G657" s="0" t="s">
        <v>81</v>
      </c>
    </row>
    <row r="658" customFormat="false" ht="15" hidden="false" customHeight="false" outlineLevel="0" collapsed="false">
      <c r="A658" s="0" t="s">
        <v>126</v>
      </c>
      <c r="B658" s="0" t="n">
        <v>2018</v>
      </c>
      <c r="C658" s="0" t="s">
        <v>58</v>
      </c>
      <c r="D658" s="0" t="n">
        <v>35086</v>
      </c>
      <c r="E658" s="0" t="s">
        <v>382</v>
      </c>
      <c r="G658" s="0" t="s">
        <v>81</v>
      </c>
    </row>
    <row r="659" customFormat="false" ht="15" hidden="false" customHeight="false" outlineLevel="0" collapsed="false">
      <c r="A659" s="0" t="s">
        <v>126</v>
      </c>
      <c r="B659" s="0" t="n">
        <v>2018</v>
      </c>
      <c r="C659" s="0" t="s">
        <v>60</v>
      </c>
      <c r="D659" s="0" t="n">
        <v>640678</v>
      </c>
      <c r="E659" s="0" t="s">
        <v>382</v>
      </c>
      <c r="G659" s="0" t="s">
        <v>81</v>
      </c>
    </row>
    <row r="660" customFormat="false" ht="15" hidden="false" customHeight="false" outlineLevel="0" collapsed="false">
      <c r="A660" s="0" t="s">
        <v>126</v>
      </c>
      <c r="B660" s="0" t="n">
        <v>2018</v>
      </c>
      <c r="C660" s="0" t="s">
        <v>61</v>
      </c>
      <c r="D660" s="0" t="n">
        <v>19661</v>
      </c>
      <c r="E660" s="0" t="s">
        <v>382</v>
      </c>
      <c r="G660" s="0" t="s">
        <v>81</v>
      </c>
    </row>
    <row r="661" customFormat="false" ht="15" hidden="false" customHeight="false" outlineLevel="0" collapsed="false">
      <c r="A661" s="0" t="s">
        <v>126</v>
      </c>
      <c r="B661" s="0" t="n">
        <v>2018</v>
      </c>
      <c r="C661" s="0" t="s">
        <v>63</v>
      </c>
      <c r="D661" s="0" t="n">
        <v>5832</v>
      </c>
      <c r="E661" s="0" t="s">
        <v>382</v>
      </c>
      <c r="G661" s="0" t="s">
        <v>81</v>
      </c>
    </row>
    <row r="662" customFormat="false" ht="15" hidden="false" customHeight="false" outlineLevel="0" collapsed="false">
      <c r="A662" s="0" t="s">
        <v>126</v>
      </c>
      <c r="B662" s="0" t="n">
        <v>2018</v>
      </c>
      <c r="C662" s="0" t="s">
        <v>69</v>
      </c>
      <c r="D662" s="0" t="n">
        <v>12.86</v>
      </c>
      <c r="E662" s="0" t="s">
        <v>382</v>
      </c>
      <c r="G662" s="0" t="s">
        <v>81</v>
      </c>
    </row>
    <row r="663" customFormat="false" ht="15" hidden="false" customHeight="false" outlineLevel="0" collapsed="false">
      <c r="A663" s="0" t="s">
        <v>126</v>
      </c>
      <c r="B663" s="0" t="n">
        <v>2018</v>
      </c>
      <c r="C663" s="0" t="s">
        <v>70</v>
      </c>
      <c r="D663" s="0" t="n">
        <v>10</v>
      </c>
      <c r="E663" s="0" t="s">
        <v>382</v>
      </c>
      <c r="G663" s="0" t="s">
        <v>81</v>
      </c>
    </row>
    <row r="664" customFormat="false" ht="15" hidden="false" customHeight="false" outlineLevel="0" collapsed="false">
      <c r="A664" s="0" t="s">
        <v>126</v>
      </c>
      <c r="B664" s="0" t="n">
        <v>2018</v>
      </c>
      <c r="C664" s="0" t="s">
        <v>27</v>
      </c>
      <c r="D664" s="0" t="n">
        <v>9.02580036762945</v>
      </c>
      <c r="E664" s="0" t="s">
        <v>383</v>
      </c>
    </row>
    <row r="665" customFormat="false" ht="15" hidden="false" customHeight="false" outlineLevel="0" collapsed="false">
      <c r="A665" s="0" t="s">
        <v>126</v>
      </c>
      <c r="B665" s="0" t="n">
        <v>2018</v>
      </c>
      <c r="C665" s="0" t="s">
        <v>17</v>
      </c>
      <c r="D665" s="0" t="n">
        <v>3.0687802609111</v>
      </c>
      <c r="E665" s="0" t="s">
        <v>383</v>
      </c>
    </row>
    <row r="666" customFormat="false" ht="15" hidden="false" customHeight="false" outlineLevel="0" collapsed="false">
      <c r="A666" s="0" t="s">
        <v>126</v>
      </c>
      <c r="B666" s="0" t="n">
        <v>2018</v>
      </c>
      <c r="C666" s="0" t="s">
        <v>43</v>
      </c>
      <c r="D666" s="0" t="n">
        <v>0.871922760978233</v>
      </c>
      <c r="E666" s="0" t="s">
        <v>383</v>
      </c>
    </row>
    <row r="667" customFormat="false" ht="15" hidden="false" customHeight="false" outlineLevel="0" collapsed="false">
      <c r="A667" s="0" t="s">
        <v>126</v>
      </c>
      <c r="B667" s="0" t="n">
        <v>2018</v>
      </c>
      <c r="C667" s="0" t="s">
        <v>31</v>
      </c>
      <c r="D667" s="0" t="n">
        <v>90.9741996323705</v>
      </c>
      <c r="E667" s="0" t="s">
        <v>383</v>
      </c>
    </row>
    <row r="668" customFormat="false" ht="15" hidden="false" customHeight="false" outlineLevel="0" collapsed="false">
      <c r="A668" s="0" t="s">
        <v>126</v>
      </c>
      <c r="B668" s="0" t="n">
        <v>2018</v>
      </c>
      <c r="C668" s="0" t="s">
        <v>33</v>
      </c>
      <c r="D668" s="0" t="n">
        <v>13.8978975924781</v>
      </c>
      <c r="E668" s="0" t="s">
        <v>383</v>
      </c>
    </row>
    <row r="669" customFormat="false" ht="15" hidden="false" customHeight="false" outlineLevel="0" collapsed="false">
      <c r="A669" s="0" t="s">
        <v>126</v>
      </c>
      <c r="B669" s="0" t="n">
        <v>2018</v>
      </c>
      <c r="C669" s="0" t="s">
        <v>21</v>
      </c>
      <c r="D669" s="0" t="n">
        <v>0</v>
      </c>
      <c r="E669" s="0" t="s">
        <v>383</v>
      </c>
    </row>
    <row r="670" customFormat="false" ht="15" hidden="false" customHeight="false" outlineLevel="0" collapsed="false">
      <c r="A670" s="0" t="s">
        <v>126</v>
      </c>
      <c r="B670" s="0" t="n">
        <v>2019</v>
      </c>
      <c r="C670" s="0" t="s">
        <v>54</v>
      </c>
      <c r="D670" s="0" t="n">
        <v>10163</v>
      </c>
      <c r="E670" s="0" t="s">
        <v>382</v>
      </c>
      <c r="G670" s="0" t="s">
        <v>81</v>
      </c>
    </row>
    <row r="671" customFormat="false" ht="15" hidden="false" customHeight="false" outlineLevel="0" collapsed="false">
      <c r="A671" s="0" t="s">
        <v>126</v>
      </c>
      <c r="B671" s="0" t="n">
        <v>2019</v>
      </c>
      <c r="C671" s="0" t="s">
        <v>55</v>
      </c>
      <c r="D671" s="0" t="n">
        <v>1165509</v>
      </c>
      <c r="E671" s="0" t="s">
        <v>382</v>
      </c>
      <c r="G671" s="0" t="s">
        <v>81</v>
      </c>
    </row>
    <row r="672" customFormat="false" ht="15" hidden="false" customHeight="false" outlineLevel="0" collapsed="false">
      <c r="A672" s="0" t="s">
        <v>126</v>
      </c>
      <c r="B672" s="0" t="n">
        <v>2019</v>
      </c>
      <c r="C672" s="0" t="s">
        <v>56</v>
      </c>
      <c r="D672" s="0" t="n">
        <v>1046181</v>
      </c>
      <c r="E672" s="0" t="s">
        <v>382</v>
      </c>
      <c r="G672" s="0" t="s">
        <v>81</v>
      </c>
    </row>
    <row r="673" customFormat="false" ht="15" hidden="false" customHeight="false" outlineLevel="0" collapsed="false">
      <c r="A673" s="0" t="s">
        <v>126</v>
      </c>
      <c r="B673" s="0" t="n">
        <v>2019</v>
      </c>
      <c r="C673" s="0" t="s">
        <v>57</v>
      </c>
      <c r="D673" s="0" t="n">
        <v>119328</v>
      </c>
      <c r="E673" s="0" t="s">
        <v>382</v>
      </c>
      <c r="G673" s="0" t="s">
        <v>81</v>
      </c>
    </row>
    <row r="674" customFormat="false" ht="15" hidden="false" customHeight="false" outlineLevel="0" collapsed="false">
      <c r="A674" s="0" t="s">
        <v>126</v>
      </c>
      <c r="B674" s="0" t="n">
        <v>2019</v>
      </c>
      <c r="C674" s="0" t="s">
        <v>58</v>
      </c>
      <c r="D674" s="0" t="n">
        <v>114414</v>
      </c>
      <c r="E674" s="0" t="s">
        <v>382</v>
      </c>
      <c r="G674" s="0" t="s">
        <v>81</v>
      </c>
    </row>
    <row r="675" customFormat="false" ht="15" hidden="false" customHeight="false" outlineLevel="0" collapsed="false">
      <c r="A675" s="0" t="s">
        <v>126</v>
      </c>
      <c r="B675" s="0" t="n">
        <v>2019</v>
      </c>
      <c r="C675" s="0" t="s">
        <v>59</v>
      </c>
      <c r="D675" s="0" t="n">
        <v>1085876</v>
      </c>
      <c r="E675" s="0" t="s">
        <v>382</v>
      </c>
      <c r="G675" s="0" t="s">
        <v>81</v>
      </c>
    </row>
    <row r="676" customFormat="false" ht="15" hidden="false" customHeight="false" outlineLevel="0" collapsed="false">
      <c r="A676" s="0" t="s">
        <v>126</v>
      </c>
      <c r="B676" s="0" t="n">
        <v>2019</v>
      </c>
      <c r="C676" s="0" t="s">
        <v>60</v>
      </c>
      <c r="D676" s="0" t="n">
        <v>631698</v>
      </c>
      <c r="E676" s="0" t="s">
        <v>382</v>
      </c>
      <c r="G676" s="0" t="s">
        <v>81</v>
      </c>
    </row>
    <row r="677" customFormat="false" ht="15" hidden="false" customHeight="false" outlineLevel="0" collapsed="false">
      <c r="A677" s="0" t="s">
        <v>126</v>
      </c>
      <c r="B677" s="0" t="n">
        <v>2019</v>
      </c>
      <c r="C677" s="0" t="s">
        <v>61</v>
      </c>
      <c r="D677" s="0" t="n">
        <v>12966</v>
      </c>
      <c r="E677" s="0" t="s">
        <v>382</v>
      </c>
      <c r="G677" s="0" t="s">
        <v>81</v>
      </c>
    </row>
    <row r="678" customFormat="false" ht="15" hidden="false" customHeight="false" outlineLevel="0" collapsed="false">
      <c r="A678" s="0" t="s">
        <v>126</v>
      </c>
      <c r="B678" s="0" t="n">
        <v>2019</v>
      </c>
      <c r="C678" s="0" t="s">
        <v>63</v>
      </c>
      <c r="D678" s="0" t="n">
        <v>5842</v>
      </c>
      <c r="E678" s="0" t="s">
        <v>382</v>
      </c>
      <c r="G678" s="0" t="s">
        <v>81</v>
      </c>
    </row>
    <row r="679" customFormat="false" ht="15" hidden="false" customHeight="false" outlineLevel="0" collapsed="false">
      <c r="A679" s="0" t="s">
        <v>126</v>
      </c>
      <c r="B679" s="0" t="n">
        <v>2019</v>
      </c>
      <c r="C679" s="0" t="s">
        <v>69</v>
      </c>
      <c r="D679" s="0" t="n">
        <v>14.7</v>
      </c>
      <c r="E679" s="0" t="s">
        <v>382</v>
      </c>
      <c r="G679" s="0" t="s">
        <v>81</v>
      </c>
    </row>
    <row r="680" customFormat="false" ht="15" hidden="false" customHeight="false" outlineLevel="0" collapsed="false">
      <c r="A680" s="0" t="s">
        <v>126</v>
      </c>
      <c r="B680" s="0" t="n">
        <v>2019</v>
      </c>
      <c r="C680" s="0" t="s">
        <v>70</v>
      </c>
      <c r="D680" s="0" t="n">
        <v>10</v>
      </c>
      <c r="E680" s="0" t="s">
        <v>382</v>
      </c>
      <c r="G680" s="0" t="s">
        <v>81</v>
      </c>
    </row>
    <row r="681" customFormat="false" ht="15" hidden="false" customHeight="false" outlineLevel="0" collapsed="false">
      <c r="A681" s="0" t="s">
        <v>126</v>
      </c>
      <c r="B681" s="0" t="n">
        <v>2019</v>
      </c>
      <c r="C681" s="0" t="s">
        <v>73</v>
      </c>
      <c r="D681" s="0" t="n">
        <v>0</v>
      </c>
      <c r="E681" s="0" t="s">
        <v>400</v>
      </c>
      <c r="F681" s="0" t="s">
        <v>301</v>
      </c>
      <c r="G681" s="0" t="s">
        <v>463</v>
      </c>
      <c r="H681" s="0" t="s">
        <v>311</v>
      </c>
    </row>
    <row r="682" customFormat="false" ht="15" hidden="false" customHeight="false" outlineLevel="0" collapsed="false">
      <c r="A682" s="0" t="s">
        <v>126</v>
      </c>
      <c r="B682" s="0" t="n">
        <v>2019</v>
      </c>
      <c r="C682" s="0" t="s">
        <v>19</v>
      </c>
      <c r="D682" s="0" t="n">
        <v>1125692.5</v>
      </c>
      <c r="E682" s="0" t="s">
        <v>383</v>
      </c>
    </row>
    <row r="683" customFormat="false" ht="15" hidden="false" customHeight="false" outlineLevel="0" collapsed="false">
      <c r="A683" s="0" t="s">
        <v>126</v>
      </c>
      <c r="B683" s="0" t="n">
        <v>2019</v>
      </c>
      <c r="C683" s="0" t="s">
        <v>41</v>
      </c>
      <c r="D683" s="0" t="n">
        <v>0.902822040654975</v>
      </c>
      <c r="E683" s="0" t="s">
        <v>383</v>
      </c>
    </row>
    <row r="684" customFormat="false" ht="15" hidden="false" customHeight="false" outlineLevel="0" collapsed="false">
      <c r="A684" s="0" t="s">
        <v>126</v>
      </c>
      <c r="B684" s="0" t="n">
        <v>2019</v>
      </c>
      <c r="C684" s="0" t="s">
        <v>27</v>
      </c>
      <c r="D684" s="0" t="n">
        <v>10.238273578325</v>
      </c>
      <c r="E684" s="0" t="s">
        <v>383</v>
      </c>
    </row>
    <row r="685" customFormat="false" ht="15" hidden="false" customHeight="false" outlineLevel="0" collapsed="false">
      <c r="A685" s="0" t="s">
        <v>126</v>
      </c>
      <c r="B685" s="0" t="n">
        <v>2019</v>
      </c>
      <c r="C685" s="0" t="s">
        <v>39</v>
      </c>
      <c r="D685" s="0" t="n">
        <v>10.1638769024401</v>
      </c>
      <c r="E685" s="0" t="s">
        <v>383</v>
      </c>
    </row>
    <row r="686" customFormat="false" ht="15" hidden="false" customHeight="false" outlineLevel="0" collapsed="false">
      <c r="A686" s="0" t="s">
        <v>126</v>
      </c>
      <c r="B686" s="0" t="n">
        <v>2019</v>
      </c>
      <c r="C686" s="0" t="s">
        <v>17</v>
      </c>
      <c r="D686" s="0" t="n">
        <v>2.05256309185719</v>
      </c>
      <c r="E686" s="0" t="s">
        <v>383</v>
      </c>
    </row>
    <row r="687" customFormat="false" ht="15" hidden="false" customHeight="false" outlineLevel="0" collapsed="false">
      <c r="A687" s="0" t="s">
        <v>126</v>
      </c>
      <c r="B687" s="0" t="n">
        <v>2019</v>
      </c>
      <c r="C687" s="0" t="s">
        <v>29</v>
      </c>
      <c r="D687" s="0" t="n">
        <v>0.518969434370399</v>
      </c>
      <c r="E687" s="0" t="s">
        <v>383</v>
      </c>
    </row>
    <row r="688" customFormat="false" ht="15" hidden="false" customHeight="false" outlineLevel="0" collapsed="false">
      <c r="A688" s="0" t="s">
        <v>126</v>
      </c>
      <c r="B688" s="0" t="n">
        <v>2019</v>
      </c>
      <c r="C688" s="0" t="s">
        <v>43</v>
      </c>
      <c r="D688" s="0" t="n">
        <v>0.871979538553542</v>
      </c>
      <c r="E688" s="0" t="s">
        <v>383</v>
      </c>
    </row>
    <row r="689" customFormat="false" ht="15" hidden="false" customHeight="false" outlineLevel="0" collapsed="false">
      <c r="A689" s="0" t="s">
        <v>126</v>
      </c>
      <c r="B689" s="0" t="n">
        <v>2019</v>
      </c>
      <c r="C689" s="0" t="s">
        <v>31</v>
      </c>
      <c r="D689" s="0" t="n">
        <v>89.761726421675</v>
      </c>
      <c r="E689" s="0" t="s">
        <v>383</v>
      </c>
    </row>
    <row r="690" customFormat="false" ht="15" hidden="false" customHeight="false" outlineLevel="0" collapsed="false">
      <c r="A690" s="0" t="s">
        <v>126</v>
      </c>
      <c r="B690" s="0" t="n">
        <v>2019</v>
      </c>
      <c r="C690" s="0" t="s">
        <v>33</v>
      </c>
      <c r="D690" s="0" t="n">
        <v>13.9686684594359</v>
      </c>
      <c r="E690" s="0" t="s">
        <v>383</v>
      </c>
    </row>
    <row r="691" customFormat="false" ht="15" hidden="false" customHeight="false" outlineLevel="0" collapsed="false">
      <c r="A691" s="0" t="s">
        <v>126</v>
      </c>
      <c r="B691" s="0" t="n">
        <v>2019</v>
      </c>
      <c r="C691" s="0" t="s">
        <v>21</v>
      </c>
      <c r="D691" s="0" t="n">
        <v>0</v>
      </c>
      <c r="E691" s="0" t="s">
        <v>383</v>
      </c>
    </row>
    <row r="692" customFormat="false" ht="15" hidden="false" customHeight="false" outlineLevel="0" collapsed="false">
      <c r="A692" s="0" t="s">
        <v>129</v>
      </c>
      <c r="B692" s="0" t="n">
        <v>2013</v>
      </c>
      <c r="C692" s="0" t="s">
        <v>54</v>
      </c>
      <c r="D692" s="0" t="n">
        <v>46483</v>
      </c>
      <c r="E692" s="0" t="s">
        <v>382</v>
      </c>
      <c r="G692" s="0" t="s">
        <v>81</v>
      </c>
    </row>
    <row r="693" customFormat="false" ht="15" hidden="false" customHeight="false" outlineLevel="0" collapsed="false">
      <c r="A693" s="0" t="s">
        <v>129</v>
      </c>
      <c r="B693" s="0" t="n">
        <v>2013</v>
      </c>
      <c r="C693" s="0" t="s">
        <v>55</v>
      </c>
      <c r="D693" s="0" t="n">
        <v>2217417</v>
      </c>
      <c r="E693" s="0" t="s">
        <v>382</v>
      </c>
      <c r="G693" s="0" t="s">
        <v>81</v>
      </c>
    </row>
    <row r="694" customFormat="false" ht="15" hidden="false" customHeight="false" outlineLevel="0" collapsed="false">
      <c r="A694" s="0" t="s">
        <v>129</v>
      </c>
      <c r="B694" s="0" t="n">
        <v>2013</v>
      </c>
      <c r="C694" s="0" t="s">
        <v>56</v>
      </c>
      <c r="D694" s="0" t="n">
        <v>1957879</v>
      </c>
      <c r="E694" s="0" t="s">
        <v>382</v>
      </c>
      <c r="G694" s="0" t="s">
        <v>81</v>
      </c>
    </row>
    <row r="695" customFormat="false" ht="15" hidden="false" customHeight="false" outlineLevel="0" collapsed="false">
      <c r="A695" s="0" t="s">
        <v>129</v>
      </c>
      <c r="B695" s="0" t="n">
        <v>2013</v>
      </c>
      <c r="C695" s="0" t="s">
        <v>57</v>
      </c>
      <c r="D695" s="0" t="n">
        <v>259538</v>
      </c>
      <c r="E695" s="0" t="s">
        <v>382</v>
      </c>
      <c r="G695" s="0" t="s">
        <v>81</v>
      </c>
    </row>
    <row r="696" customFormat="false" ht="15" hidden="false" customHeight="false" outlineLevel="0" collapsed="false">
      <c r="A696" s="0" t="s">
        <v>129</v>
      </c>
      <c r="B696" s="0" t="n">
        <v>2013</v>
      </c>
      <c r="C696" s="0" t="s">
        <v>58</v>
      </c>
      <c r="D696" s="0" t="n">
        <v>-136104</v>
      </c>
      <c r="E696" s="0" t="s">
        <v>382</v>
      </c>
      <c r="G696" s="0" t="s">
        <v>81</v>
      </c>
    </row>
    <row r="697" customFormat="false" ht="15" hidden="false" customHeight="false" outlineLevel="0" collapsed="false">
      <c r="A697" s="0" t="s">
        <v>129</v>
      </c>
      <c r="B697" s="0" t="n">
        <v>2013</v>
      </c>
      <c r="C697" s="0" t="s">
        <v>60</v>
      </c>
      <c r="D697" s="0" t="n">
        <v>805259</v>
      </c>
      <c r="E697" s="0" t="s">
        <v>382</v>
      </c>
      <c r="G697" s="0" t="s">
        <v>81</v>
      </c>
    </row>
    <row r="698" customFormat="false" ht="15" hidden="false" customHeight="false" outlineLevel="0" collapsed="false">
      <c r="A698" s="0" t="s">
        <v>129</v>
      </c>
      <c r="B698" s="0" t="n">
        <v>2013</v>
      </c>
      <c r="C698" s="0" t="s">
        <v>61</v>
      </c>
      <c r="D698" s="0" t="n">
        <v>8317</v>
      </c>
      <c r="E698" s="0" t="s">
        <v>382</v>
      </c>
      <c r="G698" s="0" t="s">
        <v>81</v>
      </c>
    </row>
    <row r="699" customFormat="false" ht="15" hidden="false" customHeight="false" outlineLevel="0" collapsed="false">
      <c r="A699" s="0" t="s">
        <v>129</v>
      </c>
      <c r="B699" s="0" t="n">
        <v>2013</v>
      </c>
      <c r="C699" s="0" t="s">
        <v>63</v>
      </c>
      <c r="D699" s="0" t="n">
        <v>181</v>
      </c>
      <c r="E699" s="0" t="s">
        <v>382</v>
      </c>
      <c r="G699" s="0" t="s">
        <v>81</v>
      </c>
    </row>
    <row r="700" customFormat="false" ht="15" hidden="false" customHeight="false" outlineLevel="0" collapsed="false">
      <c r="A700" s="0" t="s">
        <v>129</v>
      </c>
      <c r="B700" s="0" t="n">
        <v>2013</v>
      </c>
      <c r="C700" s="0" t="s">
        <v>69</v>
      </c>
      <c r="D700" s="0" t="n">
        <v>20</v>
      </c>
      <c r="E700" s="0" t="s">
        <v>382</v>
      </c>
      <c r="G700" s="0" t="s">
        <v>81</v>
      </c>
    </row>
    <row r="701" customFormat="false" ht="15" hidden="false" customHeight="false" outlineLevel="0" collapsed="false">
      <c r="A701" s="0" t="s">
        <v>129</v>
      </c>
      <c r="B701" s="0" t="n">
        <v>2013</v>
      </c>
      <c r="C701" s="0" t="s">
        <v>27</v>
      </c>
      <c r="D701" s="0" t="n">
        <v>11.7045192672375</v>
      </c>
      <c r="E701" s="0" t="s">
        <v>383</v>
      </c>
    </row>
    <row r="702" customFormat="false" ht="15" hidden="false" customHeight="false" outlineLevel="0" collapsed="false">
      <c r="A702" s="0" t="s">
        <v>129</v>
      </c>
      <c r="B702" s="0" t="n">
        <v>2013</v>
      </c>
      <c r="C702" s="0" t="s">
        <v>17</v>
      </c>
      <c r="D702" s="0" t="n">
        <v>1.03283539830042</v>
      </c>
      <c r="E702" s="0" t="s">
        <v>383</v>
      </c>
    </row>
    <row r="703" customFormat="false" ht="15" hidden="false" customHeight="false" outlineLevel="0" collapsed="false">
      <c r="A703" s="0" t="s">
        <v>129</v>
      </c>
      <c r="B703" s="0" t="n">
        <v>2013</v>
      </c>
      <c r="C703" s="0" t="s">
        <v>43</v>
      </c>
      <c r="D703" s="0" t="n">
        <v>2.09626786481749</v>
      </c>
      <c r="E703" s="0" t="s">
        <v>383</v>
      </c>
    </row>
    <row r="704" customFormat="false" ht="15" hidden="false" customHeight="false" outlineLevel="0" collapsed="false">
      <c r="A704" s="0" t="s">
        <v>129</v>
      </c>
      <c r="B704" s="0" t="n">
        <v>2013</v>
      </c>
      <c r="C704" s="0" t="s">
        <v>31</v>
      </c>
      <c r="D704" s="0" t="n">
        <v>88.2954807327625</v>
      </c>
      <c r="E704" s="0" t="s">
        <v>383</v>
      </c>
    </row>
    <row r="705" customFormat="false" ht="15" hidden="false" customHeight="false" outlineLevel="0" collapsed="false">
      <c r="A705" s="0" t="s">
        <v>129</v>
      </c>
      <c r="B705" s="0" t="n">
        <v>2013</v>
      </c>
      <c r="C705" s="0" t="s">
        <v>33</v>
      </c>
      <c r="D705" s="0" t="n">
        <v>14.6118535629276</v>
      </c>
      <c r="E705" s="0" t="s">
        <v>383</v>
      </c>
    </row>
    <row r="706" customFormat="false" ht="15" hidden="false" customHeight="false" outlineLevel="0" collapsed="false">
      <c r="A706" s="0" t="s">
        <v>129</v>
      </c>
      <c r="B706" s="0" t="n">
        <v>2013</v>
      </c>
      <c r="C706" s="0" t="s">
        <v>21</v>
      </c>
      <c r="D706" s="0" t="n">
        <v>0</v>
      </c>
      <c r="E706" s="0" t="s">
        <v>383</v>
      </c>
    </row>
    <row r="707" customFormat="false" ht="15" hidden="false" customHeight="false" outlineLevel="0" collapsed="false">
      <c r="A707" s="0" t="s">
        <v>129</v>
      </c>
      <c r="B707" s="0" t="n">
        <v>2014</v>
      </c>
      <c r="C707" s="0" t="s">
        <v>54</v>
      </c>
      <c r="D707" s="0" t="n">
        <v>40083</v>
      </c>
      <c r="E707" s="0" t="s">
        <v>382</v>
      </c>
      <c r="G707" s="0" t="s">
        <v>81</v>
      </c>
    </row>
    <row r="708" customFormat="false" ht="15" hidden="false" customHeight="false" outlineLevel="0" collapsed="false">
      <c r="A708" s="0" t="s">
        <v>129</v>
      </c>
      <c r="B708" s="0" t="n">
        <v>2014</v>
      </c>
      <c r="C708" s="0" t="s">
        <v>55</v>
      </c>
      <c r="D708" s="0" t="n">
        <v>2338858</v>
      </c>
      <c r="E708" s="0" t="s">
        <v>382</v>
      </c>
      <c r="G708" s="0" t="s">
        <v>81</v>
      </c>
    </row>
    <row r="709" customFormat="false" ht="15" hidden="false" customHeight="false" outlineLevel="0" collapsed="false">
      <c r="A709" s="0" t="s">
        <v>129</v>
      </c>
      <c r="B709" s="0" t="n">
        <v>2014</v>
      </c>
      <c r="C709" s="0" t="s">
        <v>56</v>
      </c>
      <c r="D709" s="0" t="n">
        <v>2056925</v>
      </c>
      <c r="E709" s="0" t="s">
        <v>382</v>
      </c>
      <c r="G709" s="0" t="s">
        <v>81</v>
      </c>
    </row>
    <row r="710" customFormat="false" ht="15" hidden="false" customHeight="false" outlineLevel="0" collapsed="false">
      <c r="A710" s="0" t="s">
        <v>129</v>
      </c>
      <c r="B710" s="0" t="n">
        <v>2014</v>
      </c>
      <c r="C710" s="0" t="s">
        <v>57</v>
      </c>
      <c r="D710" s="0" t="n">
        <v>281933</v>
      </c>
      <c r="E710" s="0" t="s">
        <v>382</v>
      </c>
      <c r="G710" s="0" t="s">
        <v>81</v>
      </c>
    </row>
    <row r="711" customFormat="false" ht="15" hidden="false" customHeight="false" outlineLevel="0" collapsed="false">
      <c r="A711" s="0" t="s">
        <v>129</v>
      </c>
      <c r="B711" s="0" t="n">
        <v>2014</v>
      </c>
      <c r="C711" s="0" t="s">
        <v>58</v>
      </c>
      <c r="D711" s="0" t="n">
        <v>-92619</v>
      </c>
      <c r="E711" s="0" t="s">
        <v>382</v>
      </c>
      <c r="G711" s="0" t="s">
        <v>81</v>
      </c>
    </row>
    <row r="712" customFormat="false" ht="15" hidden="false" customHeight="false" outlineLevel="0" collapsed="false">
      <c r="A712" s="0" t="s">
        <v>129</v>
      </c>
      <c r="B712" s="0" t="n">
        <v>2014</v>
      </c>
      <c r="C712" s="0" t="s">
        <v>59</v>
      </c>
      <c r="D712" s="0" t="n">
        <v>2217417</v>
      </c>
      <c r="E712" s="0" t="s">
        <v>382</v>
      </c>
      <c r="G712" s="0" t="s">
        <v>81</v>
      </c>
    </row>
    <row r="713" customFormat="false" ht="15" hidden="false" customHeight="false" outlineLevel="0" collapsed="false">
      <c r="A713" s="0" t="s">
        <v>129</v>
      </c>
      <c r="B713" s="0" t="n">
        <v>2014</v>
      </c>
      <c r="C713" s="0" t="s">
        <v>60</v>
      </c>
      <c r="D713" s="0" t="n">
        <v>895109</v>
      </c>
      <c r="E713" s="0" t="s">
        <v>382</v>
      </c>
      <c r="G713" s="0" t="s">
        <v>81</v>
      </c>
    </row>
    <row r="714" customFormat="false" ht="15" hidden="false" customHeight="false" outlineLevel="0" collapsed="false">
      <c r="A714" s="0" t="s">
        <v>129</v>
      </c>
      <c r="B714" s="0" t="n">
        <v>2014</v>
      </c>
      <c r="C714" s="0" t="s">
        <v>61</v>
      </c>
      <c r="D714" s="0" t="n">
        <v>10522</v>
      </c>
      <c r="E714" s="0" t="s">
        <v>382</v>
      </c>
      <c r="G714" s="0" t="s">
        <v>81</v>
      </c>
    </row>
    <row r="715" customFormat="false" ht="15" hidden="false" customHeight="false" outlineLevel="0" collapsed="false">
      <c r="A715" s="0" t="s">
        <v>129</v>
      </c>
      <c r="B715" s="0" t="n">
        <v>2014</v>
      </c>
      <c r="C715" s="0" t="s">
        <v>63</v>
      </c>
      <c r="D715" s="0" t="n">
        <v>3073</v>
      </c>
      <c r="E715" s="0" t="s">
        <v>382</v>
      </c>
      <c r="G715" s="0" t="s">
        <v>81</v>
      </c>
    </row>
    <row r="716" customFormat="false" ht="15" hidden="false" customHeight="false" outlineLevel="0" collapsed="false">
      <c r="A716" s="0" t="s">
        <v>129</v>
      </c>
      <c r="B716" s="0" t="n">
        <v>2014</v>
      </c>
      <c r="C716" s="0" t="s">
        <v>69</v>
      </c>
      <c r="D716" s="0" t="n">
        <v>17</v>
      </c>
      <c r="E716" s="0" t="s">
        <v>382</v>
      </c>
      <c r="G716" s="0" t="s">
        <v>81</v>
      </c>
    </row>
    <row r="717" customFormat="false" ht="15" hidden="false" customHeight="false" outlineLevel="0" collapsed="false">
      <c r="A717" s="0" t="s">
        <v>129</v>
      </c>
      <c r="B717" s="0" t="n">
        <v>2014</v>
      </c>
      <c r="C717" s="0" t="s">
        <v>19</v>
      </c>
      <c r="D717" s="0" t="n">
        <v>2278137.5</v>
      </c>
      <c r="E717" s="0" t="s">
        <v>383</v>
      </c>
    </row>
    <row r="718" customFormat="false" ht="15" hidden="false" customHeight="false" outlineLevel="0" collapsed="false">
      <c r="A718" s="0" t="s">
        <v>129</v>
      </c>
      <c r="B718" s="0" t="n">
        <v>2014</v>
      </c>
      <c r="C718" s="0" t="s">
        <v>41</v>
      </c>
      <c r="D718" s="0" t="n">
        <v>1.75946359690756</v>
      </c>
      <c r="E718" s="0" t="s">
        <v>383</v>
      </c>
    </row>
    <row r="719" customFormat="false" ht="15" hidden="false" customHeight="false" outlineLevel="0" collapsed="false">
      <c r="A719" s="0" t="s">
        <v>129</v>
      </c>
      <c r="B719" s="0" t="n">
        <v>2014</v>
      </c>
      <c r="C719" s="0" t="s">
        <v>27</v>
      </c>
      <c r="D719" s="0" t="n">
        <v>12.0543017147685</v>
      </c>
      <c r="E719" s="0" t="s">
        <v>383</v>
      </c>
    </row>
    <row r="720" customFormat="false" ht="15" hidden="false" customHeight="false" outlineLevel="0" collapsed="false">
      <c r="A720" s="0" t="s">
        <v>129</v>
      </c>
      <c r="B720" s="0" t="n">
        <v>2014</v>
      </c>
      <c r="C720" s="0" t="s">
        <v>39</v>
      </c>
      <c r="D720" s="0" t="n">
        <v>-4.06555793932544</v>
      </c>
      <c r="E720" s="0" t="s">
        <v>383</v>
      </c>
    </row>
    <row r="721" customFormat="false" ht="15" hidden="false" customHeight="false" outlineLevel="0" collapsed="false">
      <c r="A721" s="0" t="s">
        <v>129</v>
      </c>
      <c r="B721" s="0" t="n">
        <v>2014</v>
      </c>
      <c r="C721" s="0" t="s">
        <v>17</v>
      </c>
      <c r="D721" s="0" t="n">
        <v>1.17549929673369</v>
      </c>
      <c r="E721" s="0" t="s">
        <v>383</v>
      </c>
    </row>
    <row r="722" customFormat="false" ht="15" hidden="false" customHeight="false" outlineLevel="0" collapsed="false">
      <c r="A722" s="0" t="s">
        <v>129</v>
      </c>
      <c r="B722" s="0" t="n">
        <v>2014</v>
      </c>
      <c r="C722" s="0" t="s">
        <v>29</v>
      </c>
      <c r="D722" s="0" t="n">
        <v>0.134890892231044</v>
      </c>
      <c r="E722" s="0" t="s">
        <v>383</v>
      </c>
    </row>
    <row r="723" customFormat="false" ht="15" hidden="false" customHeight="false" outlineLevel="0" collapsed="false">
      <c r="A723" s="0" t="s">
        <v>129</v>
      </c>
      <c r="B723" s="0" t="n">
        <v>2014</v>
      </c>
      <c r="C723" s="0" t="s">
        <v>43</v>
      </c>
      <c r="D723" s="0" t="n">
        <v>1.71378510367025</v>
      </c>
      <c r="E723" s="0" t="s">
        <v>383</v>
      </c>
    </row>
    <row r="724" customFormat="false" ht="15" hidden="false" customHeight="false" outlineLevel="0" collapsed="false">
      <c r="A724" s="0" t="s">
        <v>129</v>
      </c>
      <c r="B724" s="0" t="n">
        <v>2014</v>
      </c>
      <c r="C724" s="0" t="s">
        <v>31</v>
      </c>
      <c r="D724" s="0" t="n">
        <v>87.9456982852315</v>
      </c>
      <c r="E724" s="0" t="s">
        <v>383</v>
      </c>
    </row>
    <row r="725" customFormat="false" ht="15" hidden="false" customHeight="false" outlineLevel="0" collapsed="false">
      <c r="A725" s="0" t="s">
        <v>129</v>
      </c>
      <c r="B725" s="0" t="n">
        <v>2014</v>
      </c>
      <c r="C725" s="0" t="s">
        <v>33</v>
      </c>
      <c r="D725" s="0" t="n">
        <v>14.6651733340184</v>
      </c>
      <c r="E725" s="0" t="s">
        <v>383</v>
      </c>
    </row>
    <row r="726" customFormat="false" ht="15" hidden="false" customHeight="false" outlineLevel="0" collapsed="false">
      <c r="A726" s="0" t="s">
        <v>129</v>
      </c>
      <c r="B726" s="0" t="n">
        <v>2014</v>
      </c>
      <c r="C726" s="0" t="s">
        <v>21</v>
      </c>
      <c r="D726" s="0" t="n">
        <v>0</v>
      </c>
      <c r="E726" s="0" t="s">
        <v>383</v>
      </c>
    </row>
    <row r="727" customFormat="false" ht="15" hidden="false" customHeight="false" outlineLevel="0" collapsed="false">
      <c r="A727" s="0" t="s">
        <v>129</v>
      </c>
      <c r="B727" s="0" t="n">
        <v>2015</v>
      </c>
      <c r="C727" s="0" t="s">
        <v>54</v>
      </c>
      <c r="D727" s="0" t="n">
        <v>47642</v>
      </c>
      <c r="E727" s="0" t="s">
        <v>382</v>
      </c>
      <c r="G727" s="0" t="s">
        <v>132</v>
      </c>
    </row>
    <row r="728" customFormat="false" ht="15" hidden="false" customHeight="false" outlineLevel="0" collapsed="false">
      <c r="A728" s="0" t="s">
        <v>129</v>
      </c>
      <c r="B728" s="0" t="n">
        <v>2015</v>
      </c>
      <c r="C728" s="0" t="s">
        <v>55</v>
      </c>
      <c r="D728" s="0" t="n">
        <v>2216337</v>
      </c>
      <c r="E728" s="0" t="s">
        <v>382</v>
      </c>
      <c r="G728" s="0" t="s">
        <v>132</v>
      </c>
    </row>
    <row r="729" customFormat="false" ht="15" hidden="false" customHeight="false" outlineLevel="0" collapsed="false">
      <c r="A729" s="0" t="s">
        <v>129</v>
      </c>
      <c r="B729" s="0" t="n">
        <v>2015</v>
      </c>
      <c r="C729" s="0" t="s">
        <v>56</v>
      </c>
      <c r="D729" s="0" t="n">
        <v>1878106</v>
      </c>
      <c r="E729" s="0" t="s">
        <v>382</v>
      </c>
      <c r="G729" s="0" t="s">
        <v>132</v>
      </c>
    </row>
    <row r="730" customFormat="false" ht="15" hidden="false" customHeight="false" outlineLevel="0" collapsed="false">
      <c r="A730" s="0" t="s">
        <v>129</v>
      </c>
      <c r="B730" s="0" t="n">
        <v>2015</v>
      </c>
      <c r="C730" s="0" t="s">
        <v>57</v>
      </c>
      <c r="D730" s="0" t="n">
        <v>338231</v>
      </c>
      <c r="E730" s="0" t="s">
        <v>382</v>
      </c>
      <c r="G730" s="0" t="s">
        <v>132</v>
      </c>
    </row>
    <row r="731" customFormat="false" ht="15" hidden="false" customHeight="false" outlineLevel="0" collapsed="false">
      <c r="A731" s="0" t="s">
        <v>129</v>
      </c>
      <c r="B731" s="0" t="n">
        <v>2015</v>
      </c>
      <c r="C731" s="0" t="s">
        <v>58</v>
      </c>
      <c r="D731" s="0" t="n">
        <v>58408</v>
      </c>
      <c r="E731" s="0" t="s">
        <v>382</v>
      </c>
      <c r="G731" s="0" t="s">
        <v>132</v>
      </c>
    </row>
    <row r="732" customFormat="false" ht="15" hidden="false" customHeight="false" outlineLevel="0" collapsed="false">
      <c r="A732" s="0" t="s">
        <v>129</v>
      </c>
      <c r="B732" s="0" t="n">
        <v>2015</v>
      </c>
      <c r="C732" s="0" t="s">
        <v>59</v>
      </c>
      <c r="D732" s="0" t="n">
        <v>2338858</v>
      </c>
      <c r="E732" s="0" t="s">
        <v>382</v>
      </c>
      <c r="G732" s="0" t="s">
        <v>132</v>
      </c>
    </row>
    <row r="733" customFormat="false" ht="15" hidden="false" customHeight="false" outlineLevel="0" collapsed="false">
      <c r="A733" s="0" t="s">
        <v>129</v>
      </c>
      <c r="B733" s="0" t="n">
        <v>2015</v>
      </c>
      <c r="C733" s="0" t="s">
        <v>60</v>
      </c>
      <c r="D733" s="0" t="n">
        <v>835737</v>
      </c>
      <c r="E733" s="0" t="s">
        <v>382</v>
      </c>
      <c r="G733" s="0" t="s">
        <v>132</v>
      </c>
    </row>
    <row r="734" customFormat="false" ht="15" hidden="false" customHeight="false" outlineLevel="0" collapsed="false">
      <c r="A734" s="0" t="s">
        <v>129</v>
      </c>
      <c r="B734" s="0" t="n">
        <v>2015</v>
      </c>
      <c r="C734" s="0" t="s">
        <v>61</v>
      </c>
      <c r="D734" s="0" t="n">
        <v>13043</v>
      </c>
      <c r="E734" s="0" t="s">
        <v>382</v>
      </c>
      <c r="G734" s="0" t="s">
        <v>132</v>
      </c>
    </row>
    <row r="735" customFormat="false" ht="15" hidden="false" customHeight="false" outlineLevel="0" collapsed="false">
      <c r="A735" s="0" t="s">
        <v>129</v>
      </c>
      <c r="B735" s="0" t="n">
        <v>2015</v>
      </c>
      <c r="C735" s="0" t="s">
        <v>62</v>
      </c>
      <c r="D735" s="0" t="n">
        <v>822694</v>
      </c>
      <c r="E735" s="0" t="s">
        <v>382</v>
      </c>
      <c r="G735" s="0" t="s">
        <v>132</v>
      </c>
    </row>
    <row r="736" customFormat="false" ht="15" hidden="false" customHeight="false" outlineLevel="0" collapsed="false">
      <c r="A736" s="0" t="s">
        <v>129</v>
      </c>
      <c r="B736" s="0" t="n">
        <v>2015</v>
      </c>
      <c r="C736" s="0" t="s">
        <v>63</v>
      </c>
      <c r="D736" s="0" t="n">
        <v>3491</v>
      </c>
      <c r="E736" s="0" t="s">
        <v>382</v>
      </c>
      <c r="G736" s="0" t="s">
        <v>132</v>
      </c>
    </row>
    <row r="737" customFormat="false" ht="15" hidden="false" customHeight="false" outlineLevel="0" collapsed="false">
      <c r="A737" s="0" t="s">
        <v>129</v>
      </c>
      <c r="B737" s="0" t="n">
        <v>2015</v>
      </c>
      <c r="C737" s="0" t="s">
        <v>69</v>
      </c>
      <c r="D737" s="0" t="n">
        <v>20</v>
      </c>
      <c r="E737" s="0" t="s">
        <v>382</v>
      </c>
      <c r="G737" s="0" t="s">
        <v>132</v>
      </c>
    </row>
    <row r="738" customFormat="false" ht="15" hidden="false" customHeight="false" outlineLevel="0" collapsed="false">
      <c r="A738" s="0" t="s">
        <v>129</v>
      </c>
      <c r="B738" s="0" t="n">
        <v>2015</v>
      </c>
      <c r="C738" s="0" t="s">
        <v>65</v>
      </c>
      <c r="D738" s="0" t="n">
        <v>241091</v>
      </c>
      <c r="E738" s="0" t="s">
        <v>382</v>
      </c>
      <c r="G738" s="0" t="s">
        <v>132</v>
      </c>
    </row>
    <row r="739" customFormat="false" ht="15" hidden="false" customHeight="false" outlineLevel="0" collapsed="false">
      <c r="A739" s="0" t="s">
        <v>129</v>
      </c>
      <c r="B739" s="0" t="n">
        <v>2015</v>
      </c>
      <c r="C739" s="0" t="s">
        <v>66</v>
      </c>
      <c r="D739" s="0" t="n">
        <v>1208372</v>
      </c>
      <c r="E739" s="0" t="s">
        <v>382</v>
      </c>
      <c r="G739" s="0" t="s">
        <v>132</v>
      </c>
    </row>
    <row r="740" customFormat="false" ht="15" hidden="false" customHeight="false" outlineLevel="0" collapsed="false">
      <c r="A740" s="0" t="s">
        <v>129</v>
      </c>
      <c r="B740" s="0" t="n">
        <v>2015</v>
      </c>
      <c r="C740" s="0" t="s">
        <v>71</v>
      </c>
      <c r="D740" s="0" t="n">
        <v>52.57</v>
      </c>
      <c r="E740" s="0" t="s">
        <v>382</v>
      </c>
      <c r="G740" s="0" t="s">
        <v>132</v>
      </c>
    </row>
    <row r="741" customFormat="false" ht="15" hidden="false" customHeight="false" outlineLevel="0" collapsed="false">
      <c r="A741" s="0" t="s">
        <v>129</v>
      </c>
      <c r="B741" s="0" t="n">
        <v>2015</v>
      </c>
      <c r="C741" s="0" t="s">
        <v>402</v>
      </c>
      <c r="D741" s="0" t="n">
        <v>50735</v>
      </c>
      <c r="E741" s="0" t="s">
        <v>382</v>
      </c>
      <c r="G741" s="0" t="s">
        <v>132</v>
      </c>
    </row>
    <row r="742" customFormat="false" ht="15" hidden="false" customHeight="false" outlineLevel="0" collapsed="false">
      <c r="A742" s="0" t="s">
        <v>129</v>
      </c>
      <c r="B742" s="0" t="n">
        <v>2015</v>
      </c>
      <c r="C742" s="0" t="s">
        <v>670</v>
      </c>
      <c r="D742" s="0" t="n">
        <v>247378</v>
      </c>
      <c r="E742" s="0" t="s">
        <v>382</v>
      </c>
      <c r="G742" s="0" t="s">
        <v>132</v>
      </c>
    </row>
    <row r="743" customFormat="false" ht="15" hidden="false" customHeight="false" outlineLevel="0" collapsed="false">
      <c r="A743" s="0" t="s">
        <v>129</v>
      </c>
      <c r="B743" s="0" t="n">
        <v>2015</v>
      </c>
      <c r="C743" s="0" t="s">
        <v>404</v>
      </c>
      <c r="D743" s="0" t="n">
        <v>6031</v>
      </c>
      <c r="E743" s="0" t="s">
        <v>382</v>
      </c>
      <c r="G743" s="0" t="s">
        <v>132</v>
      </c>
    </row>
    <row r="744" customFormat="false" ht="15" hidden="false" customHeight="false" outlineLevel="0" collapsed="false">
      <c r="A744" s="0" t="s">
        <v>129</v>
      </c>
      <c r="B744" s="0" t="n">
        <v>2015</v>
      </c>
      <c r="C744" s="0" t="s">
        <v>406</v>
      </c>
      <c r="D744" s="0" t="n">
        <v>7012</v>
      </c>
      <c r="E744" s="0" t="s">
        <v>382</v>
      </c>
      <c r="G744" s="0" t="s">
        <v>132</v>
      </c>
    </row>
    <row r="745" customFormat="false" ht="15" hidden="false" customHeight="false" outlineLevel="0" collapsed="false">
      <c r="A745" s="0" t="s">
        <v>129</v>
      </c>
      <c r="B745" s="0" t="n">
        <v>2015</v>
      </c>
      <c r="C745" s="0" t="s">
        <v>19</v>
      </c>
      <c r="D745" s="0" t="n">
        <v>2277597.5</v>
      </c>
      <c r="E745" s="0" t="s">
        <v>383</v>
      </c>
    </row>
    <row r="746" customFormat="false" ht="15" hidden="false" customHeight="false" outlineLevel="0" collapsed="false">
      <c r="A746" s="0" t="s">
        <v>129</v>
      </c>
      <c r="B746" s="0" t="n">
        <v>2015</v>
      </c>
      <c r="C746" s="0" t="s">
        <v>41</v>
      </c>
      <c r="D746" s="0" t="n">
        <v>2.09176555559092</v>
      </c>
      <c r="E746" s="0" t="s">
        <v>383</v>
      </c>
    </row>
    <row r="747" customFormat="false" ht="15" hidden="false" customHeight="false" outlineLevel="0" collapsed="false">
      <c r="A747" s="0" t="s">
        <v>129</v>
      </c>
      <c r="B747" s="0" t="n">
        <v>2015</v>
      </c>
      <c r="C747" s="0" t="s">
        <v>27</v>
      </c>
      <c r="D747" s="0" t="n">
        <v>15.260810968729</v>
      </c>
      <c r="E747" s="0" t="s">
        <v>383</v>
      </c>
    </row>
    <row r="748" customFormat="false" ht="15" hidden="false" customHeight="false" outlineLevel="0" collapsed="false">
      <c r="A748" s="0" t="s">
        <v>129</v>
      </c>
      <c r="B748" s="0" t="n">
        <v>2015</v>
      </c>
      <c r="C748" s="0" t="s">
        <v>39</v>
      </c>
      <c r="D748" s="0" t="n">
        <v>2.56445662589637</v>
      </c>
      <c r="E748" s="0" t="s">
        <v>383</v>
      </c>
    </row>
    <row r="749" customFormat="false" ht="15" hidden="false" customHeight="false" outlineLevel="0" collapsed="false">
      <c r="A749" s="0" t="s">
        <v>129</v>
      </c>
      <c r="B749" s="0" t="n">
        <v>2015</v>
      </c>
      <c r="C749" s="0" t="s">
        <v>17</v>
      </c>
      <c r="D749" s="0" t="n">
        <v>1.56065843680488</v>
      </c>
      <c r="E749" s="0" t="s">
        <v>383</v>
      </c>
    </row>
    <row r="750" customFormat="false" ht="15" hidden="false" customHeight="false" outlineLevel="0" collapsed="false">
      <c r="A750" s="0" t="s">
        <v>129</v>
      </c>
      <c r="B750" s="0" t="n">
        <v>2015</v>
      </c>
      <c r="C750" s="0" t="s">
        <v>25</v>
      </c>
      <c r="D750" s="0" t="n">
        <v>19.9517201656444</v>
      </c>
      <c r="E750" s="0" t="s">
        <v>383</v>
      </c>
    </row>
    <row r="751" customFormat="false" ht="15" hidden="false" customHeight="false" outlineLevel="0" collapsed="false">
      <c r="A751" s="0" t="s">
        <v>129</v>
      </c>
      <c r="B751" s="0" t="n">
        <v>2015</v>
      </c>
      <c r="C751" s="0" t="s">
        <v>29</v>
      </c>
      <c r="D751" s="0" t="n">
        <v>0.153275545832835</v>
      </c>
      <c r="E751" s="0" t="s">
        <v>383</v>
      </c>
    </row>
    <row r="752" customFormat="false" ht="15" hidden="false" customHeight="false" outlineLevel="0" collapsed="false">
      <c r="A752" s="0" t="s">
        <v>129</v>
      </c>
      <c r="B752" s="0" t="n">
        <v>2015</v>
      </c>
      <c r="C752" s="0" t="s">
        <v>43</v>
      </c>
      <c r="D752" s="0" t="n">
        <v>2.1495828477348</v>
      </c>
      <c r="E752" s="0" t="s">
        <v>383</v>
      </c>
    </row>
    <row r="753" customFormat="false" ht="15" hidden="false" customHeight="false" outlineLevel="0" collapsed="false">
      <c r="A753" s="0" t="s">
        <v>129</v>
      </c>
      <c r="B753" s="0" t="n">
        <v>2015</v>
      </c>
      <c r="C753" s="0" t="s">
        <v>31</v>
      </c>
      <c r="D753" s="0" t="n">
        <v>84.739189031271</v>
      </c>
      <c r="E753" s="0" t="s">
        <v>383</v>
      </c>
    </row>
    <row r="754" customFormat="false" ht="15" hidden="false" customHeight="false" outlineLevel="0" collapsed="false">
      <c r="A754" s="0" t="s">
        <v>129</v>
      </c>
      <c r="B754" s="0" t="n">
        <v>2015</v>
      </c>
      <c r="C754" s="0" t="s">
        <v>33</v>
      </c>
      <c r="D754" s="0" t="n">
        <v>14.6113663910992</v>
      </c>
      <c r="E754" s="0" t="s">
        <v>383</v>
      </c>
    </row>
    <row r="755" customFormat="false" ht="15" hidden="false" customHeight="false" outlineLevel="0" collapsed="false">
      <c r="A755" s="0" t="s">
        <v>129</v>
      </c>
      <c r="B755" s="0" t="n">
        <v>2015</v>
      </c>
      <c r="C755" s="0" t="s">
        <v>21</v>
      </c>
      <c r="D755" s="0" t="n">
        <v>0</v>
      </c>
      <c r="E755" s="0" t="s">
        <v>383</v>
      </c>
    </row>
    <row r="756" customFormat="false" ht="15" hidden="false" customHeight="false" outlineLevel="0" collapsed="false">
      <c r="A756" s="0" t="s">
        <v>129</v>
      </c>
      <c r="B756" s="0" t="n">
        <v>2015</v>
      </c>
      <c r="C756" s="0" t="s">
        <v>35</v>
      </c>
      <c r="D756" s="0" t="n">
        <v>0</v>
      </c>
      <c r="E756" s="0" t="s">
        <v>383</v>
      </c>
    </row>
    <row r="757" customFormat="false" ht="15" hidden="false" customHeight="false" outlineLevel="0" collapsed="false">
      <c r="A757" s="0" t="s">
        <v>129</v>
      </c>
      <c r="B757" s="0" t="n">
        <v>2016</v>
      </c>
      <c r="C757" s="0" t="s">
        <v>54</v>
      </c>
      <c r="D757" s="0" t="n">
        <v>47541</v>
      </c>
      <c r="E757" s="0" t="s">
        <v>382</v>
      </c>
      <c r="G757" s="0" t="s">
        <v>134</v>
      </c>
    </row>
    <row r="758" customFormat="false" ht="15" hidden="false" customHeight="false" outlineLevel="0" collapsed="false">
      <c r="A758" s="0" t="s">
        <v>129</v>
      </c>
      <c r="B758" s="0" t="n">
        <v>2016</v>
      </c>
      <c r="C758" s="0" t="s">
        <v>55</v>
      </c>
      <c r="D758" s="0" t="n">
        <v>2539585</v>
      </c>
      <c r="E758" s="0" t="s">
        <v>382</v>
      </c>
      <c r="G758" s="0" t="s">
        <v>134</v>
      </c>
    </row>
    <row r="759" customFormat="false" ht="15" hidden="false" customHeight="false" outlineLevel="0" collapsed="false">
      <c r="A759" s="0" t="s">
        <v>129</v>
      </c>
      <c r="B759" s="0" t="n">
        <v>2016</v>
      </c>
      <c r="C759" s="0" t="s">
        <v>56</v>
      </c>
      <c r="D759" s="0" t="n">
        <v>2148685</v>
      </c>
      <c r="E759" s="0" t="s">
        <v>382</v>
      </c>
      <c r="G759" s="0" t="s">
        <v>134</v>
      </c>
    </row>
    <row r="760" customFormat="false" ht="15" hidden="false" customHeight="false" outlineLevel="0" collapsed="false">
      <c r="A760" s="0" t="s">
        <v>129</v>
      </c>
      <c r="B760" s="0" t="n">
        <v>2016</v>
      </c>
      <c r="C760" s="0" t="s">
        <v>57</v>
      </c>
      <c r="D760" s="0" t="n">
        <v>390900</v>
      </c>
      <c r="E760" s="0" t="s">
        <v>382</v>
      </c>
      <c r="G760" s="0" t="s">
        <v>134</v>
      </c>
    </row>
    <row r="761" customFormat="false" ht="15" hidden="false" customHeight="false" outlineLevel="0" collapsed="false">
      <c r="A761" s="0" t="s">
        <v>129</v>
      </c>
      <c r="B761" s="0" t="n">
        <v>2016</v>
      </c>
      <c r="C761" s="0" t="s">
        <v>58</v>
      </c>
      <c r="D761" s="0" t="n">
        <v>-213392</v>
      </c>
      <c r="E761" s="0" t="s">
        <v>382</v>
      </c>
      <c r="G761" s="0" t="s">
        <v>134</v>
      </c>
    </row>
    <row r="762" customFormat="false" ht="15" hidden="false" customHeight="false" outlineLevel="0" collapsed="false">
      <c r="A762" s="0" t="s">
        <v>129</v>
      </c>
      <c r="B762" s="0" t="n">
        <v>2016</v>
      </c>
      <c r="C762" s="0" t="s">
        <v>59</v>
      </c>
      <c r="D762" s="0" t="n">
        <v>2216337</v>
      </c>
      <c r="E762" s="0" t="s">
        <v>382</v>
      </c>
      <c r="G762" s="0" t="s">
        <v>134</v>
      </c>
    </row>
    <row r="763" customFormat="false" ht="15" hidden="false" customHeight="false" outlineLevel="0" collapsed="false">
      <c r="A763" s="0" t="s">
        <v>129</v>
      </c>
      <c r="B763" s="0" t="n">
        <v>2016</v>
      </c>
      <c r="C763" s="0" t="s">
        <v>60</v>
      </c>
      <c r="D763" s="0" t="n">
        <v>1120096</v>
      </c>
      <c r="E763" s="0" t="s">
        <v>382</v>
      </c>
      <c r="G763" s="0" t="s">
        <v>134</v>
      </c>
    </row>
    <row r="764" customFormat="false" ht="15" hidden="false" customHeight="false" outlineLevel="0" collapsed="false">
      <c r="A764" s="0" t="s">
        <v>129</v>
      </c>
      <c r="B764" s="0" t="n">
        <v>2016</v>
      </c>
      <c r="C764" s="0" t="s">
        <v>61</v>
      </c>
      <c r="D764" s="0" t="n">
        <v>29741</v>
      </c>
      <c r="E764" s="0" t="s">
        <v>382</v>
      </c>
      <c r="G764" s="0" t="s">
        <v>134</v>
      </c>
    </row>
    <row r="765" customFormat="false" ht="15" hidden="false" customHeight="false" outlineLevel="0" collapsed="false">
      <c r="A765" s="0" t="s">
        <v>129</v>
      </c>
      <c r="B765" s="0" t="n">
        <v>2016</v>
      </c>
      <c r="C765" s="0" t="s">
        <v>62</v>
      </c>
      <c r="D765" s="0" t="n">
        <v>1090355</v>
      </c>
      <c r="E765" s="0" t="s">
        <v>382</v>
      </c>
      <c r="G765" s="0" t="s">
        <v>134</v>
      </c>
    </row>
    <row r="766" customFormat="false" ht="15" hidden="false" customHeight="false" outlineLevel="0" collapsed="false">
      <c r="A766" s="0" t="s">
        <v>129</v>
      </c>
      <c r="B766" s="0" t="n">
        <v>2016</v>
      </c>
      <c r="C766" s="0" t="s">
        <v>63</v>
      </c>
      <c r="D766" s="0" t="n">
        <v>25521</v>
      </c>
      <c r="E766" s="0" t="s">
        <v>382</v>
      </c>
      <c r="G766" s="0" t="s">
        <v>134</v>
      </c>
    </row>
    <row r="767" customFormat="false" ht="15" hidden="false" customHeight="false" outlineLevel="0" collapsed="false">
      <c r="A767" s="0" t="s">
        <v>129</v>
      </c>
      <c r="B767" s="0" t="n">
        <v>2016</v>
      </c>
      <c r="C767" s="0" t="s">
        <v>69</v>
      </c>
      <c r="D767" s="0" t="n">
        <v>20</v>
      </c>
      <c r="E767" s="0" t="s">
        <v>382</v>
      </c>
      <c r="G767" s="0" t="s">
        <v>134</v>
      </c>
    </row>
    <row r="768" customFormat="false" ht="15" hidden="false" customHeight="false" outlineLevel="0" collapsed="false">
      <c r="A768" s="0" t="s">
        <v>129</v>
      </c>
      <c r="B768" s="0" t="n">
        <v>2016</v>
      </c>
      <c r="C768" s="0" t="s">
        <v>70</v>
      </c>
      <c r="D768" s="0" t="n">
        <v>15</v>
      </c>
      <c r="E768" s="0" t="s">
        <v>382</v>
      </c>
      <c r="G768" s="0" t="s">
        <v>134</v>
      </c>
    </row>
    <row r="769" customFormat="false" ht="15" hidden="false" customHeight="false" outlineLevel="0" collapsed="false">
      <c r="A769" s="0" t="s">
        <v>129</v>
      </c>
      <c r="B769" s="0" t="n">
        <v>2016</v>
      </c>
      <c r="C769" s="0" t="s">
        <v>65</v>
      </c>
      <c r="D769" s="0" t="n">
        <v>262423</v>
      </c>
      <c r="E769" s="0" t="s">
        <v>382</v>
      </c>
      <c r="G769" s="0" t="s">
        <v>134</v>
      </c>
    </row>
    <row r="770" customFormat="false" ht="15" hidden="false" customHeight="false" outlineLevel="0" collapsed="false">
      <c r="A770" s="0" t="s">
        <v>129</v>
      </c>
      <c r="B770" s="0" t="n">
        <v>2016</v>
      </c>
      <c r="C770" s="0" t="s">
        <v>66</v>
      </c>
      <c r="D770" s="0" t="n">
        <v>1331901</v>
      </c>
      <c r="E770" s="0" t="s">
        <v>382</v>
      </c>
      <c r="G770" s="0" t="s">
        <v>134</v>
      </c>
    </row>
    <row r="771" customFormat="false" ht="15" hidden="false" customHeight="false" outlineLevel="0" collapsed="false">
      <c r="A771" s="0" t="s">
        <v>129</v>
      </c>
      <c r="B771" s="0" t="n">
        <v>2016</v>
      </c>
      <c r="C771" s="0" t="s">
        <v>71</v>
      </c>
      <c r="D771" s="0" t="n">
        <v>38.57</v>
      </c>
      <c r="E771" s="0" t="s">
        <v>382</v>
      </c>
      <c r="G771" s="0" t="s">
        <v>134</v>
      </c>
    </row>
    <row r="772" customFormat="false" ht="15" hidden="false" customHeight="false" outlineLevel="0" collapsed="false">
      <c r="A772" s="0" t="s">
        <v>129</v>
      </c>
      <c r="B772" s="0" t="n">
        <v>2016</v>
      </c>
      <c r="C772" s="0" t="s">
        <v>402</v>
      </c>
      <c r="D772" s="0" t="n">
        <v>57649</v>
      </c>
      <c r="E772" s="0" t="s">
        <v>382</v>
      </c>
      <c r="G772" s="0" t="s">
        <v>134</v>
      </c>
    </row>
    <row r="773" customFormat="false" ht="15" hidden="false" customHeight="false" outlineLevel="0" collapsed="false">
      <c r="A773" s="0" t="s">
        <v>129</v>
      </c>
      <c r="B773" s="0" t="n">
        <v>2016</v>
      </c>
      <c r="C773" s="0" t="s">
        <v>670</v>
      </c>
      <c r="D773" s="0" t="n">
        <v>269895</v>
      </c>
      <c r="E773" s="0" t="s">
        <v>382</v>
      </c>
      <c r="G773" s="0" t="s">
        <v>134</v>
      </c>
    </row>
    <row r="774" customFormat="false" ht="15" hidden="false" customHeight="false" outlineLevel="0" collapsed="false">
      <c r="A774" s="0" t="s">
        <v>129</v>
      </c>
      <c r="B774" s="0" t="n">
        <v>2016</v>
      </c>
      <c r="C774" s="0" t="s">
        <v>404</v>
      </c>
      <c r="D774" s="0" t="n">
        <v>17107</v>
      </c>
      <c r="E774" s="0" t="s">
        <v>382</v>
      </c>
      <c r="G774" s="0" t="s">
        <v>134</v>
      </c>
    </row>
    <row r="775" customFormat="false" ht="15" hidden="false" customHeight="false" outlineLevel="0" collapsed="false">
      <c r="A775" s="0" t="s">
        <v>129</v>
      </c>
      <c r="B775" s="0" t="n">
        <v>2016</v>
      </c>
      <c r="C775" s="0" t="s">
        <v>406</v>
      </c>
      <c r="D775" s="0" t="n">
        <v>12634</v>
      </c>
      <c r="E775" s="0" t="s">
        <v>382</v>
      </c>
      <c r="G775" s="0" t="s">
        <v>134</v>
      </c>
    </row>
    <row r="776" customFormat="false" ht="15" hidden="false" customHeight="false" outlineLevel="0" collapsed="false">
      <c r="A776" s="0" t="s">
        <v>129</v>
      </c>
      <c r="B776" s="0" t="n">
        <v>2016</v>
      </c>
      <c r="C776" s="0" t="s">
        <v>19</v>
      </c>
      <c r="D776" s="0" t="n">
        <v>2377961</v>
      </c>
      <c r="E776" s="0" t="s">
        <v>383</v>
      </c>
    </row>
    <row r="777" customFormat="false" ht="15" hidden="false" customHeight="false" outlineLevel="0" collapsed="false">
      <c r="A777" s="0" t="s">
        <v>129</v>
      </c>
      <c r="B777" s="0" t="n">
        <v>2016</v>
      </c>
      <c r="C777" s="0" t="s">
        <v>41</v>
      </c>
      <c r="D777" s="0" t="n">
        <v>1.99923379735833</v>
      </c>
      <c r="E777" s="0" t="s">
        <v>383</v>
      </c>
    </row>
    <row r="778" customFormat="false" ht="15" hidden="false" customHeight="false" outlineLevel="0" collapsed="false">
      <c r="A778" s="0" t="s">
        <v>129</v>
      </c>
      <c r="B778" s="0" t="n">
        <v>2016</v>
      </c>
      <c r="C778" s="0" t="s">
        <v>27</v>
      </c>
      <c r="D778" s="0" t="n">
        <v>15.3922786597023</v>
      </c>
      <c r="E778" s="0" t="s">
        <v>383</v>
      </c>
    </row>
    <row r="779" customFormat="false" ht="15" hidden="false" customHeight="false" outlineLevel="0" collapsed="false">
      <c r="A779" s="0" t="s">
        <v>129</v>
      </c>
      <c r="B779" s="0" t="n">
        <v>2016</v>
      </c>
      <c r="C779" s="0" t="s">
        <v>39</v>
      </c>
      <c r="D779" s="0" t="n">
        <v>-8.97373842548301</v>
      </c>
      <c r="E779" s="0" t="s">
        <v>383</v>
      </c>
    </row>
    <row r="780" customFormat="false" ht="15" hidden="false" customHeight="false" outlineLevel="0" collapsed="false">
      <c r="A780" s="0" t="s">
        <v>129</v>
      </c>
      <c r="B780" s="0" t="n">
        <v>2016</v>
      </c>
      <c r="C780" s="0" t="s">
        <v>17</v>
      </c>
      <c r="D780" s="0" t="n">
        <v>2.65521883838528</v>
      </c>
      <c r="E780" s="0" t="s">
        <v>383</v>
      </c>
    </row>
    <row r="781" customFormat="false" ht="15" hidden="false" customHeight="false" outlineLevel="0" collapsed="false">
      <c r="A781" s="0" t="s">
        <v>129</v>
      </c>
      <c r="B781" s="0" t="n">
        <v>2016</v>
      </c>
      <c r="C781" s="0" t="s">
        <v>25</v>
      </c>
      <c r="D781" s="0" t="n">
        <v>19.7028908304746</v>
      </c>
      <c r="E781" s="0" t="s">
        <v>383</v>
      </c>
    </row>
    <row r="782" customFormat="false" ht="15" hidden="false" customHeight="false" outlineLevel="0" collapsed="false">
      <c r="A782" s="0" t="s">
        <v>129</v>
      </c>
      <c r="B782" s="0" t="n">
        <v>2016</v>
      </c>
      <c r="C782" s="0" t="s">
        <v>29</v>
      </c>
      <c r="D782" s="0" t="n">
        <v>1.07323038519135</v>
      </c>
      <c r="E782" s="0" t="s">
        <v>383</v>
      </c>
    </row>
    <row r="783" customFormat="false" ht="15" hidden="false" customHeight="false" outlineLevel="0" collapsed="false">
      <c r="A783" s="0" t="s">
        <v>129</v>
      </c>
      <c r="B783" s="0" t="n">
        <v>2016</v>
      </c>
      <c r="C783" s="0" t="s">
        <v>43</v>
      </c>
      <c r="D783" s="0" t="n">
        <v>1.87199877145282</v>
      </c>
      <c r="E783" s="0" t="s">
        <v>383</v>
      </c>
    </row>
    <row r="784" customFormat="false" ht="15" hidden="false" customHeight="false" outlineLevel="0" collapsed="false">
      <c r="A784" s="0" t="s">
        <v>129</v>
      </c>
      <c r="B784" s="0" t="n">
        <v>2016</v>
      </c>
      <c r="C784" s="0" t="s">
        <v>31</v>
      </c>
      <c r="D784" s="0" t="n">
        <v>84.6077213402977</v>
      </c>
      <c r="E784" s="0" t="s">
        <v>383</v>
      </c>
    </row>
    <row r="785" customFormat="false" ht="15" hidden="false" customHeight="false" outlineLevel="0" collapsed="false">
      <c r="A785" s="0" t="s">
        <v>129</v>
      </c>
      <c r="B785" s="0" t="n">
        <v>2016</v>
      </c>
      <c r="C785" s="0" t="s">
        <v>33</v>
      </c>
      <c r="D785" s="0" t="n">
        <v>14.747511239819</v>
      </c>
      <c r="E785" s="0" t="s">
        <v>383</v>
      </c>
    </row>
    <row r="786" customFormat="false" ht="15" hidden="false" customHeight="false" outlineLevel="0" collapsed="false">
      <c r="A786" s="0" t="s">
        <v>129</v>
      </c>
      <c r="B786" s="0" t="n">
        <v>2016</v>
      </c>
      <c r="C786" s="0" t="s">
        <v>21</v>
      </c>
      <c r="D786" s="0" t="n">
        <v>0</v>
      </c>
      <c r="E786" s="0" t="s">
        <v>383</v>
      </c>
    </row>
    <row r="787" customFormat="false" ht="15" hidden="false" customHeight="false" outlineLevel="0" collapsed="false">
      <c r="A787" s="0" t="s">
        <v>129</v>
      </c>
      <c r="B787" s="0" t="n">
        <v>2016</v>
      </c>
      <c r="C787" s="0" t="s">
        <v>35</v>
      </c>
      <c r="D787" s="0" t="n">
        <v>0</v>
      </c>
      <c r="E787" s="0" t="s">
        <v>383</v>
      </c>
    </row>
    <row r="788" customFormat="false" ht="15" hidden="false" customHeight="false" outlineLevel="0" collapsed="false">
      <c r="A788" s="0" t="s">
        <v>129</v>
      </c>
      <c r="B788" s="0" t="n">
        <v>2017</v>
      </c>
      <c r="C788" s="0" t="s">
        <v>54</v>
      </c>
      <c r="D788" s="0" t="n">
        <v>41396</v>
      </c>
      <c r="E788" s="0" t="s">
        <v>382</v>
      </c>
      <c r="G788" s="0" t="s">
        <v>81</v>
      </c>
    </row>
    <row r="789" customFormat="false" ht="15" hidden="false" customHeight="false" outlineLevel="0" collapsed="false">
      <c r="A789" s="0" t="s">
        <v>129</v>
      </c>
      <c r="B789" s="0" t="n">
        <v>2017</v>
      </c>
      <c r="C789" s="0" t="s">
        <v>55</v>
      </c>
      <c r="D789" s="0" t="n">
        <v>2931826</v>
      </c>
      <c r="E789" s="0" t="s">
        <v>382</v>
      </c>
      <c r="G789" s="0" t="s">
        <v>81</v>
      </c>
    </row>
    <row r="790" customFormat="false" ht="15" hidden="false" customHeight="false" outlineLevel="0" collapsed="false">
      <c r="A790" s="0" t="s">
        <v>129</v>
      </c>
      <c r="B790" s="0" t="n">
        <v>2017</v>
      </c>
      <c r="C790" s="0" t="s">
        <v>56</v>
      </c>
      <c r="D790" s="0" t="n">
        <v>2530966</v>
      </c>
      <c r="E790" s="0" t="s">
        <v>382</v>
      </c>
      <c r="G790" s="0" t="s">
        <v>81</v>
      </c>
    </row>
    <row r="791" customFormat="false" ht="15" hidden="false" customHeight="false" outlineLevel="0" collapsed="false">
      <c r="A791" s="0" t="s">
        <v>129</v>
      </c>
      <c r="B791" s="0" t="n">
        <v>2017</v>
      </c>
      <c r="C791" s="0" t="s">
        <v>57</v>
      </c>
      <c r="D791" s="0" t="n">
        <v>400860</v>
      </c>
      <c r="E791" s="0" t="s">
        <v>382</v>
      </c>
      <c r="G791" s="0" t="s">
        <v>81</v>
      </c>
    </row>
    <row r="792" customFormat="false" ht="15" hidden="false" customHeight="false" outlineLevel="0" collapsed="false">
      <c r="A792" s="0" t="s">
        <v>129</v>
      </c>
      <c r="B792" s="0" t="n">
        <v>2017</v>
      </c>
      <c r="C792" s="0" t="s">
        <v>58</v>
      </c>
      <c r="D792" s="0" t="n">
        <v>59151</v>
      </c>
      <c r="E792" s="0" t="s">
        <v>382</v>
      </c>
      <c r="G792" s="0" t="s">
        <v>81</v>
      </c>
    </row>
    <row r="793" customFormat="false" ht="15" hidden="false" customHeight="false" outlineLevel="0" collapsed="false">
      <c r="A793" s="0" t="s">
        <v>129</v>
      </c>
      <c r="B793" s="0" t="n">
        <v>2017</v>
      </c>
      <c r="C793" s="0" t="s">
        <v>59</v>
      </c>
      <c r="D793" s="0" t="n">
        <v>2539585</v>
      </c>
      <c r="E793" s="0" t="s">
        <v>382</v>
      </c>
      <c r="G793" s="0" t="s">
        <v>81</v>
      </c>
    </row>
    <row r="794" customFormat="false" ht="15" hidden="false" customHeight="false" outlineLevel="0" collapsed="false">
      <c r="A794" s="0" t="s">
        <v>129</v>
      </c>
      <c r="B794" s="0" t="n">
        <v>2017</v>
      </c>
      <c r="C794" s="0" t="s">
        <v>60</v>
      </c>
      <c r="D794" s="0" t="n">
        <v>1204426</v>
      </c>
      <c r="E794" s="0" t="s">
        <v>382</v>
      </c>
      <c r="G794" s="0" t="s">
        <v>81</v>
      </c>
    </row>
    <row r="795" customFormat="false" ht="15" hidden="false" customHeight="false" outlineLevel="0" collapsed="false">
      <c r="A795" s="0" t="s">
        <v>129</v>
      </c>
      <c r="B795" s="0" t="n">
        <v>2017</v>
      </c>
      <c r="C795" s="0" t="s">
        <v>61</v>
      </c>
      <c r="D795" s="0" t="n">
        <v>31212</v>
      </c>
      <c r="E795" s="0" t="s">
        <v>382</v>
      </c>
      <c r="G795" s="0" t="s">
        <v>81</v>
      </c>
    </row>
    <row r="796" customFormat="false" ht="15" hidden="false" customHeight="false" outlineLevel="0" collapsed="false">
      <c r="A796" s="0" t="s">
        <v>129</v>
      </c>
      <c r="B796" s="0" t="n">
        <v>2017</v>
      </c>
      <c r="C796" s="0" t="s">
        <v>62</v>
      </c>
      <c r="D796" s="0" t="n">
        <v>1173214</v>
      </c>
      <c r="E796" s="0" t="s">
        <v>382</v>
      </c>
      <c r="G796" s="0" t="s">
        <v>81</v>
      </c>
    </row>
    <row r="797" customFormat="false" ht="15" hidden="false" customHeight="false" outlineLevel="0" collapsed="false">
      <c r="A797" s="0" t="s">
        <v>129</v>
      </c>
      <c r="B797" s="0" t="n">
        <v>2017</v>
      </c>
      <c r="C797" s="0" t="s">
        <v>63</v>
      </c>
      <c r="D797" s="0" t="n">
        <v>30433</v>
      </c>
      <c r="E797" s="0" t="s">
        <v>382</v>
      </c>
      <c r="G797" s="0" t="s">
        <v>81</v>
      </c>
    </row>
    <row r="798" customFormat="false" ht="15" hidden="false" customHeight="false" outlineLevel="0" collapsed="false">
      <c r="A798" s="0" t="s">
        <v>129</v>
      </c>
      <c r="B798" s="0" t="n">
        <v>2017</v>
      </c>
      <c r="C798" s="0" t="s">
        <v>69</v>
      </c>
      <c r="D798" s="0" t="n">
        <v>20</v>
      </c>
      <c r="E798" s="0" t="s">
        <v>382</v>
      </c>
      <c r="G798" s="0" t="s">
        <v>81</v>
      </c>
    </row>
    <row r="799" customFormat="false" ht="15" hidden="false" customHeight="false" outlineLevel="0" collapsed="false">
      <c r="A799" s="0" t="s">
        <v>129</v>
      </c>
      <c r="B799" s="0" t="n">
        <v>2017</v>
      </c>
      <c r="C799" s="0" t="s">
        <v>65</v>
      </c>
      <c r="D799" s="0" t="n">
        <v>255027</v>
      </c>
      <c r="E799" s="0" t="s">
        <v>382</v>
      </c>
      <c r="G799" s="0" t="s">
        <v>81</v>
      </c>
    </row>
    <row r="800" customFormat="false" ht="15" hidden="false" customHeight="false" outlineLevel="0" collapsed="false">
      <c r="A800" s="0" t="s">
        <v>129</v>
      </c>
      <c r="B800" s="0" t="n">
        <v>2017</v>
      </c>
      <c r="C800" s="0" t="s">
        <v>66</v>
      </c>
      <c r="D800" s="0" t="n">
        <v>1265087</v>
      </c>
      <c r="E800" s="0" t="s">
        <v>382</v>
      </c>
      <c r="G800" s="0" t="s">
        <v>81</v>
      </c>
    </row>
    <row r="801" customFormat="false" ht="15" hidden="false" customHeight="false" outlineLevel="0" collapsed="false">
      <c r="A801" s="0" t="s">
        <v>129</v>
      </c>
      <c r="B801" s="0" t="n">
        <v>2017</v>
      </c>
      <c r="C801" s="0" t="s">
        <v>71</v>
      </c>
      <c r="D801" s="0" t="n">
        <v>49.69</v>
      </c>
      <c r="E801" s="0" t="s">
        <v>382</v>
      </c>
      <c r="G801" s="0" t="s">
        <v>81</v>
      </c>
    </row>
    <row r="802" customFormat="false" ht="15" hidden="false" customHeight="false" outlineLevel="0" collapsed="false">
      <c r="A802" s="0" t="s">
        <v>129</v>
      </c>
      <c r="B802" s="0" t="n">
        <v>2017</v>
      </c>
      <c r="C802" s="0" t="s">
        <v>402</v>
      </c>
      <c r="D802" s="0" t="n">
        <v>52795</v>
      </c>
      <c r="E802" s="0" t="s">
        <v>382</v>
      </c>
      <c r="G802" s="0" t="s">
        <v>81</v>
      </c>
    </row>
    <row r="803" customFormat="false" ht="15" hidden="false" customHeight="false" outlineLevel="0" collapsed="false">
      <c r="A803" s="0" t="s">
        <v>129</v>
      </c>
      <c r="B803" s="0" t="n">
        <v>2017</v>
      </c>
      <c r="C803" s="0" t="s">
        <v>404</v>
      </c>
      <c r="D803" s="0" t="n">
        <v>18658</v>
      </c>
      <c r="E803" s="0" t="s">
        <v>382</v>
      </c>
      <c r="G803" s="0" t="s">
        <v>81</v>
      </c>
    </row>
    <row r="804" customFormat="false" ht="15" hidden="false" customHeight="false" outlineLevel="0" collapsed="false">
      <c r="A804" s="0" t="s">
        <v>129</v>
      </c>
      <c r="B804" s="0" t="n">
        <v>2017</v>
      </c>
      <c r="C804" s="0" t="s">
        <v>406</v>
      </c>
      <c r="D804" s="0" t="n">
        <v>12554</v>
      </c>
      <c r="E804" s="0" t="s">
        <v>382</v>
      </c>
      <c r="G804" s="0" t="s">
        <v>81</v>
      </c>
    </row>
    <row r="805" customFormat="false" ht="15" hidden="false" customHeight="false" outlineLevel="0" collapsed="false">
      <c r="A805" s="0" t="s">
        <v>129</v>
      </c>
      <c r="B805" s="0" t="n">
        <v>2017</v>
      </c>
      <c r="C805" s="0" t="s">
        <v>19</v>
      </c>
      <c r="D805" s="0" t="n">
        <v>2735705.5</v>
      </c>
      <c r="E805" s="0" t="s">
        <v>383</v>
      </c>
    </row>
    <row r="806" customFormat="false" ht="15" hidden="false" customHeight="false" outlineLevel="0" collapsed="false">
      <c r="A806" s="0" t="s">
        <v>129</v>
      </c>
      <c r="B806" s="0" t="n">
        <v>2017</v>
      </c>
      <c r="C806" s="0" t="s">
        <v>41</v>
      </c>
      <c r="D806" s="0" t="n">
        <v>1.51317457233609</v>
      </c>
      <c r="E806" s="0" t="s">
        <v>383</v>
      </c>
    </row>
    <row r="807" customFormat="false" ht="15" hidden="false" customHeight="false" outlineLevel="0" collapsed="false">
      <c r="A807" s="0" t="s">
        <v>129</v>
      </c>
      <c r="B807" s="0" t="n">
        <v>2017</v>
      </c>
      <c r="C807" s="0" t="s">
        <v>27</v>
      </c>
      <c r="D807" s="0" t="n">
        <v>13.6727077254926</v>
      </c>
      <c r="E807" s="0" t="s">
        <v>383</v>
      </c>
    </row>
    <row r="808" customFormat="false" ht="15" hidden="false" customHeight="false" outlineLevel="0" collapsed="false">
      <c r="A808" s="0" t="s">
        <v>129</v>
      </c>
      <c r="B808" s="0" t="n">
        <v>2017</v>
      </c>
      <c r="C808" s="0" t="s">
        <v>39</v>
      </c>
      <c r="D808" s="0" t="n">
        <v>2.16218448952199</v>
      </c>
      <c r="E808" s="0" t="s">
        <v>383</v>
      </c>
    </row>
    <row r="809" customFormat="false" ht="15" hidden="false" customHeight="false" outlineLevel="0" collapsed="false">
      <c r="A809" s="0" t="s">
        <v>129</v>
      </c>
      <c r="B809" s="0" t="n">
        <v>2017</v>
      </c>
      <c r="C809" s="0" t="s">
        <v>17</v>
      </c>
      <c r="D809" s="0" t="n">
        <v>2.5914418984645</v>
      </c>
      <c r="E809" s="0" t="s">
        <v>383</v>
      </c>
    </row>
    <row r="810" customFormat="false" ht="15" hidden="false" customHeight="false" outlineLevel="0" collapsed="false">
      <c r="A810" s="0" t="s">
        <v>129</v>
      </c>
      <c r="B810" s="0" t="n">
        <v>2017</v>
      </c>
      <c r="C810" s="0" t="s">
        <v>25</v>
      </c>
      <c r="D810" s="0" t="n">
        <v>20.1588507351668</v>
      </c>
      <c r="E810" s="0" t="s">
        <v>383</v>
      </c>
    </row>
    <row r="811" customFormat="false" ht="15" hidden="false" customHeight="false" outlineLevel="0" collapsed="false">
      <c r="A811" s="0" t="s">
        <v>129</v>
      </c>
      <c r="B811" s="0" t="n">
        <v>2017</v>
      </c>
      <c r="C811" s="0" t="s">
        <v>29</v>
      </c>
      <c r="D811" s="0" t="n">
        <v>1.11243699294387</v>
      </c>
      <c r="E811" s="0" t="s">
        <v>383</v>
      </c>
    </row>
    <row r="812" customFormat="false" ht="15" hidden="false" customHeight="false" outlineLevel="0" collapsed="false">
      <c r="A812" s="0" t="s">
        <v>129</v>
      </c>
      <c r="B812" s="0" t="n">
        <v>2017</v>
      </c>
      <c r="C812" s="0" t="s">
        <v>43</v>
      </c>
      <c r="D812" s="0" t="n">
        <v>1.41195282393976</v>
      </c>
      <c r="E812" s="0" t="s">
        <v>383</v>
      </c>
    </row>
    <row r="813" customFormat="false" ht="15" hidden="false" customHeight="false" outlineLevel="0" collapsed="false">
      <c r="A813" s="0" t="s">
        <v>129</v>
      </c>
      <c r="B813" s="0" t="n">
        <v>2017</v>
      </c>
      <c r="C813" s="0" t="s">
        <v>31</v>
      </c>
      <c r="D813" s="0" t="n">
        <v>86.3272922745074</v>
      </c>
      <c r="E813" s="0" t="s">
        <v>383</v>
      </c>
    </row>
    <row r="814" customFormat="false" ht="15" hidden="false" customHeight="false" outlineLevel="0" collapsed="false">
      <c r="A814" s="0" t="s">
        <v>129</v>
      </c>
      <c r="B814" s="0" t="n">
        <v>2017</v>
      </c>
      <c r="C814" s="0" t="s">
        <v>33</v>
      </c>
      <c r="D814" s="0" t="n">
        <v>14.8911359950708</v>
      </c>
      <c r="E814" s="0" t="s">
        <v>383</v>
      </c>
    </row>
    <row r="815" customFormat="false" ht="15" hidden="false" customHeight="false" outlineLevel="0" collapsed="false">
      <c r="A815" s="0" t="s">
        <v>129</v>
      </c>
      <c r="B815" s="0" t="n">
        <v>2017</v>
      </c>
      <c r="C815" s="0" t="s">
        <v>21</v>
      </c>
      <c r="D815" s="0" t="n">
        <v>0</v>
      </c>
      <c r="E815" s="0" t="s">
        <v>383</v>
      </c>
    </row>
    <row r="816" customFormat="false" ht="15" hidden="false" customHeight="false" outlineLevel="0" collapsed="false">
      <c r="A816" s="0" t="s">
        <v>129</v>
      </c>
      <c r="B816" s="0" t="n">
        <v>2017</v>
      </c>
      <c r="C816" s="0" t="s">
        <v>35</v>
      </c>
      <c r="D816" s="0" t="n">
        <v>0</v>
      </c>
      <c r="E816" s="0" t="s">
        <v>383</v>
      </c>
    </row>
    <row r="817" customFormat="false" ht="15" hidden="false" customHeight="false" outlineLevel="0" collapsed="false">
      <c r="A817" s="0" t="s">
        <v>129</v>
      </c>
      <c r="B817" s="0" t="n">
        <v>2018</v>
      </c>
      <c r="C817" s="0" t="s">
        <v>54</v>
      </c>
      <c r="D817" s="0" t="n">
        <v>41047</v>
      </c>
      <c r="E817" s="0" t="s">
        <v>382</v>
      </c>
      <c r="G817" s="0" t="s">
        <v>81</v>
      </c>
    </row>
    <row r="818" customFormat="false" ht="15" hidden="false" customHeight="false" outlineLevel="0" collapsed="false">
      <c r="A818" s="0" t="s">
        <v>129</v>
      </c>
      <c r="B818" s="0" t="n">
        <v>2018</v>
      </c>
      <c r="C818" s="0" t="s">
        <v>55</v>
      </c>
      <c r="D818" s="0" t="n">
        <v>3591305</v>
      </c>
      <c r="E818" s="0" t="s">
        <v>382</v>
      </c>
      <c r="G818" s="0" t="s">
        <v>81</v>
      </c>
    </row>
    <row r="819" customFormat="false" ht="15" hidden="false" customHeight="false" outlineLevel="0" collapsed="false">
      <c r="A819" s="0" t="s">
        <v>129</v>
      </c>
      <c r="B819" s="0" t="n">
        <v>2018</v>
      </c>
      <c r="C819" s="0" t="s">
        <v>56</v>
      </c>
      <c r="D819" s="0" t="n">
        <v>3226707</v>
      </c>
      <c r="E819" s="0" t="s">
        <v>382</v>
      </c>
      <c r="G819" s="0" t="s">
        <v>81</v>
      </c>
    </row>
    <row r="820" customFormat="false" ht="15" hidden="false" customHeight="false" outlineLevel="0" collapsed="false">
      <c r="A820" s="0" t="s">
        <v>129</v>
      </c>
      <c r="B820" s="0" t="n">
        <v>2018</v>
      </c>
      <c r="C820" s="0" t="s">
        <v>57</v>
      </c>
      <c r="D820" s="0" t="n">
        <v>364598</v>
      </c>
      <c r="E820" s="0" t="s">
        <v>382</v>
      </c>
      <c r="G820" s="0" t="s">
        <v>81</v>
      </c>
    </row>
    <row r="821" customFormat="false" ht="15" hidden="false" customHeight="false" outlineLevel="0" collapsed="false">
      <c r="A821" s="0" t="s">
        <v>129</v>
      </c>
      <c r="B821" s="0" t="n">
        <v>2018</v>
      </c>
      <c r="C821" s="0" t="s">
        <v>58</v>
      </c>
      <c r="D821" s="0" t="n">
        <v>488626</v>
      </c>
      <c r="E821" s="0" t="s">
        <v>382</v>
      </c>
      <c r="G821" s="0" t="s">
        <v>81</v>
      </c>
    </row>
    <row r="822" customFormat="false" ht="15" hidden="false" customHeight="false" outlineLevel="0" collapsed="false">
      <c r="A822" s="0" t="s">
        <v>129</v>
      </c>
      <c r="B822" s="0" t="n">
        <v>2018</v>
      </c>
      <c r="C822" s="0" t="s">
        <v>59</v>
      </c>
      <c r="D822" s="0" t="n">
        <v>2931826</v>
      </c>
      <c r="E822" s="0" t="s">
        <v>382</v>
      </c>
      <c r="G822" s="0" t="s">
        <v>81</v>
      </c>
    </row>
    <row r="823" customFormat="false" ht="15" hidden="false" customHeight="false" outlineLevel="0" collapsed="false">
      <c r="A823" s="0" t="s">
        <v>129</v>
      </c>
      <c r="B823" s="0" t="n">
        <v>2018</v>
      </c>
      <c r="C823" s="0" t="s">
        <v>60</v>
      </c>
      <c r="D823" s="0" t="n">
        <v>1274112</v>
      </c>
      <c r="E823" s="0" t="s">
        <v>382</v>
      </c>
      <c r="G823" s="0" t="s">
        <v>81</v>
      </c>
    </row>
    <row r="824" customFormat="false" ht="15" hidden="false" customHeight="false" outlineLevel="0" collapsed="false">
      <c r="A824" s="0" t="s">
        <v>129</v>
      </c>
      <c r="B824" s="0" t="n">
        <v>2018</v>
      </c>
      <c r="C824" s="0" t="s">
        <v>61</v>
      </c>
      <c r="D824" s="0" t="n">
        <v>60311</v>
      </c>
      <c r="E824" s="0" t="s">
        <v>382</v>
      </c>
      <c r="G824" s="0" t="s">
        <v>81</v>
      </c>
    </row>
    <row r="825" customFormat="false" ht="15" hidden="false" customHeight="false" outlineLevel="0" collapsed="false">
      <c r="A825" s="0" t="s">
        <v>129</v>
      </c>
      <c r="B825" s="0" t="n">
        <v>2018</v>
      </c>
      <c r="C825" s="0" t="s">
        <v>62</v>
      </c>
      <c r="D825" s="0" t="n">
        <v>1213801</v>
      </c>
      <c r="E825" s="0" t="s">
        <v>382</v>
      </c>
      <c r="G825" s="0" t="s">
        <v>81</v>
      </c>
    </row>
    <row r="826" customFormat="false" ht="15" hidden="false" customHeight="false" outlineLevel="0" collapsed="false">
      <c r="A826" s="0" t="s">
        <v>129</v>
      </c>
      <c r="B826" s="0" t="n">
        <v>2018</v>
      </c>
      <c r="C826" s="0" t="s">
        <v>63</v>
      </c>
      <c r="D826" s="0" t="n">
        <v>4257</v>
      </c>
      <c r="E826" s="0" t="s">
        <v>382</v>
      </c>
      <c r="G826" s="0" t="s">
        <v>81</v>
      </c>
    </row>
    <row r="827" customFormat="false" ht="15" hidden="false" customHeight="false" outlineLevel="0" collapsed="false">
      <c r="A827" s="0" t="s">
        <v>129</v>
      </c>
      <c r="B827" s="0" t="n">
        <v>2018</v>
      </c>
      <c r="C827" s="0" t="s">
        <v>69</v>
      </c>
      <c r="D827" s="0" t="n">
        <v>20</v>
      </c>
      <c r="E827" s="0" t="s">
        <v>382</v>
      </c>
      <c r="G827" s="0" t="s">
        <v>81</v>
      </c>
    </row>
    <row r="828" customFormat="false" ht="15" hidden="false" customHeight="false" outlineLevel="0" collapsed="false">
      <c r="A828" s="0" t="s">
        <v>129</v>
      </c>
      <c r="B828" s="0" t="n">
        <v>2018</v>
      </c>
      <c r="C828" s="0" t="s">
        <v>591</v>
      </c>
      <c r="D828" s="0" t="n">
        <v>22.08</v>
      </c>
      <c r="E828" s="0" t="s">
        <v>382</v>
      </c>
      <c r="G828" s="0" t="s">
        <v>81</v>
      </c>
    </row>
    <row r="829" customFormat="false" ht="15" hidden="false" customHeight="false" outlineLevel="0" collapsed="false">
      <c r="A829" s="0" t="s">
        <v>129</v>
      </c>
      <c r="B829" s="0" t="n">
        <v>2018</v>
      </c>
      <c r="C829" s="0" t="s">
        <v>70</v>
      </c>
      <c r="D829" s="0" t="n">
        <v>16</v>
      </c>
      <c r="E829" s="0" t="s">
        <v>382</v>
      </c>
      <c r="G829" s="0" t="s">
        <v>81</v>
      </c>
    </row>
    <row r="830" customFormat="false" ht="15" hidden="false" customHeight="false" outlineLevel="0" collapsed="false">
      <c r="A830" s="0" t="s">
        <v>129</v>
      </c>
      <c r="B830" s="0" t="n">
        <v>2018</v>
      </c>
      <c r="C830" s="0" t="s">
        <v>65</v>
      </c>
      <c r="D830" s="0" t="n">
        <v>245482</v>
      </c>
      <c r="E830" s="0" t="s">
        <v>382</v>
      </c>
      <c r="G830" s="0" t="s">
        <v>81</v>
      </c>
    </row>
    <row r="831" customFormat="false" ht="15" hidden="false" customHeight="false" outlineLevel="0" collapsed="false">
      <c r="A831" s="0" t="s">
        <v>129</v>
      </c>
      <c r="B831" s="0" t="n">
        <v>2018</v>
      </c>
      <c r="C831" s="0" t="s">
        <v>66</v>
      </c>
      <c r="D831" s="0" t="n">
        <v>1248509</v>
      </c>
      <c r="E831" s="0" t="s">
        <v>382</v>
      </c>
      <c r="G831" s="0" t="s">
        <v>81</v>
      </c>
    </row>
    <row r="832" customFormat="false" ht="15" hidden="false" customHeight="false" outlineLevel="0" collapsed="false">
      <c r="A832" s="0" t="s">
        <v>129</v>
      </c>
      <c r="B832" s="0" t="n">
        <v>2018</v>
      </c>
      <c r="C832" s="0" t="s">
        <v>71</v>
      </c>
      <c r="D832" s="0" t="n">
        <v>55.84</v>
      </c>
      <c r="E832" s="0" t="s">
        <v>382</v>
      </c>
      <c r="G832" s="0" t="s">
        <v>81</v>
      </c>
    </row>
    <row r="833" customFormat="false" ht="15" hidden="false" customHeight="false" outlineLevel="0" collapsed="false">
      <c r="A833" s="0" t="s">
        <v>129</v>
      </c>
      <c r="B833" s="0" t="n">
        <v>2018</v>
      </c>
      <c r="C833" s="0" t="s">
        <v>68</v>
      </c>
      <c r="D833" s="0" t="n">
        <v>36951</v>
      </c>
      <c r="E833" s="0" t="s">
        <v>382</v>
      </c>
      <c r="G833" s="0" t="s">
        <v>81</v>
      </c>
    </row>
    <row r="834" customFormat="false" ht="15" hidden="false" customHeight="false" outlineLevel="0" collapsed="false">
      <c r="A834" s="0" t="s">
        <v>129</v>
      </c>
      <c r="B834" s="0" t="n">
        <v>2018</v>
      </c>
      <c r="C834" s="0" t="s">
        <v>402</v>
      </c>
      <c r="D834" s="0" t="n">
        <v>55350</v>
      </c>
      <c r="E834" s="0" t="s">
        <v>382</v>
      </c>
      <c r="G834" s="0" t="s">
        <v>81</v>
      </c>
    </row>
    <row r="835" customFormat="false" ht="15" hidden="false" customHeight="false" outlineLevel="0" collapsed="false">
      <c r="A835" s="0" t="s">
        <v>129</v>
      </c>
      <c r="B835" s="0" t="n">
        <v>2018</v>
      </c>
      <c r="C835" s="0" t="s">
        <v>19</v>
      </c>
      <c r="D835" s="0" t="n">
        <v>3261565.5</v>
      </c>
      <c r="E835" s="0" t="s">
        <v>383</v>
      </c>
    </row>
    <row r="836" customFormat="false" ht="15" hidden="false" customHeight="false" outlineLevel="0" collapsed="false">
      <c r="A836" s="0" t="s">
        <v>129</v>
      </c>
      <c r="B836" s="0" t="n">
        <v>2018</v>
      </c>
      <c r="C836" s="0" t="s">
        <v>41</v>
      </c>
      <c r="D836" s="0" t="n">
        <v>1.25850607629986</v>
      </c>
      <c r="E836" s="0" t="s">
        <v>383</v>
      </c>
    </row>
    <row r="837" customFormat="false" ht="15" hidden="false" customHeight="false" outlineLevel="0" collapsed="false">
      <c r="A837" s="0" t="s">
        <v>129</v>
      </c>
      <c r="B837" s="0" t="n">
        <v>2018</v>
      </c>
      <c r="C837" s="0" t="s">
        <v>27</v>
      </c>
      <c r="D837" s="0" t="n">
        <v>10.1522427084305</v>
      </c>
      <c r="E837" s="0" t="s">
        <v>383</v>
      </c>
    </row>
    <row r="838" customFormat="false" ht="15" hidden="false" customHeight="false" outlineLevel="0" collapsed="false">
      <c r="A838" s="0" t="s">
        <v>129</v>
      </c>
      <c r="B838" s="0" t="n">
        <v>2018</v>
      </c>
      <c r="C838" s="0" t="s">
        <v>39</v>
      </c>
      <c r="D838" s="0" t="n">
        <v>14.981333350503</v>
      </c>
      <c r="E838" s="0" t="s">
        <v>383</v>
      </c>
    </row>
    <row r="839" customFormat="false" ht="15" hidden="false" customHeight="false" outlineLevel="0" collapsed="false">
      <c r="A839" s="0" t="s">
        <v>129</v>
      </c>
      <c r="B839" s="0" t="n">
        <v>2018</v>
      </c>
      <c r="C839" s="0" t="s">
        <v>17</v>
      </c>
      <c r="D839" s="0" t="n">
        <v>4.73357130299377</v>
      </c>
      <c r="E839" s="0" t="s">
        <v>383</v>
      </c>
    </row>
    <row r="840" customFormat="false" ht="15" hidden="false" customHeight="false" outlineLevel="0" collapsed="false">
      <c r="A840" s="0" t="s">
        <v>129</v>
      </c>
      <c r="B840" s="0" t="n">
        <v>2018</v>
      </c>
      <c r="C840" s="0" t="s">
        <v>25</v>
      </c>
      <c r="D840" s="0" t="n">
        <v>19.6620128489262</v>
      </c>
      <c r="E840" s="0" t="s">
        <v>383</v>
      </c>
    </row>
    <row r="841" customFormat="false" ht="15" hidden="false" customHeight="false" outlineLevel="0" collapsed="false">
      <c r="A841" s="0" t="s">
        <v>129</v>
      </c>
      <c r="B841" s="0" t="n">
        <v>2018</v>
      </c>
      <c r="C841" s="0" t="s">
        <v>29</v>
      </c>
      <c r="D841" s="0" t="n">
        <v>0.130520144390784</v>
      </c>
      <c r="E841" s="0" t="s">
        <v>383</v>
      </c>
    </row>
    <row r="842" customFormat="false" ht="15" hidden="false" customHeight="false" outlineLevel="0" collapsed="false">
      <c r="A842" s="0" t="s">
        <v>129</v>
      </c>
      <c r="B842" s="0" t="n">
        <v>2018</v>
      </c>
      <c r="C842" s="0" t="s">
        <v>43</v>
      </c>
      <c r="D842" s="0" t="n">
        <v>1.14295499825272</v>
      </c>
      <c r="E842" s="0" t="s">
        <v>383</v>
      </c>
    </row>
    <row r="843" customFormat="false" ht="15" hidden="false" customHeight="false" outlineLevel="0" collapsed="false">
      <c r="A843" s="0" t="s">
        <v>129</v>
      </c>
      <c r="B843" s="0" t="n">
        <v>2018</v>
      </c>
      <c r="C843" s="0" t="s">
        <v>31</v>
      </c>
      <c r="D843" s="0" t="n">
        <v>89.8477572915695</v>
      </c>
      <c r="E843" s="0" t="s">
        <v>383</v>
      </c>
    </row>
    <row r="844" customFormat="false" ht="15" hidden="false" customHeight="false" outlineLevel="0" collapsed="false">
      <c r="A844" s="0" t="s">
        <v>129</v>
      </c>
      <c r="B844" s="0" t="n">
        <v>2018</v>
      </c>
      <c r="C844" s="0" t="s">
        <v>33</v>
      </c>
      <c r="D844" s="0" t="n">
        <v>15.0940262041601</v>
      </c>
      <c r="E844" s="0" t="s">
        <v>383</v>
      </c>
    </row>
    <row r="845" customFormat="false" ht="15" hidden="false" customHeight="false" outlineLevel="0" collapsed="false">
      <c r="A845" s="0" t="s">
        <v>129</v>
      </c>
      <c r="B845" s="0" t="n">
        <v>2018</v>
      </c>
      <c r="C845" s="0" t="s">
        <v>21</v>
      </c>
      <c r="D845" s="0" t="n">
        <v>0</v>
      </c>
      <c r="E845" s="0" t="s">
        <v>383</v>
      </c>
    </row>
    <row r="846" customFormat="false" ht="15" hidden="false" customHeight="false" outlineLevel="0" collapsed="false">
      <c r="A846" s="0" t="s">
        <v>129</v>
      </c>
      <c r="B846" s="0" t="n">
        <v>2018</v>
      </c>
      <c r="C846" s="0" t="s">
        <v>35</v>
      </c>
      <c r="D846" s="0" t="n">
        <v>0</v>
      </c>
      <c r="E846" s="0" t="s">
        <v>383</v>
      </c>
    </row>
    <row r="847" customFormat="false" ht="15" hidden="false" customHeight="false" outlineLevel="0" collapsed="false">
      <c r="A847" s="0" t="s">
        <v>129</v>
      </c>
      <c r="B847" s="0" t="n">
        <v>2019</v>
      </c>
      <c r="C847" s="0" t="s">
        <v>54</v>
      </c>
      <c r="D847" s="0" t="n">
        <v>62750</v>
      </c>
      <c r="E847" s="0" t="s">
        <v>382</v>
      </c>
      <c r="G847" s="0" t="s">
        <v>81</v>
      </c>
    </row>
    <row r="848" customFormat="false" ht="15" hidden="false" customHeight="false" outlineLevel="0" collapsed="false">
      <c r="A848" s="0" t="s">
        <v>129</v>
      </c>
      <c r="B848" s="0" t="n">
        <v>2019</v>
      </c>
      <c r="C848" s="0" t="s">
        <v>55</v>
      </c>
      <c r="D848" s="0" t="n">
        <v>4136493</v>
      </c>
      <c r="E848" s="0" t="s">
        <v>382</v>
      </c>
      <c r="G848" s="0" t="s">
        <v>81</v>
      </c>
    </row>
    <row r="849" customFormat="false" ht="15" hidden="false" customHeight="false" outlineLevel="0" collapsed="false">
      <c r="A849" s="0" t="s">
        <v>129</v>
      </c>
      <c r="B849" s="0" t="n">
        <v>2019</v>
      </c>
      <c r="C849" s="0" t="s">
        <v>56</v>
      </c>
      <c r="D849" s="0" t="n">
        <v>3689971</v>
      </c>
      <c r="E849" s="0" t="s">
        <v>382</v>
      </c>
      <c r="G849" s="0" t="s">
        <v>81</v>
      </c>
    </row>
    <row r="850" customFormat="false" ht="15" hidden="false" customHeight="false" outlineLevel="0" collapsed="false">
      <c r="A850" s="0" t="s">
        <v>129</v>
      </c>
      <c r="B850" s="0" t="n">
        <v>2019</v>
      </c>
      <c r="C850" s="0" t="s">
        <v>57</v>
      </c>
      <c r="D850" s="0" t="n">
        <v>446522</v>
      </c>
      <c r="E850" s="0" t="s">
        <v>382</v>
      </c>
      <c r="G850" s="0" t="s">
        <v>81</v>
      </c>
    </row>
    <row r="851" customFormat="false" ht="15" hidden="false" customHeight="false" outlineLevel="0" collapsed="false">
      <c r="A851" s="0" t="s">
        <v>129</v>
      </c>
      <c r="B851" s="0" t="n">
        <v>2019</v>
      </c>
      <c r="C851" s="0" t="s">
        <v>58</v>
      </c>
      <c r="D851" s="0" t="n">
        <v>-317453</v>
      </c>
      <c r="E851" s="0" t="s">
        <v>382</v>
      </c>
      <c r="G851" s="0" t="s">
        <v>81</v>
      </c>
    </row>
    <row r="852" customFormat="false" ht="15" hidden="false" customHeight="false" outlineLevel="0" collapsed="false">
      <c r="A852" s="0" t="s">
        <v>129</v>
      </c>
      <c r="B852" s="0" t="n">
        <v>2019</v>
      </c>
      <c r="C852" s="0" t="s">
        <v>59</v>
      </c>
      <c r="D852" s="0" t="n">
        <v>3591305</v>
      </c>
      <c r="E852" s="0" t="s">
        <v>382</v>
      </c>
      <c r="G852" s="0" t="s">
        <v>81</v>
      </c>
    </row>
    <row r="853" customFormat="false" ht="15" hidden="false" customHeight="false" outlineLevel="0" collapsed="false">
      <c r="A853" s="0" t="s">
        <v>129</v>
      </c>
      <c r="B853" s="0" t="n">
        <v>2019</v>
      </c>
      <c r="C853" s="0" t="s">
        <v>60</v>
      </c>
      <c r="D853" s="0" t="n">
        <v>1557358</v>
      </c>
      <c r="E853" s="0" t="s">
        <v>382</v>
      </c>
      <c r="G853" s="0" t="s">
        <v>81</v>
      </c>
    </row>
    <row r="854" customFormat="false" ht="15" hidden="false" customHeight="false" outlineLevel="0" collapsed="false">
      <c r="A854" s="0" t="s">
        <v>129</v>
      </c>
      <c r="B854" s="0" t="n">
        <v>2019</v>
      </c>
      <c r="C854" s="0" t="s">
        <v>61</v>
      </c>
      <c r="D854" s="0" t="n">
        <v>53978</v>
      </c>
      <c r="E854" s="0" t="s">
        <v>382</v>
      </c>
      <c r="G854" s="0" t="s">
        <v>81</v>
      </c>
    </row>
    <row r="855" customFormat="false" ht="15" hidden="false" customHeight="false" outlineLevel="0" collapsed="false">
      <c r="A855" s="0" t="s">
        <v>129</v>
      </c>
      <c r="B855" s="0" t="n">
        <v>2019</v>
      </c>
      <c r="C855" s="0" t="s">
        <v>62</v>
      </c>
      <c r="D855" s="0" t="n">
        <v>1503380</v>
      </c>
      <c r="E855" s="0" t="s">
        <v>382</v>
      </c>
      <c r="G855" s="0" t="s">
        <v>81</v>
      </c>
    </row>
    <row r="856" customFormat="false" ht="15" hidden="false" customHeight="false" outlineLevel="0" collapsed="false">
      <c r="A856" s="0" t="s">
        <v>129</v>
      </c>
      <c r="B856" s="0" t="n">
        <v>2019</v>
      </c>
      <c r="C856" s="0" t="s">
        <v>63</v>
      </c>
      <c r="D856" s="0" t="n">
        <v>16369</v>
      </c>
      <c r="E856" s="0" t="s">
        <v>382</v>
      </c>
      <c r="G856" s="0" t="s">
        <v>81</v>
      </c>
    </row>
    <row r="857" customFormat="false" ht="15" hidden="false" customHeight="false" outlineLevel="0" collapsed="false">
      <c r="A857" s="0" t="s">
        <v>129</v>
      </c>
      <c r="B857" s="0" t="n">
        <v>2019</v>
      </c>
      <c r="C857" s="0" t="s">
        <v>247</v>
      </c>
      <c r="D857" s="0" t="n">
        <v>14695</v>
      </c>
      <c r="E857" s="0" t="s">
        <v>382</v>
      </c>
      <c r="G857" s="0" t="s">
        <v>81</v>
      </c>
    </row>
    <row r="858" customFormat="false" ht="15" hidden="false" customHeight="false" outlineLevel="0" collapsed="false">
      <c r="A858" s="0" t="s">
        <v>129</v>
      </c>
      <c r="B858" s="0" t="n">
        <v>2019</v>
      </c>
      <c r="C858" s="0" t="s">
        <v>557</v>
      </c>
      <c r="D858" s="0" t="n">
        <v>1674</v>
      </c>
      <c r="E858" s="0" t="s">
        <v>382</v>
      </c>
      <c r="G858" s="0" t="s">
        <v>81</v>
      </c>
    </row>
    <row r="859" customFormat="false" ht="15" hidden="false" customHeight="false" outlineLevel="0" collapsed="false">
      <c r="A859" s="0" t="s">
        <v>129</v>
      </c>
      <c r="B859" s="0" t="n">
        <v>2019</v>
      </c>
      <c r="C859" s="0" t="s">
        <v>69</v>
      </c>
      <c r="D859" s="0" t="n">
        <v>22</v>
      </c>
      <c r="E859" s="0" t="s">
        <v>382</v>
      </c>
      <c r="G859" s="0" t="s">
        <v>81</v>
      </c>
    </row>
    <row r="860" customFormat="false" ht="15" hidden="false" customHeight="false" outlineLevel="0" collapsed="false">
      <c r="A860" s="0" t="s">
        <v>129</v>
      </c>
      <c r="B860" s="0" t="n">
        <v>2019</v>
      </c>
      <c r="C860" s="0" t="s">
        <v>65</v>
      </c>
      <c r="D860" s="0" t="n">
        <v>285664</v>
      </c>
      <c r="E860" s="0" t="s">
        <v>382</v>
      </c>
      <c r="G860" s="0" t="s">
        <v>81</v>
      </c>
    </row>
    <row r="861" customFormat="false" ht="15" hidden="false" customHeight="false" outlineLevel="0" collapsed="false">
      <c r="A861" s="0" t="s">
        <v>129</v>
      </c>
      <c r="B861" s="0" t="n">
        <v>2019</v>
      </c>
      <c r="C861" s="0" t="s">
        <v>66</v>
      </c>
      <c r="D861" s="0" t="n">
        <v>1328231</v>
      </c>
      <c r="E861" s="0" t="s">
        <v>382</v>
      </c>
      <c r="G861" s="0" t="s">
        <v>81</v>
      </c>
    </row>
    <row r="862" customFormat="false" ht="15" hidden="false" customHeight="false" outlineLevel="0" collapsed="false">
      <c r="A862" s="0" t="s">
        <v>129</v>
      </c>
      <c r="B862" s="0" t="n">
        <v>2019</v>
      </c>
      <c r="C862" s="0" t="s">
        <v>71</v>
      </c>
      <c r="D862" s="0" t="n">
        <v>43.99</v>
      </c>
      <c r="E862" s="0" t="s">
        <v>382</v>
      </c>
      <c r="G862" s="0" t="s">
        <v>81</v>
      </c>
    </row>
    <row r="863" customFormat="false" ht="15" hidden="false" customHeight="false" outlineLevel="0" collapsed="false">
      <c r="A863" s="0" t="s">
        <v>129</v>
      </c>
      <c r="B863" s="0" t="n">
        <v>2019</v>
      </c>
      <c r="C863" s="0" t="s">
        <v>68</v>
      </c>
      <c r="D863" s="0" t="n">
        <v>21215</v>
      </c>
      <c r="E863" s="0" t="s">
        <v>382</v>
      </c>
      <c r="G863" s="0" t="s">
        <v>81</v>
      </c>
    </row>
    <row r="864" customFormat="false" ht="15" hidden="false" customHeight="false" outlineLevel="0" collapsed="false">
      <c r="A864" s="0" t="s">
        <v>129</v>
      </c>
      <c r="B864" s="0" t="n">
        <v>2019</v>
      </c>
      <c r="C864" s="0" t="s">
        <v>402</v>
      </c>
      <c r="D864" s="0" t="n">
        <v>70063</v>
      </c>
      <c r="E864" s="0" t="s">
        <v>382</v>
      </c>
      <c r="G864" s="0" t="s">
        <v>81</v>
      </c>
    </row>
    <row r="865" customFormat="false" ht="15" hidden="false" customHeight="false" outlineLevel="0" collapsed="false">
      <c r="A865" s="0" t="s">
        <v>129</v>
      </c>
      <c r="B865" s="0" t="n">
        <v>2019</v>
      </c>
      <c r="C865" s="0" t="s">
        <v>19</v>
      </c>
      <c r="D865" s="0" t="n">
        <v>3863899</v>
      </c>
      <c r="E865" s="0" t="s">
        <v>383</v>
      </c>
    </row>
    <row r="866" customFormat="false" ht="15" hidden="false" customHeight="false" outlineLevel="0" collapsed="false">
      <c r="A866" s="0" t="s">
        <v>129</v>
      </c>
      <c r="B866" s="0" t="n">
        <v>2019</v>
      </c>
      <c r="C866" s="0" t="s">
        <v>41</v>
      </c>
      <c r="D866" s="0" t="n">
        <v>1.62400725277757</v>
      </c>
      <c r="E866" s="0" t="s">
        <v>383</v>
      </c>
    </row>
    <row r="867" customFormat="false" ht="15" hidden="false" customHeight="false" outlineLevel="0" collapsed="false">
      <c r="A867" s="0" t="s">
        <v>129</v>
      </c>
      <c r="B867" s="0" t="n">
        <v>2019</v>
      </c>
      <c r="C867" s="0" t="s">
        <v>27</v>
      </c>
      <c r="D867" s="0" t="n">
        <v>10.7946997613679</v>
      </c>
      <c r="E867" s="0" t="s">
        <v>383</v>
      </c>
    </row>
    <row r="868" customFormat="false" ht="15" hidden="false" customHeight="false" outlineLevel="0" collapsed="false">
      <c r="A868" s="0" t="s">
        <v>129</v>
      </c>
      <c r="B868" s="0" t="n">
        <v>2019</v>
      </c>
      <c r="C868" s="0" t="s">
        <v>39</v>
      </c>
      <c r="D868" s="0" t="n">
        <v>-8.21587210224698</v>
      </c>
      <c r="E868" s="0" t="s">
        <v>383</v>
      </c>
    </row>
    <row r="869" customFormat="false" ht="15" hidden="false" customHeight="false" outlineLevel="0" collapsed="false">
      <c r="A869" s="0" t="s">
        <v>129</v>
      </c>
      <c r="B869" s="0" t="n">
        <v>2019</v>
      </c>
      <c r="C869" s="0" t="s">
        <v>17</v>
      </c>
      <c r="D869" s="0" t="n">
        <v>3.4659981841041</v>
      </c>
      <c r="E869" s="0" t="s">
        <v>383</v>
      </c>
    </row>
    <row r="870" customFormat="false" ht="15" hidden="false" customHeight="false" outlineLevel="0" collapsed="false">
      <c r="A870" s="0" t="s">
        <v>129</v>
      </c>
      <c r="B870" s="0" t="n">
        <v>2019</v>
      </c>
      <c r="C870" s="0" t="s">
        <v>25</v>
      </c>
      <c r="D870" s="0" t="n">
        <v>21.5071023037408</v>
      </c>
      <c r="E870" s="0" t="s">
        <v>383</v>
      </c>
    </row>
    <row r="871" customFormat="false" ht="15" hidden="false" customHeight="false" outlineLevel="0" collapsed="false">
      <c r="A871" s="0" t="s">
        <v>129</v>
      </c>
      <c r="B871" s="0" t="n">
        <v>2019</v>
      </c>
      <c r="C871" s="0" t="s">
        <v>29</v>
      </c>
      <c r="D871" s="0" t="n">
        <v>0.423639437780335</v>
      </c>
      <c r="E871" s="0" t="s">
        <v>383</v>
      </c>
    </row>
    <row r="872" customFormat="false" ht="15" hidden="false" customHeight="false" outlineLevel="0" collapsed="false">
      <c r="A872" s="0" t="s">
        <v>129</v>
      </c>
      <c r="B872" s="0" t="n">
        <v>2019</v>
      </c>
      <c r="C872" s="0" t="s">
        <v>43</v>
      </c>
      <c r="D872" s="0" t="n">
        <v>1.51698552372747</v>
      </c>
      <c r="E872" s="0" t="s">
        <v>383</v>
      </c>
    </row>
    <row r="873" customFormat="false" ht="15" hidden="false" customHeight="false" outlineLevel="0" collapsed="false">
      <c r="A873" s="0" t="s">
        <v>129</v>
      </c>
      <c r="B873" s="0" t="n">
        <v>2019</v>
      </c>
      <c r="C873" s="0" t="s">
        <v>31</v>
      </c>
      <c r="D873" s="0" t="n">
        <v>89.2053002386321</v>
      </c>
      <c r="E873" s="0" t="s">
        <v>383</v>
      </c>
    </row>
    <row r="874" customFormat="false" ht="15" hidden="false" customHeight="false" outlineLevel="0" collapsed="false">
      <c r="A874" s="0" t="s">
        <v>129</v>
      </c>
      <c r="B874" s="0" t="n">
        <v>2019</v>
      </c>
      <c r="C874" s="0" t="s">
        <v>33</v>
      </c>
      <c r="D874" s="0" t="n">
        <v>15.235358885359</v>
      </c>
      <c r="E874" s="0" t="s">
        <v>383</v>
      </c>
    </row>
    <row r="875" customFormat="false" ht="15" hidden="false" customHeight="false" outlineLevel="0" collapsed="false">
      <c r="A875" s="0" t="s">
        <v>129</v>
      </c>
      <c r="B875" s="0" t="n">
        <v>2019</v>
      </c>
      <c r="C875" s="0" t="s">
        <v>21</v>
      </c>
      <c r="D875" s="0" t="n">
        <v>0</v>
      </c>
      <c r="E875" s="0" t="s">
        <v>383</v>
      </c>
    </row>
    <row r="876" customFormat="false" ht="15" hidden="false" customHeight="false" outlineLevel="0" collapsed="false">
      <c r="A876" s="0" t="s">
        <v>129</v>
      </c>
      <c r="B876" s="0" t="n">
        <v>2019</v>
      </c>
      <c r="C876" s="0" t="s">
        <v>35</v>
      </c>
      <c r="D876" s="0" t="n">
        <v>0</v>
      </c>
      <c r="E876" s="0" t="s">
        <v>383</v>
      </c>
    </row>
    <row r="877" customFormat="false" ht="15" hidden="false" customHeight="false" outlineLevel="0" collapsed="false">
      <c r="A877" s="0" t="s">
        <v>129</v>
      </c>
      <c r="B877" s="0" t="n">
        <v>2020</v>
      </c>
      <c r="C877" s="0" t="s">
        <v>54</v>
      </c>
      <c r="D877" s="0" t="n">
        <v>56911</v>
      </c>
      <c r="E877" s="0" t="s">
        <v>382</v>
      </c>
      <c r="G877" s="0" t="s">
        <v>81</v>
      </c>
    </row>
    <row r="878" customFormat="false" ht="15" hidden="false" customHeight="false" outlineLevel="0" collapsed="false">
      <c r="A878" s="0" t="s">
        <v>129</v>
      </c>
      <c r="B878" s="0" t="n">
        <v>2020</v>
      </c>
      <c r="C878" s="0" t="s">
        <v>55</v>
      </c>
      <c r="D878" s="0" t="n">
        <v>5207833</v>
      </c>
      <c r="E878" s="0" t="s">
        <v>382</v>
      </c>
      <c r="G878" s="0" t="s">
        <v>81</v>
      </c>
    </row>
    <row r="879" customFormat="false" ht="15" hidden="false" customHeight="false" outlineLevel="0" collapsed="false">
      <c r="A879" s="0" t="s">
        <v>129</v>
      </c>
      <c r="B879" s="0" t="n">
        <v>2020</v>
      </c>
      <c r="C879" s="0" t="s">
        <v>56</v>
      </c>
      <c r="D879" s="0" t="n">
        <v>4729893</v>
      </c>
      <c r="E879" s="0" t="s">
        <v>382</v>
      </c>
      <c r="G879" s="0" t="s">
        <v>81</v>
      </c>
    </row>
    <row r="880" customFormat="false" ht="15" hidden="false" customHeight="false" outlineLevel="0" collapsed="false">
      <c r="A880" s="0" t="s">
        <v>129</v>
      </c>
      <c r="B880" s="0" t="n">
        <v>2020</v>
      </c>
      <c r="C880" s="0" t="s">
        <v>57</v>
      </c>
      <c r="D880" s="0" t="n">
        <v>477940</v>
      </c>
      <c r="E880" s="0" t="s">
        <v>382</v>
      </c>
      <c r="G880" s="0" t="s">
        <v>81</v>
      </c>
    </row>
    <row r="881" customFormat="false" ht="15" hidden="false" customHeight="false" outlineLevel="0" collapsed="false">
      <c r="A881" s="0" t="s">
        <v>129</v>
      </c>
      <c r="B881" s="0" t="n">
        <v>2020</v>
      </c>
      <c r="C881" s="0" t="s">
        <v>58</v>
      </c>
      <c r="D881" s="0" t="n">
        <v>735114</v>
      </c>
      <c r="E881" s="0" t="s">
        <v>382</v>
      </c>
      <c r="G881" s="0" t="s">
        <v>81</v>
      </c>
    </row>
    <row r="882" customFormat="false" ht="15" hidden="false" customHeight="false" outlineLevel="0" collapsed="false">
      <c r="A882" s="0" t="s">
        <v>129</v>
      </c>
      <c r="B882" s="0" t="n">
        <v>2020</v>
      </c>
      <c r="C882" s="0" t="s">
        <v>59</v>
      </c>
      <c r="D882" s="0" t="n">
        <v>4136493</v>
      </c>
      <c r="E882" s="0" t="s">
        <v>382</v>
      </c>
      <c r="G882" s="0" t="s">
        <v>81</v>
      </c>
    </row>
    <row r="883" customFormat="false" ht="15" hidden="false" customHeight="false" outlineLevel="0" collapsed="false">
      <c r="A883" s="0" t="s">
        <v>129</v>
      </c>
      <c r="B883" s="0" t="n">
        <v>2020</v>
      </c>
      <c r="C883" s="0" t="s">
        <v>60</v>
      </c>
      <c r="D883" s="0" t="n">
        <v>1874858</v>
      </c>
      <c r="E883" s="0" t="s">
        <v>382</v>
      </c>
      <c r="G883" s="0" t="s">
        <v>81</v>
      </c>
    </row>
    <row r="884" customFormat="false" ht="15" hidden="false" customHeight="false" outlineLevel="0" collapsed="false">
      <c r="A884" s="0" t="s">
        <v>129</v>
      </c>
      <c r="B884" s="0" t="n">
        <v>2020</v>
      </c>
      <c r="C884" s="0" t="s">
        <v>61</v>
      </c>
      <c r="D884" s="0" t="n">
        <v>62322</v>
      </c>
      <c r="E884" s="0" t="s">
        <v>382</v>
      </c>
      <c r="G884" s="0" t="s">
        <v>81</v>
      </c>
    </row>
    <row r="885" customFormat="false" ht="15" hidden="false" customHeight="false" outlineLevel="0" collapsed="false">
      <c r="A885" s="0" t="s">
        <v>129</v>
      </c>
      <c r="B885" s="0" t="n">
        <v>2020</v>
      </c>
      <c r="C885" s="0" t="s">
        <v>62</v>
      </c>
      <c r="D885" s="0" t="n">
        <v>1812536</v>
      </c>
      <c r="E885" s="0" t="s">
        <v>382</v>
      </c>
      <c r="G885" s="0" t="s">
        <v>81</v>
      </c>
    </row>
    <row r="886" customFormat="false" ht="15" hidden="false" customHeight="false" outlineLevel="0" collapsed="false">
      <c r="A886" s="0" t="s">
        <v>129</v>
      </c>
      <c r="B886" s="0" t="n">
        <v>2020</v>
      </c>
      <c r="C886" s="0" t="s">
        <v>63</v>
      </c>
      <c r="D886" s="0" t="n">
        <v>21864</v>
      </c>
      <c r="E886" s="0" t="s">
        <v>382</v>
      </c>
      <c r="G886" s="0" t="s">
        <v>81</v>
      </c>
    </row>
    <row r="887" customFormat="false" ht="15" hidden="false" customHeight="false" outlineLevel="0" collapsed="false">
      <c r="A887" s="0" t="s">
        <v>129</v>
      </c>
      <c r="B887" s="0" t="n">
        <v>2020</v>
      </c>
      <c r="C887" s="0" t="s">
        <v>247</v>
      </c>
      <c r="D887" s="0" t="n">
        <v>14146</v>
      </c>
      <c r="E887" s="0" t="s">
        <v>382</v>
      </c>
      <c r="G887" s="0" t="s">
        <v>81</v>
      </c>
    </row>
    <row r="888" customFormat="false" ht="15" hidden="false" customHeight="false" outlineLevel="0" collapsed="false">
      <c r="A888" s="0" t="s">
        <v>129</v>
      </c>
      <c r="B888" s="0" t="n">
        <v>2020</v>
      </c>
      <c r="C888" s="0" t="s">
        <v>557</v>
      </c>
      <c r="D888" s="0" t="n">
        <v>7718</v>
      </c>
      <c r="E888" s="0" t="s">
        <v>382</v>
      </c>
      <c r="G888" s="0" t="s">
        <v>81</v>
      </c>
    </row>
    <row r="889" customFormat="false" ht="15" hidden="false" customHeight="false" outlineLevel="0" collapsed="false">
      <c r="A889" s="0" t="s">
        <v>129</v>
      </c>
      <c r="B889" s="0" t="n">
        <v>2020</v>
      </c>
      <c r="C889" s="0" t="s">
        <v>69</v>
      </c>
      <c r="D889" s="0" t="n">
        <v>20</v>
      </c>
      <c r="E889" s="0" t="s">
        <v>382</v>
      </c>
      <c r="G889" s="0" t="s">
        <v>81</v>
      </c>
    </row>
    <row r="890" customFormat="false" ht="15" hidden="false" customHeight="false" outlineLevel="0" collapsed="false">
      <c r="A890" s="0" t="s">
        <v>129</v>
      </c>
      <c r="B890" s="0" t="n">
        <v>2020</v>
      </c>
      <c r="C890" s="0" t="s">
        <v>70</v>
      </c>
      <c r="D890" s="0" t="n">
        <v>15</v>
      </c>
      <c r="E890" s="0" t="s">
        <v>382</v>
      </c>
      <c r="G890" s="0" t="s">
        <v>81</v>
      </c>
    </row>
    <row r="891" customFormat="false" ht="15" hidden="false" customHeight="false" outlineLevel="0" collapsed="false">
      <c r="A891" s="0" t="s">
        <v>129</v>
      </c>
      <c r="B891" s="0" t="n">
        <v>2020</v>
      </c>
      <c r="C891" s="0" t="s">
        <v>65</v>
      </c>
      <c r="D891" s="0" t="n">
        <v>276315</v>
      </c>
      <c r="E891" s="0" t="s">
        <v>382</v>
      </c>
      <c r="G891" s="0" t="s">
        <v>81</v>
      </c>
    </row>
    <row r="892" customFormat="false" ht="15" hidden="false" customHeight="false" outlineLevel="0" collapsed="false">
      <c r="A892" s="0" t="s">
        <v>129</v>
      </c>
      <c r="B892" s="0" t="n">
        <v>2020</v>
      </c>
      <c r="C892" s="0" t="s">
        <v>66</v>
      </c>
      <c r="D892" s="0" t="n">
        <v>1402955</v>
      </c>
      <c r="E892" s="0" t="s">
        <v>382</v>
      </c>
      <c r="G892" s="0" t="s">
        <v>81</v>
      </c>
    </row>
    <row r="893" customFormat="false" ht="15" hidden="false" customHeight="false" outlineLevel="0" collapsed="false">
      <c r="A893" s="0" t="s">
        <v>129</v>
      </c>
      <c r="B893" s="0" t="n">
        <v>2020</v>
      </c>
      <c r="C893" s="0" t="s">
        <v>71</v>
      </c>
      <c r="D893" s="0" t="n">
        <v>44.3</v>
      </c>
      <c r="E893" s="0" t="s">
        <v>382</v>
      </c>
      <c r="G893" s="0" t="s">
        <v>81</v>
      </c>
    </row>
    <row r="894" customFormat="false" ht="15" hidden="false" customHeight="false" outlineLevel="0" collapsed="false">
      <c r="A894" s="0" t="s">
        <v>129</v>
      </c>
      <c r="B894" s="0" t="n">
        <v>2020</v>
      </c>
      <c r="C894" s="0" t="s">
        <v>68</v>
      </c>
      <c r="D894" s="0" t="n">
        <v>21933</v>
      </c>
      <c r="E894" s="0" t="s">
        <v>382</v>
      </c>
      <c r="G894" s="0" t="s">
        <v>81</v>
      </c>
    </row>
    <row r="895" customFormat="false" ht="15" hidden="false" customHeight="false" outlineLevel="0" collapsed="false">
      <c r="A895" s="0" t="s">
        <v>129</v>
      </c>
      <c r="B895" s="0" t="n">
        <v>2020</v>
      </c>
      <c r="C895" s="0" t="s">
        <v>402</v>
      </c>
      <c r="D895" s="0" t="n">
        <v>58360</v>
      </c>
      <c r="E895" s="0" t="s">
        <v>382</v>
      </c>
      <c r="G895" s="0" t="s">
        <v>81</v>
      </c>
    </row>
    <row r="896" customFormat="false" ht="15" hidden="false" customHeight="false" outlineLevel="0" collapsed="false">
      <c r="A896" s="0" t="s">
        <v>129</v>
      </c>
      <c r="B896" s="0" t="n">
        <v>2020</v>
      </c>
      <c r="C896" s="0" t="s">
        <v>19</v>
      </c>
      <c r="D896" s="0" t="n">
        <v>4672163</v>
      </c>
      <c r="E896" s="0" t="s">
        <v>383</v>
      </c>
    </row>
    <row r="897" customFormat="false" ht="15" hidden="false" customHeight="false" outlineLevel="0" collapsed="false">
      <c r="A897" s="0" t="s">
        <v>129</v>
      </c>
      <c r="B897" s="0" t="n">
        <v>2020</v>
      </c>
      <c r="C897" s="0" t="s">
        <v>41</v>
      </c>
      <c r="D897" s="0" t="n">
        <v>1.21808678335923</v>
      </c>
      <c r="E897" s="0" t="s">
        <v>383</v>
      </c>
    </row>
    <row r="898" customFormat="false" ht="15" hidden="false" customHeight="false" outlineLevel="0" collapsed="false">
      <c r="A898" s="0" t="s">
        <v>129</v>
      </c>
      <c r="B898" s="0" t="n">
        <v>2020</v>
      </c>
      <c r="C898" s="0" t="s">
        <v>27</v>
      </c>
      <c r="D898" s="0" t="n">
        <v>9.17732961099175</v>
      </c>
      <c r="E898" s="0" t="s">
        <v>383</v>
      </c>
    </row>
    <row r="899" customFormat="false" ht="15" hidden="false" customHeight="false" outlineLevel="0" collapsed="false">
      <c r="A899" s="0" t="s">
        <v>129</v>
      </c>
      <c r="B899" s="0" t="n">
        <v>2020</v>
      </c>
      <c r="C899" s="0" t="s">
        <v>39</v>
      </c>
      <c r="D899" s="0" t="n">
        <v>15.7339116807355</v>
      </c>
      <c r="E899" s="0" t="s">
        <v>383</v>
      </c>
    </row>
    <row r="900" customFormat="false" ht="15" hidden="false" customHeight="false" outlineLevel="0" collapsed="false">
      <c r="A900" s="0" t="s">
        <v>129</v>
      </c>
      <c r="B900" s="0" t="n">
        <v>2020</v>
      </c>
      <c r="C900" s="0" t="s">
        <v>17</v>
      </c>
      <c r="D900" s="0" t="n">
        <v>3.32409174454812</v>
      </c>
      <c r="E900" s="0" t="s">
        <v>383</v>
      </c>
    </row>
    <row r="901" customFormat="false" ht="15" hidden="false" customHeight="false" outlineLevel="0" collapsed="false">
      <c r="A901" s="0" t="s">
        <v>129</v>
      </c>
      <c r="B901" s="0" t="n">
        <v>2020</v>
      </c>
      <c r="C901" s="0" t="s">
        <v>25</v>
      </c>
      <c r="D901" s="0" t="n">
        <v>19.6952147431671</v>
      </c>
      <c r="E901" s="0" t="s">
        <v>383</v>
      </c>
    </row>
    <row r="902" customFormat="false" ht="15" hidden="false" customHeight="false" outlineLevel="0" collapsed="false">
      <c r="A902" s="0" t="s">
        <v>129</v>
      </c>
      <c r="B902" s="0" t="n">
        <v>2020</v>
      </c>
      <c r="C902" s="0" t="s">
        <v>29</v>
      </c>
      <c r="D902" s="0" t="n">
        <v>0.467963125430341</v>
      </c>
      <c r="E902" s="0" t="s">
        <v>383</v>
      </c>
    </row>
    <row r="903" customFormat="false" ht="15" hidden="false" customHeight="false" outlineLevel="0" collapsed="false">
      <c r="A903" s="0" t="s">
        <v>129</v>
      </c>
      <c r="B903" s="0" t="n">
        <v>2020</v>
      </c>
      <c r="C903" s="0" t="s">
        <v>43</v>
      </c>
      <c r="D903" s="0" t="n">
        <v>1.09279617837208</v>
      </c>
      <c r="E903" s="0" t="s">
        <v>383</v>
      </c>
    </row>
    <row r="904" customFormat="false" ht="15" hidden="false" customHeight="false" outlineLevel="0" collapsed="false">
      <c r="A904" s="0" t="s">
        <v>129</v>
      </c>
      <c r="B904" s="0" t="n">
        <v>2020</v>
      </c>
      <c r="C904" s="0" t="s">
        <v>31</v>
      </c>
      <c r="D904" s="0" t="n">
        <v>90.8226703890083</v>
      </c>
      <c r="E904" s="0" t="s">
        <v>383</v>
      </c>
    </row>
    <row r="905" customFormat="false" ht="15" hidden="false" customHeight="false" outlineLevel="0" collapsed="false">
      <c r="A905" s="0" t="s">
        <v>129</v>
      </c>
      <c r="B905" s="0" t="n">
        <v>2020</v>
      </c>
      <c r="C905" s="0" t="s">
        <v>33</v>
      </c>
      <c r="D905" s="0" t="n">
        <v>15.4656743963042</v>
      </c>
      <c r="E905" s="0" t="s">
        <v>383</v>
      </c>
    </row>
    <row r="906" customFormat="false" ht="15" hidden="false" customHeight="false" outlineLevel="0" collapsed="false">
      <c r="A906" s="0" t="s">
        <v>129</v>
      </c>
      <c r="B906" s="0" t="n">
        <v>2020</v>
      </c>
      <c r="C906" s="0" t="s">
        <v>21</v>
      </c>
      <c r="D906" s="0" t="n">
        <v>0</v>
      </c>
      <c r="E906" s="0" t="s">
        <v>383</v>
      </c>
    </row>
    <row r="907" customFormat="false" ht="15" hidden="false" customHeight="false" outlineLevel="0" collapsed="false">
      <c r="A907" s="0" t="s">
        <v>129</v>
      </c>
      <c r="B907" s="0" t="n">
        <v>2020</v>
      </c>
      <c r="C907" s="0" t="s">
        <v>35</v>
      </c>
      <c r="D907" s="0" t="n">
        <v>0</v>
      </c>
      <c r="E907" s="0" t="s">
        <v>383</v>
      </c>
    </row>
    <row r="908" customFormat="false" ht="15" hidden="false" customHeight="false" outlineLevel="0" collapsed="false">
      <c r="A908" s="0" t="s">
        <v>129</v>
      </c>
      <c r="B908" s="0" t="n">
        <v>2021</v>
      </c>
      <c r="C908" s="0" t="s">
        <v>54</v>
      </c>
      <c r="D908" s="0" t="n">
        <v>58669</v>
      </c>
      <c r="E908" s="0" t="s">
        <v>382</v>
      </c>
      <c r="G908" s="0" t="s">
        <v>81</v>
      </c>
    </row>
    <row r="909" customFormat="false" ht="15" hidden="false" customHeight="false" outlineLevel="0" collapsed="false">
      <c r="A909" s="0" t="s">
        <v>129</v>
      </c>
      <c r="B909" s="0" t="n">
        <v>2021</v>
      </c>
      <c r="C909" s="0" t="s">
        <v>55</v>
      </c>
      <c r="D909" s="0" t="n">
        <v>5574976</v>
      </c>
      <c r="E909" s="0" t="s">
        <v>382</v>
      </c>
      <c r="G909" s="0" t="s">
        <v>81</v>
      </c>
    </row>
    <row r="910" customFormat="false" ht="15" hidden="false" customHeight="false" outlineLevel="0" collapsed="false">
      <c r="A910" s="0" t="s">
        <v>129</v>
      </c>
      <c r="B910" s="0" t="n">
        <v>2021</v>
      </c>
      <c r="C910" s="0" t="s">
        <v>56</v>
      </c>
      <c r="D910" s="0" t="n">
        <v>5073375</v>
      </c>
      <c r="E910" s="0" t="s">
        <v>382</v>
      </c>
      <c r="G910" s="0" t="s">
        <v>81</v>
      </c>
    </row>
    <row r="911" customFormat="false" ht="15" hidden="false" customHeight="false" outlineLevel="0" collapsed="false">
      <c r="A911" s="0" t="s">
        <v>129</v>
      </c>
      <c r="B911" s="0" t="n">
        <v>2021</v>
      </c>
      <c r="C911" s="0" t="s">
        <v>57</v>
      </c>
      <c r="D911" s="0" t="n">
        <v>501601</v>
      </c>
      <c r="E911" s="0" t="s">
        <v>382</v>
      </c>
      <c r="G911" s="0" t="s">
        <v>81</v>
      </c>
    </row>
    <row r="912" customFormat="false" ht="15" hidden="false" customHeight="false" outlineLevel="0" collapsed="false">
      <c r="A912" s="0" t="s">
        <v>129</v>
      </c>
      <c r="B912" s="0" t="n">
        <v>2021</v>
      </c>
      <c r="C912" s="0" t="s">
        <v>58</v>
      </c>
      <c r="D912" s="0" t="n">
        <v>671619</v>
      </c>
      <c r="E912" s="0" t="s">
        <v>382</v>
      </c>
      <c r="G912" s="0" t="s">
        <v>81</v>
      </c>
    </row>
    <row r="913" customFormat="false" ht="15" hidden="false" customHeight="false" outlineLevel="0" collapsed="false">
      <c r="A913" s="0" t="s">
        <v>129</v>
      </c>
      <c r="B913" s="0" t="n">
        <v>2021</v>
      </c>
      <c r="C913" s="0" t="s">
        <v>59</v>
      </c>
      <c r="D913" s="0" t="n">
        <v>5207833</v>
      </c>
      <c r="E913" s="0" t="s">
        <v>382</v>
      </c>
      <c r="G913" s="0" t="s">
        <v>81</v>
      </c>
    </row>
    <row r="914" customFormat="false" ht="15" hidden="false" customHeight="false" outlineLevel="0" collapsed="false">
      <c r="A914" s="0" t="s">
        <v>129</v>
      </c>
      <c r="B914" s="0" t="n">
        <v>2021</v>
      </c>
      <c r="C914" s="0" t="s">
        <v>60</v>
      </c>
      <c r="D914" s="0" t="n">
        <v>1913403</v>
      </c>
      <c r="E914" s="0" t="s">
        <v>382</v>
      </c>
      <c r="G914" s="0" t="s">
        <v>81</v>
      </c>
    </row>
    <row r="915" customFormat="false" ht="15" hidden="false" customHeight="false" outlineLevel="0" collapsed="false">
      <c r="A915" s="0" t="s">
        <v>129</v>
      </c>
      <c r="B915" s="0" t="n">
        <v>2021</v>
      </c>
      <c r="C915" s="0" t="s">
        <v>61</v>
      </c>
      <c r="D915" s="0" t="n">
        <v>65301</v>
      </c>
      <c r="E915" s="0" t="s">
        <v>382</v>
      </c>
      <c r="G915" s="0" t="s">
        <v>81</v>
      </c>
    </row>
    <row r="916" customFormat="false" ht="15" hidden="false" customHeight="false" outlineLevel="0" collapsed="false">
      <c r="A916" s="0" t="s">
        <v>129</v>
      </c>
      <c r="B916" s="0" t="n">
        <v>2021</v>
      </c>
      <c r="C916" s="0" t="s">
        <v>62</v>
      </c>
      <c r="D916" s="0" t="n">
        <v>1848102</v>
      </c>
      <c r="E916" s="0" t="s">
        <v>382</v>
      </c>
      <c r="G916" s="0" t="s">
        <v>81</v>
      </c>
    </row>
    <row r="917" customFormat="false" ht="15" hidden="false" customHeight="false" outlineLevel="0" collapsed="false">
      <c r="A917" s="0" t="s">
        <v>129</v>
      </c>
      <c r="B917" s="0" t="n">
        <v>2021</v>
      </c>
      <c r="C917" s="0" t="s">
        <v>63</v>
      </c>
      <c r="D917" s="0" t="n">
        <v>9749</v>
      </c>
      <c r="E917" s="0" t="s">
        <v>382</v>
      </c>
      <c r="G917" s="0" t="s">
        <v>81</v>
      </c>
    </row>
    <row r="918" customFormat="false" ht="15" hidden="false" customHeight="false" outlineLevel="0" collapsed="false">
      <c r="A918" s="0" t="s">
        <v>129</v>
      </c>
      <c r="B918" s="0" t="n">
        <v>2021</v>
      </c>
      <c r="C918" s="0" t="s">
        <v>247</v>
      </c>
      <c r="D918" s="0" t="n">
        <v>9049</v>
      </c>
      <c r="E918" s="0" t="s">
        <v>382</v>
      </c>
      <c r="G918" s="0" t="s">
        <v>81</v>
      </c>
    </row>
    <row r="919" customFormat="false" ht="15" hidden="false" customHeight="false" outlineLevel="0" collapsed="false">
      <c r="A919" s="0" t="s">
        <v>129</v>
      </c>
      <c r="B919" s="0" t="n">
        <v>2021</v>
      </c>
      <c r="C919" s="0" t="s">
        <v>557</v>
      </c>
      <c r="D919" s="0" t="n">
        <v>700</v>
      </c>
      <c r="E919" s="0" t="s">
        <v>382</v>
      </c>
      <c r="G919" s="0" t="s">
        <v>81</v>
      </c>
    </row>
    <row r="920" customFormat="false" ht="15" hidden="false" customHeight="false" outlineLevel="0" collapsed="false">
      <c r="A920" s="0" t="s">
        <v>129</v>
      </c>
      <c r="B920" s="0" t="n">
        <v>2021</v>
      </c>
      <c r="C920" s="0" t="s">
        <v>69</v>
      </c>
      <c r="D920" s="0" t="n">
        <v>21.8</v>
      </c>
      <c r="E920" s="0" t="s">
        <v>382</v>
      </c>
      <c r="G920" s="0" t="s">
        <v>81</v>
      </c>
    </row>
    <row r="921" customFormat="false" ht="15" hidden="false" customHeight="false" outlineLevel="0" collapsed="false">
      <c r="A921" s="0" t="s">
        <v>129</v>
      </c>
      <c r="B921" s="0" t="n">
        <v>2021</v>
      </c>
      <c r="C921" s="0" t="s">
        <v>65</v>
      </c>
      <c r="D921" s="0" t="n">
        <v>336784</v>
      </c>
      <c r="E921" s="0" t="s">
        <v>382</v>
      </c>
      <c r="G921" s="0" t="s">
        <v>81</v>
      </c>
    </row>
    <row r="922" customFormat="false" ht="15" hidden="false" customHeight="false" outlineLevel="0" collapsed="false">
      <c r="A922" s="0" t="s">
        <v>129</v>
      </c>
      <c r="B922" s="0" t="n">
        <v>2021</v>
      </c>
      <c r="C922" s="0" t="s">
        <v>66</v>
      </c>
      <c r="D922" s="0" t="n">
        <v>1543338</v>
      </c>
      <c r="E922" s="0" t="s">
        <v>382</v>
      </c>
      <c r="G922" s="0" t="s">
        <v>81</v>
      </c>
    </row>
    <row r="923" customFormat="false" ht="15" hidden="false" customHeight="false" outlineLevel="0" collapsed="false">
      <c r="A923" s="0" t="s">
        <v>129</v>
      </c>
      <c r="B923" s="0" t="n">
        <v>2021</v>
      </c>
      <c r="C923" s="0" t="s">
        <v>71</v>
      </c>
      <c r="D923" s="0" t="n">
        <v>47.56</v>
      </c>
      <c r="E923" s="0" t="s">
        <v>382</v>
      </c>
      <c r="G923" s="0" t="s">
        <v>81</v>
      </c>
    </row>
    <row r="924" customFormat="false" ht="15" hidden="false" customHeight="false" outlineLevel="0" collapsed="false">
      <c r="A924" s="0" t="s">
        <v>129</v>
      </c>
      <c r="B924" s="0" t="n">
        <v>2021</v>
      </c>
      <c r="C924" s="0" t="s">
        <v>402</v>
      </c>
      <c r="D924" s="0" t="n">
        <v>60519</v>
      </c>
      <c r="E924" s="0" t="s">
        <v>382</v>
      </c>
      <c r="G924" s="0" t="s">
        <v>81</v>
      </c>
    </row>
    <row r="925" customFormat="false" ht="15" hidden="false" customHeight="false" outlineLevel="0" collapsed="false">
      <c r="A925" s="0" t="s">
        <v>129</v>
      </c>
      <c r="B925" s="0" t="n">
        <v>2021</v>
      </c>
      <c r="C925" s="0" t="s">
        <v>19</v>
      </c>
      <c r="D925" s="0" t="n">
        <v>5391404.5</v>
      </c>
      <c r="E925" s="0" t="s">
        <v>383</v>
      </c>
    </row>
    <row r="926" customFormat="false" ht="15" hidden="false" customHeight="false" outlineLevel="0" collapsed="false">
      <c r="A926" s="0" t="s">
        <v>129</v>
      </c>
      <c r="B926" s="0" t="n">
        <v>2021</v>
      </c>
      <c r="C926" s="0" t="s">
        <v>41</v>
      </c>
      <c r="D926" s="0" t="n">
        <v>1.08819510760137</v>
      </c>
      <c r="E926" s="0" t="s">
        <v>383</v>
      </c>
    </row>
    <row r="927" customFormat="false" ht="15" hidden="false" customHeight="false" outlineLevel="0" collapsed="false">
      <c r="A927" s="0" t="s">
        <v>129</v>
      </c>
      <c r="B927" s="0" t="n">
        <v>2021</v>
      </c>
      <c r="C927" s="0" t="s">
        <v>27</v>
      </c>
      <c r="D927" s="0" t="n">
        <v>8.99736608731589</v>
      </c>
      <c r="E927" s="0" t="s">
        <v>383</v>
      </c>
    </row>
    <row r="928" customFormat="false" ht="15" hidden="false" customHeight="false" outlineLevel="0" collapsed="false">
      <c r="A928" s="0" t="s">
        <v>129</v>
      </c>
      <c r="B928" s="0" t="n">
        <v>2021</v>
      </c>
      <c r="C928" s="0" t="s">
        <v>39</v>
      </c>
      <c r="D928" s="0" t="n">
        <v>12.4572177806358</v>
      </c>
      <c r="E928" s="0" t="s">
        <v>383</v>
      </c>
    </row>
    <row r="929" customFormat="false" ht="15" hidden="false" customHeight="false" outlineLevel="0" collapsed="false">
      <c r="A929" s="0" t="s">
        <v>129</v>
      </c>
      <c r="B929" s="0" t="n">
        <v>2021</v>
      </c>
      <c r="C929" s="0" t="s">
        <v>17</v>
      </c>
      <c r="D929" s="0" t="n">
        <v>3.41281998617124</v>
      </c>
      <c r="E929" s="0" t="s">
        <v>383</v>
      </c>
    </row>
    <row r="930" customFormat="false" ht="15" hidden="false" customHeight="false" outlineLevel="0" collapsed="false">
      <c r="A930" s="0" t="s">
        <v>129</v>
      </c>
      <c r="B930" s="0" t="n">
        <v>2021</v>
      </c>
      <c r="C930" s="0" t="s">
        <v>25</v>
      </c>
      <c r="D930" s="0" t="n">
        <v>21.8217914675852</v>
      </c>
      <c r="E930" s="0" t="s">
        <v>383</v>
      </c>
    </row>
    <row r="931" customFormat="false" ht="15" hidden="false" customHeight="false" outlineLevel="0" collapsed="false">
      <c r="A931" s="0" t="s">
        <v>129</v>
      </c>
      <c r="B931" s="0" t="n">
        <v>2021</v>
      </c>
      <c r="C931" s="0" t="s">
        <v>29</v>
      </c>
      <c r="D931" s="0" t="n">
        <v>0.1808248666929</v>
      </c>
      <c r="E931" s="0" t="s">
        <v>383</v>
      </c>
    </row>
    <row r="932" customFormat="false" ht="15" hidden="false" customHeight="false" outlineLevel="0" collapsed="false">
      <c r="A932" s="0" t="s">
        <v>129</v>
      </c>
      <c r="B932" s="0" t="n">
        <v>2021</v>
      </c>
      <c r="C932" s="0" t="s">
        <v>43</v>
      </c>
      <c r="D932" s="0" t="n">
        <v>1.05236327474773</v>
      </c>
      <c r="E932" s="0" t="s">
        <v>383</v>
      </c>
    </row>
    <row r="933" customFormat="false" ht="15" hidden="false" customHeight="false" outlineLevel="0" collapsed="false">
      <c r="A933" s="0" t="s">
        <v>129</v>
      </c>
      <c r="B933" s="0" t="n">
        <v>2021</v>
      </c>
      <c r="C933" s="0" t="s">
        <v>31</v>
      </c>
      <c r="D933" s="0" t="n">
        <v>91.0026339126841</v>
      </c>
      <c r="E933" s="0" t="s">
        <v>383</v>
      </c>
    </row>
    <row r="934" customFormat="false" ht="15" hidden="false" customHeight="false" outlineLevel="0" collapsed="false">
      <c r="A934" s="0" t="s">
        <v>129</v>
      </c>
      <c r="B934" s="0" t="n">
        <v>2021</v>
      </c>
      <c r="C934" s="0" t="s">
        <v>33</v>
      </c>
      <c r="D934" s="0" t="n">
        <v>15.5337985703685</v>
      </c>
      <c r="E934" s="0" t="s">
        <v>383</v>
      </c>
    </row>
    <row r="935" customFormat="false" ht="15" hidden="false" customHeight="false" outlineLevel="0" collapsed="false">
      <c r="A935" s="0" t="s">
        <v>129</v>
      </c>
      <c r="B935" s="0" t="n">
        <v>2021</v>
      </c>
      <c r="C935" s="0" t="s">
        <v>21</v>
      </c>
      <c r="D935" s="0" t="n">
        <v>0</v>
      </c>
      <c r="E935" s="0" t="s">
        <v>383</v>
      </c>
    </row>
    <row r="936" customFormat="false" ht="15" hidden="false" customHeight="false" outlineLevel="0" collapsed="false">
      <c r="A936" s="0" t="s">
        <v>129</v>
      </c>
      <c r="B936" s="0" t="n">
        <v>2021</v>
      </c>
      <c r="C936" s="0" t="s">
        <v>35</v>
      </c>
      <c r="D936" s="0" t="n">
        <v>0</v>
      </c>
      <c r="E936" s="0" t="s">
        <v>383</v>
      </c>
    </row>
    <row r="937" customFormat="false" ht="15" hidden="false" customHeight="false" outlineLevel="0" collapsed="false">
      <c r="A937" s="0" t="s">
        <v>129</v>
      </c>
      <c r="B937" s="0" t="n">
        <v>2022</v>
      </c>
      <c r="C937" s="0" t="s">
        <v>54</v>
      </c>
      <c r="D937" s="0" t="n">
        <v>133696</v>
      </c>
      <c r="E937" s="0" t="s">
        <v>382</v>
      </c>
      <c r="G937" s="0" t="s">
        <v>81</v>
      </c>
    </row>
    <row r="938" customFormat="false" ht="15" hidden="false" customHeight="false" outlineLevel="0" collapsed="false">
      <c r="A938" s="0" t="s">
        <v>129</v>
      </c>
      <c r="B938" s="0" t="n">
        <v>2022</v>
      </c>
      <c r="C938" s="0" t="s">
        <v>55</v>
      </c>
      <c r="D938" s="0" t="n">
        <v>7361044</v>
      </c>
      <c r="E938" s="0" t="s">
        <v>382</v>
      </c>
      <c r="G938" s="0" t="s">
        <v>81</v>
      </c>
    </row>
    <row r="939" customFormat="false" ht="15" hidden="false" customHeight="false" outlineLevel="0" collapsed="false">
      <c r="A939" s="0" t="s">
        <v>129</v>
      </c>
      <c r="B939" s="0" t="n">
        <v>2022</v>
      </c>
      <c r="C939" s="0" t="s">
        <v>56</v>
      </c>
      <c r="D939" s="0" t="n">
        <v>6775851</v>
      </c>
      <c r="E939" s="0" t="s">
        <v>382</v>
      </c>
      <c r="G939" s="0" t="s">
        <v>81</v>
      </c>
    </row>
    <row r="940" customFormat="false" ht="15" hidden="false" customHeight="false" outlineLevel="0" collapsed="false">
      <c r="A940" s="0" t="s">
        <v>129</v>
      </c>
      <c r="B940" s="0" t="n">
        <v>2022</v>
      </c>
      <c r="C940" s="0" t="s">
        <v>57</v>
      </c>
      <c r="D940" s="0" t="n">
        <v>585193</v>
      </c>
      <c r="E940" s="0" t="s">
        <v>382</v>
      </c>
      <c r="G940" s="0" t="s">
        <v>81</v>
      </c>
    </row>
    <row r="941" customFormat="false" ht="15" hidden="false" customHeight="false" outlineLevel="0" collapsed="false">
      <c r="A941" s="0" t="s">
        <v>129</v>
      </c>
      <c r="B941" s="0" t="n">
        <v>2022</v>
      </c>
      <c r="C941" s="0" t="s">
        <v>58</v>
      </c>
      <c r="D941" s="0" t="n">
        <v>1063228</v>
      </c>
      <c r="E941" s="0" t="s">
        <v>382</v>
      </c>
      <c r="G941" s="0" t="s">
        <v>81</v>
      </c>
    </row>
    <row r="942" customFormat="false" ht="15" hidden="false" customHeight="false" outlineLevel="0" collapsed="false">
      <c r="A942" s="0" t="s">
        <v>129</v>
      </c>
      <c r="B942" s="0" t="n">
        <v>2022</v>
      </c>
      <c r="C942" s="0" t="s">
        <v>59</v>
      </c>
      <c r="D942" s="0" t="n">
        <v>5574976</v>
      </c>
      <c r="E942" s="0" t="s">
        <v>382</v>
      </c>
      <c r="G942" s="0" t="s">
        <v>81</v>
      </c>
    </row>
    <row r="943" customFormat="false" ht="15" hidden="false" customHeight="false" outlineLevel="0" collapsed="false">
      <c r="A943" s="0" t="s">
        <v>129</v>
      </c>
      <c r="B943" s="0" t="n">
        <v>2022</v>
      </c>
      <c r="C943" s="0" t="s">
        <v>60</v>
      </c>
      <c r="D943" s="0" t="n">
        <v>2174779</v>
      </c>
      <c r="E943" s="0" t="s">
        <v>382</v>
      </c>
      <c r="G943" s="0" t="s">
        <v>81</v>
      </c>
    </row>
    <row r="944" customFormat="false" ht="15" hidden="false" customHeight="false" outlineLevel="0" collapsed="false">
      <c r="A944" s="0" t="s">
        <v>129</v>
      </c>
      <c r="B944" s="0" t="n">
        <v>2022</v>
      </c>
      <c r="C944" s="0" t="s">
        <v>61</v>
      </c>
      <c r="D944" s="0" t="n">
        <v>51682</v>
      </c>
      <c r="E944" s="0" t="s">
        <v>382</v>
      </c>
      <c r="G944" s="0" t="s">
        <v>81</v>
      </c>
    </row>
    <row r="945" customFormat="false" ht="15" hidden="false" customHeight="false" outlineLevel="0" collapsed="false">
      <c r="A945" s="0" t="s">
        <v>129</v>
      </c>
      <c r="B945" s="0" t="n">
        <v>2022</v>
      </c>
      <c r="C945" s="0" t="s">
        <v>62</v>
      </c>
      <c r="D945" s="0" t="n">
        <v>2123097</v>
      </c>
      <c r="E945" s="0" t="s">
        <v>382</v>
      </c>
      <c r="G945" s="0" t="s">
        <v>81</v>
      </c>
    </row>
    <row r="946" customFormat="false" ht="15" hidden="false" customHeight="false" outlineLevel="0" collapsed="false">
      <c r="A946" s="0" t="s">
        <v>129</v>
      </c>
      <c r="B946" s="0" t="n">
        <v>2022</v>
      </c>
      <c r="C946" s="0" t="s">
        <v>63</v>
      </c>
      <c r="D946" s="0" t="n">
        <v>10565</v>
      </c>
      <c r="E946" s="0" t="s">
        <v>382</v>
      </c>
      <c r="G946" s="0" t="s">
        <v>81</v>
      </c>
    </row>
    <row r="947" customFormat="false" ht="15" hidden="false" customHeight="false" outlineLevel="0" collapsed="false">
      <c r="A947" s="0" t="s">
        <v>129</v>
      </c>
      <c r="B947" s="0" t="n">
        <v>2022</v>
      </c>
      <c r="C947" s="0" t="s">
        <v>247</v>
      </c>
      <c r="D947" s="0" t="n">
        <v>5669</v>
      </c>
      <c r="E947" s="0" t="s">
        <v>382</v>
      </c>
      <c r="G947" s="0" t="s">
        <v>81</v>
      </c>
    </row>
    <row r="948" customFormat="false" ht="15" hidden="false" customHeight="false" outlineLevel="0" collapsed="false">
      <c r="A948" s="0" t="s">
        <v>129</v>
      </c>
      <c r="B948" s="0" t="n">
        <v>2022</v>
      </c>
      <c r="C948" s="0" t="s">
        <v>557</v>
      </c>
      <c r="D948" s="0" t="n">
        <v>4896</v>
      </c>
      <c r="E948" s="0" t="s">
        <v>382</v>
      </c>
      <c r="G948" s="0" t="s">
        <v>81</v>
      </c>
    </row>
    <row r="949" customFormat="false" ht="15" hidden="false" customHeight="false" outlineLevel="0" collapsed="false">
      <c r="A949" s="0" t="s">
        <v>129</v>
      </c>
      <c r="B949" s="0" t="n">
        <v>2022</v>
      </c>
      <c r="C949" s="0" t="s">
        <v>69</v>
      </c>
      <c r="D949" s="0" t="n">
        <v>21.9</v>
      </c>
      <c r="E949" s="0" t="s">
        <v>382</v>
      </c>
      <c r="G949" s="0" t="s">
        <v>81</v>
      </c>
    </row>
    <row r="950" customFormat="false" ht="15" hidden="false" customHeight="false" outlineLevel="0" collapsed="false">
      <c r="A950" s="0" t="s">
        <v>129</v>
      </c>
      <c r="B950" s="0" t="n">
        <v>2022</v>
      </c>
      <c r="C950" s="0" t="s">
        <v>70</v>
      </c>
      <c r="D950" s="0" t="n">
        <v>17</v>
      </c>
      <c r="E950" s="0" t="s">
        <v>382</v>
      </c>
      <c r="G950" s="0" t="s">
        <v>81</v>
      </c>
    </row>
    <row r="951" customFormat="false" ht="15" hidden="false" customHeight="false" outlineLevel="0" collapsed="false">
      <c r="A951" s="0" t="s">
        <v>129</v>
      </c>
      <c r="B951" s="0" t="n">
        <v>2022</v>
      </c>
      <c r="C951" s="0" t="s">
        <v>65</v>
      </c>
      <c r="D951" s="0" t="n">
        <v>369520</v>
      </c>
      <c r="E951" s="0" t="s">
        <v>382</v>
      </c>
      <c r="G951" s="0" t="s">
        <v>81</v>
      </c>
    </row>
    <row r="952" customFormat="false" ht="15" hidden="false" customHeight="false" outlineLevel="0" collapsed="false">
      <c r="A952" s="0" t="s">
        <v>129</v>
      </c>
      <c r="B952" s="0" t="n">
        <v>2022</v>
      </c>
      <c r="C952" s="0" t="s">
        <v>66</v>
      </c>
      <c r="D952" s="0" t="n">
        <v>1690930</v>
      </c>
      <c r="E952" s="0" t="s">
        <v>382</v>
      </c>
      <c r="G952" s="0" t="s">
        <v>81</v>
      </c>
    </row>
    <row r="953" customFormat="false" ht="15" hidden="false" customHeight="false" outlineLevel="0" collapsed="false">
      <c r="A953" s="0" t="s">
        <v>129</v>
      </c>
      <c r="B953" s="0" t="n">
        <v>2022</v>
      </c>
      <c r="C953" s="0" t="s">
        <v>71</v>
      </c>
      <c r="D953" s="0" t="n">
        <v>59.03</v>
      </c>
      <c r="E953" s="0" t="s">
        <v>382</v>
      </c>
      <c r="G953" s="0" t="s">
        <v>81</v>
      </c>
    </row>
    <row r="954" customFormat="false" ht="15" hidden="false" customHeight="false" outlineLevel="0" collapsed="false">
      <c r="A954" s="0" t="s">
        <v>129</v>
      </c>
      <c r="B954" s="0" t="n">
        <v>2022</v>
      </c>
      <c r="C954" s="0" t="s">
        <v>402</v>
      </c>
      <c r="D954" s="0" t="n">
        <v>141317</v>
      </c>
      <c r="E954" s="0" t="s">
        <v>382</v>
      </c>
      <c r="G954" s="0" t="s">
        <v>81</v>
      </c>
    </row>
    <row r="955" customFormat="false" ht="15" hidden="false" customHeight="false" outlineLevel="0" collapsed="false">
      <c r="A955" s="0" t="s">
        <v>129</v>
      </c>
      <c r="B955" s="0" t="n">
        <v>2022</v>
      </c>
      <c r="C955" s="0" t="s">
        <v>19</v>
      </c>
      <c r="D955" s="0" t="n">
        <v>6468010</v>
      </c>
      <c r="E955" s="0" t="s">
        <v>383</v>
      </c>
    </row>
    <row r="956" customFormat="false" ht="15" hidden="false" customHeight="false" outlineLevel="0" collapsed="false">
      <c r="A956" s="0" t="s">
        <v>129</v>
      </c>
      <c r="B956" s="0" t="n">
        <v>2022</v>
      </c>
      <c r="C956" s="0" t="s">
        <v>41</v>
      </c>
      <c r="D956" s="0" t="n">
        <v>2.06703452839436</v>
      </c>
      <c r="E956" s="0" t="s">
        <v>383</v>
      </c>
    </row>
    <row r="957" customFormat="false" ht="15" hidden="false" customHeight="false" outlineLevel="0" collapsed="false">
      <c r="A957" s="0" t="s">
        <v>129</v>
      </c>
      <c r="B957" s="0" t="n">
        <v>2022</v>
      </c>
      <c r="C957" s="0" t="s">
        <v>27</v>
      </c>
      <c r="D957" s="0" t="n">
        <v>7.94986417687491</v>
      </c>
      <c r="E957" s="0" t="s">
        <v>383</v>
      </c>
    </row>
    <row r="958" customFormat="false" ht="15" hidden="false" customHeight="false" outlineLevel="0" collapsed="false">
      <c r="A958" s="0" t="s">
        <v>129</v>
      </c>
      <c r="B958" s="0" t="n">
        <v>2022</v>
      </c>
      <c r="C958" s="0" t="s">
        <v>39</v>
      </c>
      <c r="D958" s="0" t="n">
        <v>16.4382553521099</v>
      </c>
      <c r="E958" s="0" t="s">
        <v>383</v>
      </c>
    </row>
    <row r="959" customFormat="false" ht="15" hidden="false" customHeight="false" outlineLevel="0" collapsed="false">
      <c r="A959" s="0" t="s">
        <v>129</v>
      </c>
      <c r="B959" s="0" t="n">
        <v>2022</v>
      </c>
      <c r="C959" s="0" t="s">
        <v>17</v>
      </c>
      <c r="D959" s="0" t="n">
        <v>2.37642537471624</v>
      </c>
      <c r="E959" s="0" t="s">
        <v>383</v>
      </c>
    </row>
    <row r="960" customFormat="false" ht="15" hidden="false" customHeight="false" outlineLevel="0" collapsed="false">
      <c r="A960" s="0" t="s">
        <v>129</v>
      </c>
      <c r="B960" s="0" t="n">
        <v>2022</v>
      </c>
      <c r="C960" s="0" t="s">
        <v>25</v>
      </c>
      <c r="D960" s="0" t="n">
        <v>21.8530631072842</v>
      </c>
      <c r="E960" s="0" t="s">
        <v>383</v>
      </c>
    </row>
    <row r="961" customFormat="false" ht="15" hidden="false" customHeight="false" outlineLevel="0" collapsed="false">
      <c r="A961" s="0" t="s">
        <v>129</v>
      </c>
      <c r="B961" s="0" t="n">
        <v>2022</v>
      </c>
      <c r="C961" s="0" t="s">
        <v>29</v>
      </c>
      <c r="D961" s="0" t="n">
        <v>0.163342357231977</v>
      </c>
      <c r="E961" s="0" t="s">
        <v>383</v>
      </c>
    </row>
    <row r="962" customFormat="false" ht="15" hidden="false" customHeight="false" outlineLevel="0" collapsed="false">
      <c r="A962" s="0" t="s">
        <v>129</v>
      </c>
      <c r="B962" s="0" t="n">
        <v>2022</v>
      </c>
      <c r="C962" s="0" t="s">
        <v>43</v>
      </c>
      <c r="D962" s="0" t="n">
        <v>1.8162641060154</v>
      </c>
      <c r="E962" s="0" t="s">
        <v>383</v>
      </c>
    </row>
    <row r="963" customFormat="false" ht="15" hidden="false" customHeight="false" outlineLevel="0" collapsed="false">
      <c r="A963" s="0" t="s">
        <v>129</v>
      </c>
      <c r="B963" s="0" t="n">
        <v>2022</v>
      </c>
      <c r="C963" s="0" t="s">
        <v>31</v>
      </c>
      <c r="D963" s="0" t="n">
        <v>92.0501358231251</v>
      </c>
      <c r="E963" s="0" t="s">
        <v>383</v>
      </c>
    </row>
    <row r="964" customFormat="false" ht="15" hidden="false" customHeight="false" outlineLevel="0" collapsed="false">
      <c r="A964" s="0" t="s">
        <v>129</v>
      </c>
      <c r="B964" s="0" t="n">
        <v>2022</v>
      </c>
      <c r="C964" s="0" t="s">
        <v>33</v>
      </c>
      <c r="D964" s="0" t="n">
        <v>15.8117123284717</v>
      </c>
      <c r="E964" s="0" t="s">
        <v>383</v>
      </c>
    </row>
    <row r="965" customFormat="false" ht="15" hidden="false" customHeight="false" outlineLevel="0" collapsed="false">
      <c r="A965" s="0" t="s">
        <v>129</v>
      </c>
      <c r="B965" s="0" t="n">
        <v>2022</v>
      </c>
      <c r="C965" s="0" t="s">
        <v>21</v>
      </c>
      <c r="D965" s="0" t="n">
        <v>0</v>
      </c>
      <c r="E965" s="0" t="s">
        <v>383</v>
      </c>
    </row>
    <row r="966" customFormat="false" ht="15" hidden="false" customHeight="false" outlineLevel="0" collapsed="false">
      <c r="A966" s="0" t="s">
        <v>129</v>
      </c>
      <c r="B966" s="0" t="n">
        <v>2022</v>
      </c>
      <c r="C966" s="0" t="s">
        <v>35</v>
      </c>
      <c r="D966" s="0" t="n">
        <v>0</v>
      </c>
      <c r="E966" s="0" t="s">
        <v>383</v>
      </c>
    </row>
    <row r="967" customFormat="false" ht="15" hidden="false" customHeight="false" outlineLevel="0" collapsed="false">
      <c r="A967" s="0" t="s">
        <v>138</v>
      </c>
      <c r="B967" s="0" t="n">
        <v>2013</v>
      </c>
      <c r="C967" s="0" t="s">
        <v>54</v>
      </c>
      <c r="D967" s="0" t="n">
        <v>5121</v>
      </c>
      <c r="E967" s="0" t="s">
        <v>382</v>
      </c>
      <c r="G967" s="0" t="s">
        <v>81</v>
      </c>
    </row>
    <row r="968" customFormat="false" ht="15" hidden="false" customHeight="false" outlineLevel="0" collapsed="false">
      <c r="A968" s="0" t="s">
        <v>138</v>
      </c>
      <c r="B968" s="0" t="n">
        <v>2013</v>
      </c>
      <c r="C968" s="0" t="s">
        <v>55</v>
      </c>
      <c r="D968" s="0" t="n">
        <v>882097</v>
      </c>
      <c r="E968" s="0" t="s">
        <v>382</v>
      </c>
      <c r="G968" s="0" t="s">
        <v>81</v>
      </c>
    </row>
    <row r="969" customFormat="false" ht="15" hidden="false" customHeight="false" outlineLevel="0" collapsed="false">
      <c r="A969" s="0" t="s">
        <v>138</v>
      </c>
      <c r="B969" s="0" t="n">
        <v>2013</v>
      </c>
      <c r="C969" s="0" t="s">
        <v>56</v>
      </c>
      <c r="D969" s="0" t="n">
        <v>694313</v>
      </c>
      <c r="E969" s="0" t="s">
        <v>382</v>
      </c>
      <c r="G969" s="0" t="s">
        <v>81</v>
      </c>
    </row>
    <row r="970" customFormat="false" ht="15" hidden="false" customHeight="false" outlineLevel="0" collapsed="false">
      <c r="A970" s="0" t="s">
        <v>138</v>
      </c>
      <c r="B970" s="0" t="n">
        <v>2013</v>
      </c>
      <c r="C970" s="0" t="s">
        <v>57</v>
      </c>
      <c r="D970" s="0" t="n">
        <v>187784</v>
      </c>
      <c r="E970" s="0" t="s">
        <v>382</v>
      </c>
      <c r="G970" s="0" t="s">
        <v>81</v>
      </c>
    </row>
    <row r="971" customFormat="false" ht="15" hidden="false" customHeight="false" outlineLevel="0" collapsed="false">
      <c r="A971" s="0" t="s">
        <v>138</v>
      </c>
      <c r="B971" s="0" t="n">
        <v>2013</v>
      </c>
      <c r="C971" s="0" t="s">
        <v>58</v>
      </c>
      <c r="D971" s="0" t="n">
        <v>-93031</v>
      </c>
      <c r="E971" s="0" t="s">
        <v>382</v>
      </c>
      <c r="G971" s="0" t="s">
        <v>81</v>
      </c>
    </row>
    <row r="972" customFormat="false" ht="15" hidden="false" customHeight="false" outlineLevel="0" collapsed="false">
      <c r="A972" s="0" t="s">
        <v>138</v>
      </c>
      <c r="B972" s="0" t="n">
        <v>2013</v>
      </c>
      <c r="C972" s="0" t="s">
        <v>60</v>
      </c>
      <c r="D972" s="0" t="n">
        <v>230720</v>
      </c>
      <c r="E972" s="0" t="s">
        <v>382</v>
      </c>
      <c r="G972" s="0" t="s">
        <v>81</v>
      </c>
    </row>
    <row r="973" customFormat="false" ht="15" hidden="false" customHeight="false" outlineLevel="0" collapsed="false">
      <c r="A973" s="0" t="s">
        <v>138</v>
      </c>
      <c r="B973" s="0" t="n">
        <v>2013</v>
      </c>
      <c r="C973" s="0" t="s">
        <v>61</v>
      </c>
      <c r="D973" s="0" t="n">
        <v>20602</v>
      </c>
      <c r="E973" s="0" t="s">
        <v>382</v>
      </c>
      <c r="G973" s="0" t="s">
        <v>81</v>
      </c>
    </row>
    <row r="974" customFormat="false" ht="15" hidden="false" customHeight="false" outlineLevel="0" collapsed="false">
      <c r="A974" s="0" t="s">
        <v>138</v>
      </c>
      <c r="B974" s="0" t="n">
        <v>2013</v>
      </c>
      <c r="C974" s="0" t="s">
        <v>247</v>
      </c>
      <c r="D974" s="0" t="n">
        <v>13255</v>
      </c>
      <c r="E974" s="0" t="s">
        <v>382</v>
      </c>
      <c r="G974" s="0" t="s">
        <v>81</v>
      </c>
    </row>
    <row r="975" customFormat="false" ht="15" hidden="false" customHeight="false" outlineLevel="0" collapsed="false">
      <c r="A975" s="0" t="s">
        <v>138</v>
      </c>
      <c r="B975" s="0" t="n">
        <v>2013</v>
      </c>
      <c r="C975" s="0" t="s">
        <v>64</v>
      </c>
      <c r="D975" s="0" t="n">
        <v>13644</v>
      </c>
      <c r="E975" s="0" t="s">
        <v>382</v>
      </c>
      <c r="G975" s="0" t="s">
        <v>81</v>
      </c>
    </row>
    <row r="976" customFormat="false" ht="15" hidden="false" customHeight="false" outlineLevel="0" collapsed="false">
      <c r="A976" s="0" t="s">
        <v>138</v>
      </c>
      <c r="B976" s="0" t="n">
        <v>2013</v>
      </c>
      <c r="C976" s="0" t="s">
        <v>266</v>
      </c>
      <c r="D976" s="0" t="n">
        <v>5.91</v>
      </c>
      <c r="E976" s="0" t="s">
        <v>382</v>
      </c>
      <c r="G976" s="0" t="s">
        <v>81</v>
      </c>
    </row>
    <row r="977" customFormat="false" ht="15" hidden="false" customHeight="false" outlineLevel="0" collapsed="false">
      <c r="A977" s="0" t="s">
        <v>138</v>
      </c>
      <c r="B977" s="0" t="n">
        <v>2013</v>
      </c>
      <c r="C977" s="0" t="s">
        <v>69</v>
      </c>
      <c r="D977" s="0" t="n">
        <v>24.8</v>
      </c>
      <c r="E977" s="0" t="s">
        <v>382</v>
      </c>
      <c r="G977" s="0" t="s">
        <v>81</v>
      </c>
    </row>
    <row r="978" customFormat="false" ht="15" hidden="false" customHeight="false" outlineLevel="0" collapsed="false">
      <c r="A978" s="0" t="s">
        <v>138</v>
      </c>
      <c r="B978" s="0" t="n">
        <v>2013</v>
      </c>
      <c r="C978" s="0" t="s">
        <v>27</v>
      </c>
      <c r="D978" s="0" t="n">
        <v>21.2883617107869</v>
      </c>
      <c r="E978" s="0" t="s">
        <v>383</v>
      </c>
    </row>
    <row r="979" customFormat="false" ht="15" hidden="false" customHeight="false" outlineLevel="0" collapsed="false">
      <c r="A979" s="0" t="s">
        <v>138</v>
      </c>
      <c r="B979" s="0" t="n">
        <v>2013</v>
      </c>
      <c r="C979" s="0" t="s">
        <v>17</v>
      </c>
      <c r="D979" s="0" t="n">
        <v>8.92943828016644</v>
      </c>
      <c r="E979" s="0" t="s">
        <v>383</v>
      </c>
    </row>
    <row r="980" customFormat="false" ht="15" hidden="false" customHeight="false" outlineLevel="0" collapsed="false">
      <c r="A980" s="0" t="s">
        <v>138</v>
      </c>
      <c r="B980" s="0" t="n">
        <v>2013</v>
      </c>
      <c r="C980" s="0" t="s">
        <v>23</v>
      </c>
      <c r="D980" s="0" t="n">
        <v>150.996775139255</v>
      </c>
      <c r="E980" s="0" t="s">
        <v>383</v>
      </c>
    </row>
    <row r="981" customFormat="false" ht="15" hidden="false" customHeight="false" outlineLevel="0" collapsed="false">
      <c r="A981" s="0" t="s">
        <v>138</v>
      </c>
      <c r="B981" s="0" t="n">
        <v>2013</v>
      </c>
      <c r="C981" s="0" t="s">
        <v>37</v>
      </c>
      <c r="D981" s="0" t="n">
        <v>5.91366158113731</v>
      </c>
      <c r="E981" s="0" t="s">
        <v>383</v>
      </c>
    </row>
    <row r="982" customFormat="false" ht="15" hidden="false" customHeight="false" outlineLevel="0" collapsed="false">
      <c r="A982" s="0" t="s">
        <v>138</v>
      </c>
      <c r="B982" s="0" t="n">
        <v>2013</v>
      </c>
      <c r="C982" s="0" t="s">
        <v>43</v>
      </c>
      <c r="D982" s="0" t="n">
        <v>0.580548397738571</v>
      </c>
      <c r="E982" s="0" t="s">
        <v>383</v>
      </c>
    </row>
    <row r="983" customFormat="false" ht="15" hidden="false" customHeight="false" outlineLevel="0" collapsed="false">
      <c r="A983" s="0" t="s">
        <v>138</v>
      </c>
      <c r="B983" s="0" t="n">
        <v>2013</v>
      </c>
      <c r="C983" s="0" t="s">
        <v>31</v>
      </c>
      <c r="D983" s="0" t="n">
        <v>78.7116382892131</v>
      </c>
      <c r="E983" s="0" t="s">
        <v>383</v>
      </c>
    </row>
    <row r="984" customFormat="false" ht="15" hidden="false" customHeight="false" outlineLevel="0" collapsed="false">
      <c r="A984" s="0" t="s">
        <v>138</v>
      </c>
      <c r="B984" s="0" t="n">
        <v>2013</v>
      </c>
      <c r="C984" s="0" t="s">
        <v>33</v>
      </c>
      <c r="D984" s="0" t="n">
        <v>13.6900573062661</v>
      </c>
      <c r="E984" s="0" t="s">
        <v>383</v>
      </c>
    </row>
    <row r="985" customFormat="false" ht="15" hidden="false" customHeight="false" outlineLevel="0" collapsed="false">
      <c r="A985" s="0" t="s">
        <v>138</v>
      </c>
      <c r="B985" s="0" t="n">
        <v>2013</v>
      </c>
      <c r="C985" s="0" t="s">
        <v>21</v>
      </c>
      <c r="D985" s="0" t="n">
        <v>0</v>
      </c>
      <c r="E985" s="0" t="s">
        <v>383</v>
      </c>
    </row>
    <row r="986" customFormat="false" ht="15" hidden="false" customHeight="false" outlineLevel="0" collapsed="false">
      <c r="A986" s="0" t="s">
        <v>138</v>
      </c>
      <c r="B986" s="0" t="n">
        <v>2014</v>
      </c>
      <c r="C986" s="0" t="s">
        <v>54</v>
      </c>
      <c r="D986" s="0" t="n">
        <v>20486</v>
      </c>
      <c r="E986" s="0" t="s">
        <v>382</v>
      </c>
      <c r="G986" s="0" t="s">
        <v>81</v>
      </c>
    </row>
    <row r="987" customFormat="false" ht="15" hidden="false" customHeight="false" outlineLevel="0" collapsed="false">
      <c r="A987" s="0" t="s">
        <v>138</v>
      </c>
      <c r="B987" s="0" t="n">
        <v>2014</v>
      </c>
      <c r="C987" s="0" t="s">
        <v>55</v>
      </c>
      <c r="D987" s="0" t="n">
        <v>920936</v>
      </c>
      <c r="E987" s="0" t="s">
        <v>382</v>
      </c>
      <c r="G987" s="0" t="s">
        <v>81</v>
      </c>
    </row>
    <row r="988" customFormat="false" ht="15" hidden="false" customHeight="false" outlineLevel="0" collapsed="false">
      <c r="A988" s="0" t="s">
        <v>138</v>
      </c>
      <c r="B988" s="0" t="n">
        <v>2014</v>
      </c>
      <c r="C988" s="0" t="s">
        <v>56</v>
      </c>
      <c r="D988" s="0" t="n">
        <v>714962</v>
      </c>
      <c r="E988" s="0" t="s">
        <v>382</v>
      </c>
      <c r="G988" s="0" t="s">
        <v>81</v>
      </c>
    </row>
    <row r="989" customFormat="false" ht="15" hidden="false" customHeight="false" outlineLevel="0" collapsed="false">
      <c r="A989" s="0" t="s">
        <v>138</v>
      </c>
      <c r="B989" s="0" t="n">
        <v>2014</v>
      </c>
      <c r="C989" s="0" t="s">
        <v>57</v>
      </c>
      <c r="D989" s="0" t="n">
        <v>205974</v>
      </c>
      <c r="E989" s="0" t="s">
        <v>382</v>
      </c>
      <c r="G989" s="0" t="s">
        <v>81</v>
      </c>
    </row>
    <row r="990" customFormat="false" ht="15" hidden="false" customHeight="false" outlineLevel="0" collapsed="false">
      <c r="A990" s="0" t="s">
        <v>138</v>
      </c>
      <c r="B990" s="0" t="n">
        <v>2014</v>
      </c>
      <c r="C990" s="0" t="s">
        <v>58</v>
      </c>
      <c r="D990" s="0" t="n">
        <v>-121957</v>
      </c>
      <c r="E990" s="0" t="s">
        <v>382</v>
      </c>
      <c r="G990" s="0" t="s">
        <v>81</v>
      </c>
    </row>
    <row r="991" customFormat="false" ht="15" hidden="false" customHeight="false" outlineLevel="0" collapsed="false">
      <c r="A991" s="0" t="s">
        <v>138</v>
      </c>
      <c r="B991" s="0" t="n">
        <v>2014</v>
      </c>
      <c r="C991" s="0" t="s">
        <v>59</v>
      </c>
      <c r="D991" s="0" t="n">
        <v>882097</v>
      </c>
      <c r="E991" s="0" t="s">
        <v>382</v>
      </c>
      <c r="G991" s="0" t="s">
        <v>81</v>
      </c>
    </row>
    <row r="992" customFormat="false" ht="15" hidden="false" customHeight="false" outlineLevel="0" collapsed="false">
      <c r="A992" s="0" t="s">
        <v>138</v>
      </c>
      <c r="B992" s="0" t="n">
        <v>2014</v>
      </c>
      <c r="C992" s="0" t="s">
        <v>60</v>
      </c>
      <c r="D992" s="0" t="n">
        <v>325748</v>
      </c>
      <c r="E992" s="0" t="s">
        <v>382</v>
      </c>
      <c r="G992" s="0" t="s">
        <v>81</v>
      </c>
    </row>
    <row r="993" customFormat="false" ht="15" hidden="false" customHeight="false" outlineLevel="0" collapsed="false">
      <c r="A993" s="0" t="s">
        <v>138</v>
      </c>
      <c r="B993" s="0" t="n">
        <v>2014</v>
      </c>
      <c r="C993" s="0" t="s">
        <v>61</v>
      </c>
      <c r="D993" s="0" t="n">
        <v>23376</v>
      </c>
      <c r="E993" s="0" t="s">
        <v>382</v>
      </c>
      <c r="G993" s="0" t="s">
        <v>81</v>
      </c>
    </row>
    <row r="994" customFormat="false" ht="15" hidden="false" customHeight="false" outlineLevel="0" collapsed="false">
      <c r="A994" s="0" t="s">
        <v>138</v>
      </c>
      <c r="B994" s="0" t="n">
        <v>2014</v>
      </c>
      <c r="C994" s="0" t="s">
        <v>247</v>
      </c>
      <c r="D994" s="0" t="n">
        <v>3307</v>
      </c>
      <c r="E994" s="0" t="s">
        <v>382</v>
      </c>
      <c r="G994" s="0" t="s">
        <v>81</v>
      </c>
    </row>
    <row r="995" customFormat="false" ht="15" hidden="false" customHeight="false" outlineLevel="0" collapsed="false">
      <c r="A995" s="0" t="s">
        <v>138</v>
      </c>
      <c r="B995" s="0" t="n">
        <v>2014</v>
      </c>
      <c r="C995" s="0" t="s">
        <v>64</v>
      </c>
      <c r="D995" s="0" t="n">
        <v>16756</v>
      </c>
      <c r="E995" s="0" t="s">
        <v>382</v>
      </c>
      <c r="G995" s="0" t="s">
        <v>81</v>
      </c>
    </row>
    <row r="996" customFormat="false" ht="15" hidden="false" customHeight="false" outlineLevel="0" collapsed="false">
      <c r="A996" s="0" t="s">
        <v>138</v>
      </c>
      <c r="B996" s="0" t="n">
        <v>2014</v>
      </c>
      <c r="C996" s="0" t="s">
        <v>266</v>
      </c>
      <c r="D996" s="0" t="n">
        <v>5.14</v>
      </c>
      <c r="E996" s="0" t="s">
        <v>382</v>
      </c>
      <c r="G996" s="0" t="s">
        <v>81</v>
      </c>
    </row>
    <row r="997" customFormat="false" ht="15" hidden="false" customHeight="false" outlineLevel="0" collapsed="false">
      <c r="A997" s="0" t="s">
        <v>138</v>
      </c>
      <c r="B997" s="0" t="n">
        <v>2014</v>
      </c>
      <c r="C997" s="0" t="s">
        <v>69</v>
      </c>
      <c r="D997" s="0" t="n">
        <v>16.39</v>
      </c>
      <c r="E997" s="0" t="s">
        <v>382</v>
      </c>
      <c r="G997" s="0" t="s">
        <v>81</v>
      </c>
    </row>
    <row r="998" customFormat="false" ht="15" hidden="false" customHeight="false" outlineLevel="0" collapsed="false">
      <c r="A998" s="0" t="s">
        <v>138</v>
      </c>
      <c r="B998" s="0" t="n">
        <v>2014</v>
      </c>
      <c r="C998" s="0" t="s">
        <v>19</v>
      </c>
      <c r="D998" s="0" t="n">
        <v>901516.5</v>
      </c>
      <c r="E998" s="0" t="s">
        <v>383</v>
      </c>
    </row>
    <row r="999" customFormat="false" ht="15" hidden="false" customHeight="false" outlineLevel="0" collapsed="false">
      <c r="A999" s="0" t="s">
        <v>138</v>
      </c>
      <c r="B999" s="0" t="n">
        <v>2014</v>
      </c>
      <c r="C999" s="0" t="s">
        <v>41</v>
      </c>
      <c r="D999" s="0" t="n">
        <v>2.27239323961347</v>
      </c>
      <c r="E999" s="0" t="s">
        <v>383</v>
      </c>
    </row>
    <row r="1000" customFormat="false" ht="15" hidden="false" customHeight="false" outlineLevel="0" collapsed="false">
      <c r="A1000" s="0" t="s">
        <v>138</v>
      </c>
      <c r="B1000" s="0" t="n">
        <v>2014</v>
      </c>
      <c r="C1000" s="0" t="s">
        <v>27</v>
      </c>
      <c r="D1000" s="0" t="n">
        <v>22.3657235681958</v>
      </c>
      <c r="E1000" s="0" t="s">
        <v>383</v>
      </c>
    </row>
    <row r="1001" customFormat="false" ht="15" hidden="false" customHeight="false" outlineLevel="0" collapsed="false">
      <c r="A1001" s="0" t="s">
        <v>138</v>
      </c>
      <c r="B1001" s="0" t="n">
        <v>2014</v>
      </c>
      <c r="C1001" s="0" t="s">
        <v>39</v>
      </c>
      <c r="D1001" s="0" t="n">
        <v>-13.5279831262101</v>
      </c>
      <c r="E1001" s="0" t="s">
        <v>383</v>
      </c>
    </row>
    <row r="1002" customFormat="false" ht="15" hidden="false" customHeight="false" outlineLevel="0" collapsed="false">
      <c r="A1002" s="0" t="s">
        <v>138</v>
      </c>
      <c r="B1002" s="0" t="n">
        <v>2014</v>
      </c>
      <c r="C1002" s="0" t="s">
        <v>17</v>
      </c>
      <c r="D1002" s="0" t="n">
        <v>7.17609931603571</v>
      </c>
      <c r="E1002" s="0" t="s">
        <v>383</v>
      </c>
    </row>
    <row r="1003" customFormat="false" ht="15" hidden="false" customHeight="false" outlineLevel="0" collapsed="false">
      <c r="A1003" s="0" t="s">
        <v>138</v>
      </c>
      <c r="B1003" s="0" t="n">
        <v>2014</v>
      </c>
      <c r="C1003" s="0" t="s">
        <v>23</v>
      </c>
      <c r="D1003" s="0" t="n">
        <v>139.508235855813</v>
      </c>
      <c r="E1003" s="0" t="s">
        <v>383</v>
      </c>
    </row>
    <row r="1004" customFormat="false" ht="15" hidden="false" customHeight="false" outlineLevel="0" collapsed="false">
      <c r="A1004" s="0" t="s">
        <v>138</v>
      </c>
      <c r="B1004" s="0" t="n">
        <v>2014</v>
      </c>
      <c r="C1004" s="0" t="s">
        <v>37</v>
      </c>
      <c r="D1004" s="0" t="n">
        <v>5.14385353095031</v>
      </c>
      <c r="E1004" s="0" t="s">
        <v>383</v>
      </c>
    </row>
    <row r="1005" customFormat="false" ht="15" hidden="false" customHeight="false" outlineLevel="0" collapsed="false">
      <c r="A1005" s="0" t="s">
        <v>138</v>
      </c>
      <c r="B1005" s="0" t="n">
        <v>2014</v>
      </c>
      <c r="C1005" s="0" t="s">
        <v>43</v>
      </c>
      <c r="D1005" s="0" t="n">
        <v>2.22447596792828</v>
      </c>
      <c r="E1005" s="0" t="s">
        <v>383</v>
      </c>
    </row>
    <row r="1006" customFormat="false" ht="15" hidden="false" customHeight="false" outlineLevel="0" collapsed="false">
      <c r="A1006" s="0" t="s">
        <v>138</v>
      </c>
      <c r="B1006" s="0" t="n">
        <v>2014</v>
      </c>
      <c r="C1006" s="0" t="s">
        <v>31</v>
      </c>
      <c r="D1006" s="0" t="n">
        <v>77.6342764318042</v>
      </c>
      <c r="E1006" s="0" t="s">
        <v>383</v>
      </c>
    </row>
    <row r="1007" customFormat="false" ht="15" hidden="false" customHeight="false" outlineLevel="0" collapsed="false">
      <c r="A1007" s="0" t="s">
        <v>138</v>
      </c>
      <c r="B1007" s="0" t="n">
        <v>2014</v>
      </c>
      <c r="C1007" s="0" t="s">
        <v>33</v>
      </c>
      <c r="D1007" s="0" t="n">
        <v>13.7331458231378</v>
      </c>
      <c r="E1007" s="0" t="s">
        <v>383</v>
      </c>
    </row>
    <row r="1008" customFormat="false" ht="15" hidden="false" customHeight="false" outlineLevel="0" collapsed="false">
      <c r="A1008" s="0" t="s">
        <v>138</v>
      </c>
      <c r="B1008" s="0" t="n">
        <v>2014</v>
      </c>
      <c r="C1008" s="0" t="s">
        <v>21</v>
      </c>
      <c r="D1008" s="0" t="n">
        <v>0</v>
      </c>
      <c r="E1008" s="0" t="s">
        <v>383</v>
      </c>
    </row>
    <row r="1009" customFormat="false" ht="15" hidden="false" customHeight="false" outlineLevel="0" collapsed="false">
      <c r="A1009" s="0" t="s">
        <v>138</v>
      </c>
      <c r="B1009" s="0" t="n">
        <v>2015</v>
      </c>
      <c r="C1009" s="0" t="s">
        <v>54</v>
      </c>
      <c r="D1009" s="0" t="n">
        <v>18035</v>
      </c>
      <c r="E1009" s="0" t="s">
        <v>480</v>
      </c>
      <c r="F1009" s="0" t="s">
        <v>385</v>
      </c>
      <c r="G1009" s="0" t="s">
        <v>141</v>
      </c>
      <c r="H1009" s="0" t="s">
        <v>671</v>
      </c>
      <c r="I1009" s="0" t="s">
        <v>564</v>
      </c>
    </row>
    <row r="1010" customFormat="false" ht="15" hidden="false" customHeight="false" outlineLevel="0" collapsed="false">
      <c r="A1010" s="0" t="s">
        <v>138</v>
      </c>
      <c r="B1010" s="0" t="n">
        <v>2015</v>
      </c>
      <c r="C1010" s="0" t="s">
        <v>55</v>
      </c>
      <c r="D1010" s="0" t="n">
        <v>1000976</v>
      </c>
      <c r="E1010" s="0" t="s">
        <v>672</v>
      </c>
      <c r="F1010" s="0" t="s">
        <v>385</v>
      </c>
      <c r="G1010" s="0" t="s">
        <v>141</v>
      </c>
      <c r="H1010" s="0" t="s">
        <v>673</v>
      </c>
    </row>
    <row r="1011" customFormat="false" ht="15" hidden="false" customHeight="false" outlineLevel="0" collapsed="false">
      <c r="A1011" s="0" t="s">
        <v>138</v>
      </c>
      <c r="B1011" s="0" t="n">
        <v>2015</v>
      </c>
      <c r="C1011" s="0" t="s">
        <v>56</v>
      </c>
      <c r="D1011" s="0" t="n">
        <v>767469</v>
      </c>
      <c r="E1011" s="0" t="s">
        <v>672</v>
      </c>
      <c r="F1011" s="0" t="s">
        <v>385</v>
      </c>
      <c r="G1011" s="0" t="s">
        <v>141</v>
      </c>
      <c r="H1011" s="0" t="s">
        <v>674</v>
      </c>
    </row>
    <row r="1012" customFormat="false" ht="15" hidden="false" customHeight="false" outlineLevel="0" collapsed="false">
      <c r="A1012" s="0" t="s">
        <v>138</v>
      </c>
      <c r="B1012" s="0" t="n">
        <v>2015</v>
      </c>
      <c r="C1012" s="0" t="s">
        <v>57</v>
      </c>
      <c r="D1012" s="0" t="n">
        <v>233507</v>
      </c>
      <c r="E1012" s="0" t="s">
        <v>672</v>
      </c>
      <c r="F1012" s="0" t="s">
        <v>385</v>
      </c>
      <c r="G1012" s="0" t="s">
        <v>141</v>
      </c>
      <c r="H1012" s="0" t="s">
        <v>675</v>
      </c>
    </row>
    <row r="1013" customFormat="false" ht="15" hidden="false" customHeight="false" outlineLevel="0" collapsed="false">
      <c r="A1013" s="0" t="s">
        <v>138</v>
      </c>
      <c r="B1013" s="0" t="n">
        <v>2015</v>
      </c>
      <c r="C1013" s="0" t="s">
        <v>58</v>
      </c>
      <c r="D1013" s="0" t="n">
        <v>10975</v>
      </c>
      <c r="E1013" s="0" t="s">
        <v>480</v>
      </c>
      <c r="F1013" s="0" t="s">
        <v>385</v>
      </c>
      <c r="G1013" s="0" t="s">
        <v>141</v>
      </c>
      <c r="H1013" s="0" t="s">
        <v>676</v>
      </c>
    </row>
    <row r="1014" customFormat="false" ht="15" hidden="false" customHeight="false" outlineLevel="0" collapsed="false">
      <c r="A1014" s="0" t="s">
        <v>138</v>
      </c>
      <c r="B1014" s="0" t="n">
        <v>2015</v>
      </c>
      <c r="C1014" s="0" t="s">
        <v>59</v>
      </c>
      <c r="D1014" s="0" t="n">
        <v>922755</v>
      </c>
      <c r="E1014" s="0" t="s">
        <v>672</v>
      </c>
      <c r="F1014" s="0" t="s">
        <v>385</v>
      </c>
      <c r="G1014" s="0" t="s">
        <v>141</v>
      </c>
      <c r="H1014" s="0" t="s">
        <v>677</v>
      </c>
    </row>
    <row r="1015" customFormat="false" ht="15" hidden="false" customHeight="false" outlineLevel="0" collapsed="false">
      <c r="A1015" s="0" t="s">
        <v>138</v>
      </c>
      <c r="B1015" s="0" t="n">
        <v>2015</v>
      </c>
      <c r="C1015" s="0" t="s">
        <v>60</v>
      </c>
      <c r="D1015" s="0" t="n">
        <v>370949</v>
      </c>
      <c r="E1015" s="0" t="s">
        <v>480</v>
      </c>
      <c r="F1015" s="0" t="s">
        <v>385</v>
      </c>
      <c r="G1015" s="0" t="s">
        <v>141</v>
      </c>
      <c r="H1015" s="0" t="s">
        <v>678</v>
      </c>
    </row>
    <row r="1016" customFormat="false" ht="15" hidden="false" customHeight="false" outlineLevel="0" collapsed="false">
      <c r="A1016" s="0" t="s">
        <v>138</v>
      </c>
      <c r="B1016" s="0" t="n">
        <v>2015</v>
      </c>
      <c r="C1016" s="0" t="s">
        <v>61</v>
      </c>
      <c r="D1016" s="0" t="n">
        <v>21965</v>
      </c>
      <c r="E1016" s="0" t="s">
        <v>480</v>
      </c>
      <c r="F1016" s="0" t="s">
        <v>385</v>
      </c>
      <c r="G1016" s="0" t="s">
        <v>141</v>
      </c>
      <c r="H1016" s="0" t="s">
        <v>679</v>
      </c>
    </row>
    <row r="1017" customFormat="false" ht="15" hidden="false" customHeight="false" outlineLevel="0" collapsed="false">
      <c r="A1017" s="0" t="s">
        <v>138</v>
      </c>
      <c r="B1017" s="0" t="n">
        <v>2015</v>
      </c>
      <c r="C1017" s="0" t="s">
        <v>62</v>
      </c>
      <c r="D1017" s="0" t="n">
        <v>348984</v>
      </c>
      <c r="E1017" s="0" t="s">
        <v>480</v>
      </c>
      <c r="F1017" s="0" t="s">
        <v>385</v>
      </c>
      <c r="G1017" s="0" t="s">
        <v>141</v>
      </c>
      <c r="H1017" s="0" t="s">
        <v>680</v>
      </c>
    </row>
    <row r="1018" customFormat="false" ht="15" hidden="false" customHeight="false" outlineLevel="0" collapsed="false">
      <c r="A1018" s="0" t="s">
        <v>138</v>
      </c>
      <c r="B1018" s="0" t="n">
        <v>2015</v>
      </c>
      <c r="C1018" s="0" t="s">
        <v>63</v>
      </c>
      <c r="D1018" s="0" t="n">
        <v>9177</v>
      </c>
      <c r="E1018" s="0" t="s">
        <v>551</v>
      </c>
      <c r="F1018" s="0" t="s">
        <v>385</v>
      </c>
      <c r="G1018" s="0" t="s">
        <v>141</v>
      </c>
      <c r="H1018" s="0" t="s">
        <v>681</v>
      </c>
    </row>
    <row r="1019" customFormat="false" ht="15" hidden="false" customHeight="false" outlineLevel="0" collapsed="false">
      <c r="A1019" s="0" t="s">
        <v>138</v>
      </c>
      <c r="B1019" s="0" t="n">
        <v>2015</v>
      </c>
      <c r="C1019" s="0" t="s">
        <v>247</v>
      </c>
      <c r="D1019" s="0" t="n">
        <v>9881</v>
      </c>
      <c r="E1019" s="0" t="s">
        <v>480</v>
      </c>
      <c r="F1019" s="0" t="s">
        <v>385</v>
      </c>
      <c r="G1019" s="0" t="s">
        <v>141</v>
      </c>
      <c r="H1019" s="0" t="s">
        <v>682</v>
      </c>
    </row>
    <row r="1020" customFormat="false" ht="15" hidden="false" customHeight="false" outlineLevel="0" collapsed="false">
      <c r="A1020" s="0" t="s">
        <v>138</v>
      </c>
      <c r="B1020" s="0" t="n">
        <v>2015</v>
      </c>
      <c r="C1020" s="0" t="s">
        <v>557</v>
      </c>
      <c r="D1020" s="0" t="n">
        <v>-704</v>
      </c>
      <c r="E1020" s="0" t="s">
        <v>480</v>
      </c>
      <c r="F1020" s="0" t="s">
        <v>385</v>
      </c>
      <c r="G1020" s="0" t="s">
        <v>141</v>
      </c>
      <c r="H1020" s="0" t="s">
        <v>683</v>
      </c>
    </row>
    <row r="1021" customFormat="false" ht="15" hidden="false" customHeight="false" outlineLevel="0" collapsed="false">
      <c r="A1021" s="0" t="s">
        <v>138</v>
      </c>
      <c r="B1021" s="0" t="n">
        <v>2015</v>
      </c>
      <c r="C1021" s="0" t="s">
        <v>69</v>
      </c>
      <c r="D1021" s="0" t="n">
        <v>15.9</v>
      </c>
      <c r="E1021" s="0" t="s">
        <v>480</v>
      </c>
      <c r="F1021" s="0" t="s">
        <v>385</v>
      </c>
      <c r="G1021" s="0" t="s">
        <v>141</v>
      </c>
      <c r="H1021" s="0" t="s">
        <v>684</v>
      </c>
    </row>
    <row r="1022" customFormat="false" ht="15" hidden="false" customHeight="false" outlineLevel="0" collapsed="false">
      <c r="A1022" s="0" t="s">
        <v>138</v>
      </c>
      <c r="B1022" s="0" t="n">
        <v>2015</v>
      </c>
      <c r="C1022" s="0" t="s">
        <v>65</v>
      </c>
      <c r="D1022" s="0" t="n">
        <v>93697</v>
      </c>
      <c r="E1022" s="0" t="s">
        <v>480</v>
      </c>
      <c r="F1022" s="0" t="s">
        <v>385</v>
      </c>
      <c r="G1022" s="0" t="s">
        <v>141</v>
      </c>
      <c r="H1022" s="0" t="s">
        <v>685</v>
      </c>
    </row>
    <row r="1023" customFormat="false" ht="15" hidden="false" customHeight="false" outlineLevel="0" collapsed="false">
      <c r="A1023" s="0" t="s">
        <v>138</v>
      </c>
      <c r="B1023" s="0" t="n">
        <v>2015</v>
      </c>
      <c r="C1023" s="0" t="s">
        <v>66</v>
      </c>
      <c r="D1023" s="0" t="n">
        <v>587515</v>
      </c>
      <c r="E1023" s="0" t="s">
        <v>480</v>
      </c>
      <c r="F1023" s="0" t="s">
        <v>385</v>
      </c>
      <c r="G1023" s="0" t="s">
        <v>141</v>
      </c>
      <c r="H1023" s="0" t="s">
        <v>686</v>
      </c>
    </row>
    <row r="1024" customFormat="false" ht="15" hidden="false" customHeight="false" outlineLevel="0" collapsed="false">
      <c r="A1024" s="0" t="s">
        <v>138</v>
      </c>
      <c r="B1024" s="0" t="n">
        <v>2015</v>
      </c>
      <c r="C1024" s="0" t="s">
        <v>402</v>
      </c>
      <c r="D1024" s="0" t="n">
        <v>18455</v>
      </c>
      <c r="E1024" s="0" t="s">
        <v>480</v>
      </c>
      <c r="F1024" s="0" t="s">
        <v>385</v>
      </c>
      <c r="G1024" s="0" t="s">
        <v>141</v>
      </c>
      <c r="H1024" s="0" t="s">
        <v>687</v>
      </c>
    </row>
    <row r="1025" customFormat="false" ht="15" hidden="false" customHeight="false" outlineLevel="0" collapsed="false">
      <c r="A1025" s="0" t="s">
        <v>138</v>
      </c>
      <c r="B1025" s="0" t="n">
        <v>2015</v>
      </c>
      <c r="C1025" s="0" t="s">
        <v>404</v>
      </c>
      <c r="D1025" s="0" t="n">
        <v>11565</v>
      </c>
      <c r="E1025" s="0" t="s">
        <v>480</v>
      </c>
      <c r="F1025" s="0" t="s">
        <v>385</v>
      </c>
      <c r="G1025" s="0" t="s">
        <v>141</v>
      </c>
      <c r="H1025" s="0" t="s">
        <v>688</v>
      </c>
    </row>
    <row r="1026" customFormat="false" ht="15" hidden="false" customHeight="false" outlineLevel="0" collapsed="false">
      <c r="A1026" s="0" t="s">
        <v>138</v>
      </c>
      <c r="B1026" s="0" t="n">
        <v>2015</v>
      </c>
      <c r="C1026" s="0" t="s">
        <v>406</v>
      </c>
      <c r="D1026" s="0" t="n">
        <v>10400</v>
      </c>
      <c r="E1026" s="0" t="s">
        <v>480</v>
      </c>
      <c r="F1026" s="0" t="s">
        <v>385</v>
      </c>
      <c r="G1026" s="0" t="s">
        <v>141</v>
      </c>
      <c r="H1026" s="0" t="s">
        <v>689</v>
      </c>
    </row>
    <row r="1027" customFormat="false" ht="15" hidden="false" customHeight="false" outlineLevel="0" collapsed="false">
      <c r="A1027" s="0" t="s">
        <v>138</v>
      </c>
      <c r="B1027" s="0" t="n">
        <v>2015</v>
      </c>
      <c r="C1027" s="0" t="s">
        <v>19</v>
      </c>
      <c r="D1027" s="0" t="n">
        <v>961865.5</v>
      </c>
      <c r="E1027" s="0" t="s">
        <v>383</v>
      </c>
    </row>
    <row r="1028" customFormat="false" ht="15" hidden="false" customHeight="false" outlineLevel="0" collapsed="false">
      <c r="A1028" s="0" t="s">
        <v>138</v>
      </c>
      <c r="B1028" s="0" t="n">
        <v>2015</v>
      </c>
      <c r="C1028" s="0" t="s">
        <v>41</v>
      </c>
      <c r="D1028" s="0" t="n">
        <v>1.87500227422649</v>
      </c>
      <c r="E1028" s="0" t="s">
        <v>383</v>
      </c>
    </row>
    <row r="1029" customFormat="false" ht="15" hidden="false" customHeight="false" outlineLevel="0" collapsed="false">
      <c r="A1029" s="0" t="s">
        <v>138</v>
      </c>
      <c r="B1029" s="0" t="n">
        <v>2015</v>
      </c>
      <c r="C1029" s="0" t="s">
        <v>27</v>
      </c>
      <c r="D1029" s="0" t="n">
        <v>23.3279319384281</v>
      </c>
      <c r="E1029" s="0" t="s">
        <v>383</v>
      </c>
    </row>
    <row r="1030" customFormat="false" ht="15" hidden="false" customHeight="false" outlineLevel="0" collapsed="false">
      <c r="A1030" s="0" t="s">
        <v>138</v>
      </c>
      <c r="B1030" s="0" t="n">
        <v>2015</v>
      </c>
      <c r="C1030" s="0" t="s">
        <v>39</v>
      </c>
      <c r="D1030" s="0" t="n">
        <v>1.1410119190261</v>
      </c>
      <c r="E1030" s="0" t="s">
        <v>383</v>
      </c>
    </row>
    <row r="1031" customFormat="false" ht="15" hidden="false" customHeight="false" outlineLevel="0" collapsed="false">
      <c r="A1031" s="0" t="s">
        <v>138</v>
      </c>
      <c r="B1031" s="0" t="n">
        <v>2015</v>
      </c>
      <c r="C1031" s="0" t="s">
        <v>17</v>
      </c>
      <c r="D1031" s="0" t="n">
        <v>5.92129915433119</v>
      </c>
      <c r="E1031" s="0" t="s">
        <v>383</v>
      </c>
    </row>
    <row r="1032" customFormat="false" ht="15" hidden="false" customHeight="false" outlineLevel="0" collapsed="false">
      <c r="A1032" s="0" t="s">
        <v>138</v>
      </c>
      <c r="B1032" s="0" t="n">
        <v>2015</v>
      </c>
      <c r="C1032" s="0" t="s">
        <v>25</v>
      </c>
      <c r="D1032" s="0" t="n">
        <v>15.9480183484677</v>
      </c>
      <c r="E1032" s="0" t="s">
        <v>383</v>
      </c>
    </row>
    <row r="1033" customFormat="false" ht="15" hidden="false" customHeight="false" outlineLevel="0" collapsed="false">
      <c r="A1033" s="0" t="s">
        <v>138</v>
      </c>
      <c r="B1033" s="0" t="n">
        <v>2015</v>
      </c>
      <c r="C1033" s="0" t="s">
        <v>29</v>
      </c>
      <c r="D1033" s="0" t="n">
        <v>0.954083497120959</v>
      </c>
      <c r="E1033" s="0" t="s">
        <v>383</v>
      </c>
    </row>
    <row r="1034" customFormat="false" ht="15" hidden="false" customHeight="false" outlineLevel="0" collapsed="false">
      <c r="A1034" s="0" t="s">
        <v>138</v>
      </c>
      <c r="B1034" s="0" t="n">
        <v>2015</v>
      </c>
      <c r="C1034" s="0" t="s">
        <v>43</v>
      </c>
      <c r="D1034" s="0" t="n">
        <v>1.80174150029571</v>
      </c>
      <c r="E1034" s="0" t="s">
        <v>383</v>
      </c>
    </row>
    <row r="1035" customFormat="false" ht="15" hidden="false" customHeight="false" outlineLevel="0" collapsed="false">
      <c r="A1035" s="0" t="s">
        <v>138</v>
      </c>
      <c r="B1035" s="0" t="n">
        <v>2015</v>
      </c>
      <c r="C1035" s="0" t="s">
        <v>31</v>
      </c>
      <c r="D1035" s="0" t="n">
        <v>76.6720680615719</v>
      </c>
      <c r="E1035" s="0" t="s">
        <v>383</v>
      </c>
    </row>
    <row r="1036" customFormat="false" ht="15" hidden="false" customHeight="false" outlineLevel="0" collapsed="false">
      <c r="A1036" s="0" t="s">
        <v>138</v>
      </c>
      <c r="B1036" s="0" t="n">
        <v>2015</v>
      </c>
      <c r="C1036" s="0" t="s">
        <v>33</v>
      </c>
      <c r="D1036" s="0" t="n">
        <v>13.816486081986</v>
      </c>
      <c r="E1036" s="0" t="s">
        <v>383</v>
      </c>
    </row>
    <row r="1037" customFormat="false" ht="15" hidden="false" customHeight="false" outlineLevel="0" collapsed="false">
      <c r="A1037" s="0" t="s">
        <v>138</v>
      </c>
      <c r="B1037" s="0" t="n">
        <v>2015</v>
      </c>
      <c r="C1037" s="0" t="s">
        <v>21</v>
      </c>
      <c r="D1037" s="0" t="n">
        <v>0</v>
      </c>
      <c r="E1037" s="0" t="s">
        <v>383</v>
      </c>
    </row>
    <row r="1038" customFormat="false" ht="15" hidden="false" customHeight="false" outlineLevel="0" collapsed="false">
      <c r="A1038" s="0" t="s">
        <v>138</v>
      </c>
      <c r="B1038" s="0" t="n">
        <v>2015</v>
      </c>
      <c r="C1038" s="0" t="s">
        <v>35</v>
      </c>
      <c r="D1038" s="0" t="n">
        <v>0</v>
      </c>
      <c r="E1038" s="0" t="s">
        <v>383</v>
      </c>
    </row>
    <row r="1039" customFormat="false" ht="15" hidden="false" customHeight="false" outlineLevel="0" collapsed="false">
      <c r="A1039" s="0" t="s">
        <v>138</v>
      </c>
      <c r="B1039" s="0" t="n">
        <v>2016</v>
      </c>
      <c r="C1039" s="0" t="s">
        <v>54</v>
      </c>
      <c r="D1039" s="0" t="n">
        <v>15885</v>
      </c>
      <c r="E1039" s="0" t="s">
        <v>384</v>
      </c>
      <c r="F1039" s="0" t="s">
        <v>385</v>
      </c>
      <c r="G1039" s="0" t="s">
        <v>94</v>
      </c>
      <c r="H1039" s="0" t="s">
        <v>690</v>
      </c>
    </row>
    <row r="1040" customFormat="false" ht="15" hidden="false" customHeight="false" outlineLevel="0" collapsed="false">
      <c r="A1040" s="0" t="s">
        <v>138</v>
      </c>
      <c r="B1040" s="0" t="n">
        <v>2016</v>
      </c>
      <c r="C1040" s="0" t="s">
        <v>55</v>
      </c>
      <c r="D1040" s="0" t="n">
        <v>1123483</v>
      </c>
      <c r="E1040" s="0" t="s">
        <v>400</v>
      </c>
      <c r="F1040" s="0" t="s">
        <v>385</v>
      </c>
      <c r="G1040" s="0" t="s">
        <v>94</v>
      </c>
      <c r="H1040" s="0" t="s">
        <v>691</v>
      </c>
    </row>
    <row r="1041" customFormat="false" ht="15" hidden="false" customHeight="false" outlineLevel="0" collapsed="false">
      <c r="A1041" s="0" t="s">
        <v>138</v>
      </c>
      <c r="B1041" s="0" t="n">
        <v>2016</v>
      </c>
      <c r="C1041" s="0" t="s">
        <v>56</v>
      </c>
      <c r="D1041" s="0" t="n">
        <v>872144</v>
      </c>
      <c r="E1041" s="0" t="s">
        <v>400</v>
      </c>
      <c r="F1041" s="0" t="s">
        <v>385</v>
      </c>
      <c r="G1041" s="0" t="s">
        <v>94</v>
      </c>
      <c r="H1041" s="0" t="s">
        <v>692</v>
      </c>
    </row>
    <row r="1042" customFormat="false" ht="15" hidden="false" customHeight="false" outlineLevel="0" collapsed="false">
      <c r="A1042" s="0" t="s">
        <v>138</v>
      </c>
      <c r="B1042" s="0" t="n">
        <v>2016</v>
      </c>
      <c r="C1042" s="0" t="s">
        <v>57</v>
      </c>
      <c r="D1042" s="0" t="n">
        <v>251339</v>
      </c>
      <c r="E1042" s="0" t="s">
        <v>400</v>
      </c>
      <c r="F1042" s="0" t="s">
        <v>385</v>
      </c>
      <c r="G1042" s="0" t="s">
        <v>94</v>
      </c>
      <c r="H1042" s="0" t="s">
        <v>693</v>
      </c>
    </row>
    <row r="1043" customFormat="false" ht="15" hidden="false" customHeight="false" outlineLevel="0" collapsed="false">
      <c r="A1043" s="0" t="s">
        <v>138</v>
      </c>
      <c r="B1043" s="0" t="n">
        <v>2016</v>
      </c>
      <c r="C1043" s="0" t="s">
        <v>58</v>
      </c>
      <c r="D1043" s="0" t="n">
        <v>-70133</v>
      </c>
      <c r="E1043" s="0" t="s">
        <v>384</v>
      </c>
      <c r="F1043" s="0" t="s">
        <v>385</v>
      </c>
      <c r="G1043" s="0" t="s">
        <v>94</v>
      </c>
      <c r="H1043" s="0" t="s">
        <v>694</v>
      </c>
    </row>
    <row r="1044" customFormat="false" ht="15" hidden="false" customHeight="false" outlineLevel="0" collapsed="false">
      <c r="A1044" s="0" t="s">
        <v>138</v>
      </c>
      <c r="B1044" s="0" t="n">
        <v>2016</v>
      </c>
      <c r="C1044" s="0" t="s">
        <v>59</v>
      </c>
      <c r="D1044" s="0" t="n">
        <v>1000976</v>
      </c>
      <c r="E1044" s="0" t="s">
        <v>400</v>
      </c>
      <c r="F1044" s="0" t="s">
        <v>385</v>
      </c>
      <c r="G1044" s="0" t="s">
        <v>94</v>
      </c>
      <c r="H1044" s="0" t="s">
        <v>695</v>
      </c>
    </row>
    <row r="1045" customFormat="false" ht="15" hidden="false" customHeight="false" outlineLevel="0" collapsed="false">
      <c r="A1045" s="0" t="s">
        <v>138</v>
      </c>
      <c r="B1045" s="0" t="n">
        <v>2016</v>
      </c>
      <c r="C1045" s="0" t="s">
        <v>60</v>
      </c>
      <c r="D1045" s="0" t="n">
        <v>518349</v>
      </c>
      <c r="E1045" s="0" t="s">
        <v>384</v>
      </c>
      <c r="F1045" s="0" t="s">
        <v>385</v>
      </c>
      <c r="G1045" s="0" t="s">
        <v>94</v>
      </c>
      <c r="H1045" s="0" t="s">
        <v>696</v>
      </c>
    </row>
    <row r="1046" customFormat="false" ht="15" hidden="false" customHeight="false" outlineLevel="0" collapsed="false">
      <c r="A1046" s="0" t="s">
        <v>138</v>
      </c>
      <c r="B1046" s="0" t="n">
        <v>2016</v>
      </c>
      <c r="C1046" s="0" t="s">
        <v>61</v>
      </c>
      <c r="D1046" s="0" t="n">
        <v>28459</v>
      </c>
      <c r="E1046" s="0" t="s">
        <v>384</v>
      </c>
      <c r="F1046" s="0" t="s">
        <v>385</v>
      </c>
      <c r="G1046" s="0" t="s">
        <v>94</v>
      </c>
      <c r="H1046" s="0" t="s">
        <v>697</v>
      </c>
    </row>
    <row r="1047" customFormat="false" ht="15" hidden="false" customHeight="false" outlineLevel="0" collapsed="false">
      <c r="A1047" s="0" t="s">
        <v>138</v>
      </c>
      <c r="B1047" s="0" t="n">
        <v>2016</v>
      </c>
      <c r="C1047" s="0" t="s">
        <v>62</v>
      </c>
      <c r="D1047" s="0" t="n">
        <v>489890</v>
      </c>
      <c r="E1047" s="0" t="s">
        <v>384</v>
      </c>
      <c r="F1047" s="0" t="s">
        <v>385</v>
      </c>
      <c r="G1047" s="0" t="s">
        <v>94</v>
      </c>
      <c r="H1047" s="0" t="s">
        <v>698</v>
      </c>
    </row>
    <row r="1048" customFormat="false" ht="15" hidden="false" customHeight="false" outlineLevel="0" collapsed="false">
      <c r="A1048" s="0" t="s">
        <v>138</v>
      </c>
      <c r="B1048" s="0" t="n">
        <v>2016</v>
      </c>
      <c r="C1048" s="0" t="s">
        <v>63</v>
      </c>
      <c r="D1048" s="0" t="n">
        <v>15769</v>
      </c>
      <c r="E1048" s="0" t="s">
        <v>567</v>
      </c>
      <c r="F1048" s="0" t="s">
        <v>385</v>
      </c>
      <c r="G1048" s="0" t="s">
        <v>94</v>
      </c>
      <c r="H1048" s="0" t="s">
        <v>699</v>
      </c>
    </row>
    <row r="1049" customFormat="false" ht="15" hidden="false" customHeight="false" outlineLevel="0" collapsed="false">
      <c r="A1049" s="0" t="s">
        <v>138</v>
      </c>
      <c r="B1049" s="0" t="n">
        <v>2016</v>
      </c>
      <c r="C1049" s="0" t="s">
        <v>247</v>
      </c>
      <c r="D1049" s="0" t="n">
        <v>16486</v>
      </c>
      <c r="E1049" s="0" t="s">
        <v>384</v>
      </c>
      <c r="F1049" s="0" t="s">
        <v>385</v>
      </c>
      <c r="G1049" s="0" t="s">
        <v>94</v>
      </c>
      <c r="H1049" s="0" t="s">
        <v>700</v>
      </c>
    </row>
    <row r="1050" customFormat="false" ht="15" hidden="false" customHeight="false" outlineLevel="0" collapsed="false">
      <c r="A1050" s="0" t="s">
        <v>138</v>
      </c>
      <c r="B1050" s="0" t="n">
        <v>2016</v>
      </c>
      <c r="C1050" s="0" t="s">
        <v>557</v>
      </c>
      <c r="D1050" s="0" t="n">
        <v>-717</v>
      </c>
      <c r="E1050" s="0" t="s">
        <v>384</v>
      </c>
      <c r="F1050" s="0" t="s">
        <v>385</v>
      </c>
      <c r="G1050" s="0" t="s">
        <v>94</v>
      </c>
      <c r="H1050" s="0" t="s">
        <v>701</v>
      </c>
    </row>
    <row r="1051" customFormat="false" ht="15" hidden="false" customHeight="false" outlineLevel="0" collapsed="false">
      <c r="A1051" s="0" t="s">
        <v>138</v>
      </c>
      <c r="B1051" s="0" t="n">
        <v>2016</v>
      </c>
      <c r="C1051" s="0" t="s">
        <v>69</v>
      </c>
      <c r="D1051" s="0" t="n">
        <v>13.3</v>
      </c>
      <c r="E1051" s="0" t="s">
        <v>384</v>
      </c>
      <c r="F1051" s="0" t="s">
        <v>385</v>
      </c>
      <c r="G1051" s="0" t="s">
        <v>94</v>
      </c>
      <c r="H1051" s="0" t="s">
        <v>702</v>
      </c>
    </row>
    <row r="1052" customFormat="false" ht="15" hidden="false" customHeight="false" outlineLevel="0" collapsed="false">
      <c r="A1052" s="0" t="s">
        <v>138</v>
      </c>
      <c r="B1052" s="0" t="n">
        <v>2016</v>
      </c>
      <c r="C1052" s="0" t="s">
        <v>70</v>
      </c>
      <c r="D1052" s="0" t="n">
        <v>15</v>
      </c>
      <c r="E1052" s="0" t="s">
        <v>384</v>
      </c>
      <c r="F1052" s="0" t="s">
        <v>385</v>
      </c>
      <c r="G1052" s="0" t="s">
        <v>94</v>
      </c>
      <c r="H1052" s="0" t="s">
        <v>703</v>
      </c>
    </row>
    <row r="1053" customFormat="false" ht="15" hidden="false" customHeight="false" outlineLevel="0" collapsed="false">
      <c r="A1053" s="0" t="s">
        <v>138</v>
      </c>
      <c r="B1053" s="0" t="n">
        <v>2016</v>
      </c>
      <c r="C1053" s="0" t="s">
        <v>65</v>
      </c>
      <c r="D1053" s="0" t="n">
        <v>96309</v>
      </c>
      <c r="E1053" s="0" t="s">
        <v>384</v>
      </c>
      <c r="F1053" s="0" t="s">
        <v>385</v>
      </c>
      <c r="G1053" s="0" t="s">
        <v>94</v>
      </c>
      <c r="H1053" s="0" t="s">
        <v>704</v>
      </c>
    </row>
    <row r="1054" customFormat="false" ht="15" hidden="false" customHeight="false" outlineLevel="0" collapsed="false">
      <c r="A1054" s="0" t="s">
        <v>138</v>
      </c>
      <c r="B1054" s="0" t="n">
        <v>2016</v>
      </c>
      <c r="C1054" s="0" t="s">
        <v>66</v>
      </c>
      <c r="D1054" s="0" t="n">
        <v>724660</v>
      </c>
      <c r="E1054" s="0" t="s">
        <v>384</v>
      </c>
      <c r="F1054" s="0" t="s">
        <v>385</v>
      </c>
      <c r="G1054" s="0" t="s">
        <v>94</v>
      </c>
      <c r="H1054" s="0" t="s">
        <v>705</v>
      </c>
    </row>
    <row r="1055" customFormat="false" ht="15" hidden="false" customHeight="false" outlineLevel="0" collapsed="false">
      <c r="A1055" s="0" t="s">
        <v>138</v>
      </c>
      <c r="B1055" s="0" t="n">
        <v>2016</v>
      </c>
      <c r="C1055" s="0" t="s">
        <v>73</v>
      </c>
      <c r="D1055" s="0" t="n">
        <v>0</v>
      </c>
      <c r="E1055" s="0" t="s">
        <v>400</v>
      </c>
      <c r="F1055" s="0" t="s">
        <v>385</v>
      </c>
      <c r="G1055" s="0" t="s">
        <v>94</v>
      </c>
      <c r="H1055" s="0" t="s">
        <v>706</v>
      </c>
    </row>
    <row r="1056" customFormat="false" ht="15" hidden="false" customHeight="false" outlineLevel="0" collapsed="false">
      <c r="A1056" s="0" t="s">
        <v>138</v>
      </c>
      <c r="B1056" s="0" t="n">
        <v>2016</v>
      </c>
      <c r="C1056" s="0" t="s">
        <v>402</v>
      </c>
      <c r="D1056" s="0" t="n">
        <v>16053</v>
      </c>
      <c r="E1056" s="0" t="s">
        <v>384</v>
      </c>
      <c r="F1056" s="0" t="s">
        <v>385</v>
      </c>
      <c r="G1056" s="0" t="s">
        <v>94</v>
      </c>
      <c r="H1056" s="0" t="s">
        <v>707</v>
      </c>
    </row>
    <row r="1057" customFormat="false" ht="15" hidden="false" customHeight="false" outlineLevel="0" collapsed="false">
      <c r="A1057" s="0" t="s">
        <v>138</v>
      </c>
      <c r="B1057" s="0" t="n">
        <v>2016</v>
      </c>
      <c r="C1057" s="0" t="s">
        <v>404</v>
      </c>
      <c r="D1057" s="0" t="n">
        <v>14887</v>
      </c>
      <c r="E1057" s="0" t="s">
        <v>384</v>
      </c>
      <c r="F1057" s="0" t="s">
        <v>385</v>
      </c>
      <c r="G1057" s="0" t="s">
        <v>94</v>
      </c>
      <c r="H1057" s="0" t="s">
        <v>708</v>
      </c>
    </row>
    <row r="1058" customFormat="false" ht="15" hidden="false" customHeight="false" outlineLevel="0" collapsed="false">
      <c r="A1058" s="0" t="s">
        <v>138</v>
      </c>
      <c r="B1058" s="0" t="n">
        <v>2016</v>
      </c>
      <c r="C1058" s="0" t="s">
        <v>406</v>
      </c>
      <c r="D1058" s="0" t="n">
        <v>13572</v>
      </c>
      <c r="E1058" s="0" t="s">
        <v>384</v>
      </c>
      <c r="F1058" s="0" t="s">
        <v>385</v>
      </c>
      <c r="G1058" s="0" t="s">
        <v>94</v>
      </c>
      <c r="H1058" s="0" t="s">
        <v>709</v>
      </c>
    </row>
    <row r="1059" customFormat="false" ht="15" hidden="false" customHeight="false" outlineLevel="0" collapsed="false">
      <c r="A1059" s="0" t="s">
        <v>138</v>
      </c>
      <c r="B1059" s="0" t="n">
        <v>2016</v>
      </c>
      <c r="C1059" s="0" t="s">
        <v>19</v>
      </c>
      <c r="D1059" s="0" t="n">
        <v>1062229.5</v>
      </c>
      <c r="E1059" s="0" t="s">
        <v>383</v>
      </c>
    </row>
    <row r="1060" customFormat="false" ht="15" hidden="false" customHeight="false" outlineLevel="0" collapsed="false">
      <c r="A1060" s="0" t="s">
        <v>138</v>
      </c>
      <c r="B1060" s="0" t="n">
        <v>2016</v>
      </c>
      <c r="C1060" s="0" t="s">
        <v>41</v>
      </c>
      <c r="D1060" s="0" t="n">
        <v>1.49543954484412</v>
      </c>
      <c r="E1060" s="0" t="s">
        <v>383</v>
      </c>
    </row>
    <row r="1061" customFormat="false" ht="15" hidden="false" customHeight="false" outlineLevel="0" collapsed="false">
      <c r="A1061" s="0" t="s">
        <v>138</v>
      </c>
      <c r="B1061" s="0" t="n">
        <v>2016</v>
      </c>
      <c r="C1061" s="0" t="s">
        <v>27</v>
      </c>
      <c r="D1061" s="0" t="n">
        <v>22.3714110493884</v>
      </c>
      <c r="E1061" s="0" t="s">
        <v>383</v>
      </c>
    </row>
    <row r="1062" customFormat="false" ht="15" hidden="false" customHeight="false" outlineLevel="0" collapsed="false">
      <c r="A1062" s="0" t="s">
        <v>138</v>
      </c>
      <c r="B1062" s="0" t="n">
        <v>2016</v>
      </c>
      <c r="C1062" s="0" t="s">
        <v>39</v>
      </c>
      <c r="D1062" s="0" t="n">
        <v>-6.60243384315725</v>
      </c>
      <c r="E1062" s="0" t="s">
        <v>383</v>
      </c>
    </row>
    <row r="1063" customFormat="false" ht="15" hidden="false" customHeight="false" outlineLevel="0" collapsed="false">
      <c r="A1063" s="0" t="s">
        <v>138</v>
      </c>
      <c r="B1063" s="0" t="n">
        <v>2016</v>
      </c>
      <c r="C1063" s="0" t="s">
        <v>17</v>
      </c>
      <c r="D1063" s="0" t="n">
        <v>5.49031636985892</v>
      </c>
      <c r="E1063" s="0" t="s">
        <v>383</v>
      </c>
    </row>
    <row r="1064" customFormat="false" ht="15" hidden="false" customHeight="false" outlineLevel="0" collapsed="false">
      <c r="A1064" s="0" t="s">
        <v>138</v>
      </c>
      <c r="B1064" s="0" t="n">
        <v>2016</v>
      </c>
      <c r="C1064" s="0" t="s">
        <v>25</v>
      </c>
      <c r="D1064" s="0" t="n">
        <v>13.2902326608341</v>
      </c>
      <c r="E1064" s="0" t="s">
        <v>383</v>
      </c>
    </row>
    <row r="1065" customFormat="false" ht="15" hidden="false" customHeight="false" outlineLevel="0" collapsed="false">
      <c r="A1065" s="0" t="s">
        <v>138</v>
      </c>
      <c r="B1065" s="0" t="n">
        <v>2016</v>
      </c>
      <c r="C1065" s="0" t="s">
        <v>29</v>
      </c>
      <c r="D1065" s="0" t="n">
        <v>1.48451911757299</v>
      </c>
      <c r="E1065" s="0" t="s">
        <v>383</v>
      </c>
    </row>
    <row r="1066" customFormat="false" ht="15" hidden="false" customHeight="false" outlineLevel="0" collapsed="false">
      <c r="A1066" s="0" t="s">
        <v>138</v>
      </c>
      <c r="B1066" s="0" t="n">
        <v>2016</v>
      </c>
      <c r="C1066" s="0" t="s">
        <v>43</v>
      </c>
      <c r="D1066" s="0" t="n">
        <v>1.4139065744653</v>
      </c>
      <c r="E1066" s="0" t="s">
        <v>383</v>
      </c>
    </row>
    <row r="1067" customFormat="false" ht="15" hidden="false" customHeight="false" outlineLevel="0" collapsed="false">
      <c r="A1067" s="0" t="s">
        <v>138</v>
      </c>
      <c r="B1067" s="0" t="n">
        <v>2016</v>
      </c>
      <c r="C1067" s="0" t="s">
        <v>31</v>
      </c>
      <c r="D1067" s="0" t="n">
        <v>77.6285889506116</v>
      </c>
      <c r="E1067" s="0" t="s">
        <v>383</v>
      </c>
    </row>
    <row r="1068" customFormat="false" ht="15" hidden="false" customHeight="false" outlineLevel="0" collapsed="false">
      <c r="A1068" s="0" t="s">
        <v>138</v>
      </c>
      <c r="B1068" s="0" t="n">
        <v>2016</v>
      </c>
      <c r="C1068" s="0" t="s">
        <v>33</v>
      </c>
      <c r="D1068" s="0" t="n">
        <v>13.9319442392069</v>
      </c>
      <c r="E1068" s="0" t="s">
        <v>383</v>
      </c>
    </row>
    <row r="1069" customFormat="false" ht="15" hidden="false" customHeight="false" outlineLevel="0" collapsed="false">
      <c r="A1069" s="0" t="s">
        <v>138</v>
      </c>
      <c r="B1069" s="0" t="n">
        <v>2016</v>
      </c>
      <c r="C1069" s="0" t="s">
        <v>21</v>
      </c>
      <c r="D1069" s="0" t="n">
        <v>0</v>
      </c>
      <c r="E1069" s="0" t="s">
        <v>383</v>
      </c>
    </row>
    <row r="1070" customFormat="false" ht="15" hidden="false" customHeight="false" outlineLevel="0" collapsed="false">
      <c r="A1070" s="0" t="s">
        <v>138</v>
      </c>
      <c r="B1070" s="0" t="n">
        <v>2016</v>
      </c>
      <c r="C1070" s="0" t="s">
        <v>35</v>
      </c>
      <c r="D1070" s="0" t="n">
        <v>0</v>
      </c>
      <c r="E1070" s="0" t="s">
        <v>383</v>
      </c>
    </row>
    <row r="1071" customFormat="false" ht="15" hidden="false" customHeight="false" outlineLevel="0" collapsed="false">
      <c r="A1071" s="0" t="s">
        <v>138</v>
      </c>
      <c r="B1071" s="0" t="n">
        <v>2017</v>
      </c>
      <c r="C1071" s="0" t="s">
        <v>54</v>
      </c>
      <c r="D1071" s="0" t="n">
        <v>11239</v>
      </c>
      <c r="E1071" s="0" t="s">
        <v>382</v>
      </c>
      <c r="G1071" s="0" t="s">
        <v>143</v>
      </c>
    </row>
    <row r="1072" customFormat="false" ht="15" hidden="false" customHeight="false" outlineLevel="0" collapsed="false">
      <c r="A1072" s="0" t="s">
        <v>138</v>
      </c>
      <c r="B1072" s="0" t="n">
        <v>2017</v>
      </c>
      <c r="C1072" s="0" t="s">
        <v>55</v>
      </c>
      <c r="D1072" s="0" t="n">
        <v>1334921</v>
      </c>
      <c r="E1072" s="0" t="s">
        <v>382</v>
      </c>
      <c r="G1072" s="0" t="s">
        <v>143</v>
      </c>
    </row>
    <row r="1073" customFormat="false" ht="15" hidden="false" customHeight="false" outlineLevel="0" collapsed="false">
      <c r="A1073" s="0" t="s">
        <v>138</v>
      </c>
      <c r="B1073" s="0" t="n">
        <v>2017</v>
      </c>
      <c r="C1073" s="0" t="s">
        <v>56</v>
      </c>
      <c r="D1073" s="0" t="n">
        <v>1015802</v>
      </c>
      <c r="E1073" s="0" t="s">
        <v>382</v>
      </c>
      <c r="G1073" s="0" t="s">
        <v>143</v>
      </c>
    </row>
    <row r="1074" customFormat="false" ht="15" hidden="false" customHeight="false" outlineLevel="0" collapsed="false">
      <c r="A1074" s="0" t="s">
        <v>138</v>
      </c>
      <c r="B1074" s="0" t="n">
        <v>2017</v>
      </c>
      <c r="C1074" s="0" t="s">
        <v>57</v>
      </c>
      <c r="D1074" s="0" t="n">
        <v>319119</v>
      </c>
      <c r="E1074" s="0" t="s">
        <v>382</v>
      </c>
      <c r="G1074" s="0" t="s">
        <v>143</v>
      </c>
    </row>
    <row r="1075" customFormat="false" ht="15" hidden="false" customHeight="false" outlineLevel="0" collapsed="false">
      <c r="A1075" s="0" t="s">
        <v>138</v>
      </c>
      <c r="B1075" s="0" t="n">
        <v>2017</v>
      </c>
      <c r="C1075" s="0" t="s">
        <v>58</v>
      </c>
      <c r="D1075" s="0" t="n">
        <v>68160</v>
      </c>
      <c r="E1075" s="0" t="s">
        <v>382</v>
      </c>
      <c r="G1075" s="0" t="s">
        <v>143</v>
      </c>
    </row>
    <row r="1076" customFormat="false" ht="15" hidden="false" customHeight="false" outlineLevel="0" collapsed="false">
      <c r="A1076" s="0" t="s">
        <v>138</v>
      </c>
      <c r="B1076" s="0" t="n">
        <v>2017</v>
      </c>
      <c r="C1076" s="0" t="s">
        <v>59</v>
      </c>
      <c r="D1076" s="0" t="n">
        <v>1123483</v>
      </c>
      <c r="E1076" s="0" t="s">
        <v>382</v>
      </c>
      <c r="G1076" s="0" t="s">
        <v>143</v>
      </c>
    </row>
    <row r="1077" customFormat="false" ht="15" hidden="false" customHeight="false" outlineLevel="0" collapsed="false">
      <c r="A1077" s="0" t="s">
        <v>138</v>
      </c>
      <c r="B1077" s="0" t="n">
        <v>2017</v>
      </c>
      <c r="C1077" s="0" t="s">
        <v>60</v>
      </c>
      <c r="D1077" s="0" t="n">
        <v>531807</v>
      </c>
      <c r="E1077" s="0" t="s">
        <v>382</v>
      </c>
      <c r="G1077" s="0" t="s">
        <v>143</v>
      </c>
    </row>
    <row r="1078" customFormat="false" ht="15" hidden="false" customHeight="false" outlineLevel="0" collapsed="false">
      <c r="A1078" s="0" t="s">
        <v>138</v>
      </c>
      <c r="B1078" s="0" t="n">
        <v>2017</v>
      </c>
      <c r="C1078" s="0" t="s">
        <v>61</v>
      </c>
      <c r="D1078" s="0" t="n">
        <v>43252</v>
      </c>
      <c r="E1078" s="0" t="s">
        <v>382</v>
      </c>
      <c r="G1078" s="0" t="s">
        <v>143</v>
      </c>
    </row>
    <row r="1079" customFormat="false" ht="15" hidden="false" customHeight="false" outlineLevel="0" collapsed="false">
      <c r="A1079" s="0" t="s">
        <v>138</v>
      </c>
      <c r="B1079" s="0" t="n">
        <v>2017</v>
      </c>
      <c r="C1079" s="0" t="s">
        <v>62</v>
      </c>
      <c r="D1079" s="0" t="n">
        <v>488555</v>
      </c>
      <c r="E1079" s="0" t="s">
        <v>382</v>
      </c>
      <c r="G1079" s="0" t="s">
        <v>143</v>
      </c>
    </row>
    <row r="1080" customFormat="false" ht="15" hidden="false" customHeight="false" outlineLevel="0" collapsed="false">
      <c r="A1080" s="0" t="s">
        <v>138</v>
      </c>
      <c r="B1080" s="0" t="n">
        <v>2017</v>
      </c>
      <c r="C1080" s="0" t="s">
        <v>63</v>
      </c>
      <c r="D1080" s="0" t="n">
        <v>25478</v>
      </c>
      <c r="E1080" s="0" t="s">
        <v>382</v>
      </c>
      <c r="G1080" s="0" t="s">
        <v>143</v>
      </c>
    </row>
    <row r="1081" customFormat="false" ht="15" hidden="false" customHeight="false" outlineLevel="0" collapsed="false">
      <c r="A1081" s="0" t="s">
        <v>138</v>
      </c>
      <c r="B1081" s="0" t="n">
        <v>2017</v>
      </c>
      <c r="C1081" s="0" t="s">
        <v>557</v>
      </c>
      <c r="D1081" s="0" t="n">
        <v>-32</v>
      </c>
      <c r="E1081" s="0" t="s">
        <v>382</v>
      </c>
      <c r="G1081" s="0" t="s">
        <v>143</v>
      </c>
    </row>
    <row r="1082" customFormat="false" ht="15" hidden="false" customHeight="false" outlineLevel="0" collapsed="false">
      <c r="A1082" s="0" t="s">
        <v>138</v>
      </c>
      <c r="B1082" s="0" t="n">
        <v>2017</v>
      </c>
      <c r="C1082" s="0" t="s">
        <v>710</v>
      </c>
      <c r="D1082" s="0" t="n">
        <v>25510</v>
      </c>
      <c r="E1082" s="0" t="s">
        <v>382</v>
      </c>
      <c r="G1082" s="0" t="s">
        <v>143</v>
      </c>
    </row>
    <row r="1083" customFormat="false" ht="15" hidden="false" customHeight="false" outlineLevel="0" collapsed="false">
      <c r="A1083" s="0" t="s">
        <v>138</v>
      </c>
      <c r="B1083" s="0" t="n">
        <v>2017</v>
      </c>
      <c r="C1083" s="0" t="s">
        <v>64</v>
      </c>
      <c r="D1083" s="0" t="n">
        <v>110685</v>
      </c>
      <c r="E1083" s="0" t="s">
        <v>382</v>
      </c>
      <c r="G1083" s="0" t="s">
        <v>143</v>
      </c>
    </row>
    <row r="1084" customFormat="false" ht="15" hidden="false" customHeight="false" outlineLevel="0" collapsed="false">
      <c r="A1084" s="0" t="s">
        <v>138</v>
      </c>
      <c r="B1084" s="0" t="n">
        <v>2017</v>
      </c>
      <c r="C1084" s="0" t="s">
        <v>69</v>
      </c>
      <c r="D1084" s="0" t="n">
        <v>17.8</v>
      </c>
      <c r="E1084" s="0" t="s">
        <v>382</v>
      </c>
      <c r="G1084" s="0" t="s">
        <v>143</v>
      </c>
    </row>
    <row r="1085" customFormat="false" ht="15" hidden="false" customHeight="false" outlineLevel="0" collapsed="false">
      <c r="A1085" s="0" t="s">
        <v>138</v>
      </c>
      <c r="B1085" s="0" t="n">
        <v>2017</v>
      </c>
      <c r="C1085" s="0" t="s">
        <v>70</v>
      </c>
      <c r="D1085" s="0" t="n">
        <v>15</v>
      </c>
      <c r="E1085" s="0" t="s">
        <v>382</v>
      </c>
      <c r="G1085" s="0" t="s">
        <v>143</v>
      </c>
    </row>
    <row r="1086" customFormat="false" ht="15" hidden="false" customHeight="false" outlineLevel="0" collapsed="false">
      <c r="A1086" s="0" t="s">
        <v>138</v>
      </c>
      <c r="B1086" s="0" t="n">
        <v>2017</v>
      </c>
      <c r="C1086" s="0" t="s">
        <v>65</v>
      </c>
      <c r="D1086" s="0" t="n">
        <v>137875</v>
      </c>
      <c r="E1086" s="0" t="s">
        <v>382</v>
      </c>
      <c r="G1086" s="0" t="s">
        <v>143</v>
      </c>
    </row>
    <row r="1087" customFormat="false" ht="15" hidden="false" customHeight="false" outlineLevel="0" collapsed="false">
      <c r="A1087" s="0" t="s">
        <v>138</v>
      </c>
      <c r="B1087" s="0" t="n">
        <v>2017</v>
      </c>
      <c r="C1087" s="0" t="s">
        <v>66</v>
      </c>
      <c r="D1087" s="0" t="n">
        <v>774497</v>
      </c>
      <c r="E1087" s="0" t="s">
        <v>382</v>
      </c>
      <c r="G1087" s="0" t="s">
        <v>143</v>
      </c>
    </row>
    <row r="1088" customFormat="false" ht="15" hidden="false" customHeight="false" outlineLevel="0" collapsed="false">
      <c r="A1088" s="0" t="s">
        <v>138</v>
      </c>
      <c r="B1088" s="0" t="n">
        <v>2017</v>
      </c>
      <c r="C1088" s="0" t="s">
        <v>402</v>
      </c>
      <c r="D1088" s="0" t="n">
        <v>11576</v>
      </c>
      <c r="E1088" s="0" t="s">
        <v>382</v>
      </c>
      <c r="G1088" s="0" t="s">
        <v>143</v>
      </c>
    </row>
    <row r="1089" customFormat="false" ht="15" hidden="false" customHeight="false" outlineLevel="0" collapsed="false">
      <c r="A1089" s="0" t="s">
        <v>138</v>
      </c>
      <c r="B1089" s="0" t="n">
        <v>2017</v>
      </c>
      <c r="C1089" s="0" t="s">
        <v>670</v>
      </c>
      <c r="D1089" s="0" t="n">
        <v>157566</v>
      </c>
      <c r="E1089" s="0" t="s">
        <v>382</v>
      </c>
      <c r="G1089" s="0" t="s">
        <v>143</v>
      </c>
    </row>
    <row r="1090" customFormat="false" ht="15" hidden="false" customHeight="false" outlineLevel="0" collapsed="false">
      <c r="A1090" s="0" t="s">
        <v>138</v>
      </c>
      <c r="B1090" s="0" t="n">
        <v>2017</v>
      </c>
      <c r="C1090" s="0" t="s">
        <v>404</v>
      </c>
      <c r="D1090" s="0" t="n">
        <v>36232</v>
      </c>
      <c r="E1090" s="0" t="s">
        <v>382</v>
      </c>
      <c r="G1090" s="0" t="s">
        <v>143</v>
      </c>
    </row>
    <row r="1091" customFormat="false" ht="15" hidden="false" customHeight="false" outlineLevel="0" collapsed="false">
      <c r="A1091" s="0" t="s">
        <v>138</v>
      </c>
      <c r="B1091" s="0" t="n">
        <v>2017</v>
      </c>
      <c r="C1091" s="0" t="s">
        <v>406</v>
      </c>
      <c r="D1091" s="0" t="n">
        <v>7020</v>
      </c>
      <c r="E1091" s="0" t="s">
        <v>382</v>
      </c>
      <c r="G1091" s="0" t="s">
        <v>143</v>
      </c>
    </row>
    <row r="1092" customFormat="false" ht="15" hidden="false" customHeight="false" outlineLevel="0" collapsed="false">
      <c r="A1092" s="0" t="s">
        <v>138</v>
      </c>
      <c r="B1092" s="0" t="n">
        <v>2017</v>
      </c>
      <c r="C1092" s="0" t="s">
        <v>19</v>
      </c>
      <c r="D1092" s="0" t="n">
        <v>1229202</v>
      </c>
      <c r="E1092" s="0" t="s">
        <v>383</v>
      </c>
    </row>
    <row r="1093" customFormat="false" ht="15" hidden="false" customHeight="false" outlineLevel="0" collapsed="false">
      <c r="A1093" s="0" t="s">
        <v>138</v>
      </c>
      <c r="B1093" s="0" t="n">
        <v>2017</v>
      </c>
      <c r="C1093" s="0" t="s">
        <v>41</v>
      </c>
      <c r="D1093" s="0" t="n">
        <v>0.914333038833324</v>
      </c>
      <c r="E1093" s="0" t="s">
        <v>383</v>
      </c>
    </row>
    <row r="1094" customFormat="false" ht="15" hidden="false" customHeight="false" outlineLevel="0" collapsed="false">
      <c r="A1094" s="0" t="s">
        <v>138</v>
      </c>
      <c r="B1094" s="0" t="n">
        <v>2017</v>
      </c>
      <c r="C1094" s="0" t="s">
        <v>27</v>
      </c>
      <c r="D1094" s="0" t="n">
        <v>23.9054595740122</v>
      </c>
      <c r="E1094" s="0" t="s">
        <v>383</v>
      </c>
    </row>
    <row r="1095" customFormat="false" ht="15" hidden="false" customHeight="false" outlineLevel="0" collapsed="false">
      <c r="A1095" s="0" t="s">
        <v>138</v>
      </c>
      <c r="B1095" s="0" t="n">
        <v>2017</v>
      </c>
      <c r="C1095" s="0" t="s">
        <v>39</v>
      </c>
      <c r="D1095" s="0" t="n">
        <v>5.54506094197699</v>
      </c>
      <c r="E1095" s="0" t="s">
        <v>383</v>
      </c>
    </row>
    <row r="1096" customFormat="false" ht="15" hidden="false" customHeight="false" outlineLevel="0" collapsed="false">
      <c r="A1096" s="0" t="s">
        <v>138</v>
      </c>
      <c r="B1096" s="0" t="n">
        <v>2017</v>
      </c>
      <c r="C1096" s="0" t="s">
        <v>17</v>
      </c>
      <c r="D1096" s="0" t="n">
        <v>8.13302570293358</v>
      </c>
      <c r="E1096" s="0" t="s">
        <v>383</v>
      </c>
    </row>
    <row r="1097" customFormat="false" ht="15" hidden="false" customHeight="false" outlineLevel="0" collapsed="false">
      <c r="A1097" s="0" t="s">
        <v>138</v>
      </c>
      <c r="B1097" s="0" t="n">
        <v>2017</v>
      </c>
      <c r="C1097" s="0" t="s">
        <v>25</v>
      </c>
      <c r="D1097" s="0" t="n">
        <v>17.801876572795</v>
      </c>
      <c r="E1097" s="0" t="s">
        <v>383</v>
      </c>
    </row>
    <row r="1098" customFormat="false" ht="15" hidden="false" customHeight="false" outlineLevel="0" collapsed="false">
      <c r="A1098" s="0" t="s">
        <v>138</v>
      </c>
      <c r="B1098" s="0" t="n">
        <v>2017</v>
      </c>
      <c r="C1098" s="0" t="s">
        <v>29</v>
      </c>
      <c r="D1098" s="0" t="n">
        <v>2.07272685856352</v>
      </c>
      <c r="E1098" s="0" t="s">
        <v>383</v>
      </c>
    </row>
    <row r="1099" customFormat="false" ht="15" hidden="false" customHeight="false" outlineLevel="0" collapsed="false">
      <c r="A1099" s="0" t="s">
        <v>138</v>
      </c>
      <c r="B1099" s="0" t="n">
        <v>2017</v>
      </c>
      <c r="C1099" s="0" t="s">
        <v>23</v>
      </c>
      <c r="D1099" s="0" t="n">
        <v>39.076658987216</v>
      </c>
      <c r="E1099" s="0" t="s">
        <v>383</v>
      </c>
    </row>
    <row r="1100" customFormat="false" ht="15" hidden="false" customHeight="false" outlineLevel="0" collapsed="false">
      <c r="A1100" s="0" t="s">
        <v>138</v>
      </c>
      <c r="B1100" s="0" t="n">
        <v>2017</v>
      </c>
      <c r="C1100" s="0" t="s">
        <v>37</v>
      </c>
      <c r="D1100" s="0" t="n">
        <v>20.8130017092667</v>
      </c>
      <c r="E1100" s="0" t="s">
        <v>383</v>
      </c>
    </row>
    <row r="1101" customFormat="false" ht="15" hidden="false" customHeight="false" outlineLevel="0" collapsed="false">
      <c r="A1101" s="0" t="s">
        <v>138</v>
      </c>
      <c r="B1101" s="0" t="n">
        <v>2017</v>
      </c>
      <c r="C1101" s="0" t="s">
        <v>43</v>
      </c>
      <c r="D1101" s="0" t="n">
        <v>0.84192248080598</v>
      </c>
      <c r="E1101" s="0" t="s">
        <v>383</v>
      </c>
    </row>
    <row r="1102" customFormat="false" ht="15" hidden="false" customHeight="false" outlineLevel="0" collapsed="false">
      <c r="A1102" s="0" t="s">
        <v>138</v>
      </c>
      <c r="B1102" s="0" t="n">
        <v>2017</v>
      </c>
      <c r="C1102" s="0" t="s">
        <v>31</v>
      </c>
      <c r="D1102" s="0" t="n">
        <v>76.0945404259878</v>
      </c>
      <c r="E1102" s="0" t="s">
        <v>383</v>
      </c>
    </row>
    <row r="1103" customFormat="false" ht="15" hidden="false" customHeight="false" outlineLevel="0" collapsed="false">
      <c r="A1103" s="0" t="s">
        <v>138</v>
      </c>
      <c r="B1103" s="0" t="n">
        <v>2017</v>
      </c>
      <c r="C1103" s="0" t="s">
        <v>33</v>
      </c>
      <c r="D1103" s="0" t="n">
        <v>14.1043826720356</v>
      </c>
      <c r="E1103" s="0" t="s">
        <v>383</v>
      </c>
    </row>
    <row r="1104" customFormat="false" ht="15" hidden="false" customHeight="false" outlineLevel="0" collapsed="false">
      <c r="A1104" s="0" t="s">
        <v>138</v>
      </c>
      <c r="B1104" s="0" t="n">
        <v>2017</v>
      </c>
      <c r="C1104" s="0" t="s">
        <v>21</v>
      </c>
      <c r="D1104" s="0" t="n">
        <v>0</v>
      </c>
      <c r="E1104" s="0" t="s">
        <v>383</v>
      </c>
    </row>
    <row r="1105" customFormat="false" ht="15" hidden="false" customHeight="false" outlineLevel="0" collapsed="false">
      <c r="A1105" s="0" t="s">
        <v>138</v>
      </c>
      <c r="B1105" s="0" t="n">
        <v>2017</v>
      </c>
      <c r="C1105" s="0" t="s">
        <v>35</v>
      </c>
      <c r="D1105" s="0" t="n">
        <v>0</v>
      </c>
      <c r="E1105" s="0" t="s">
        <v>383</v>
      </c>
    </row>
    <row r="1106" customFormat="false" ht="15" hidden="false" customHeight="false" outlineLevel="0" collapsed="false">
      <c r="A1106" s="0" t="s">
        <v>138</v>
      </c>
      <c r="B1106" s="0" t="n">
        <v>2018</v>
      </c>
      <c r="C1106" s="0" t="s">
        <v>54</v>
      </c>
      <c r="D1106" s="0" t="n">
        <v>18438</v>
      </c>
      <c r="E1106" s="0" t="s">
        <v>382</v>
      </c>
      <c r="G1106" s="0" t="s">
        <v>145</v>
      </c>
    </row>
    <row r="1107" customFormat="false" ht="15" hidden="false" customHeight="false" outlineLevel="0" collapsed="false">
      <c r="A1107" s="0" t="s">
        <v>138</v>
      </c>
      <c r="B1107" s="0" t="n">
        <v>2018</v>
      </c>
      <c r="C1107" s="0" t="s">
        <v>55</v>
      </c>
      <c r="D1107" s="0" t="n">
        <v>1324297</v>
      </c>
      <c r="E1107" s="0" t="s">
        <v>382</v>
      </c>
      <c r="G1107" s="0" t="s">
        <v>145</v>
      </c>
    </row>
    <row r="1108" customFormat="false" ht="15" hidden="false" customHeight="false" outlineLevel="0" collapsed="false">
      <c r="A1108" s="0" t="s">
        <v>138</v>
      </c>
      <c r="B1108" s="0" t="n">
        <v>2018</v>
      </c>
      <c r="C1108" s="0" t="s">
        <v>56</v>
      </c>
      <c r="D1108" s="0" t="n">
        <v>1124210</v>
      </c>
      <c r="E1108" s="0" t="s">
        <v>382</v>
      </c>
      <c r="G1108" s="0" t="s">
        <v>145</v>
      </c>
    </row>
    <row r="1109" customFormat="false" ht="15" hidden="false" customHeight="false" outlineLevel="0" collapsed="false">
      <c r="A1109" s="0" t="s">
        <v>138</v>
      </c>
      <c r="B1109" s="0" t="n">
        <v>2018</v>
      </c>
      <c r="C1109" s="0" t="s">
        <v>57</v>
      </c>
      <c r="D1109" s="0" t="n">
        <v>200087</v>
      </c>
      <c r="E1109" s="0" t="s">
        <v>382</v>
      </c>
      <c r="G1109" s="0" t="s">
        <v>145</v>
      </c>
    </row>
    <row r="1110" customFormat="false" ht="15" hidden="false" customHeight="false" outlineLevel="0" collapsed="false">
      <c r="A1110" s="0" t="s">
        <v>138</v>
      </c>
      <c r="B1110" s="0" t="n">
        <v>2018</v>
      </c>
      <c r="C1110" s="0" t="s">
        <v>58</v>
      </c>
      <c r="D1110" s="0" t="n">
        <v>37394</v>
      </c>
      <c r="E1110" s="0" t="s">
        <v>382</v>
      </c>
      <c r="G1110" s="0" t="s">
        <v>145</v>
      </c>
    </row>
    <row r="1111" customFormat="false" ht="15" hidden="false" customHeight="false" outlineLevel="0" collapsed="false">
      <c r="A1111" s="0" t="s">
        <v>138</v>
      </c>
      <c r="B1111" s="0" t="n">
        <v>2018</v>
      </c>
      <c r="C1111" s="0" t="s">
        <v>59</v>
      </c>
      <c r="D1111" s="0" t="n">
        <v>1334921</v>
      </c>
      <c r="E1111" s="0" t="s">
        <v>382</v>
      </c>
      <c r="G1111" s="0" t="s">
        <v>145</v>
      </c>
    </row>
    <row r="1112" customFormat="false" ht="15" hidden="false" customHeight="false" outlineLevel="0" collapsed="false">
      <c r="A1112" s="0" t="s">
        <v>138</v>
      </c>
      <c r="B1112" s="0" t="n">
        <v>2018</v>
      </c>
      <c r="C1112" s="0" t="s">
        <v>60</v>
      </c>
      <c r="D1112" s="0" t="n">
        <v>473396</v>
      </c>
      <c r="E1112" s="0" t="s">
        <v>382</v>
      </c>
      <c r="G1112" s="0" t="s">
        <v>145</v>
      </c>
    </row>
    <row r="1113" customFormat="false" ht="15" hidden="false" customHeight="false" outlineLevel="0" collapsed="false">
      <c r="A1113" s="0" t="s">
        <v>138</v>
      </c>
      <c r="B1113" s="0" t="n">
        <v>2018</v>
      </c>
      <c r="C1113" s="0" t="s">
        <v>61</v>
      </c>
      <c r="D1113" s="0" t="n">
        <v>45359</v>
      </c>
      <c r="E1113" s="0" t="s">
        <v>382</v>
      </c>
      <c r="G1113" s="0" t="s">
        <v>145</v>
      </c>
    </row>
    <row r="1114" customFormat="false" ht="15" hidden="false" customHeight="false" outlineLevel="0" collapsed="false">
      <c r="A1114" s="0" t="s">
        <v>138</v>
      </c>
      <c r="B1114" s="0" t="n">
        <v>2018</v>
      </c>
      <c r="C1114" s="0" t="s">
        <v>62</v>
      </c>
      <c r="D1114" s="0" t="n">
        <v>428037</v>
      </c>
      <c r="E1114" s="0" t="s">
        <v>382</v>
      </c>
      <c r="G1114" s="0" t="s">
        <v>145</v>
      </c>
    </row>
    <row r="1115" customFormat="false" ht="15" hidden="false" customHeight="false" outlineLevel="0" collapsed="false">
      <c r="A1115" s="0" t="s">
        <v>138</v>
      </c>
      <c r="B1115" s="0" t="n">
        <v>2018</v>
      </c>
      <c r="C1115" s="0" t="s">
        <v>63</v>
      </c>
      <c r="D1115" s="0" t="n">
        <v>-3515</v>
      </c>
      <c r="E1115" s="0" t="s">
        <v>382</v>
      </c>
      <c r="G1115" s="0" t="s">
        <v>145</v>
      </c>
    </row>
    <row r="1116" customFormat="false" ht="15" hidden="false" customHeight="false" outlineLevel="0" collapsed="false">
      <c r="A1116" s="0" t="s">
        <v>138</v>
      </c>
      <c r="B1116" s="0" t="n">
        <v>2018</v>
      </c>
      <c r="C1116" s="0" t="s">
        <v>247</v>
      </c>
      <c r="D1116" s="0" t="n">
        <v>-3732</v>
      </c>
      <c r="E1116" s="0" t="s">
        <v>382</v>
      </c>
      <c r="G1116" s="0" t="s">
        <v>145</v>
      </c>
    </row>
    <row r="1117" customFormat="false" ht="15" hidden="false" customHeight="false" outlineLevel="0" collapsed="false">
      <c r="A1117" s="0" t="s">
        <v>138</v>
      </c>
      <c r="B1117" s="0" t="n">
        <v>2018</v>
      </c>
      <c r="C1117" s="0" t="s">
        <v>557</v>
      </c>
      <c r="D1117" s="0" t="n">
        <v>382</v>
      </c>
      <c r="E1117" s="0" t="s">
        <v>382</v>
      </c>
      <c r="G1117" s="0" t="s">
        <v>145</v>
      </c>
    </row>
    <row r="1118" customFormat="false" ht="15" hidden="false" customHeight="false" outlineLevel="0" collapsed="false">
      <c r="A1118" s="0" t="s">
        <v>138</v>
      </c>
      <c r="B1118" s="0" t="n">
        <v>2018</v>
      </c>
      <c r="C1118" s="0" t="s">
        <v>710</v>
      </c>
      <c r="D1118" s="0" t="n">
        <v>-3897</v>
      </c>
      <c r="E1118" s="0" t="s">
        <v>382</v>
      </c>
      <c r="G1118" s="0" t="s">
        <v>145</v>
      </c>
    </row>
    <row r="1119" customFormat="false" ht="15" hidden="false" customHeight="false" outlineLevel="0" collapsed="false">
      <c r="A1119" s="0" t="s">
        <v>138</v>
      </c>
      <c r="B1119" s="0" t="n">
        <v>2018</v>
      </c>
      <c r="C1119" s="0" t="s">
        <v>64</v>
      </c>
      <c r="D1119" s="0" t="n">
        <v>38496</v>
      </c>
      <c r="E1119" s="0" t="s">
        <v>382</v>
      </c>
      <c r="G1119" s="0" t="s">
        <v>145</v>
      </c>
    </row>
    <row r="1120" customFormat="false" ht="15" hidden="false" customHeight="false" outlineLevel="0" collapsed="false">
      <c r="A1120" s="0" t="s">
        <v>138</v>
      </c>
      <c r="B1120" s="0" t="n">
        <v>2018</v>
      </c>
      <c r="C1120" s="0" t="s">
        <v>69</v>
      </c>
      <c r="D1120" s="0" t="n">
        <v>11.5</v>
      </c>
      <c r="E1120" s="0" t="s">
        <v>382</v>
      </c>
      <c r="G1120" s="0" t="s">
        <v>145</v>
      </c>
    </row>
    <row r="1121" customFormat="false" ht="15" hidden="false" customHeight="false" outlineLevel="0" collapsed="false">
      <c r="A1121" s="0" t="s">
        <v>138</v>
      </c>
      <c r="B1121" s="0" t="n">
        <v>2018</v>
      </c>
      <c r="C1121" s="0" t="s">
        <v>591</v>
      </c>
      <c r="D1121" s="0" t="n">
        <v>16.4</v>
      </c>
      <c r="E1121" s="0" t="s">
        <v>382</v>
      </c>
      <c r="G1121" s="0" t="s">
        <v>145</v>
      </c>
    </row>
    <row r="1122" customFormat="false" ht="15" hidden="false" customHeight="false" outlineLevel="0" collapsed="false">
      <c r="A1122" s="0" t="s">
        <v>138</v>
      </c>
      <c r="B1122" s="0" t="n">
        <v>2018</v>
      </c>
      <c r="C1122" s="0" t="s">
        <v>70</v>
      </c>
      <c r="D1122" s="0" t="n">
        <v>15</v>
      </c>
      <c r="E1122" s="0" t="s">
        <v>382</v>
      </c>
      <c r="G1122" s="0" t="s">
        <v>145</v>
      </c>
    </row>
    <row r="1123" customFormat="false" ht="15" hidden="false" customHeight="false" outlineLevel="0" collapsed="false">
      <c r="A1123" s="0" t="s">
        <v>138</v>
      </c>
      <c r="B1123" s="0" t="n">
        <v>2018</v>
      </c>
      <c r="C1123" s="0" t="s">
        <v>65</v>
      </c>
      <c r="D1123" s="0" t="n">
        <v>88017</v>
      </c>
      <c r="E1123" s="0" t="s">
        <v>382</v>
      </c>
      <c r="G1123" s="0" t="s">
        <v>145</v>
      </c>
    </row>
    <row r="1124" customFormat="false" ht="15" hidden="false" customHeight="false" outlineLevel="0" collapsed="false">
      <c r="A1124" s="0" t="s">
        <v>138</v>
      </c>
      <c r="B1124" s="0" t="n">
        <v>2018</v>
      </c>
      <c r="C1124" s="0" t="s">
        <v>66</v>
      </c>
      <c r="D1124" s="0" t="n">
        <v>767770</v>
      </c>
      <c r="E1124" s="0" t="s">
        <v>382</v>
      </c>
      <c r="G1124" s="0" t="s">
        <v>145</v>
      </c>
    </row>
    <row r="1125" customFormat="false" ht="15" hidden="false" customHeight="false" outlineLevel="0" collapsed="false">
      <c r="A1125" s="0" t="s">
        <v>138</v>
      </c>
      <c r="B1125" s="0" t="n">
        <v>2018</v>
      </c>
      <c r="C1125" s="0" t="s">
        <v>595</v>
      </c>
      <c r="D1125" s="0" t="n">
        <v>125859</v>
      </c>
      <c r="E1125" s="0" t="s">
        <v>382</v>
      </c>
      <c r="G1125" s="0" t="s">
        <v>145</v>
      </c>
    </row>
    <row r="1126" customFormat="false" ht="15" hidden="false" customHeight="false" outlineLevel="0" collapsed="false">
      <c r="A1126" s="0" t="s">
        <v>138</v>
      </c>
      <c r="B1126" s="0" t="n">
        <v>2018</v>
      </c>
      <c r="C1126" s="0" t="s">
        <v>711</v>
      </c>
      <c r="D1126" s="0" t="n">
        <v>37842</v>
      </c>
      <c r="E1126" s="0" t="s">
        <v>382</v>
      </c>
      <c r="G1126" s="0" t="s">
        <v>145</v>
      </c>
    </row>
    <row r="1127" customFormat="false" ht="15" hidden="false" customHeight="false" outlineLevel="0" collapsed="false">
      <c r="A1127" s="0" t="s">
        <v>138</v>
      </c>
      <c r="B1127" s="0" t="n">
        <v>2018</v>
      </c>
      <c r="C1127" s="0" t="s">
        <v>73</v>
      </c>
      <c r="D1127" s="0" t="n">
        <v>0</v>
      </c>
      <c r="E1127" s="0" t="s">
        <v>400</v>
      </c>
      <c r="F1127" s="0" t="s">
        <v>301</v>
      </c>
      <c r="G1127" s="0" t="s">
        <v>574</v>
      </c>
      <c r="H1127" s="0" t="s">
        <v>302</v>
      </c>
    </row>
    <row r="1128" customFormat="false" ht="15" hidden="false" customHeight="false" outlineLevel="0" collapsed="false">
      <c r="A1128" s="0" t="s">
        <v>138</v>
      </c>
      <c r="B1128" s="0" t="n">
        <v>2018</v>
      </c>
      <c r="C1128" s="0" t="s">
        <v>67</v>
      </c>
      <c r="D1128" s="0" t="n">
        <v>123328</v>
      </c>
      <c r="E1128" s="0" t="s">
        <v>382</v>
      </c>
      <c r="G1128" s="0" t="s">
        <v>145</v>
      </c>
    </row>
    <row r="1129" customFormat="false" ht="15" hidden="false" customHeight="false" outlineLevel="0" collapsed="false">
      <c r="A1129" s="0" t="s">
        <v>138</v>
      </c>
      <c r="B1129" s="0" t="n">
        <v>2018</v>
      </c>
      <c r="C1129" s="0" t="s">
        <v>68</v>
      </c>
      <c r="D1129" s="0" t="n">
        <v>30149</v>
      </c>
      <c r="E1129" s="0" t="s">
        <v>382</v>
      </c>
      <c r="G1129" s="0" t="s">
        <v>145</v>
      </c>
    </row>
    <row r="1130" customFormat="false" ht="15" hidden="false" customHeight="false" outlineLevel="0" collapsed="false">
      <c r="A1130" s="0" t="s">
        <v>138</v>
      </c>
      <c r="B1130" s="0" t="n">
        <v>2018</v>
      </c>
      <c r="C1130" s="0" t="s">
        <v>402</v>
      </c>
      <c r="D1130" s="0" t="n">
        <v>18660</v>
      </c>
      <c r="E1130" s="0" t="s">
        <v>382</v>
      </c>
      <c r="G1130" s="0" t="s">
        <v>145</v>
      </c>
    </row>
    <row r="1131" customFormat="false" ht="15" hidden="false" customHeight="false" outlineLevel="0" collapsed="false">
      <c r="A1131" s="0" t="s">
        <v>138</v>
      </c>
      <c r="B1131" s="0" t="n">
        <v>2018</v>
      </c>
      <c r="C1131" s="0" t="s">
        <v>670</v>
      </c>
      <c r="D1131" s="0" t="n">
        <v>140066</v>
      </c>
      <c r="E1131" s="0" t="s">
        <v>382</v>
      </c>
      <c r="G1131" s="0" t="s">
        <v>145</v>
      </c>
    </row>
    <row r="1132" customFormat="false" ht="15" hidden="false" customHeight="false" outlineLevel="0" collapsed="false">
      <c r="A1132" s="0" t="s">
        <v>138</v>
      </c>
      <c r="B1132" s="0" t="n">
        <v>2018</v>
      </c>
      <c r="C1132" s="0" t="s">
        <v>19</v>
      </c>
      <c r="D1132" s="0" t="n">
        <v>1329609</v>
      </c>
      <c r="E1132" s="0" t="s">
        <v>383</v>
      </c>
    </row>
    <row r="1133" customFormat="false" ht="15" hidden="false" customHeight="false" outlineLevel="0" collapsed="false">
      <c r="A1133" s="0" t="s">
        <v>138</v>
      </c>
      <c r="B1133" s="0" t="n">
        <v>2018</v>
      </c>
      <c r="C1133" s="0" t="s">
        <v>41</v>
      </c>
      <c r="D1133" s="0" t="n">
        <v>1.3867234653195</v>
      </c>
      <c r="E1133" s="0" t="s">
        <v>383</v>
      </c>
    </row>
    <row r="1134" customFormat="false" ht="15" hidden="false" customHeight="false" outlineLevel="0" collapsed="false">
      <c r="A1134" s="0" t="s">
        <v>138</v>
      </c>
      <c r="B1134" s="0" t="n">
        <v>2018</v>
      </c>
      <c r="C1134" s="0" t="s">
        <v>27</v>
      </c>
      <c r="D1134" s="0" t="n">
        <v>15.1089219412262</v>
      </c>
      <c r="E1134" s="0" t="s">
        <v>383</v>
      </c>
    </row>
    <row r="1135" customFormat="false" ht="15" hidden="false" customHeight="false" outlineLevel="0" collapsed="false">
      <c r="A1135" s="0" t="s">
        <v>138</v>
      </c>
      <c r="B1135" s="0" t="n">
        <v>2018</v>
      </c>
      <c r="C1135" s="0" t="s">
        <v>39</v>
      </c>
      <c r="D1135" s="0" t="n">
        <v>2.8124057523678</v>
      </c>
      <c r="E1135" s="0" t="s">
        <v>383</v>
      </c>
    </row>
    <row r="1136" customFormat="false" ht="15" hidden="false" customHeight="false" outlineLevel="0" collapsed="false">
      <c r="A1136" s="0" t="s">
        <v>138</v>
      </c>
      <c r="B1136" s="0" t="n">
        <v>2018</v>
      </c>
      <c r="C1136" s="0" t="s">
        <v>17</v>
      </c>
      <c r="D1136" s="0" t="n">
        <v>9.58161877159925</v>
      </c>
      <c r="E1136" s="0" t="s">
        <v>383</v>
      </c>
    </row>
    <row r="1137" customFormat="false" ht="15" hidden="false" customHeight="false" outlineLevel="0" collapsed="false">
      <c r="A1137" s="0" t="s">
        <v>138</v>
      </c>
      <c r="B1137" s="0" t="n">
        <v>2018</v>
      </c>
      <c r="C1137" s="0" t="s">
        <v>25</v>
      </c>
      <c r="D1137" s="0" t="n">
        <v>11.4639800982065</v>
      </c>
      <c r="E1137" s="0" t="s">
        <v>383</v>
      </c>
    </row>
    <row r="1138" customFormat="false" ht="15" hidden="false" customHeight="false" outlineLevel="0" collapsed="false">
      <c r="A1138" s="0" t="s">
        <v>138</v>
      </c>
      <c r="B1138" s="0" t="n">
        <v>2018</v>
      </c>
      <c r="C1138" s="0" t="s">
        <v>29</v>
      </c>
      <c r="D1138" s="0" t="n">
        <v>-0.264363433159673</v>
      </c>
      <c r="E1138" s="0" t="s">
        <v>383</v>
      </c>
    </row>
    <row r="1139" customFormat="false" ht="15" hidden="false" customHeight="false" outlineLevel="0" collapsed="false">
      <c r="A1139" s="0" t="s">
        <v>138</v>
      </c>
      <c r="B1139" s="0" t="n">
        <v>2018</v>
      </c>
      <c r="C1139" s="0" t="s">
        <v>23</v>
      </c>
      <c r="D1139" s="0" t="n">
        <v>117.827826267664</v>
      </c>
      <c r="E1139" s="0" t="s">
        <v>383</v>
      </c>
    </row>
    <row r="1140" customFormat="false" ht="15" hidden="false" customHeight="false" outlineLevel="0" collapsed="false">
      <c r="A1140" s="0" t="s">
        <v>138</v>
      </c>
      <c r="B1140" s="0" t="n">
        <v>2018</v>
      </c>
      <c r="C1140" s="0" t="s">
        <v>37</v>
      </c>
      <c r="D1140" s="0" t="n">
        <v>8.13188113123051</v>
      </c>
      <c r="E1140" s="0" t="s">
        <v>383</v>
      </c>
    </row>
    <row r="1141" customFormat="false" ht="15" hidden="false" customHeight="false" outlineLevel="0" collapsed="false">
      <c r="A1141" s="0" t="s">
        <v>138</v>
      </c>
      <c r="B1141" s="0" t="n">
        <v>2018</v>
      </c>
      <c r="C1141" s="0" t="s">
        <v>47</v>
      </c>
      <c r="D1141" s="0" t="n">
        <v>26.051762161066</v>
      </c>
      <c r="E1141" s="0" t="s">
        <v>383</v>
      </c>
    </row>
    <row r="1142" customFormat="false" ht="15" hidden="false" customHeight="false" outlineLevel="0" collapsed="false">
      <c r="A1142" s="0" t="s">
        <v>138</v>
      </c>
      <c r="B1142" s="0" t="n">
        <v>2018</v>
      </c>
      <c r="C1142" s="0" t="s">
        <v>45</v>
      </c>
      <c r="D1142" s="0" t="n">
        <v>24.4461922677737</v>
      </c>
      <c r="E1142" s="0" t="s">
        <v>383</v>
      </c>
    </row>
    <row r="1143" customFormat="false" ht="15" hidden="false" customHeight="false" outlineLevel="0" collapsed="false">
      <c r="A1143" s="0" t="s">
        <v>138</v>
      </c>
      <c r="B1143" s="0" t="n">
        <v>2018</v>
      </c>
      <c r="C1143" s="0" t="s">
        <v>43</v>
      </c>
      <c r="D1143" s="0" t="n">
        <v>1.39228586940845</v>
      </c>
      <c r="E1143" s="0" t="s">
        <v>383</v>
      </c>
    </row>
    <row r="1144" customFormat="false" ht="15" hidden="false" customHeight="false" outlineLevel="0" collapsed="false">
      <c r="A1144" s="0" t="s">
        <v>138</v>
      </c>
      <c r="B1144" s="0" t="n">
        <v>2018</v>
      </c>
      <c r="C1144" s="0" t="s">
        <v>31</v>
      </c>
      <c r="D1144" s="0" t="n">
        <v>84.8910780587738</v>
      </c>
      <c r="E1144" s="0" t="s">
        <v>383</v>
      </c>
    </row>
    <row r="1145" customFormat="false" ht="15" hidden="false" customHeight="false" outlineLevel="0" collapsed="false">
      <c r="A1145" s="0" t="s">
        <v>138</v>
      </c>
      <c r="B1145" s="0" t="n">
        <v>2018</v>
      </c>
      <c r="C1145" s="0" t="s">
        <v>33</v>
      </c>
      <c r="D1145" s="0" t="n">
        <v>14.0963923105648</v>
      </c>
      <c r="E1145" s="0" t="s">
        <v>383</v>
      </c>
    </row>
    <row r="1146" customFormat="false" ht="15" hidden="false" customHeight="false" outlineLevel="0" collapsed="false">
      <c r="A1146" s="0" t="s">
        <v>138</v>
      </c>
      <c r="B1146" s="0" t="n">
        <v>2018</v>
      </c>
      <c r="C1146" s="0" t="s">
        <v>21</v>
      </c>
      <c r="D1146" s="0" t="n">
        <v>0</v>
      </c>
      <c r="E1146" s="0" t="s">
        <v>383</v>
      </c>
    </row>
    <row r="1147" customFormat="false" ht="15" hidden="false" customHeight="false" outlineLevel="0" collapsed="false">
      <c r="A1147" s="0" t="s">
        <v>138</v>
      </c>
      <c r="B1147" s="0" t="n">
        <v>2018</v>
      </c>
      <c r="C1147" s="0" t="s">
        <v>35</v>
      </c>
      <c r="D1147" s="0" t="n">
        <v>0</v>
      </c>
      <c r="E1147" s="0" t="s">
        <v>383</v>
      </c>
    </row>
    <row r="1148" customFormat="false" ht="15" hidden="false" customHeight="false" outlineLevel="0" collapsed="false">
      <c r="A1148" s="0" t="s">
        <v>138</v>
      </c>
      <c r="B1148" s="0" t="n">
        <v>2019</v>
      </c>
      <c r="C1148" s="0" t="s">
        <v>54</v>
      </c>
      <c r="D1148" s="0" t="n">
        <v>24375</v>
      </c>
      <c r="E1148" s="0" t="s">
        <v>382</v>
      </c>
      <c r="G1148" s="0" t="s">
        <v>147</v>
      </c>
    </row>
    <row r="1149" customFormat="false" ht="15" hidden="false" customHeight="false" outlineLevel="0" collapsed="false">
      <c r="A1149" s="0" t="s">
        <v>138</v>
      </c>
      <c r="B1149" s="0" t="n">
        <v>2019</v>
      </c>
      <c r="C1149" s="0" t="s">
        <v>55</v>
      </c>
      <c r="D1149" s="0" t="n">
        <v>1711739</v>
      </c>
      <c r="E1149" s="0" t="s">
        <v>382</v>
      </c>
      <c r="G1149" s="0" t="s">
        <v>147</v>
      </c>
    </row>
    <row r="1150" customFormat="false" ht="15" hidden="false" customHeight="false" outlineLevel="0" collapsed="false">
      <c r="A1150" s="0" t="s">
        <v>138</v>
      </c>
      <c r="B1150" s="0" t="n">
        <v>2019</v>
      </c>
      <c r="C1150" s="0" t="s">
        <v>56</v>
      </c>
      <c r="D1150" s="0" t="n">
        <v>1480547</v>
      </c>
      <c r="E1150" s="0" t="s">
        <v>382</v>
      </c>
      <c r="G1150" s="0" t="s">
        <v>147</v>
      </c>
    </row>
    <row r="1151" customFormat="false" ht="15" hidden="false" customHeight="false" outlineLevel="0" collapsed="false">
      <c r="A1151" s="0" t="s">
        <v>138</v>
      </c>
      <c r="B1151" s="0" t="n">
        <v>2019</v>
      </c>
      <c r="C1151" s="0" t="s">
        <v>57</v>
      </c>
      <c r="D1151" s="0" t="n">
        <v>231192</v>
      </c>
      <c r="E1151" s="0" t="s">
        <v>382</v>
      </c>
      <c r="G1151" s="0" t="s">
        <v>147</v>
      </c>
    </row>
    <row r="1152" customFormat="false" ht="15" hidden="false" customHeight="false" outlineLevel="0" collapsed="false">
      <c r="A1152" s="0" t="s">
        <v>138</v>
      </c>
      <c r="B1152" s="0" t="n">
        <v>2019</v>
      </c>
      <c r="C1152" s="0" t="s">
        <v>58</v>
      </c>
      <c r="D1152" s="0" t="n">
        <v>207318</v>
      </c>
      <c r="E1152" s="0" t="s">
        <v>382</v>
      </c>
      <c r="G1152" s="0" t="s">
        <v>147</v>
      </c>
    </row>
    <row r="1153" customFormat="false" ht="15" hidden="false" customHeight="false" outlineLevel="0" collapsed="false">
      <c r="A1153" s="0" t="s">
        <v>138</v>
      </c>
      <c r="B1153" s="0" t="n">
        <v>2019</v>
      </c>
      <c r="C1153" s="0" t="s">
        <v>59</v>
      </c>
      <c r="D1153" s="0" t="n">
        <v>1324297</v>
      </c>
      <c r="E1153" s="0" t="s">
        <v>382</v>
      </c>
      <c r="G1153" s="0" t="s">
        <v>147</v>
      </c>
    </row>
    <row r="1154" customFormat="false" ht="15" hidden="false" customHeight="false" outlineLevel="0" collapsed="false">
      <c r="A1154" s="0" t="s">
        <v>138</v>
      </c>
      <c r="B1154" s="0" t="n">
        <v>2019</v>
      </c>
      <c r="C1154" s="0" t="s">
        <v>60</v>
      </c>
      <c r="D1154" s="0" t="n">
        <v>595298</v>
      </c>
      <c r="E1154" s="0" t="s">
        <v>382</v>
      </c>
      <c r="G1154" s="0" t="s">
        <v>147</v>
      </c>
    </row>
    <row r="1155" customFormat="false" ht="15" hidden="false" customHeight="false" outlineLevel="0" collapsed="false">
      <c r="A1155" s="0" t="s">
        <v>138</v>
      </c>
      <c r="B1155" s="0" t="n">
        <v>2019</v>
      </c>
      <c r="C1155" s="0" t="s">
        <v>61</v>
      </c>
      <c r="D1155" s="0" t="n">
        <v>44685</v>
      </c>
      <c r="E1155" s="0" t="s">
        <v>382</v>
      </c>
      <c r="G1155" s="0" t="s">
        <v>147</v>
      </c>
    </row>
    <row r="1156" customFormat="false" ht="15" hidden="false" customHeight="false" outlineLevel="0" collapsed="false">
      <c r="A1156" s="0" t="s">
        <v>138</v>
      </c>
      <c r="B1156" s="0" t="n">
        <v>2019</v>
      </c>
      <c r="C1156" s="0" t="s">
        <v>62</v>
      </c>
      <c r="D1156" s="0" t="n">
        <v>550613</v>
      </c>
      <c r="E1156" s="0" t="s">
        <v>382</v>
      </c>
      <c r="G1156" s="0" t="s">
        <v>147</v>
      </c>
    </row>
    <row r="1157" customFormat="false" ht="15" hidden="false" customHeight="false" outlineLevel="0" collapsed="false">
      <c r="A1157" s="0" t="s">
        <v>138</v>
      </c>
      <c r="B1157" s="0" t="n">
        <v>2019</v>
      </c>
      <c r="C1157" s="0" t="s">
        <v>63</v>
      </c>
      <c r="D1157" s="0" t="n">
        <v>-504</v>
      </c>
      <c r="E1157" s="0" t="s">
        <v>382</v>
      </c>
      <c r="G1157" s="0" t="s">
        <v>147</v>
      </c>
    </row>
    <row r="1158" customFormat="false" ht="15" hidden="false" customHeight="false" outlineLevel="0" collapsed="false">
      <c r="A1158" s="0" t="s">
        <v>138</v>
      </c>
      <c r="B1158" s="0" t="n">
        <v>2019</v>
      </c>
      <c r="C1158" s="0" t="s">
        <v>557</v>
      </c>
      <c r="D1158" s="0" t="n">
        <v>-688</v>
      </c>
      <c r="E1158" s="0" t="s">
        <v>382</v>
      </c>
      <c r="G1158" s="0" t="s">
        <v>147</v>
      </c>
    </row>
    <row r="1159" customFormat="false" ht="15" hidden="false" customHeight="false" outlineLevel="0" collapsed="false">
      <c r="A1159" s="0" t="s">
        <v>138</v>
      </c>
      <c r="B1159" s="0" t="n">
        <v>2019</v>
      </c>
      <c r="C1159" s="0" t="s">
        <v>710</v>
      </c>
      <c r="D1159" s="0" t="n">
        <v>184</v>
      </c>
      <c r="E1159" s="0" t="s">
        <v>382</v>
      </c>
      <c r="G1159" s="0" t="s">
        <v>147</v>
      </c>
    </row>
    <row r="1160" customFormat="false" ht="15" hidden="false" customHeight="false" outlineLevel="0" collapsed="false">
      <c r="A1160" s="0" t="s">
        <v>138</v>
      </c>
      <c r="B1160" s="0" t="n">
        <v>2019</v>
      </c>
      <c r="C1160" s="0" t="s">
        <v>64</v>
      </c>
      <c r="D1160" s="0" t="n">
        <v>34760</v>
      </c>
      <c r="E1160" s="0" t="s">
        <v>382</v>
      </c>
      <c r="G1160" s="0" t="s">
        <v>147</v>
      </c>
    </row>
    <row r="1161" customFormat="false" ht="15" hidden="false" customHeight="false" outlineLevel="0" collapsed="false">
      <c r="A1161" s="0" t="s">
        <v>138</v>
      </c>
      <c r="B1161" s="0" t="n">
        <v>2019</v>
      </c>
      <c r="C1161" s="0" t="s">
        <v>69</v>
      </c>
      <c r="D1161" s="0" t="n">
        <v>15.91</v>
      </c>
      <c r="E1161" s="0" t="s">
        <v>382</v>
      </c>
      <c r="G1161" s="0" t="s">
        <v>147</v>
      </c>
    </row>
    <row r="1162" customFormat="false" ht="15" hidden="false" customHeight="false" outlineLevel="0" collapsed="false">
      <c r="A1162" s="0" t="s">
        <v>138</v>
      </c>
      <c r="B1162" s="0" t="n">
        <v>2019</v>
      </c>
      <c r="C1162" s="0" t="s">
        <v>591</v>
      </c>
      <c r="D1162" s="0" t="n">
        <v>19.73</v>
      </c>
      <c r="E1162" s="0" t="s">
        <v>382</v>
      </c>
      <c r="G1162" s="0" t="s">
        <v>147</v>
      </c>
    </row>
    <row r="1163" customFormat="false" ht="15" hidden="false" customHeight="false" outlineLevel="0" collapsed="false">
      <c r="A1163" s="0" t="s">
        <v>138</v>
      </c>
      <c r="B1163" s="0" t="n">
        <v>2019</v>
      </c>
      <c r="C1163" s="0" t="s">
        <v>70</v>
      </c>
      <c r="D1163" s="0" t="n">
        <v>15</v>
      </c>
      <c r="E1163" s="0" t="s">
        <v>382</v>
      </c>
      <c r="G1163" s="0" t="s">
        <v>147</v>
      </c>
    </row>
    <row r="1164" customFormat="false" ht="15" hidden="false" customHeight="false" outlineLevel="0" collapsed="false">
      <c r="A1164" s="0" t="s">
        <v>138</v>
      </c>
      <c r="B1164" s="0" t="n">
        <v>2019</v>
      </c>
      <c r="C1164" s="0" t="s">
        <v>65</v>
      </c>
      <c r="D1164" s="0" t="n">
        <v>139997</v>
      </c>
      <c r="E1164" s="0" t="s">
        <v>382</v>
      </c>
      <c r="G1164" s="0" t="s">
        <v>147</v>
      </c>
    </row>
    <row r="1165" customFormat="false" ht="15" hidden="false" customHeight="false" outlineLevel="0" collapsed="false">
      <c r="A1165" s="0" t="s">
        <v>138</v>
      </c>
      <c r="B1165" s="0" t="n">
        <v>2019</v>
      </c>
      <c r="C1165" s="0" t="s">
        <v>66</v>
      </c>
      <c r="D1165" s="0" t="n">
        <v>880146</v>
      </c>
      <c r="E1165" s="0" t="s">
        <v>382</v>
      </c>
      <c r="G1165" s="0" t="s">
        <v>147</v>
      </c>
    </row>
    <row r="1166" customFormat="false" ht="15" hidden="false" customHeight="false" outlineLevel="0" collapsed="false">
      <c r="A1166" s="0" t="s">
        <v>138</v>
      </c>
      <c r="B1166" s="0" t="n">
        <v>2019</v>
      </c>
      <c r="C1166" s="0" t="s">
        <v>595</v>
      </c>
      <c r="D1166" s="0" t="n">
        <v>173634</v>
      </c>
      <c r="E1166" s="0" t="s">
        <v>382</v>
      </c>
      <c r="G1166" s="0" t="s">
        <v>147</v>
      </c>
    </row>
    <row r="1167" customFormat="false" ht="15" hidden="false" customHeight="false" outlineLevel="0" collapsed="false">
      <c r="A1167" s="0" t="s">
        <v>138</v>
      </c>
      <c r="B1167" s="0" t="n">
        <v>2019</v>
      </c>
      <c r="C1167" s="0" t="s">
        <v>711</v>
      </c>
      <c r="D1167" s="0" t="n">
        <v>33637</v>
      </c>
      <c r="E1167" s="0" t="s">
        <v>382</v>
      </c>
      <c r="G1167" s="0" t="s">
        <v>147</v>
      </c>
    </row>
    <row r="1168" customFormat="false" ht="15" hidden="false" customHeight="false" outlineLevel="0" collapsed="false">
      <c r="A1168" s="0" t="s">
        <v>138</v>
      </c>
      <c r="B1168" s="0" t="n">
        <v>2019</v>
      </c>
      <c r="C1168" s="0" t="s">
        <v>67</v>
      </c>
      <c r="D1168" s="0" t="n">
        <v>58769</v>
      </c>
      <c r="E1168" s="0" t="s">
        <v>382</v>
      </c>
      <c r="G1168" s="0" t="s">
        <v>147</v>
      </c>
    </row>
    <row r="1169" customFormat="false" ht="15" hidden="false" customHeight="false" outlineLevel="0" collapsed="false">
      <c r="A1169" s="0" t="s">
        <v>138</v>
      </c>
      <c r="B1169" s="0" t="n">
        <v>2019</v>
      </c>
      <c r="C1169" s="0" t="s">
        <v>68</v>
      </c>
      <c r="D1169" s="0" t="n">
        <v>16198</v>
      </c>
      <c r="E1169" s="0" t="s">
        <v>382</v>
      </c>
      <c r="G1169" s="0" t="s">
        <v>147</v>
      </c>
    </row>
    <row r="1170" customFormat="false" ht="15" hidden="false" customHeight="false" outlineLevel="0" collapsed="false">
      <c r="A1170" s="0" t="s">
        <v>138</v>
      </c>
      <c r="B1170" s="0" t="n">
        <v>2019</v>
      </c>
      <c r="C1170" s="0" t="s">
        <v>402</v>
      </c>
      <c r="D1170" s="0" t="n">
        <v>24746</v>
      </c>
      <c r="E1170" s="0" t="s">
        <v>382</v>
      </c>
      <c r="G1170" s="0" t="s">
        <v>147</v>
      </c>
    </row>
    <row r="1171" customFormat="false" ht="15" hidden="false" customHeight="false" outlineLevel="0" collapsed="false">
      <c r="A1171" s="0" t="s">
        <v>138</v>
      </c>
      <c r="B1171" s="0" t="n">
        <v>2019</v>
      </c>
      <c r="C1171" s="0" t="s">
        <v>670</v>
      </c>
      <c r="D1171" s="0" t="n">
        <v>159861</v>
      </c>
      <c r="E1171" s="0" t="s">
        <v>382</v>
      </c>
      <c r="G1171" s="0" t="s">
        <v>147</v>
      </c>
    </row>
    <row r="1172" customFormat="false" ht="15" hidden="false" customHeight="false" outlineLevel="0" collapsed="false">
      <c r="A1172" s="0" t="s">
        <v>138</v>
      </c>
      <c r="B1172" s="0" t="n">
        <v>2019</v>
      </c>
      <c r="C1172" s="0" t="s">
        <v>19</v>
      </c>
      <c r="D1172" s="0" t="n">
        <v>1518018</v>
      </c>
      <c r="E1172" s="0" t="s">
        <v>383</v>
      </c>
    </row>
    <row r="1173" customFormat="false" ht="15" hidden="false" customHeight="false" outlineLevel="0" collapsed="false">
      <c r="A1173" s="0" t="s">
        <v>138</v>
      </c>
      <c r="B1173" s="0" t="n">
        <v>2019</v>
      </c>
      <c r="C1173" s="0" t="s">
        <v>41</v>
      </c>
      <c r="D1173" s="0" t="n">
        <v>1.60571218523101</v>
      </c>
      <c r="E1173" s="0" t="s">
        <v>383</v>
      </c>
    </row>
    <row r="1174" customFormat="false" ht="15" hidden="false" customHeight="false" outlineLevel="0" collapsed="false">
      <c r="A1174" s="0" t="s">
        <v>138</v>
      </c>
      <c r="B1174" s="0" t="n">
        <v>2019</v>
      </c>
      <c r="C1174" s="0" t="s">
        <v>27</v>
      </c>
      <c r="D1174" s="0" t="n">
        <v>13.5062646817067</v>
      </c>
      <c r="E1174" s="0" t="s">
        <v>383</v>
      </c>
    </row>
    <row r="1175" customFormat="false" ht="15" hidden="false" customHeight="false" outlineLevel="0" collapsed="false">
      <c r="A1175" s="0" t="s">
        <v>138</v>
      </c>
      <c r="B1175" s="0" t="n">
        <v>2019</v>
      </c>
      <c r="C1175" s="0" t="s">
        <v>39</v>
      </c>
      <c r="D1175" s="0" t="n">
        <v>13.6571503104706</v>
      </c>
      <c r="E1175" s="0" t="s">
        <v>383</v>
      </c>
    </row>
    <row r="1176" customFormat="false" ht="15" hidden="false" customHeight="false" outlineLevel="0" collapsed="false">
      <c r="A1176" s="0" t="s">
        <v>138</v>
      </c>
      <c r="B1176" s="0" t="n">
        <v>2019</v>
      </c>
      <c r="C1176" s="0" t="s">
        <v>17</v>
      </c>
      <c r="D1176" s="0" t="n">
        <v>7.50632456349593</v>
      </c>
      <c r="E1176" s="0" t="s">
        <v>383</v>
      </c>
    </row>
    <row r="1177" customFormat="false" ht="15" hidden="false" customHeight="false" outlineLevel="0" collapsed="false">
      <c r="A1177" s="0" t="s">
        <v>138</v>
      </c>
      <c r="B1177" s="0" t="n">
        <v>2019</v>
      </c>
      <c r="C1177" s="0" t="s">
        <v>25</v>
      </c>
      <c r="D1177" s="0" t="n">
        <v>15.9061110315789</v>
      </c>
      <c r="E1177" s="0" t="s">
        <v>383</v>
      </c>
    </row>
    <row r="1178" customFormat="false" ht="15" hidden="false" customHeight="false" outlineLevel="0" collapsed="false">
      <c r="A1178" s="0" t="s">
        <v>138</v>
      </c>
      <c r="B1178" s="0" t="n">
        <v>2019</v>
      </c>
      <c r="C1178" s="0" t="s">
        <v>29</v>
      </c>
      <c r="D1178" s="0" t="n">
        <v>-0.0332011873376996</v>
      </c>
      <c r="E1178" s="0" t="s">
        <v>383</v>
      </c>
    </row>
    <row r="1179" customFormat="false" ht="15" hidden="false" customHeight="false" outlineLevel="0" collapsed="false">
      <c r="A1179" s="0" t="s">
        <v>138</v>
      </c>
      <c r="B1179" s="0" t="n">
        <v>2019</v>
      </c>
      <c r="C1179" s="0" t="s">
        <v>23</v>
      </c>
      <c r="D1179" s="0" t="n">
        <v>128.552934407365</v>
      </c>
      <c r="E1179" s="0" t="s">
        <v>383</v>
      </c>
    </row>
    <row r="1180" customFormat="false" ht="15" hidden="false" customHeight="false" outlineLevel="0" collapsed="false">
      <c r="A1180" s="0" t="s">
        <v>138</v>
      </c>
      <c r="B1180" s="0" t="n">
        <v>2019</v>
      </c>
      <c r="C1180" s="0" t="s">
        <v>37</v>
      </c>
      <c r="D1180" s="0" t="n">
        <v>5.83909235374552</v>
      </c>
      <c r="E1180" s="0" t="s">
        <v>383</v>
      </c>
    </row>
    <row r="1181" customFormat="false" ht="15" hidden="false" customHeight="false" outlineLevel="0" collapsed="false">
      <c r="A1181" s="0" t="s">
        <v>138</v>
      </c>
      <c r="B1181" s="0" t="n">
        <v>2019</v>
      </c>
      <c r="C1181" s="0" t="s">
        <v>47</v>
      </c>
      <c r="D1181" s="0" t="n">
        <v>9.87219846194679</v>
      </c>
      <c r="E1181" s="0" t="s">
        <v>383</v>
      </c>
    </row>
    <row r="1182" customFormat="false" ht="15" hidden="false" customHeight="false" outlineLevel="0" collapsed="false">
      <c r="A1182" s="0" t="s">
        <v>138</v>
      </c>
      <c r="B1182" s="0" t="n">
        <v>2019</v>
      </c>
      <c r="C1182" s="0" t="s">
        <v>45</v>
      </c>
      <c r="D1182" s="0" t="n">
        <v>27.5621501131549</v>
      </c>
      <c r="E1182" s="0" t="s">
        <v>383</v>
      </c>
    </row>
    <row r="1183" customFormat="false" ht="15" hidden="false" customHeight="false" outlineLevel="0" collapsed="false">
      <c r="A1183" s="0" t="s">
        <v>138</v>
      </c>
      <c r="B1183" s="0" t="n">
        <v>2019</v>
      </c>
      <c r="C1183" s="0" t="s">
        <v>43</v>
      </c>
      <c r="D1183" s="0" t="n">
        <v>1.42399045648899</v>
      </c>
      <c r="E1183" s="0" t="s">
        <v>383</v>
      </c>
    </row>
    <row r="1184" customFormat="false" ht="15" hidden="false" customHeight="false" outlineLevel="0" collapsed="false">
      <c r="A1184" s="0" t="s">
        <v>138</v>
      </c>
      <c r="B1184" s="0" t="n">
        <v>2019</v>
      </c>
      <c r="C1184" s="0" t="s">
        <v>31</v>
      </c>
      <c r="D1184" s="0" t="n">
        <v>86.4937353182933</v>
      </c>
      <c r="E1184" s="0" t="s">
        <v>383</v>
      </c>
    </row>
    <row r="1185" customFormat="false" ht="15" hidden="false" customHeight="false" outlineLevel="0" collapsed="false">
      <c r="A1185" s="0" t="s">
        <v>138</v>
      </c>
      <c r="B1185" s="0" t="n">
        <v>2019</v>
      </c>
      <c r="C1185" s="0" t="s">
        <v>33</v>
      </c>
      <c r="D1185" s="0" t="n">
        <v>14.3530203707906</v>
      </c>
      <c r="E1185" s="0" t="s">
        <v>383</v>
      </c>
    </row>
    <row r="1186" customFormat="false" ht="15" hidden="false" customHeight="false" outlineLevel="0" collapsed="false">
      <c r="A1186" s="0" t="s">
        <v>138</v>
      </c>
      <c r="B1186" s="0" t="n">
        <v>2019</v>
      </c>
      <c r="C1186" s="0" t="s">
        <v>21</v>
      </c>
      <c r="D1186" s="0" t="n">
        <v>0</v>
      </c>
      <c r="E1186" s="0" t="s">
        <v>383</v>
      </c>
    </row>
    <row r="1187" customFormat="false" ht="15" hidden="false" customHeight="false" outlineLevel="0" collapsed="false">
      <c r="A1187" s="0" t="s">
        <v>138</v>
      </c>
      <c r="B1187" s="0" t="n">
        <v>2019</v>
      </c>
      <c r="C1187" s="0" t="s">
        <v>35</v>
      </c>
      <c r="D1187" s="0" t="n">
        <v>0</v>
      </c>
      <c r="E1187" s="0" t="s">
        <v>383</v>
      </c>
    </row>
    <row r="1188" customFormat="false" ht="15" hidden="false" customHeight="false" outlineLevel="0" collapsed="false">
      <c r="A1188" s="0" t="s">
        <v>138</v>
      </c>
      <c r="B1188" s="0" t="n">
        <v>2020</v>
      </c>
      <c r="C1188" s="0" t="s">
        <v>54</v>
      </c>
      <c r="D1188" s="0" t="n">
        <v>24653</v>
      </c>
      <c r="E1188" s="0" t="s">
        <v>382</v>
      </c>
      <c r="G1188" s="0" t="s">
        <v>148</v>
      </c>
    </row>
    <row r="1189" customFormat="false" ht="15" hidden="false" customHeight="false" outlineLevel="0" collapsed="false">
      <c r="A1189" s="0" t="s">
        <v>138</v>
      </c>
      <c r="B1189" s="0" t="n">
        <v>2020</v>
      </c>
      <c r="C1189" s="0" t="s">
        <v>55</v>
      </c>
      <c r="D1189" s="0" t="n">
        <v>2073758</v>
      </c>
      <c r="E1189" s="0" t="s">
        <v>382</v>
      </c>
      <c r="G1189" s="0" t="s">
        <v>148</v>
      </c>
    </row>
    <row r="1190" customFormat="false" ht="15" hidden="false" customHeight="false" outlineLevel="0" collapsed="false">
      <c r="A1190" s="0" t="s">
        <v>138</v>
      </c>
      <c r="B1190" s="0" t="n">
        <v>2020</v>
      </c>
      <c r="C1190" s="0" t="s">
        <v>56</v>
      </c>
      <c r="D1190" s="0" t="n">
        <v>1826237</v>
      </c>
      <c r="E1190" s="0" t="s">
        <v>382</v>
      </c>
      <c r="G1190" s="0" t="s">
        <v>148</v>
      </c>
    </row>
    <row r="1191" customFormat="false" ht="15" hidden="false" customHeight="false" outlineLevel="0" collapsed="false">
      <c r="A1191" s="0" t="s">
        <v>138</v>
      </c>
      <c r="B1191" s="0" t="n">
        <v>2020</v>
      </c>
      <c r="C1191" s="0" t="s">
        <v>57</v>
      </c>
      <c r="D1191" s="0" t="n">
        <v>247521</v>
      </c>
      <c r="E1191" s="0" t="s">
        <v>382</v>
      </c>
      <c r="G1191" s="0" t="s">
        <v>148</v>
      </c>
    </row>
    <row r="1192" customFormat="false" ht="15" hidden="false" customHeight="false" outlineLevel="0" collapsed="false">
      <c r="A1192" s="0" t="s">
        <v>138</v>
      </c>
      <c r="B1192" s="0" t="n">
        <v>2020</v>
      </c>
      <c r="C1192" s="0" t="s">
        <v>58</v>
      </c>
      <c r="D1192" s="0" t="n">
        <v>-35912</v>
      </c>
      <c r="E1192" s="0" t="s">
        <v>382</v>
      </c>
      <c r="G1192" s="0" t="s">
        <v>148</v>
      </c>
    </row>
    <row r="1193" customFormat="false" ht="15" hidden="false" customHeight="false" outlineLevel="0" collapsed="false">
      <c r="A1193" s="0" t="s">
        <v>138</v>
      </c>
      <c r="B1193" s="0" t="n">
        <v>2020</v>
      </c>
      <c r="C1193" s="0" t="s">
        <v>59</v>
      </c>
      <c r="D1193" s="0" t="n">
        <v>1711739</v>
      </c>
      <c r="E1193" s="0" t="s">
        <v>382</v>
      </c>
      <c r="G1193" s="0" t="s">
        <v>148</v>
      </c>
    </row>
    <row r="1194" customFormat="false" ht="15" hidden="false" customHeight="false" outlineLevel="0" collapsed="false">
      <c r="A1194" s="0" t="s">
        <v>138</v>
      </c>
      <c r="B1194" s="0" t="n">
        <v>2020</v>
      </c>
      <c r="C1194" s="0" t="s">
        <v>60</v>
      </c>
      <c r="D1194" s="0" t="n">
        <v>736712</v>
      </c>
      <c r="E1194" s="0" t="s">
        <v>382</v>
      </c>
      <c r="G1194" s="0" t="s">
        <v>148</v>
      </c>
    </row>
    <row r="1195" customFormat="false" ht="15" hidden="false" customHeight="false" outlineLevel="0" collapsed="false">
      <c r="A1195" s="0" t="s">
        <v>138</v>
      </c>
      <c r="B1195" s="0" t="n">
        <v>2020</v>
      </c>
      <c r="C1195" s="0" t="s">
        <v>61</v>
      </c>
      <c r="D1195" s="0" t="n">
        <v>43909</v>
      </c>
      <c r="E1195" s="0" t="s">
        <v>382</v>
      </c>
      <c r="G1195" s="0" t="s">
        <v>148</v>
      </c>
    </row>
    <row r="1196" customFormat="false" ht="15" hidden="false" customHeight="false" outlineLevel="0" collapsed="false">
      <c r="A1196" s="0" t="s">
        <v>138</v>
      </c>
      <c r="B1196" s="0" t="n">
        <v>2020</v>
      </c>
      <c r="C1196" s="0" t="s">
        <v>62</v>
      </c>
      <c r="D1196" s="0" t="n">
        <v>692803</v>
      </c>
      <c r="E1196" s="0" t="s">
        <v>382</v>
      </c>
      <c r="G1196" s="0" t="s">
        <v>148</v>
      </c>
    </row>
    <row r="1197" customFormat="false" ht="15" hidden="false" customHeight="false" outlineLevel="0" collapsed="false">
      <c r="A1197" s="0" t="s">
        <v>138</v>
      </c>
      <c r="B1197" s="0" t="n">
        <v>2020</v>
      </c>
      <c r="C1197" s="0" t="s">
        <v>63</v>
      </c>
      <c r="D1197" s="0" t="n">
        <v>-2559</v>
      </c>
      <c r="E1197" s="0" t="s">
        <v>382</v>
      </c>
      <c r="G1197" s="0" t="s">
        <v>148</v>
      </c>
    </row>
    <row r="1198" customFormat="false" ht="15" hidden="false" customHeight="false" outlineLevel="0" collapsed="false">
      <c r="A1198" s="0" t="s">
        <v>138</v>
      </c>
      <c r="B1198" s="0" t="n">
        <v>2020</v>
      </c>
      <c r="C1198" s="0" t="s">
        <v>557</v>
      </c>
      <c r="D1198" s="0" t="n">
        <v>-306</v>
      </c>
      <c r="E1198" s="0" t="s">
        <v>382</v>
      </c>
      <c r="G1198" s="0" t="s">
        <v>148</v>
      </c>
    </row>
    <row r="1199" customFormat="false" ht="15" hidden="false" customHeight="false" outlineLevel="0" collapsed="false">
      <c r="A1199" s="0" t="s">
        <v>138</v>
      </c>
      <c r="B1199" s="0" t="n">
        <v>2020</v>
      </c>
      <c r="C1199" s="0" t="s">
        <v>710</v>
      </c>
      <c r="D1199" s="0" t="n">
        <v>-2253</v>
      </c>
      <c r="E1199" s="0" t="s">
        <v>382</v>
      </c>
      <c r="G1199" s="0" t="s">
        <v>148</v>
      </c>
    </row>
    <row r="1200" customFormat="false" ht="15" hidden="false" customHeight="false" outlineLevel="0" collapsed="false">
      <c r="A1200" s="0" t="s">
        <v>138</v>
      </c>
      <c r="B1200" s="0" t="n">
        <v>2020</v>
      </c>
      <c r="C1200" s="0" t="s">
        <v>69</v>
      </c>
      <c r="D1200" s="0" t="n">
        <v>15.76</v>
      </c>
      <c r="E1200" s="0" t="s">
        <v>382</v>
      </c>
      <c r="G1200" s="0" t="s">
        <v>148</v>
      </c>
    </row>
    <row r="1201" customFormat="false" ht="15" hidden="false" customHeight="false" outlineLevel="0" collapsed="false">
      <c r="A1201" s="0" t="s">
        <v>138</v>
      </c>
      <c r="B1201" s="0" t="n">
        <v>2020</v>
      </c>
      <c r="C1201" s="0" t="s">
        <v>591</v>
      </c>
      <c r="D1201" s="0" t="n">
        <v>17.46</v>
      </c>
      <c r="E1201" s="0" t="s">
        <v>382</v>
      </c>
      <c r="G1201" s="0" t="s">
        <v>148</v>
      </c>
    </row>
    <row r="1202" customFormat="false" ht="15" hidden="false" customHeight="false" outlineLevel="0" collapsed="false">
      <c r="A1202" s="0" t="s">
        <v>138</v>
      </c>
      <c r="B1202" s="0" t="n">
        <v>2020</v>
      </c>
      <c r="C1202" s="0" t="s">
        <v>70</v>
      </c>
      <c r="D1202" s="0" t="n">
        <v>15</v>
      </c>
      <c r="E1202" s="0" t="s">
        <v>382</v>
      </c>
      <c r="G1202" s="0" t="s">
        <v>148</v>
      </c>
    </row>
    <row r="1203" customFormat="false" ht="15" hidden="false" customHeight="false" outlineLevel="0" collapsed="false">
      <c r="A1203" s="0" t="s">
        <v>138</v>
      </c>
      <c r="B1203" s="0" t="n">
        <v>2020</v>
      </c>
      <c r="C1203" s="0" t="s">
        <v>65</v>
      </c>
      <c r="D1203" s="0" t="n">
        <v>156168</v>
      </c>
      <c r="E1203" s="0" t="s">
        <v>382</v>
      </c>
      <c r="G1203" s="0" t="s">
        <v>148</v>
      </c>
    </row>
    <row r="1204" customFormat="false" ht="15" hidden="false" customHeight="false" outlineLevel="0" collapsed="false">
      <c r="A1204" s="0" t="s">
        <v>138</v>
      </c>
      <c r="B1204" s="0" t="n">
        <v>2020</v>
      </c>
      <c r="C1204" s="0" t="s">
        <v>66</v>
      </c>
      <c r="D1204" s="0" t="n">
        <v>990958</v>
      </c>
      <c r="E1204" s="0" t="s">
        <v>382</v>
      </c>
      <c r="G1204" s="0" t="s">
        <v>148</v>
      </c>
    </row>
    <row r="1205" customFormat="false" ht="15" hidden="false" customHeight="false" outlineLevel="0" collapsed="false">
      <c r="A1205" s="0" t="s">
        <v>138</v>
      </c>
      <c r="B1205" s="0" t="n">
        <v>2020</v>
      </c>
      <c r="C1205" s="0" t="s">
        <v>595</v>
      </c>
      <c r="D1205" s="0" t="n">
        <v>172986</v>
      </c>
      <c r="E1205" s="0" t="s">
        <v>382</v>
      </c>
      <c r="G1205" s="0" t="s">
        <v>148</v>
      </c>
    </row>
    <row r="1206" customFormat="false" ht="15" hidden="false" customHeight="false" outlineLevel="0" collapsed="false">
      <c r="A1206" s="0" t="s">
        <v>138</v>
      </c>
      <c r="B1206" s="0" t="n">
        <v>2020</v>
      </c>
      <c r="C1206" s="0" t="s">
        <v>711</v>
      </c>
      <c r="D1206" s="0" t="n">
        <v>16818</v>
      </c>
      <c r="E1206" s="0" t="s">
        <v>382</v>
      </c>
      <c r="G1206" s="0" t="s">
        <v>148</v>
      </c>
    </row>
    <row r="1207" customFormat="false" ht="15" hidden="false" customHeight="false" outlineLevel="0" collapsed="false">
      <c r="A1207" s="0" t="s">
        <v>138</v>
      </c>
      <c r="B1207" s="0" t="n">
        <v>2020</v>
      </c>
      <c r="C1207" s="0" t="s">
        <v>73</v>
      </c>
      <c r="D1207" s="0" t="n">
        <v>0</v>
      </c>
      <c r="E1207" s="0" t="s">
        <v>400</v>
      </c>
      <c r="F1207" s="0" t="s">
        <v>301</v>
      </c>
      <c r="G1207" s="0" t="s">
        <v>712</v>
      </c>
      <c r="H1207" s="0" t="s">
        <v>304</v>
      </c>
    </row>
    <row r="1208" customFormat="false" ht="15" hidden="false" customHeight="false" outlineLevel="0" collapsed="false">
      <c r="A1208" s="0" t="s">
        <v>138</v>
      </c>
      <c r="B1208" s="0" t="n">
        <v>2020</v>
      </c>
      <c r="C1208" s="0" t="s">
        <v>67</v>
      </c>
      <c r="D1208" s="0" t="n">
        <v>61895</v>
      </c>
      <c r="E1208" s="0" t="s">
        <v>382</v>
      </c>
      <c r="G1208" s="0" t="s">
        <v>148</v>
      </c>
    </row>
    <row r="1209" customFormat="false" ht="15" hidden="false" customHeight="false" outlineLevel="0" collapsed="false">
      <c r="A1209" s="0" t="s">
        <v>138</v>
      </c>
      <c r="B1209" s="0" t="n">
        <v>2020</v>
      </c>
      <c r="C1209" s="0" t="s">
        <v>68</v>
      </c>
      <c r="D1209" s="0" t="n">
        <v>22564</v>
      </c>
      <c r="E1209" s="0" t="s">
        <v>382</v>
      </c>
      <c r="G1209" s="0" t="s">
        <v>148</v>
      </c>
    </row>
    <row r="1210" customFormat="false" ht="15" hidden="false" customHeight="false" outlineLevel="0" collapsed="false">
      <c r="A1210" s="0" t="s">
        <v>138</v>
      </c>
      <c r="B1210" s="0" t="n">
        <v>2020</v>
      </c>
      <c r="C1210" s="0" t="s">
        <v>402</v>
      </c>
      <c r="D1210" s="0" t="n">
        <v>25425</v>
      </c>
      <c r="E1210" s="0" t="s">
        <v>382</v>
      </c>
      <c r="G1210" s="0" t="s">
        <v>148</v>
      </c>
    </row>
    <row r="1211" customFormat="false" ht="15" hidden="false" customHeight="false" outlineLevel="0" collapsed="false">
      <c r="A1211" s="0" t="s">
        <v>138</v>
      </c>
      <c r="B1211" s="0" t="n">
        <v>2020</v>
      </c>
      <c r="C1211" s="0" t="s">
        <v>670</v>
      </c>
      <c r="D1211" s="0" t="n">
        <v>156885</v>
      </c>
      <c r="E1211" s="0" t="s">
        <v>382</v>
      </c>
      <c r="G1211" s="0" t="s">
        <v>148</v>
      </c>
    </row>
    <row r="1212" customFormat="false" ht="15" hidden="false" customHeight="false" outlineLevel="0" collapsed="false">
      <c r="A1212" s="0" t="s">
        <v>138</v>
      </c>
      <c r="B1212" s="0" t="n">
        <v>2020</v>
      </c>
      <c r="C1212" s="0" t="s">
        <v>19</v>
      </c>
      <c r="D1212" s="0" t="n">
        <v>1892748.5</v>
      </c>
      <c r="E1212" s="0" t="s">
        <v>383</v>
      </c>
    </row>
    <row r="1213" customFormat="false" ht="15" hidden="false" customHeight="false" outlineLevel="0" collapsed="false">
      <c r="A1213" s="0" t="s">
        <v>138</v>
      </c>
      <c r="B1213" s="0" t="n">
        <v>2020</v>
      </c>
      <c r="C1213" s="0" t="s">
        <v>41</v>
      </c>
      <c r="D1213" s="0" t="n">
        <v>1.30249739994511</v>
      </c>
      <c r="E1213" s="0" t="s">
        <v>383</v>
      </c>
    </row>
    <row r="1214" customFormat="false" ht="15" hidden="false" customHeight="false" outlineLevel="0" collapsed="false">
      <c r="A1214" s="0" t="s">
        <v>138</v>
      </c>
      <c r="B1214" s="0" t="n">
        <v>2020</v>
      </c>
      <c r="C1214" s="0" t="s">
        <v>27</v>
      </c>
      <c r="D1214" s="0" t="n">
        <v>11.935867155184</v>
      </c>
      <c r="E1214" s="0" t="s">
        <v>383</v>
      </c>
    </row>
    <row r="1215" customFormat="false" ht="15" hidden="false" customHeight="false" outlineLevel="0" collapsed="false">
      <c r="A1215" s="0" t="s">
        <v>138</v>
      </c>
      <c r="B1215" s="0" t="n">
        <v>2020</v>
      </c>
      <c r="C1215" s="0" t="s">
        <v>39</v>
      </c>
      <c r="D1215" s="0" t="n">
        <v>-1.89734663638619</v>
      </c>
      <c r="E1215" s="0" t="s">
        <v>383</v>
      </c>
    </row>
    <row r="1216" customFormat="false" ht="15" hidden="false" customHeight="false" outlineLevel="0" collapsed="false">
      <c r="A1216" s="0" t="s">
        <v>138</v>
      </c>
      <c r="B1216" s="0" t="n">
        <v>2020</v>
      </c>
      <c r="C1216" s="0" t="s">
        <v>17</v>
      </c>
      <c r="D1216" s="0" t="n">
        <v>5.9601309602667</v>
      </c>
      <c r="E1216" s="0" t="s">
        <v>383</v>
      </c>
    </row>
    <row r="1217" customFormat="false" ht="15" hidden="false" customHeight="false" outlineLevel="0" collapsed="false">
      <c r="A1217" s="0" t="s">
        <v>138</v>
      </c>
      <c r="B1217" s="0" t="n">
        <v>2020</v>
      </c>
      <c r="C1217" s="0" t="s">
        <v>25</v>
      </c>
      <c r="D1217" s="0" t="n">
        <v>15.7592955503664</v>
      </c>
      <c r="E1217" s="0" t="s">
        <v>383</v>
      </c>
    </row>
    <row r="1218" customFormat="false" ht="15" hidden="false" customHeight="false" outlineLevel="0" collapsed="false">
      <c r="A1218" s="0" t="s">
        <v>138</v>
      </c>
      <c r="B1218" s="0" t="n">
        <v>2020</v>
      </c>
      <c r="C1218" s="0" t="s">
        <v>29</v>
      </c>
      <c r="D1218" s="0" t="n">
        <v>-0.135200212812215</v>
      </c>
      <c r="E1218" s="0" t="s">
        <v>383</v>
      </c>
    </row>
    <row r="1219" customFormat="false" ht="15" hidden="false" customHeight="false" outlineLevel="0" collapsed="false">
      <c r="A1219" s="0" t="s">
        <v>138</v>
      </c>
      <c r="B1219" s="0" t="n">
        <v>2020</v>
      </c>
      <c r="C1219" s="0" t="s">
        <v>47</v>
      </c>
      <c r="D1219" s="0" t="n">
        <v>8.40151918252994</v>
      </c>
      <c r="E1219" s="0" t="s">
        <v>383</v>
      </c>
    </row>
    <row r="1220" customFormat="false" ht="15" hidden="false" customHeight="false" outlineLevel="0" collapsed="false">
      <c r="A1220" s="0" t="s">
        <v>138</v>
      </c>
      <c r="B1220" s="0" t="n">
        <v>2020</v>
      </c>
      <c r="C1220" s="0" t="s">
        <v>45</v>
      </c>
      <c r="D1220" s="0" t="n">
        <v>36.4552871799015</v>
      </c>
      <c r="E1220" s="0" t="s">
        <v>383</v>
      </c>
    </row>
    <row r="1221" customFormat="false" ht="15" hidden="false" customHeight="false" outlineLevel="0" collapsed="false">
      <c r="A1221" s="0" t="s">
        <v>138</v>
      </c>
      <c r="B1221" s="0" t="n">
        <v>2020</v>
      </c>
      <c r="C1221" s="0" t="s">
        <v>43</v>
      </c>
      <c r="D1221" s="0" t="n">
        <v>1.18880795155462</v>
      </c>
      <c r="E1221" s="0" t="s">
        <v>383</v>
      </c>
    </row>
    <row r="1222" customFormat="false" ht="15" hidden="false" customHeight="false" outlineLevel="0" collapsed="false">
      <c r="A1222" s="0" t="s">
        <v>138</v>
      </c>
      <c r="B1222" s="0" t="n">
        <v>2020</v>
      </c>
      <c r="C1222" s="0" t="s">
        <v>31</v>
      </c>
      <c r="D1222" s="0" t="n">
        <v>88.064132844816</v>
      </c>
      <c r="E1222" s="0" t="s">
        <v>383</v>
      </c>
    </row>
    <row r="1223" customFormat="false" ht="15" hidden="false" customHeight="false" outlineLevel="0" collapsed="false">
      <c r="A1223" s="0" t="s">
        <v>138</v>
      </c>
      <c r="B1223" s="0" t="n">
        <v>2020</v>
      </c>
      <c r="C1223" s="0" t="s">
        <v>33</v>
      </c>
      <c r="D1223" s="0" t="n">
        <v>14.544872978225</v>
      </c>
      <c r="E1223" s="0" t="s">
        <v>383</v>
      </c>
    </row>
    <row r="1224" customFormat="false" ht="15" hidden="false" customHeight="false" outlineLevel="0" collapsed="false">
      <c r="A1224" s="0" t="s">
        <v>138</v>
      </c>
      <c r="B1224" s="0" t="n">
        <v>2020</v>
      </c>
      <c r="C1224" s="0" t="s">
        <v>21</v>
      </c>
      <c r="D1224" s="0" t="n">
        <v>0</v>
      </c>
      <c r="E1224" s="0" t="s">
        <v>383</v>
      </c>
    </row>
    <row r="1225" customFormat="false" ht="15" hidden="false" customHeight="false" outlineLevel="0" collapsed="false">
      <c r="A1225" s="0" t="s">
        <v>138</v>
      </c>
      <c r="B1225" s="0" t="n">
        <v>2020</v>
      </c>
      <c r="C1225" s="0" t="s">
        <v>35</v>
      </c>
      <c r="D1225" s="0" t="n">
        <v>0</v>
      </c>
      <c r="E1225" s="0" t="s">
        <v>383</v>
      </c>
    </row>
    <row r="1226" customFormat="false" ht="15" hidden="false" customHeight="false" outlineLevel="0" collapsed="false">
      <c r="A1226" s="0" t="s">
        <v>138</v>
      </c>
      <c r="B1226" s="0" t="n">
        <v>2021</v>
      </c>
      <c r="C1226" s="0" t="s">
        <v>54</v>
      </c>
      <c r="D1226" s="0" t="n">
        <v>19180</v>
      </c>
      <c r="E1226" s="0" t="s">
        <v>382</v>
      </c>
      <c r="G1226" s="0" t="s">
        <v>150</v>
      </c>
    </row>
    <row r="1227" customFormat="false" ht="15" hidden="false" customHeight="false" outlineLevel="0" collapsed="false">
      <c r="A1227" s="0" t="s">
        <v>138</v>
      </c>
      <c r="B1227" s="0" t="n">
        <v>2021</v>
      </c>
      <c r="C1227" s="0" t="s">
        <v>55</v>
      </c>
      <c r="D1227" s="0" t="n">
        <v>2567441</v>
      </c>
      <c r="E1227" s="0" t="s">
        <v>382</v>
      </c>
      <c r="G1227" s="0" t="s">
        <v>150</v>
      </c>
    </row>
    <row r="1228" customFormat="false" ht="15" hidden="false" customHeight="false" outlineLevel="0" collapsed="false">
      <c r="A1228" s="0" t="s">
        <v>138</v>
      </c>
      <c r="B1228" s="0" t="n">
        <v>2021</v>
      </c>
      <c r="C1228" s="0" t="s">
        <v>56</v>
      </c>
      <c r="D1228" s="0" t="n">
        <v>2315954</v>
      </c>
      <c r="E1228" s="0" t="s">
        <v>382</v>
      </c>
      <c r="G1228" s="0" t="s">
        <v>150</v>
      </c>
    </row>
    <row r="1229" customFormat="false" ht="15" hidden="false" customHeight="false" outlineLevel="0" collapsed="false">
      <c r="A1229" s="0" t="s">
        <v>138</v>
      </c>
      <c r="B1229" s="0" t="n">
        <v>2021</v>
      </c>
      <c r="C1229" s="0" t="s">
        <v>57</v>
      </c>
      <c r="D1229" s="0" t="n">
        <v>251487</v>
      </c>
      <c r="E1229" s="0" t="s">
        <v>382</v>
      </c>
      <c r="G1229" s="0" t="s">
        <v>150</v>
      </c>
    </row>
    <row r="1230" customFormat="false" ht="15" hidden="false" customHeight="false" outlineLevel="0" collapsed="false">
      <c r="A1230" s="0" t="s">
        <v>138</v>
      </c>
      <c r="B1230" s="0" t="n">
        <v>2021</v>
      </c>
      <c r="C1230" s="0" t="s">
        <v>58</v>
      </c>
      <c r="D1230" s="0" t="n">
        <v>252140</v>
      </c>
      <c r="E1230" s="0" t="s">
        <v>382</v>
      </c>
      <c r="G1230" s="0" t="s">
        <v>150</v>
      </c>
    </row>
    <row r="1231" customFormat="false" ht="15" hidden="false" customHeight="false" outlineLevel="0" collapsed="false">
      <c r="A1231" s="0" t="s">
        <v>138</v>
      </c>
      <c r="B1231" s="0" t="n">
        <v>2021</v>
      </c>
      <c r="C1231" s="0" t="s">
        <v>59</v>
      </c>
      <c r="D1231" s="0" t="n">
        <v>2073758</v>
      </c>
      <c r="E1231" s="0" t="s">
        <v>382</v>
      </c>
      <c r="G1231" s="0" t="s">
        <v>150</v>
      </c>
    </row>
    <row r="1232" customFormat="false" ht="15" hidden="false" customHeight="false" outlineLevel="0" collapsed="false">
      <c r="A1232" s="0" t="s">
        <v>138</v>
      </c>
      <c r="B1232" s="0" t="n">
        <v>2021</v>
      </c>
      <c r="C1232" s="0" t="s">
        <v>60</v>
      </c>
      <c r="D1232" s="0" t="n">
        <v>899106</v>
      </c>
      <c r="E1232" s="0" t="s">
        <v>382</v>
      </c>
      <c r="G1232" s="0" t="s">
        <v>150</v>
      </c>
    </row>
    <row r="1233" customFormat="false" ht="15" hidden="false" customHeight="false" outlineLevel="0" collapsed="false">
      <c r="A1233" s="0" t="s">
        <v>138</v>
      </c>
      <c r="B1233" s="0" t="n">
        <v>2021</v>
      </c>
      <c r="C1233" s="0" t="s">
        <v>61</v>
      </c>
      <c r="D1233" s="0" t="n">
        <v>30266</v>
      </c>
      <c r="E1233" s="0" t="s">
        <v>382</v>
      </c>
      <c r="G1233" s="0" t="s">
        <v>150</v>
      </c>
    </row>
    <row r="1234" customFormat="false" ht="15" hidden="false" customHeight="false" outlineLevel="0" collapsed="false">
      <c r="A1234" s="0" t="s">
        <v>138</v>
      </c>
      <c r="B1234" s="0" t="n">
        <v>2021</v>
      </c>
      <c r="C1234" s="0" t="s">
        <v>62</v>
      </c>
      <c r="D1234" s="0" t="n">
        <v>868840</v>
      </c>
      <c r="E1234" s="0" t="s">
        <v>382</v>
      </c>
      <c r="G1234" s="0" t="s">
        <v>150</v>
      </c>
    </row>
    <row r="1235" customFormat="false" ht="15" hidden="false" customHeight="false" outlineLevel="0" collapsed="false">
      <c r="A1235" s="0" t="s">
        <v>138</v>
      </c>
      <c r="B1235" s="0" t="n">
        <v>2021</v>
      </c>
      <c r="C1235" s="0" t="s">
        <v>63</v>
      </c>
      <c r="D1235" s="0" t="n">
        <v>286</v>
      </c>
      <c r="E1235" s="0" t="s">
        <v>382</v>
      </c>
      <c r="G1235" s="0" t="s">
        <v>150</v>
      </c>
    </row>
    <row r="1236" customFormat="false" ht="15" hidden="false" customHeight="false" outlineLevel="0" collapsed="false">
      <c r="A1236" s="0" t="s">
        <v>138</v>
      </c>
      <c r="B1236" s="0" t="n">
        <v>2021</v>
      </c>
      <c r="C1236" s="0" t="s">
        <v>557</v>
      </c>
      <c r="D1236" s="0" t="n">
        <v>320</v>
      </c>
      <c r="E1236" s="0" t="s">
        <v>382</v>
      </c>
      <c r="G1236" s="0" t="s">
        <v>150</v>
      </c>
    </row>
    <row r="1237" customFormat="false" ht="15" hidden="false" customHeight="false" outlineLevel="0" collapsed="false">
      <c r="A1237" s="0" t="s">
        <v>138</v>
      </c>
      <c r="B1237" s="0" t="n">
        <v>2021</v>
      </c>
      <c r="C1237" s="0" t="s">
        <v>710</v>
      </c>
      <c r="D1237" s="0" t="n">
        <v>-34</v>
      </c>
      <c r="E1237" s="0" t="s">
        <v>382</v>
      </c>
      <c r="G1237" s="0" t="s">
        <v>150</v>
      </c>
    </row>
    <row r="1238" customFormat="false" ht="15" hidden="false" customHeight="false" outlineLevel="0" collapsed="false">
      <c r="A1238" s="0" t="s">
        <v>138</v>
      </c>
      <c r="B1238" s="0" t="n">
        <v>2021</v>
      </c>
      <c r="C1238" s="0" t="s">
        <v>64</v>
      </c>
      <c r="D1238" s="0" t="n">
        <v>38660</v>
      </c>
      <c r="E1238" s="0" t="s">
        <v>382</v>
      </c>
      <c r="G1238" s="0" t="s">
        <v>150</v>
      </c>
    </row>
    <row r="1239" customFormat="false" ht="15" hidden="false" customHeight="false" outlineLevel="0" collapsed="false">
      <c r="A1239" s="0" t="s">
        <v>138</v>
      </c>
      <c r="B1239" s="0" t="n">
        <v>2021</v>
      </c>
      <c r="C1239" s="0" t="s">
        <v>69</v>
      </c>
      <c r="D1239" s="0" t="n">
        <v>14.61</v>
      </c>
      <c r="E1239" s="0" t="s">
        <v>382</v>
      </c>
      <c r="G1239" s="0" t="s">
        <v>150</v>
      </c>
    </row>
    <row r="1240" customFormat="false" ht="15" hidden="false" customHeight="false" outlineLevel="0" collapsed="false">
      <c r="A1240" s="0" t="s">
        <v>138</v>
      </c>
      <c r="B1240" s="0" t="n">
        <v>2021</v>
      </c>
      <c r="C1240" s="0" t="s">
        <v>65</v>
      </c>
      <c r="D1240" s="0" t="n">
        <v>156040</v>
      </c>
      <c r="E1240" s="0" t="s">
        <v>382</v>
      </c>
      <c r="G1240" s="0" t="s">
        <v>150</v>
      </c>
    </row>
    <row r="1241" customFormat="false" ht="15" hidden="false" customHeight="false" outlineLevel="0" collapsed="false">
      <c r="A1241" s="0" t="s">
        <v>138</v>
      </c>
      <c r="B1241" s="0" t="n">
        <v>2021</v>
      </c>
      <c r="C1241" s="0" t="s">
        <v>66</v>
      </c>
      <c r="D1241" s="0" t="n">
        <v>1068135</v>
      </c>
      <c r="E1241" s="0" t="s">
        <v>382</v>
      </c>
      <c r="G1241" s="0" t="s">
        <v>150</v>
      </c>
    </row>
    <row r="1242" customFormat="false" ht="15" hidden="false" customHeight="false" outlineLevel="0" collapsed="false">
      <c r="A1242" s="0" t="s">
        <v>138</v>
      </c>
      <c r="B1242" s="0" t="n">
        <v>2021</v>
      </c>
      <c r="C1242" s="0" t="s">
        <v>67</v>
      </c>
      <c r="D1242" s="0" t="n">
        <v>62064</v>
      </c>
      <c r="E1242" s="0" t="s">
        <v>382</v>
      </c>
      <c r="G1242" s="0" t="s">
        <v>150</v>
      </c>
    </row>
    <row r="1243" customFormat="false" ht="15" hidden="false" customHeight="false" outlineLevel="0" collapsed="false">
      <c r="A1243" s="0" t="s">
        <v>138</v>
      </c>
      <c r="B1243" s="0" t="n">
        <v>2021</v>
      </c>
      <c r="C1243" s="0" t="s">
        <v>68</v>
      </c>
      <c r="D1243" s="0" t="n">
        <v>13274</v>
      </c>
      <c r="E1243" s="0" t="s">
        <v>382</v>
      </c>
      <c r="G1243" s="0" t="s">
        <v>150</v>
      </c>
    </row>
    <row r="1244" customFormat="false" ht="15" hidden="false" customHeight="false" outlineLevel="0" collapsed="false">
      <c r="A1244" s="0" t="s">
        <v>138</v>
      </c>
      <c r="B1244" s="0" t="n">
        <v>2021</v>
      </c>
      <c r="C1244" s="0" t="s">
        <v>402</v>
      </c>
      <c r="D1244" s="0" t="n">
        <v>20532</v>
      </c>
      <c r="E1244" s="0" t="s">
        <v>382</v>
      </c>
      <c r="G1244" s="0" t="s">
        <v>150</v>
      </c>
    </row>
    <row r="1245" customFormat="false" ht="15" hidden="false" customHeight="false" outlineLevel="0" collapsed="false">
      <c r="A1245" s="0" t="s">
        <v>138</v>
      </c>
      <c r="B1245" s="0" t="n">
        <v>2021</v>
      </c>
      <c r="C1245" s="0" t="s">
        <v>670</v>
      </c>
      <c r="D1245" s="0" t="n">
        <v>175006</v>
      </c>
      <c r="E1245" s="0" t="s">
        <v>382</v>
      </c>
      <c r="G1245" s="0" t="s">
        <v>150</v>
      </c>
    </row>
    <row r="1246" customFormat="false" ht="15" hidden="false" customHeight="false" outlineLevel="0" collapsed="false">
      <c r="A1246" s="0" t="s">
        <v>138</v>
      </c>
      <c r="B1246" s="0" t="n">
        <v>2021</v>
      </c>
      <c r="C1246" s="0" t="s">
        <v>19</v>
      </c>
      <c r="D1246" s="0" t="n">
        <v>2320599.5</v>
      </c>
      <c r="E1246" s="0" t="s">
        <v>383</v>
      </c>
    </row>
    <row r="1247" customFormat="false" ht="15" hidden="false" customHeight="false" outlineLevel="0" collapsed="false">
      <c r="A1247" s="0" t="s">
        <v>138</v>
      </c>
      <c r="B1247" s="0" t="n">
        <v>2021</v>
      </c>
      <c r="C1247" s="0" t="s">
        <v>41</v>
      </c>
      <c r="D1247" s="0" t="n">
        <v>0.826510563326416</v>
      </c>
      <c r="E1247" s="0" t="s">
        <v>383</v>
      </c>
    </row>
    <row r="1248" customFormat="false" ht="15" hidden="false" customHeight="false" outlineLevel="0" collapsed="false">
      <c r="A1248" s="0" t="s">
        <v>138</v>
      </c>
      <c r="B1248" s="0" t="n">
        <v>2021</v>
      </c>
      <c r="C1248" s="0" t="s">
        <v>27</v>
      </c>
      <c r="D1248" s="0" t="n">
        <v>9.79523969586838</v>
      </c>
      <c r="E1248" s="0" t="s">
        <v>383</v>
      </c>
    </row>
    <row r="1249" customFormat="false" ht="15" hidden="false" customHeight="false" outlineLevel="0" collapsed="false">
      <c r="A1249" s="0" t="s">
        <v>138</v>
      </c>
      <c r="B1249" s="0" t="n">
        <v>2021</v>
      </c>
      <c r="C1249" s="0" t="s">
        <v>39</v>
      </c>
      <c r="D1249" s="0" t="n">
        <v>10.8652957996414</v>
      </c>
      <c r="E1249" s="0" t="s">
        <v>383</v>
      </c>
    </row>
    <row r="1250" customFormat="false" ht="15" hidden="false" customHeight="false" outlineLevel="0" collapsed="false">
      <c r="A1250" s="0" t="s">
        <v>138</v>
      </c>
      <c r="B1250" s="0" t="n">
        <v>2021</v>
      </c>
      <c r="C1250" s="0" t="s">
        <v>17</v>
      </c>
      <c r="D1250" s="0" t="n">
        <v>3.36623268001771</v>
      </c>
      <c r="E1250" s="0" t="s">
        <v>383</v>
      </c>
    </row>
    <row r="1251" customFormat="false" ht="15" hidden="false" customHeight="false" outlineLevel="0" collapsed="false">
      <c r="A1251" s="0" t="s">
        <v>138</v>
      </c>
      <c r="B1251" s="0" t="n">
        <v>2021</v>
      </c>
      <c r="C1251" s="0" t="s">
        <v>25</v>
      </c>
      <c r="D1251" s="0" t="n">
        <v>14.6086402935959</v>
      </c>
      <c r="E1251" s="0" t="s">
        <v>383</v>
      </c>
    </row>
    <row r="1252" customFormat="false" ht="15" hidden="false" customHeight="false" outlineLevel="0" collapsed="false">
      <c r="A1252" s="0" t="s">
        <v>138</v>
      </c>
      <c r="B1252" s="0" t="n">
        <v>2021</v>
      </c>
      <c r="C1252" s="0" t="s">
        <v>29</v>
      </c>
      <c r="D1252" s="0" t="n">
        <v>0.0123244015177975</v>
      </c>
      <c r="E1252" s="0" t="s">
        <v>383</v>
      </c>
    </row>
    <row r="1253" customFormat="false" ht="15" hidden="false" customHeight="false" outlineLevel="0" collapsed="false">
      <c r="A1253" s="0" t="s">
        <v>138</v>
      </c>
      <c r="B1253" s="0" t="n">
        <v>2021</v>
      </c>
      <c r="C1253" s="0" t="s">
        <v>23</v>
      </c>
      <c r="D1253" s="0" t="n">
        <v>78.2876357992757</v>
      </c>
      <c r="E1253" s="0" t="s">
        <v>383</v>
      </c>
    </row>
    <row r="1254" customFormat="false" ht="15" hidden="false" customHeight="false" outlineLevel="0" collapsed="false">
      <c r="A1254" s="0" t="s">
        <v>138</v>
      </c>
      <c r="B1254" s="0" t="n">
        <v>2021</v>
      </c>
      <c r="C1254" s="0" t="s">
        <v>37</v>
      </c>
      <c r="D1254" s="0" t="n">
        <v>4.29982671676087</v>
      </c>
      <c r="E1254" s="0" t="s">
        <v>383</v>
      </c>
    </row>
    <row r="1255" customFormat="false" ht="15" hidden="false" customHeight="false" outlineLevel="0" collapsed="false">
      <c r="A1255" s="0" t="s">
        <v>138</v>
      </c>
      <c r="B1255" s="0" t="n">
        <v>2021</v>
      </c>
      <c r="C1255" s="0" t="s">
        <v>47</v>
      </c>
      <c r="D1255" s="0" t="n">
        <v>6.90285683779221</v>
      </c>
      <c r="E1255" s="0" t="s">
        <v>383</v>
      </c>
    </row>
    <row r="1256" customFormat="false" ht="15" hidden="false" customHeight="false" outlineLevel="0" collapsed="false">
      <c r="A1256" s="0" t="s">
        <v>138</v>
      </c>
      <c r="B1256" s="0" t="n">
        <v>2021</v>
      </c>
      <c r="C1256" s="0" t="s">
        <v>45</v>
      </c>
      <c r="D1256" s="0" t="n">
        <v>21.3875998968806</v>
      </c>
      <c r="E1256" s="0" t="s">
        <v>383</v>
      </c>
    </row>
    <row r="1257" customFormat="false" ht="15" hidden="false" customHeight="false" outlineLevel="0" collapsed="false">
      <c r="A1257" s="0" t="s">
        <v>138</v>
      </c>
      <c r="B1257" s="0" t="n">
        <v>2021</v>
      </c>
      <c r="C1257" s="0" t="s">
        <v>43</v>
      </c>
      <c r="D1257" s="0" t="n">
        <v>0.747047351818406</v>
      </c>
      <c r="E1257" s="0" t="s">
        <v>383</v>
      </c>
    </row>
    <row r="1258" customFormat="false" ht="15" hidden="false" customHeight="false" outlineLevel="0" collapsed="false">
      <c r="A1258" s="0" t="s">
        <v>138</v>
      </c>
      <c r="B1258" s="0" t="n">
        <v>2021</v>
      </c>
      <c r="C1258" s="0" t="s">
        <v>31</v>
      </c>
      <c r="D1258" s="0" t="n">
        <v>90.2047603041316</v>
      </c>
      <c r="E1258" s="0" t="s">
        <v>383</v>
      </c>
    </row>
    <row r="1259" customFormat="false" ht="15" hidden="false" customHeight="false" outlineLevel="0" collapsed="false">
      <c r="A1259" s="0" t="s">
        <v>138</v>
      </c>
      <c r="B1259" s="0" t="n">
        <v>2021</v>
      </c>
      <c r="C1259" s="0" t="s">
        <v>33</v>
      </c>
      <c r="D1259" s="0" t="n">
        <v>14.7584202409687</v>
      </c>
      <c r="E1259" s="0" t="s">
        <v>383</v>
      </c>
    </row>
    <row r="1260" customFormat="false" ht="15" hidden="false" customHeight="false" outlineLevel="0" collapsed="false">
      <c r="A1260" s="0" t="s">
        <v>138</v>
      </c>
      <c r="B1260" s="0" t="n">
        <v>2021</v>
      </c>
      <c r="C1260" s="0" t="s">
        <v>21</v>
      </c>
      <c r="D1260" s="0" t="n">
        <v>0</v>
      </c>
      <c r="E1260" s="0" t="s">
        <v>383</v>
      </c>
    </row>
    <row r="1261" customFormat="false" ht="15" hidden="false" customHeight="false" outlineLevel="0" collapsed="false">
      <c r="A1261" s="0" t="s">
        <v>138</v>
      </c>
      <c r="B1261" s="0" t="n">
        <v>2021</v>
      </c>
      <c r="C1261" s="0" t="s">
        <v>35</v>
      </c>
      <c r="D1261" s="0" t="n">
        <v>0</v>
      </c>
      <c r="E1261" s="0" t="s">
        <v>383</v>
      </c>
    </row>
    <row r="1262" customFormat="false" ht="15" hidden="false" customHeight="false" outlineLevel="0" collapsed="false">
      <c r="A1262" s="0" t="s">
        <v>138</v>
      </c>
      <c r="B1262" s="0" t="n">
        <v>2022</v>
      </c>
      <c r="C1262" s="0" t="s">
        <v>54</v>
      </c>
      <c r="D1262" s="0" t="n">
        <v>29009</v>
      </c>
      <c r="E1262" s="0" t="s">
        <v>382</v>
      </c>
      <c r="G1262" s="0" t="s">
        <v>151</v>
      </c>
    </row>
    <row r="1263" customFormat="false" ht="15" hidden="false" customHeight="false" outlineLevel="0" collapsed="false">
      <c r="A1263" s="0" t="s">
        <v>138</v>
      </c>
      <c r="B1263" s="0" t="n">
        <v>2022</v>
      </c>
      <c r="C1263" s="0" t="s">
        <v>55</v>
      </c>
      <c r="D1263" s="0" t="n">
        <v>2793674</v>
      </c>
      <c r="E1263" s="0" t="s">
        <v>382</v>
      </c>
      <c r="G1263" s="0" t="s">
        <v>151</v>
      </c>
    </row>
    <row r="1264" customFormat="false" ht="15" hidden="false" customHeight="false" outlineLevel="0" collapsed="false">
      <c r="A1264" s="0" t="s">
        <v>138</v>
      </c>
      <c r="B1264" s="0" t="n">
        <v>2022</v>
      </c>
      <c r="C1264" s="0" t="s">
        <v>56</v>
      </c>
      <c r="D1264" s="0" t="n">
        <v>2503824</v>
      </c>
      <c r="E1264" s="0" t="s">
        <v>382</v>
      </c>
      <c r="G1264" s="0" t="s">
        <v>151</v>
      </c>
    </row>
    <row r="1265" customFormat="false" ht="15" hidden="false" customHeight="false" outlineLevel="0" collapsed="false">
      <c r="A1265" s="0" t="s">
        <v>138</v>
      </c>
      <c r="B1265" s="0" t="n">
        <v>2022</v>
      </c>
      <c r="C1265" s="0" t="s">
        <v>57</v>
      </c>
      <c r="D1265" s="0" t="n">
        <v>289850</v>
      </c>
      <c r="E1265" s="0" t="s">
        <v>382</v>
      </c>
      <c r="G1265" s="0" t="s">
        <v>151</v>
      </c>
    </row>
    <row r="1266" customFormat="false" ht="15" hidden="false" customHeight="false" outlineLevel="0" collapsed="false">
      <c r="A1266" s="0" t="s">
        <v>138</v>
      </c>
      <c r="B1266" s="0" t="n">
        <v>2022</v>
      </c>
      <c r="C1266" s="0" t="s">
        <v>58</v>
      </c>
      <c r="D1266" s="0" t="n">
        <v>80277</v>
      </c>
      <c r="E1266" s="0" t="s">
        <v>382</v>
      </c>
      <c r="G1266" s="0" t="s">
        <v>151</v>
      </c>
    </row>
    <row r="1267" customFormat="false" ht="15" hidden="false" customHeight="false" outlineLevel="0" collapsed="false">
      <c r="A1267" s="0" t="s">
        <v>138</v>
      </c>
      <c r="B1267" s="0" t="n">
        <v>2022</v>
      </c>
      <c r="C1267" s="0" t="s">
        <v>59</v>
      </c>
      <c r="D1267" s="0" t="n">
        <v>2567441</v>
      </c>
      <c r="E1267" s="0" t="s">
        <v>382</v>
      </c>
      <c r="G1267" s="0" t="s">
        <v>151</v>
      </c>
    </row>
    <row r="1268" customFormat="false" ht="15" hidden="false" customHeight="false" outlineLevel="0" collapsed="false">
      <c r="A1268" s="0" t="s">
        <v>138</v>
      </c>
      <c r="B1268" s="0" t="n">
        <v>2022</v>
      </c>
      <c r="C1268" s="0" t="s">
        <v>60</v>
      </c>
      <c r="D1268" s="0" t="n">
        <v>1000903</v>
      </c>
      <c r="E1268" s="0" t="s">
        <v>382</v>
      </c>
      <c r="G1268" s="0" t="s">
        <v>151</v>
      </c>
    </row>
    <row r="1269" customFormat="false" ht="15" hidden="false" customHeight="false" outlineLevel="0" collapsed="false">
      <c r="A1269" s="0" t="s">
        <v>138</v>
      </c>
      <c r="B1269" s="0" t="n">
        <v>2022</v>
      </c>
      <c r="C1269" s="0" t="s">
        <v>61</v>
      </c>
      <c r="D1269" s="0" t="n">
        <v>32015</v>
      </c>
      <c r="E1269" s="0" t="s">
        <v>382</v>
      </c>
      <c r="G1269" s="0" t="s">
        <v>151</v>
      </c>
    </row>
    <row r="1270" customFormat="false" ht="15" hidden="false" customHeight="false" outlineLevel="0" collapsed="false">
      <c r="A1270" s="0" t="s">
        <v>138</v>
      </c>
      <c r="B1270" s="0" t="n">
        <v>2022</v>
      </c>
      <c r="C1270" s="0" t="s">
        <v>62</v>
      </c>
      <c r="D1270" s="0" t="n">
        <v>968888</v>
      </c>
      <c r="E1270" s="0" t="s">
        <v>382</v>
      </c>
      <c r="G1270" s="0" t="s">
        <v>151</v>
      </c>
    </row>
    <row r="1271" customFormat="false" ht="15" hidden="false" customHeight="false" outlineLevel="0" collapsed="false">
      <c r="A1271" s="0" t="s">
        <v>138</v>
      </c>
      <c r="B1271" s="0" t="n">
        <v>2022</v>
      </c>
      <c r="C1271" s="0" t="s">
        <v>63</v>
      </c>
      <c r="D1271" s="0" t="n">
        <v>4475</v>
      </c>
      <c r="E1271" s="0" t="s">
        <v>382</v>
      </c>
      <c r="G1271" s="0" t="s">
        <v>151</v>
      </c>
    </row>
    <row r="1272" customFormat="false" ht="15" hidden="false" customHeight="false" outlineLevel="0" collapsed="false">
      <c r="A1272" s="0" t="s">
        <v>138</v>
      </c>
      <c r="B1272" s="0" t="n">
        <v>2022</v>
      </c>
      <c r="C1272" s="0" t="s">
        <v>557</v>
      </c>
      <c r="D1272" s="0" t="n">
        <v>1266</v>
      </c>
      <c r="E1272" s="0" t="s">
        <v>382</v>
      </c>
      <c r="G1272" s="0" t="s">
        <v>151</v>
      </c>
    </row>
    <row r="1273" customFormat="false" ht="15" hidden="false" customHeight="false" outlineLevel="0" collapsed="false">
      <c r="A1273" s="0" t="s">
        <v>138</v>
      </c>
      <c r="B1273" s="0" t="n">
        <v>2022</v>
      </c>
      <c r="C1273" s="0" t="s">
        <v>710</v>
      </c>
      <c r="D1273" s="0" t="n">
        <v>3209</v>
      </c>
      <c r="E1273" s="0" t="s">
        <v>382</v>
      </c>
      <c r="G1273" s="0" t="s">
        <v>151</v>
      </c>
    </row>
    <row r="1274" customFormat="false" ht="15" hidden="false" customHeight="false" outlineLevel="0" collapsed="false">
      <c r="A1274" s="0" t="s">
        <v>138</v>
      </c>
      <c r="B1274" s="0" t="n">
        <v>2022</v>
      </c>
      <c r="C1274" s="0" t="s">
        <v>64</v>
      </c>
      <c r="D1274" s="0" t="n">
        <v>40276</v>
      </c>
      <c r="E1274" s="0" t="s">
        <v>382</v>
      </c>
      <c r="G1274" s="0" t="s">
        <v>151</v>
      </c>
    </row>
    <row r="1275" customFormat="false" ht="15" hidden="false" customHeight="false" outlineLevel="0" collapsed="false">
      <c r="A1275" s="0" t="s">
        <v>138</v>
      </c>
      <c r="B1275" s="0" t="n">
        <v>2022</v>
      </c>
      <c r="C1275" s="0" t="s">
        <v>69</v>
      </c>
      <c r="D1275" s="0" t="n">
        <v>14.42</v>
      </c>
      <c r="E1275" s="0" t="s">
        <v>382</v>
      </c>
      <c r="G1275" s="0" t="s">
        <v>151</v>
      </c>
    </row>
    <row r="1276" customFormat="false" ht="15" hidden="false" customHeight="false" outlineLevel="0" collapsed="false">
      <c r="A1276" s="0" t="s">
        <v>138</v>
      </c>
      <c r="B1276" s="0" t="n">
        <v>2022</v>
      </c>
      <c r="C1276" s="0" t="s">
        <v>70</v>
      </c>
      <c r="D1276" s="0" t="n">
        <v>10</v>
      </c>
      <c r="E1276" s="0" t="s">
        <v>382</v>
      </c>
      <c r="G1276" s="0" t="s">
        <v>151</v>
      </c>
    </row>
    <row r="1277" customFormat="false" ht="15" hidden="false" customHeight="false" outlineLevel="0" collapsed="false">
      <c r="A1277" s="0" t="s">
        <v>138</v>
      </c>
      <c r="B1277" s="0" t="n">
        <v>2022</v>
      </c>
      <c r="C1277" s="0" t="s">
        <v>65</v>
      </c>
      <c r="D1277" s="0" t="n">
        <v>180613</v>
      </c>
      <c r="E1277" s="0" t="s">
        <v>382</v>
      </c>
      <c r="G1277" s="0" t="s">
        <v>151</v>
      </c>
    </row>
    <row r="1278" customFormat="false" ht="15" hidden="false" customHeight="false" outlineLevel="0" collapsed="false">
      <c r="A1278" s="0" t="s">
        <v>138</v>
      </c>
      <c r="B1278" s="0" t="n">
        <v>2022</v>
      </c>
      <c r="C1278" s="0" t="s">
        <v>66</v>
      </c>
      <c r="D1278" s="0" t="n">
        <v>1252579</v>
      </c>
      <c r="E1278" s="0" t="s">
        <v>382</v>
      </c>
      <c r="G1278" s="0" t="s">
        <v>151</v>
      </c>
    </row>
    <row r="1279" customFormat="false" ht="15" hidden="false" customHeight="false" outlineLevel="0" collapsed="false">
      <c r="A1279" s="0" t="s">
        <v>138</v>
      </c>
      <c r="B1279" s="0" t="n">
        <v>2022</v>
      </c>
      <c r="C1279" s="0" t="s">
        <v>73</v>
      </c>
      <c r="D1279" s="0" t="n">
        <v>0</v>
      </c>
      <c r="E1279" s="0" t="s">
        <v>400</v>
      </c>
      <c r="F1279" s="0" t="s">
        <v>301</v>
      </c>
      <c r="G1279" s="0" t="s">
        <v>509</v>
      </c>
      <c r="H1279" s="0" t="s">
        <v>305</v>
      </c>
    </row>
    <row r="1280" customFormat="false" ht="15" hidden="false" customHeight="false" outlineLevel="0" collapsed="false">
      <c r="A1280" s="0" t="s">
        <v>138</v>
      </c>
      <c r="B1280" s="0" t="n">
        <v>2022</v>
      </c>
      <c r="C1280" s="0" t="s">
        <v>67</v>
      </c>
      <c r="D1280" s="0" t="n">
        <v>74070</v>
      </c>
      <c r="E1280" s="0" t="s">
        <v>382</v>
      </c>
      <c r="G1280" s="0" t="s">
        <v>151</v>
      </c>
    </row>
    <row r="1281" customFormat="false" ht="15" hidden="false" customHeight="false" outlineLevel="0" collapsed="false">
      <c r="A1281" s="0" t="s">
        <v>138</v>
      </c>
      <c r="B1281" s="0" t="n">
        <v>2022</v>
      </c>
      <c r="C1281" s="0" t="s">
        <v>402</v>
      </c>
      <c r="D1281" s="0" t="n">
        <v>30206</v>
      </c>
      <c r="E1281" s="0" t="s">
        <v>382</v>
      </c>
      <c r="G1281" s="0" t="s">
        <v>151</v>
      </c>
    </row>
    <row r="1282" customFormat="false" ht="15" hidden="false" customHeight="false" outlineLevel="0" collapsed="false">
      <c r="A1282" s="0" t="s">
        <v>138</v>
      </c>
      <c r="B1282" s="0" t="n">
        <v>2022</v>
      </c>
      <c r="C1282" s="0" t="s">
        <v>670</v>
      </c>
      <c r="D1282" s="0" t="n">
        <v>208171</v>
      </c>
      <c r="E1282" s="0" t="s">
        <v>382</v>
      </c>
      <c r="G1282" s="0" t="s">
        <v>151</v>
      </c>
    </row>
    <row r="1283" customFormat="false" ht="15" hidden="false" customHeight="false" outlineLevel="0" collapsed="false">
      <c r="A1283" s="0" t="s">
        <v>138</v>
      </c>
      <c r="B1283" s="0" t="n">
        <v>2022</v>
      </c>
      <c r="C1283" s="0" t="s">
        <v>19</v>
      </c>
      <c r="D1283" s="0" t="n">
        <v>2680557.5</v>
      </c>
      <c r="E1283" s="0" t="s">
        <v>383</v>
      </c>
    </row>
    <row r="1284" customFormat="false" ht="15" hidden="false" customHeight="false" outlineLevel="0" collapsed="false">
      <c r="A1284" s="0" t="s">
        <v>138</v>
      </c>
      <c r="B1284" s="0" t="n">
        <v>2022</v>
      </c>
      <c r="C1284" s="0" t="s">
        <v>41</v>
      </c>
      <c r="D1284" s="0" t="n">
        <v>1.0822002512537</v>
      </c>
      <c r="E1284" s="0" t="s">
        <v>383</v>
      </c>
    </row>
    <row r="1285" customFormat="false" ht="15" hidden="false" customHeight="false" outlineLevel="0" collapsed="false">
      <c r="A1285" s="0" t="s">
        <v>138</v>
      </c>
      <c r="B1285" s="0" t="n">
        <v>2022</v>
      </c>
      <c r="C1285" s="0" t="s">
        <v>27</v>
      </c>
      <c r="D1285" s="0" t="n">
        <v>10.3752263148814</v>
      </c>
      <c r="E1285" s="0" t="s">
        <v>383</v>
      </c>
    </row>
    <row r="1286" customFormat="false" ht="15" hidden="false" customHeight="false" outlineLevel="0" collapsed="false">
      <c r="A1286" s="0" t="s">
        <v>138</v>
      </c>
      <c r="B1286" s="0" t="n">
        <v>2022</v>
      </c>
      <c r="C1286" s="0" t="s">
        <v>39</v>
      </c>
      <c r="D1286" s="0" t="n">
        <v>2.99478746492101</v>
      </c>
      <c r="E1286" s="0" t="s">
        <v>383</v>
      </c>
    </row>
    <row r="1287" customFormat="false" ht="15" hidden="false" customHeight="false" outlineLevel="0" collapsed="false">
      <c r="A1287" s="0" t="s">
        <v>138</v>
      </c>
      <c r="B1287" s="0" t="n">
        <v>2022</v>
      </c>
      <c r="C1287" s="0" t="s">
        <v>17</v>
      </c>
      <c r="D1287" s="0" t="n">
        <v>3.19861165367673</v>
      </c>
      <c r="E1287" s="0" t="s">
        <v>383</v>
      </c>
    </row>
    <row r="1288" customFormat="false" ht="15" hidden="false" customHeight="false" outlineLevel="0" collapsed="false">
      <c r="A1288" s="0" t="s">
        <v>138</v>
      </c>
      <c r="B1288" s="0" t="n">
        <v>2022</v>
      </c>
      <c r="C1288" s="0" t="s">
        <v>25</v>
      </c>
      <c r="D1288" s="0" t="n">
        <v>14.4192901206231</v>
      </c>
      <c r="E1288" s="0" t="s">
        <v>383</v>
      </c>
    </row>
    <row r="1289" customFormat="false" ht="15" hidden="false" customHeight="false" outlineLevel="0" collapsed="false">
      <c r="A1289" s="0" t="s">
        <v>138</v>
      </c>
      <c r="B1289" s="0" t="n">
        <v>2022</v>
      </c>
      <c r="C1289" s="0" t="s">
        <v>29</v>
      </c>
      <c r="D1289" s="0" t="n">
        <v>0.166942884082882</v>
      </c>
      <c r="E1289" s="0" t="s">
        <v>383</v>
      </c>
    </row>
    <row r="1290" customFormat="false" ht="15" hidden="false" customHeight="false" outlineLevel="0" collapsed="false">
      <c r="A1290" s="0" t="s">
        <v>138</v>
      </c>
      <c r="B1290" s="0" t="n">
        <v>2022</v>
      </c>
      <c r="C1290" s="0" t="s">
        <v>23</v>
      </c>
      <c r="D1290" s="0" t="n">
        <v>79.4890257225147</v>
      </c>
      <c r="E1290" s="0" t="s">
        <v>383</v>
      </c>
    </row>
    <row r="1291" customFormat="false" ht="15" hidden="false" customHeight="false" outlineLevel="0" collapsed="false">
      <c r="A1291" s="0" t="s">
        <v>138</v>
      </c>
      <c r="B1291" s="0" t="n">
        <v>2022</v>
      </c>
      <c r="C1291" s="0" t="s">
        <v>37</v>
      </c>
      <c r="D1291" s="0" t="n">
        <v>4.02396635837838</v>
      </c>
      <c r="E1291" s="0" t="s">
        <v>383</v>
      </c>
    </row>
    <row r="1292" customFormat="false" ht="15" hidden="false" customHeight="false" outlineLevel="0" collapsed="false">
      <c r="A1292" s="0" t="s">
        <v>138</v>
      </c>
      <c r="B1292" s="0" t="n">
        <v>2022</v>
      </c>
      <c r="C1292" s="0" t="s">
        <v>47</v>
      </c>
      <c r="D1292" s="0" t="n">
        <v>7.4003175132855</v>
      </c>
      <c r="E1292" s="0" t="s">
        <v>383</v>
      </c>
    </row>
    <row r="1293" customFormat="false" ht="15" hidden="false" customHeight="false" outlineLevel="0" collapsed="false">
      <c r="A1293" s="0" t="s">
        <v>138</v>
      </c>
      <c r="B1293" s="0" t="n">
        <v>2022</v>
      </c>
      <c r="C1293" s="0" t="s">
        <v>43</v>
      </c>
      <c r="D1293" s="0" t="n">
        <v>1.03838171526098</v>
      </c>
      <c r="E1293" s="0" t="s">
        <v>383</v>
      </c>
    </row>
    <row r="1294" customFormat="false" ht="15" hidden="false" customHeight="false" outlineLevel="0" collapsed="false">
      <c r="A1294" s="0" t="s">
        <v>138</v>
      </c>
      <c r="B1294" s="0" t="n">
        <v>2022</v>
      </c>
      <c r="C1294" s="0" t="s">
        <v>31</v>
      </c>
      <c r="D1294" s="0" t="n">
        <v>89.6247736851186</v>
      </c>
      <c r="E1294" s="0" t="s">
        <v>383</v>
      </c>
    </row>
    <row r="1295" customFormat="false" ht="15" hidden="false" customHeight="false" outlineLevel="0" collapsed="false">
      <c r="A1295" s="0" t="s">
        <v>138</v>
      </c>
      <c r="B1295" s="0" t="n">
        <v>2022</v>
      </c>
      <c r="C1295" s="0" t="s">
        <v>33</v>
      </c>
      <c r="D1295" s="0" t="n">
        <v>14.8428681333946</v>
      </c>
      <c r="E1295" s="0" t="s">
        <v>383</v>
      </c>
    </row>
    <row r="1296" customFormat="false" ht="15" hidden="false" customHeight="false" outlineLevel="0" collapsed="false">
      <c r="A1296" s="0" t="s">
        <v>138</v>
      </c>
      <c r="B1296" s="0" t="n">
        <v>2022</v>
      </c>
      <c r="C1296" s="0" t="s">
        <v>21</v>
      </c>
      <c r="D1296" s="0" t="n">
        <v>0</v>
      </c>
      <c r="E1296" s="0" t="s">
        <v>383</v>
      </c>
    </row>
    <row r="1297" customFormat="false" ht="15" hidden="false" customHeight="false" outlineLevel="0" collapsed="false">
      <c r="A1297" s="0" t="s">
        <v>138</v>
      </c>
      <c r="B1297" s="0" t="n">
        <v>2022</v>
      </c>
      <c r="C1297" s="0" t="s">
        <v>35</v>
      </c>
      <c r="D1297" s="0" t="n">
        <v>0</v>
      </c>
      <c r="E1297" s="0" t="s">
        <v>383</v>
      </c>
    </row>
    <row r="1298" customFormat="false" ht="15" hidden="false" customHeight="false" outlineLevel="0" collapsed="false">
      <c r="A1298" s="0" t="s">
        <v>152</v>
      </c>
      <c r="B1298" s="0" t="n">
        <v>2018</v>
      </c>
      <c r="C1298" s="0" t="s">
        <v>54</v>
      </c>
      <c r="D1298" s="0" t="n">
        <v>-7695.32</v>
      </c>
      <c r="E1298" s="0" t="s">
        <v>382</v>
      </c>
      <c r="G1298" s="0" t="s">
        <v>81</v>
      </c>
    </row>
    <row r="1299" customFormat="false" ht="15" hidden="false" customHeight="false" outlineLevel="0" collapsed="false">
      <c r="A1299" s="0" t="s">
        <v>152</v>
      </c>
      <c r="B1299" s="0" t="n">
        <v>2018</v>
      </c>
      <c r="C1299" s="0" t="s">
        <v>55</v>
      </c>
      <c r="D1299" s="0" t="n">
        <v>210800.841</v>
      </c>
      <c r="E1299" s="0" t="s">
        <v>382</v>
      </c>
      <c r="G1299" s="0" t="s">
        <v>81</v>
      </c>
    </row>
    <row r="1300" customFormat="false" ht="15" hidden="false" customHeight="false" outlineLevel="0" collapsed="false">
      <c r="A1300" s="0" t="s">
        <v>152</v>
      </c>
      <c r="B1300" s="0" t="n">
        <v>2018</v>
      </c>
      <c r="C1300" s="0" t="s">
        <v>56</v>
      </c>
      <c r="D1300" s="0" t="n">
        <v>495175.495</v>
      </c>
      <c r="E1300" s="0" t="s">
        <v>382</v>
      </c>
      <c r="G1300" s="0" t="s">
        <v>81</v>
      </c>
    </row>
    <row r="1301" customFormat="false" ht="15" hidden="false" customHeight="false" outlineLevel="0" collapsed="false">
      <c r="A1301" s="0" t="s">
        <v>152</v>
      </c>
      <c r="B1301" s="0" t="n">
        <v>2018</v>
      </c>
      <c r="C1301" s="0" t="s">
        <v>57</v>
      </c>
      <c r="D1301" s="0" t="n">
        <v>-284374.654</v>
      </c>
      <c r="E1301" s="0" t="s">
        <v>382</v>
      </c>
      <c r="G1301" s="0" t="s">
        <v>81</v>
      </c>
    </row>
    <row r="1302" customFormat="false" ht="15" hidden="false" customHeight="false" outlineLevel="0" collapsed="false">
      <c r="A1302" s="0" t="s">
        <v>152</v>
      </c>
      <c r="B1302" s="0" t="n">
        <v>2018</v>
      </c>
      <c r="C1302" s="0" t="s">
        <v>58</v>
      </c>
      <c r="D1302" s="0" t="n">
        <v>-442.603</v>
      </c>
      <c r="E1302" s="0" t="s">
        <v>382</v>
      </c>
      <c r="G1302" s="0" t="s">
        <v>81</v>
      </c>
    </row>
    <row r="1303" customFormat="false" ht="15" hidden="false" customHeight="false" outlineLevel="0" collapsed="false">
      <c r="A1303" s="0" t="s">
        <v>152</v>
      </c>
      <c r="B1303" s="0" t="n">
        <v>2018</v>
      </c>
      <c r="C1303" s="0" t="s">
        <v>60</v>
      </c>
      <c r="D1303" s="0" t="n">
        <v>44841.156</v>
      </c>
      <c r="E1303" s="0" t="s">
        <v>382</v>
      </c>
      <c r="G1303" s="0" t="s">
        <v>81</v>
      </c>
    </row>
    <row r="1304" customFormat="false" ht="15" hidden="false" customHeight="false" outlineLevel="0" collapsed="false">
      <c r="A1304" s="0" t="s">
        <v>152</v>
      </c>
      <c r="B1304" s="0" t="n">
        <v>2018</v>
      </c>
      <c r="C1304" s="0" t="s">
        <v>61</v>
      </c>
      <c r="D1304" s="0" t="n">
        <v>744.197</v>
      </c>
      <c r="E1304" s="0" t="s">
        <v>382</v>
      </c>
      <c r="G1304" s="0" t="s">
        <v>81</v>
      </c>
    </row>
    <row r="1305" customFormat="false" ht="15" hidden="false" customHeight="false" outlineLevel="0" collapsed="false">
      <c r="A1305" s="0" t="s">
        <v>152</v>
      </c>
      <c r="B1305" s="0" t="n">
        <v>2018</v>
      </c>
      <c r="C1305" s="0" t="s">
        <v>63</v>
      </c>
      <c r="D1305" s="0" t="n">
        <v>5958.492</v>
      </c>
      <c r="E1305" s="0" t="s">
        <v>382</v>
      </c>
      <c r="G1305" s="0" t="s">
        <v>81</v>
      </c>
    </row>
    <row r="1306" customFormat="false" ht="15" hidden="false" customHeight="false" outlineLevel="0" collapsed="false">
      <c r="A1306" s="0" t="s">
        <v>152</v>
      </c>
      <c r="B1306" s="0" t="n">
        <v>2018</v>
      </c>
      <c r="C1306" s="0" t="s">
        <v>69</v>
      </c>
      <c r="D1306" s="0" t="n">
        <v>-214.8</v>
      </c>
      <c r="E1306" s="0" t="s">
        <v>382</v>
      </c>
      <c r="G1306" s="0" t="s">
        <v>81</v>
      </c>
    </row>
    <row r="1307" customFormat="false" ht="15" hidden="false" customHeight="false" outlineLevel="0" collapsed="false">
      <c r="A1307" s="0" t="s">
        <v>152</v>
      </c>
      <c r="B1307" s="0" t="n">
        <v>2018</v>
      </c>
      <c r="C1307" s="0" t="s">
        <v>591</v>
      </c>
      <c r="D1307" s="0" t="n">
        <v>-213.68</v>
      </c>
      <c r="E1307" s="0" t="s">
        <v>382</v>
      </c>
      <c r="G1307" s="0" t="s">
        <v>81</v>
      </c>
    </row>
    <row r="1308" customFormat="false" ht="15" hidden="false" customHeight="false" outlineLevel="0" collapsed="false">
      <c r="A1308" s="0" t="s">
        <v>152</v>
      </c>
      <c r="B1308" s="0" t="n">
        <v>2018</v>
      </c>
      <c r="C1308" s="0" t="s">
        <v>70</v>
      </c>
      <c r="D1308" s="0" t="n">
        <v>10</v>
      </c>
      <c r="E1308" s="0" t="s">
        <v>382</v>
      </c>
      <c r="G1308" s="0" t="s">
        <v>81</v>
      </c>
    </row>
    <row r="1309" customFormat="false" ht="15" hidden="false" customHeight="false" outlineLevel="0" collapsed="false">
      <c r="A1309" s="0" t="s">
        <v>152</v>
      </c>
      <c r="B1309" s="0" t="n">
        <v>2018</v>
      </c>
      <c r="C1309" s="0" t="s">
        <v>27</v>
      </c>
      <c r="D1309" s="0" t="n">
        <v>-134.902049086227</v>
      </c>
      <c r="E1309" s="0" t="s">
        <v>383</v>
      </c>
    </row>
    <row r="1310" customFormat="false" ht="15" hidden="false" customHeight="false" outlineLevel="0" collapsed="false">
      <c r="A1310" s="0" t="s">
        <v>152</v>
      </c>
      <c r="B1310" s="0" t="n">
        <v>2018</v>
      </c>
      <c r="C1310" s="0" t="s">
        <v>17</v>
      </c>
      <c r="D1310" s="0" t="n">
        <v>1.65962938154404</v>
      </c>
      <c r="E1310" s="0" t="s">
        <v>383</v>
      </c>
    </row>
    <row r="1311" customFormat="false" ht="15" hidden="false" customHeight="false" outlineLevel="0" collapsed="false">
      <c r="A1311" s="0" t="s">
        <v>152</v>
      </c>
      <c r="B1311" s="0" t="n">
        <v>2018</v>
      </c>
      <c r="C1311" s="0" t="s">
        <v>43</v>
      </c>
      <c r="D1311" s="0" t="n">
        <v>-3.6505167453293</v>
      </c>
      <c r="E1311" s="0" t="s">
        <v>383</v>
      </c>
    </row>
    <row r="1312" customFormat="false" ht="15" hidden="false" customHeight="false" outlineLevel="0" collapsed="false">
      <c r="A1312" s="0" t="s">
        <v>152</v>
      </c>
      <c r="B1312" s="0" t="n">
        <v>2018</v>
      </c>
      <c r="C1312" s="0" t="s">
        <v>31</v>
      </c>
      <c r="D1312" s="0" t="n">
        <v>234.902049086227</v>
      </c>
      <c r="E1312" s="0" t="s">
        <v>383</v>
      </c>
    </row>
    <row r="1313" customFormat="false" ht="15" hidden="false" customHeight="false" outlineLevel="0" collapsed="false">
      <c r="A1313" s="0" t="s">
        <v>152</v>
      </c>
      <c r="B1313" s="0" t="n">
        <v>2018</v>
      </c>
      <c r="C1313" s="0" t="s">
        <v>33</v>
      </c>
      <c r="D1313" s="0" t="n">
        <v>12.258669085205</v>
      </c>
      <c r="E1313" s="0" t="s">
        <v>383</v>
      </c>
    </row>
    <row r="1314" customFormat="false" ht="15" hidden="false" customHeight="false" outlineLevel="0" collapsed="false">
      <c r="A1314" s="0" t="s">
        <v>152</v>
      </c>
      <c r="B1314" s="0" t="n">
        <v>2018</v>
      </c>
      <c r="C1314" s="0" t="s">
        <v>21</v>
      </c>
      <c r="D1314" s="0" t="n">
        <v>0</v>
      </c>
      <c r="E1314" s="0" t="s">
        <v>383</v>
      </c>
    </row>
    <row r="1315" customFormat="false" ht="15" hidden="false" customHeight="false" outlineLevel="0" collapsed="false">
      <c r="A1315" s="0" t="s">
        <v>152</v>
      </c>
      <c r="B1315" s="0" t="n">
        <v>2019</v>
      </c>
      <c r="C1315" s="0" t="s">
        <v>54</v>
      </c>
      <c r="D1315" s="0" t="n">
        <v>3383.189</v>
      </c>
      <c r="E1315" s="0" t="s">
        <v>382</v>
      </c>
      <c r="G1315" s="0" t="s">
        <v>81</v>
      </c>
    </row>
    <row r="1316" customFormat="false" ht="15" hidden="false" customHeight="false" outlineLevel="0" collapsed="false">
      <c r="A1316" s="0" t="s">
        <v>152</v>
      </c>
      <c r="B1316" s="0" t="n">
        <v>2019</v>
      </c>
      <c r="C1316" s="0" t="s">
        <v>55</v>
      </c>
      <c r="D1316" s="0" t="n">
        <v>293052.07</v>
      </c>
      <c r="E1316" s="0" t="s">
        <v>382</v>
      </c>
      <c r="G1316" s="0" t="s">
        <v>81</v>
      </c>
    </row>
    <row r="1317" customFormat="false" ht="15" hidden="false" customHeight="false" outlineLevel="0" collapsed="false">
      <c r="A1317" s="0" t="s">
        <v>152</v>
      </c>
      <c r="B1317" s="0" t="n">
        <v>2019</v>
      </c>
      <c r="C1317" s="0" t="s">
        <v>56</v>
      </c>
      <c r="D1317" s="0" t="n">
        <v>571907.958</v>
      </c>
      <c r="E1317" s="0" t="s">
        <v>382</v>
      </c>
      <c r="G1317" s="0" t="s">
        <v>81</v>
      </c>
    </row>
    <row r="1318" customFormat="false" ht="15" hidden="false" customHeight="false" outlineLevel="0" collapsed="false">
      <c r="A1318" s="0" t="s">
        <v>152</v>
      </c>
      <c r="B1318" s="0" t="n">
        <v>2019</v>
      </c>
      <c r="C1318" s="0" t="s">
        <v>57</v>
      </c>
      <c r="D1318" s="0" t="n">
        <v>-278855.888</v>
      </c>
      <c r="E1318" s="0" t="s">
        <v>382</v>
      </c>
      <c r="G1318" s="0" t="s">
        <v>81</v>
      </c>
    </row>
    <row r="1319" customFormat="false" ht="15" hidden="false" customHeight="false" outlineLevel="0" collapsed="false">
      <c r="A1319" s="0" t="s">
        <v>152</v>
      </c>
      <c r="B1319" s="0" t="n">
        <v>2019</v>
      </c>
      <c r="C1319" s="0" t="s">
        <v>58</v>
      </c>
      <c r="D1319" s="0" t="n">
        <v>-39427.662</v>
      </c>
      <c r="E1319" s="0" t="s">
        <v>382</v>
      </c>
      <c r="G1319" s="0" t="s">
        <v>81</v>
      </c>
    </row>
    <row r="1320" customFormat="false" ht="15" hidden="false" customHeight="false" outlineLevel="0" collapsed="false">
      <c r="A1320" s="0" t="s">
        <v>152</v>
      </c>
      <c r="B1320" s="0" t="n">
        <v>2019</v>
      </c>
      <c r="C1320" s="0" t="s">
        <v>59</v>
      </c>
      <c r="D1320" s="0" t="n">
        <v>210800.841</v>
      </c>
      <c r="E1320" s="0" t="s">
        <v>382</v>
      </c>
      <c r="G1320" s="0" t="s">
        <v>81</v>
      </c>
    </row>
    <row r="1321" customFormat="false" ht="15" hidden="false" customHeight="false" outlineLevel="0" collapsed="false">
      <c r="A1321" s="0" t="s">
        <v>152</v>
      </c>
      <c r="B1321" s="0" t="n">
        <v>2019</v>
      </c>
      <c r="C1321" s="0" t="s">
        <v>60</v>
      </c>
      <c r="D1321" s="0" t="n">
        <v>106913.813</v>
      </c>
      <c r="E1321" s="0" t="s">
        <v>382</v>
      </c>
      <c r="G1321" s="0" t="s">
        <v>81</v>
      </c>
    </row>
    <row r="1322" customFormat="false" ht="15" hidden="false" customHeight="false" outlineLevel="0" collapsed="false">
      <c r="A1322" s="0" t="s">
        <v>152</v>
      </c>
      <c r="B1322" s="0" t="n">
        <v>2019</v>
      </c>
      <c r="C1322" s="0" t="s">
        <v>61</v>
      </c>
      <c r="D1322" s="0" t="n">
        <v>2896.088</v>
      </c>
      <c r="E1322" s="0" t="s">
        <v>382</v>
      </c>
      <c r="G1322" s="0" t="s">
        <v>81</v>
      </c>
    </row>
    <row r="1323" customFormat="false" ht="15" hidden="false" customHeight="false" outlineLevel="0" collapsed="false">
      <c r="A1323" s="0" t="s">
        <v>152</v>
      </c>
      <c r="B1323" s="0" t="n">
        <v>2019</v>
      </c>
      <c r="C1323" s="0" t="s">
        <v>63</v>
      </c>
      <c r="D1323" s="0" t="n">
        <v>1921.923</v>
      </c>
      <c r="E1323" s="0" t="s">
        <v>382</v>
      </c>
      <c r="G1323" s="0" t="s">
        <v>81</v>
      </c>
    </row>
    <row r="1324" customFormat="false" ht="15" hidden="false" customHeight="false" outlineLevel="0" collapsed="false">
      <c r="A1324" s="0" t="s">
        <v>152</v>
      </c>
      <c r="B1324" s="0" t="n">
        <v>2019</v>
      </c>
      <c r="C1324" s="0" t="s">
        <v>69</v>
      </c>
      <c r="D1324" s="0" t="n">
        <v>-201.59</v>
      </c>
      <c r="E1324" s="0" t="s">
        <v>382</v>
      </c>
      <c r="G1324" s="0" t="s">
        <v>81</v>
      </c>
    </row>
    <row r="1325" customFormat="false" ht="15" hidden="false" customHeight="false" outlineLevel="0" collapsed="false">
      <c r="A1325" s="0" t="s">
        <v>152</v>
      </c>
      <c r="B1325" s="0" t="n">
        <v>2019</v>
      </c>
      <c r="C1325" s="0" t="s">
        <v>591</v>
      </c>
      <c r="D1325" s="0" t="n">
        <v>-200.88</v>
      </c>
      <c r="E1325" s="0" t="s">
        <v>382</v>
      </c>
      <c r="G1325" s="0" t="s">
        <v>81</v>
      </c>
    </row>
    <row r="1326" customFormat="false" ht="15" hidden="false" customHeight="false" outlineLevel="0" collapsed="false">
      <c r="A1326" s="0" t="s">
        <v>152</v>
      </c>
      <c r="B1326" s="0" t="n">
        <v>2019</v>
      </c>
      <c r="C1326" s="0" t="s">
        <v>70</v>
      </c>
      <c r="D1326" s="0" t="n">
        <v>10</v>
      </c>
      <c r="E1326" s="0" t="s">
        <v>382</v>
      </c>
      <c r="G1326" s="0" t="s">
        <v>81</v>
      </c>
    </row>
    <row r="1327" customFormat="false" ht="15" hidden="false" customHeight="false" outlineLevel="0" collapsed="false">
      <c r="A1327" s="0" t="s">
        <v>152</v>
      </c>
      <c r="B1327" s="0" t="n">
        <v>2019</v>
      </c>
      <c r="C1327" s="0" t="s">
        <v>73</v>
      </c>
      <c r="D1327" s="0" t="n">
        <v>1</v>
      </c>
      <c r="E1327" s="0" t="s">
        <v>382</v>
      </c>
      <c r="G1327" s="0" t="s">
        <v>81</v>
      </c>
      <c r="H1327" s="0" t="s">
        <v>713</v>
      </c>
    </row>
    <row r="1328" customFormat="false" ht="15" hidden="false" customHeight="false" outlineLevel="0" collapsed="false">
      <c r="A1328" s="0" t="s">
        <v>152</v>
      </c>
      <c r="B1328" s="0" t="n">
        <v>2019</v>
      </c>
      <c r="C1328" s="0" t="s">
        <v>19</v>
      </c>
      <c r="D1328" s="0" t="n">
        <v>251926.4555</v>
      </c>
      <c r="E1328" s="0" t="s">
        <v>383</v>
      </c>
    </row>
    <row r="1329" customFormat="false" ht="15" hidden="false" customHeight="false" outlineLevel="0" collapsed="false">
      <c r="A1329" s="0" t="s">
        <v>152</v>
      </c>
      <c r="B1329" s="0" t="n">
        <v>2019</v>
      </c>
      <c r="C1329" s="0" t="s">
        <v>41</v>
      </c>
      <c r="D1329" s="0" t="n">
        <v>1.34292724171638</v>
      </c>
      <c r="E1329" s="0" t="s">
        <v>383</v>
      </c>
    </row>
    <row r="1330" customFormat="false" ht="15" hidden="false" customHeight="false" outlineLevel="0" collapsed="false">
      <c r="A1330" s="0" t="s">
        <v>152</v>
      </c>
      <c r="B1330" s="0" t="n">
        <v>2019</v>
      </c>
      <c r="C1330" s="0" t="s">
        <v>27</v>
      </c>
      <c r="D1330" s="0" t="n">
        <v>-95.1557475775551</v>
      </c>
      <c r="E1330" s="0" t="s">
        <v>383</v>
      </c>
    </row>
    <row r="1331" customFormat="false" ht="15" hidden="false" customHeight="false" outlineLevel="0" collapsed="false">
      <c r="A1331" s="0" t="s">
        <v>152</v>
      </c>
      <c r="B1331" s="0" t="n">
        <v>2019</v>
      </c>
      <c r="C1331" s="0" t="s">
        <v>39</v>
      </c>
      <c r="D1331" s="0" t="n">
        <v>-15.650465101709</v>
      </c>
      <c r="E1331" s="0" t="s">
        <v>383</v>
      </c>
    </row>
    <row r="1332" customFormat="false" ht="15" hidden="false" customHeight="false" outlineLevel="0" collapsed="false">
      <c r="A1332" s="0" t="s">
        <v>152</v>
      </c>
      <c r="B1332" s="0" t="n">
        <v>2019</v>
      </c>
      <c r="C1332" s="0" t="s">
        <v>17</v>
      </c>
      <c r="D1332" s="0" t="n">
        <v>2.70880620448922</v>
      </c>
      <c r="E1332" s="0" t="s">
        <v>383</v>
      </c>
    </row>
    <row r="1333" customFormat="false" ht="15" hidden="false" customHeight="false" outlineLevel="0" collapsed="false">
      <c r="A1333" s="0" t="s">
        <v>152</v>
      </c>
      <c r="B1333" s="0" t="n">
        <v>2019</v>
      </c>
      <c r="C1333" s="0" t="s">
        <v>29</v>
      </c>
      <c r="D1333" s="0" t="n">
        <v>0.762890501589262</v>
      </c>
      <c r="E1333" s="0" t="s">
        <v>383</v>
      </c>
    </row>
    <row r="1334" customFormat="false" ht="15" hidden="false" customHeight="false" outlineLevel="0" collapsed="false">
      <c r="A1334" s="0" t="s">
        <v>152</v>
      </c>
      <c r="B1334" s="0" t="n">
        <v>2019</v>
      </c>
      <c r="C1334" s="0" t="s">
        <v>43</v>
      </c>
      <c r="D1334" s="0" t="n">
        <v>1.15446684952609</v>
      </c>
      <c r="E1334" s="0" t="s">
        <v>383</v>
      </c>
    </row>
    <row r="1335" customFormat="false" ht="15" hidden="false" customHeight="false" outlineLevel="0" collapsed="false">
      <c r="A1335" s="0" t="s">
        <v>152</v>
      </c>
      <c r="B1335" s="0" t="n">
        <v>2019</v>
      </c>
      <c r="C1335" s="0" t="s">
        <v>31</v>
      </c>
      <c r="D1335" s="0" t="n">
        <v>195.155747577555</v>
      </c>
      <c r="E1335" s="0" t="s">
        <v>383</v>
      </c>
    </row>
    <row r="1336" customFormat="false" ht="15" hidden="false" customHeight="false" outlineLevel="0" collapsed="false">
      <c r="A1336" s="0" t="s">
        <v>152</v>
      </c>
      <c r="B1336" s="0" t="n">
        <v>2019</v>
      </c>
      <c r="C1336" s="0" t="s">
        <v>33</v>
      </c>
      <c r="D1336" s="0" t="n">
        <v>12.5881055855206</v>
      </c>
      <c r="E1336" s="0" t="s">
        <v>383</v>
      </c>
    </row>
    <row r="1337" customFormat="false" ht="15" hidden="false" customHeight="false" outlineLevel="0" collapsed="false">
      <c r="A1337" s="0" t="s">
        <v>152</v>
      </c>
      <c r="B1337" s="0" t="n">
        <v>2019</v>
      </c>
      <c r="C1337" s="0" t="s">
        <v>21</v>
      </c>
      <c r="D1337" s="0" t="n">
        <v>0</v>
      </c>
      <c r="E1337" s="0" t="s">
        <v>383</v>
      </c>
    </row>
    <row r="1338" customFormat="false" ht="15" hidden="false" customHeight="false" outlineLevel="0" collapsed="false">
      <c r="A1338" s="0" t="s">
        <v>154</v>
      </c>
      <c r="B1338" s="0" t="n">
        <v>2014</v>
      </c>
      <c r="C1338" s="0" t="s">
        <v>54</v>
      </c>
      <c r="D1338" s="0" t="n">
        <v>2372.445</v>
      </c>
      <c r="E1338" s="0" t="s">
        <v>382</v>
      </c>
      <c r="G1338" s="0" t="s">
        <v>81</v>
      </c>
    </row>
    <row r="1339" customFormat="false" ht="15" hidden="false" customHeight="false" outlineLevel="0" collapsed="false">
      <c r="A1339" s="0" t="s">
        <v>154</v>
      </c>
      <c r="B1339" s="0" t="n">
        <v>2014</v>
      </c>
      <c r="C1339" s="0" t="s">
        <v>55</v>
      </c>
      <c r="D1339" s="0" t="n">
        <v>382562.312</v>
      </c>
      <c r="E1339" s="0" t="s">
        <v>382</v>
      </c>
      <c r="G1339" s="0" t="s">
        <v>81</v>
      </c>
    </row>
    <row r="1340" customFormat="false" ht="15" hidden="false" customHeight="false" outlineLevel="0" collapsed="false">
      <c r="A1340" s="0" t="s">
        <v>154</v>
      </c>
      <c r="B1340" s="0" t="n">
        <v>2014</v>
      </c>
      <c r="C1340" s="0" t="s">
        <v>56</v>
      </c>
      <c r="D1340" s="0" t="n">
        <v>338793.663</v>
      </c>
      <c r="E1340" s="0" t="s">
        <v>382</v>
      </c>
      <c r="G1340" s="0" t="s">
        <v>81</v>
      </c>
    </row>
    <row r="1341" customFormat="false" ht="15" hidden="false" customHeight="false" outlineLevel="0" collapsed="false">
      <c r="A1341" s="0" t="s">
        <v>154</v>
      </c>
      <c r="B1341" s="0" t="n">
        <v>2014</v>
      </c>
      <c r="C1341" s="0" t="s">
        <v>57</v>
      </c>
      <c r="D1341" s="0" t="n">
        <v>43768.649</v>
      </c>
      <c r="E1341" s="0" t="s">
        <v>382</v>
      </c>
      <c r="G1341" s="0" t="s">
        <v>81</v>
      </c>
    </row>
    <row r="1342" customFormat="false" ht="15" hidden="false" customHeight="false" outlineLevel="0" collapsed="false">
      <c r="A1342" s="0" t="s">
        <v>154</v>
      </c>
      <c r="B1342" s="0" t="n">
        <v>2014</v>
      </c>
      <c r="C1342" s="0" t="s">
        <v>58</v>
      </c>
      <c r="D1342" s="0" t="n">
        <v>-40148.459</v>
      </c>
      <c r="E1342" s="0" t="s">
        <v>382</v>
      </c>
      <c r="G1342" s="0" t="s">
        <v>81</v>
      </c>
    </row>
    <row r="1343" customFormat="false" ht="15" hidden="false" customHeight="false" outlineLevel="0" collapsed="false">
      <c r="A1343" s="0" t="s">
        <v>154</v>
      </c>
      <c r="B1343" s="0" t="n">
        <v>2014</v>
      </c>
      <c r="C1343" s="0" t="s">
        <v>60</v>
      </c>
      <c r="D1343" s="0" t="n">
        <v>152292.015</v>
      </c>
      <c r="E1343" s="0" t="s">
        <v>382</v>
      </c>
      <c r="G1343" s="0" t="s">
        <v>81</v>
      </c>
    </row>
    <row r="1344" customFormat="false" ht="15" hidden="false" customHeight="false" outlineLevel="0" collapsed="false">
      <c r="A1344" s="0" t="s">
        <v>154</v>
      </c>
      <c r="B1344" s="0" t="n">
        <v>2014</v>
      </c>
      <c r="C1344" s="0" t="s">
        <v>61</v>
      </c>
      <c r="D1344" s="0" t="n">
        <v>2998.166</v>
      </c>
      <c r="E1344" s="0" t="s">
        <v>382</v>
      </c>
      <c r="G1344" s="0" t="s">
        <v>81</v>
      </c>
    </row>
    <row r="1345" customFormat="false" ht="15" hidden="false" customHeight="false" outlineLevel="0" collapsed="false">
      <c r="A1345" s="0" t="s">
        <v>154</v>
      </c>
      <c r="B1345" s="0" t="n">
        <v>2014</v>
      </c>
      <c r="C1345" s="0" t="s">
        <v>63</v>
      </c>
      <c r="D1345" s="0" t="n">
        <v>88.173</v>
      </c>
      <c r="E1345" s="0" t="s">
        <v>382</v>
      </c>
      <c r="G1345" s="0" t="s">
        <v>81</v>
      </c>
    </row>
    <row r="1346" customFormat="false" ht="15" hidden="false" customHeight="false" outlineLevel="0" collapsed="false">
      <c r="A1346" s="0" t="s">
        <v>154</v>
      </c>
      <c r="B1346" s="0" t="n">
        <v>2014</v>
      </c>
      <c r="C1346" s="0" t="s">
        <v>266</v>
      </c>
      <c r="D1346" s="0" t="n">
        <v>2.49</v>
      </c>
      <c r="E1346" s="0" t="s">
        <v>382</v>
      </c>
      <c r="G1346" s="0" t="s">
        <v>81</v>
      </c>
    </row>
    <row r="1347" customFormat="false" ht="15" hidden="false" customHeight="false" outlineLevel="0" collapsed="false">
      <c r="A1347" s="0" t="s">
        <v>154</v>
      </c>
      <c r="B1347" s="0" t="n">
        <v>2014</v>
      </c>
      <c r="C1347" s="0" t="s">
        <v>69</v>
      </c>
      <c r="D1347" s="0" t="n">
        <v>18.22</v>
      </c>
      <c r="E1347" s="0" t="s">
        <v>382</v>
      </c>
      <c r="G1347" s="0" t="s">
        <v>81</v>
      </c>
    </row>
    <row r="1348" customFormat="false" ht="15" hidden="false" customHeight="false" outlineLevel="0" collapsed="false">
      <c r="A1348" s="0" t="s">
        <v>154</v>
      </c>
      <c r="B1348" s="0" t="n">
        <v>2014</v>
      </c>
      <c r="C1348" s="0" t="s">
        <v>27</v>
      </c>
      <c r="D1348" s="0" t="n">
        <v>11.4409202441248</v>
      </c>
      <c r="E1348" s="0" t="s">
        <v>383</v>
      </c>
    </row>
    <row r="1349" customFormat="false" ht="15" hidden="false" customHeight="false" outlineLevel="0" collapsed="false">
      <c r="A1349" s="0" t="s">
        <v>154</v>
      </c>
      <c r="B1349" s="0" t="n">
        <v>2014</v>
      </c>
      <c r="C1349" s="0" t="s">
        <v>17</v>
      </c>
      <c r="D1349" s="0" t="n">
        <v>1.96869546968697</v>
      </c>
      <c r="E1349" s="0" t="s">
        <v>383</v>
      </c>
    </row>
    <row r="1350" customFormat="false" ht="15" hidden="false" customHeight="false" outlineLevel="0" collapsed="false">
      <c r="A1350" s="0" t="s">
        <v>154</v>
      </c>
      <c r="B1350" s="0" t="n">
        <v>2014</v>
      </c>
      <c r="C1350" s="0" t="s">
        <v>43</v>
      </c>
      <c r="D1350" s="0" t="n">
        <v>0.620146032576257</v>
      </c>
      <c r="E1350" s="0" t="s">
        <v>383</v>
      </c>
    </row>
    <row r="1351" customFormat="false" ht="15" hidden="false" customHeight="false" outlineLevel="0" collapsed="false">
      <c r="A1351" s="0" t="s">
        <v>154</v>
      </c>
      <c r="B1351" s="0" t="n">
        <v>2014</v>
      </c>
      <c r="C1351" s="0" t="s">
        <v>31</v>
      </c>
      <c r="D1351" s="0" t="n">
        <v>88.5590797558752</v>
      </c>
      <c r="E1351" s="0" t="s">
        <v>383</v>
      </c>
    </row>
    <row r="1352" customFormat="false" ht="15" hidden="false" customHeight="false" outlineLevel="0" collapsed="false">
      <c r="A1352" s="0" t="s">
        <v>154</v>
      </c>
      <c r="B1352" s="0" t="n">
        <v>2014</v>
      </c>
      <c r="C1352" s="0" t="s">
        <v>33</v>
      </c>
      <c r="D1352" s="0" t="n">
        <v>12.8546468261703</v>
      </c>
      <c r="E1352" s="0" t="s">
        <v>383</v>
      </c>
    </row>
    <row r="1353" customFormat="false" ht="15" hidden="false" customHeight="false" outlineLevel="0" collapsed="false">
      <c r="A1353" s="0" t="s">
        <v>154</v>
      </c>
      <c r="B1353" s="0" t="n">
        <v>2014</v>
      </c>
      <c r="C1353" s="0" t="s">
        <v>21</v>
      </c>
      <c r="D1353" s="0" t="n">
        <v>-2.18278728425503E-011</v>
      </c>
      <c r="E1353" s="0" t="s">
        <v>383</v>
      </c>
    </row>
    <row r="1354" customFormat="false" ht="15" hidden="false" customHeight="false" outlineLevel="0" collapsed="false">
      <c r="A1354" s="0" t="s">
        <v>154</v>
      </c>
      <c r="B1354" s="0" t="n">
        <v>2015</v>
      </c>
      <c r="C1354" s="0" t="s">
        <v>54</v>
      </c>
      <c r="D1354" s="0" t="n">
        <v>2273.205</v>
      </c>
      <c r="E1354" s="0" t="s">
        <v>382</v>
      </c>
      <c r="G1354" s="0" t="s">
        <v>81</v>
      </c>
    </row>
    <row r="1355" customFormat="false" ht="15" hidden="false" customHeight="false" outlineLevel="0" collapsed="false">
      <c r="A1355" s="0" t="s">
        <v>154</v>
      </c>
      <c r="B1355" s="0" t="n">
        <v>2015</v>
      </c>
      <c r="C1355" s="0" t="s">
        <v>55</v>
      </c>
      <c r="D1355" s="0" t="n">
        <v>396743.314</v>
      </c>
      <c r="E1355" s="0" t="s">
        <v>382</v>
      </c>
      <c r="G1355" s="0" t="s">
        <v>81</v>
      </c>
    </row>
    <row r="1356" customFormat="false" ht="15" hidden="false" customHeight="false" outlineLevel="0" collapsed="false">
      <c r="A1356" s="0" t="s">
        <v>154</v>
      </c>
      <c r="B1356" s="0" t="n">
        <v>2015</v>
      </c>
      <c r="C1356" s="0" t="s">
        <v>56</v>
      </c>
      <c r="D1356" s="0" t="n">
        <v>350679.204</v>
      </c>
      <c r="E1356" s="0" t="s">
        <v>382</v>
      </c>
      <c r="G1356" s="0" t="s">
        <v>81</v>
      </c>
    </row>
    <row r="1357" customFormat="false" ht="15" hidden="false" customHeight="false" outlineLevel="0" collapsed="false">
      <c r="A1357" s="0" t="s">
        <v>154</v>
      </c>
      <c r="B1357" s="0" t="n">
        <v>2015</v>
      </c>
      <c r="C1357" s="0" t="s">
        <v>57</v>
      </c>
      <c r="D1357" s="0" t="n">
        <v>46064.11</v>
      </c>
      <c r="E1357" s="0" t="s">
        <v>382</v>
      </c>
      <c r="G1357" s="0" t="s">
        <v>81</v>
      </c>
    </row>
    <row r="1358" customFormat="false" ht="15" hidden="false" customHeight="false" outlineLevel="0" collapsed="false">
      <c r="A1358" s="0" t="s">
        <v>154</v>
      </c>
      <c r="B1358" s="0" t="n">
        <v>2015</v>
      </c>
      <c r="C1358" s="0" t="s">
        <v>58</v>
      </c>
      <c r="D1358" s="0" t="n">
        <v>14676.273</v>
      </c>
      <c r="E1358" s="0" t="s">
        <v>382</v>
      </c>
      <c r="G1358" s="0" t="s">
        <v>81</v>
      </c>
    </row>
    <row r="1359" customFormat="false" ht="15" hidden="false" customHeight="false" outlineLevel="0" collapsed="false">
      <c r="A1359" s="0" t="s">
        <v>154</v>
      </c>
      <c r="B1359" s="0" t="n">
        <v>2015</v>
      </c>
      <c r="C1359" s="0" t="s">
        <v>59</v>
      </c>
      <c r="D1359" s="0" t="n">
        <v>382562.312</v>
      </c>
      <c r="E1359" s="0" t="s">
        <v>382</v>
      </c>
      <c r="G1359" s="0" t="s">
        <v>81</v>
      </c>
    </row>
    <row r="1360" customFormat="false" ht="15" hidden="false" customHeight="false" outlineLevel="0" collapsed="false">
      <c r="A1360" s="0" t="s">
        <v>154</v>
      </c>
      <c r="B1360" s="0" t="n">
        <v>2015</v>
      </c>
      <c r="C1360" s="0" t="s">
        <v>60</v>
      </c>
      <c r="D1360" s="0" t="n">
        <v>188022.922</v>
      </c>
      <c r="E1360" s="0" t="s">
        <v>382</v>
      </c>
      <c r="G1360" s="0" t="s">
        <v>81</v>
      </c>
    </row>
    <row r="1361" customFormat="false" ht="15" hidden="false" customHeight="false" outlineLevel="0" collapsed="false">
      <c r="A1361" s="0" t="s">
        <v>154</v>
      </c>
      <c r="B1361" s="0" t="n">
        <v>2015</v>
      </c>
      <c r="C1361" s="0" t="s">
        <v>61</v>
      </c>
      <c r="D1361" s="0" t="n">
        <v>2426.332</v>
      </c>
      <c r="E1361" s="0" t="s">
        <v>382</v>
      </c>
      <c r="G1361" s="0" t="s">
        <v>81</v>
      </c>
    </row>
    <row r="1362" customFormat="false" ht="15" hidden="false" customHeight="false" outlineLevel="0" collapsed="false">
      <c r="A1362" s="0" t="s">
        <v>154</v>
      </c>
      <c r="B1362" s="0" t="n">
        <v>2015</v>
      </c>
      <c r="C1362" s="0" t="s">
        <v>63</v>
      </c>
      <c r="D1362" s="0" t="n">
        <v>-77.64</v>
      </c>
      <c r="E1362" s="0" t="s">
        <v>382</v>
      </c>
      <c r="G1362" s="0" t="s">
        <v>81</v>
      </c>
    </row>
    <row r="1363" customFormat="false" ht="15" hidden="false" customHeight="false" outlineLevel="0" collapsed="false">
      <c r="A1363" s="0" t="s">
        <v>154</v>
      </c>
      <c r="B1363" s="0" t="n">
        <v>2015</v>
      </c>
      <c r="C1363" s="0" t="s">
        <v>266</v>
      </c>
      <c r="D1363" s="0" t="n">
        <v>2.67</v>
      </c>
      <c r="E1363" s="0" t="s">
        <v>382</v>
      </c>
      <c r="G1363" s="0" t="s">
        <v>81</v>
      </c>
    </row>
    <row r="1364" customFormat="false" ht="15" hidden="false" customHeight="false" outlineLevel="0" collapsed="false">
      <c r="A1364" s="0" t="s">
        <v>154</v>
      </c>
      <c r="B1364" s="0" t="n">
        <v>2015</v>
      </c>
      <c r="C1364" s="0" t="s">
        <v>69</v>
      </c>
      <c r="D1364" s="0" t="n">
        <v>15.09</v>
      </c>
      <c r="E1364" s="0" t="s">
        <v>382</v>
      </c>
      <c r="G1364" s="0" t="s">
        <v>81</v>
      </c>
    </row>
    <row r="1365" customFormat="false" ht="15" hidden="false" customHeight="false" outlineLevel="0" collapsed="false">
      <c r="A1365" s="0" t="s">
        <v>154</v>
      </c>
      <c r="B1365" s="0" t="n">
        <v>2015</v>
      </c>
      <c r="C1365" s="0" t="s">
        <v>19</v>
      </c>
      <c r="D1365" s="0" t="n">
        <v>389652.813</v>
      </c>
      <c r="E1365" s="0" t="s">
        <v>383</v>
      </c>
    </row>
    <row r="1366" customFormat="false" ht="15" hidden="false" customHeight="false" outlineLevel="0" collapsed="false">
      <c r="A1366" s="0" t="s">
        <v>154</v>
      </c>
      <c r="B1366" s="0" t="n">
        <v>2015</v>
      </c>
      <c r="C1366" s="0" t="s">
        <v>41</v>
      </c>
      <c r="D1366" s="0" t="n">
        <v>0.583392426323893</v>
      </c>
      <c r="E1366" s="0" t="s">
        <v>383</v>
      </c>
    </row>
    <row r="1367" customFormat="false" ht="15" hidden="false" customHeight="false" outlineLevel="0" collapsed="false">
      <c r="A1367" s="0" t="s">
        <v>154</v>
      </c>
      <c r="B1367" s="0" t="n">
        <v>2015</v>
      </c>
      <c r="C1367" s="0" t="s">
        <v>27</v>
      </c>
      <c r="D1367" s="0" t="n">
        <v>11.6105573489261</v>
      </c>
      <c r="E1367" s="0" t="s">
        <v>383</v>
      </c>
    </row>
    <row r="1368" customFormat="false" ht="15" hidden="false" customHeight="false" outlineLevel="0" collapsed="false">
      <c r="A1368" s="0" t="s">
        <v>154</v>
      </c>
      <c r="B1368" s="0" t="n">
        <v>2015</v>
      </c>
      <c r="C1368" s="0" t="s">
        <v>39</v>
      </c>
      <c r="D1368" s="0" t="n">
        <v>3.76649994825009</v>
      </c>
      <c r="E1368" s="0" t="s">
        <v>383</v>
      </c>
    </row>
    <row r="1369" customFormat="false" ht="15" hidden="false" customHeight="false" outlineLevel="0" collapsed="false">
      <c r="A1369" s="0" t="s">
        <v>154</v>
      </c>
      <c r="B1369" s="0" t="n">
        <v>2015</v>
      </c>
      <c r="C1369" s="0" t="s">
        <v>17</v>
      </c>
      <c r="D1369" s="0" t="n">
        <v>1.29044478949221</v>
      </c>
      <c r="E1369" s="0" t="s">
        <v>383</v>
      </c>
    </row>
    <row r="1370" customFormat="false" ht="15" hidden="false" customHeight="false" outlineLevel="0" collapsed="false">
      <c r="A1370" s="0" t="s">
        <v>154</v>
      </c>
      <c r="B1370" s="0" t="n">
        <v>2015</v>
      </c>
      <c r="C1370" s="0" t="s">
        <v>29</v>
      </c>
      <c r="D1370" s="0" t="n">
        <v>-0.0199254303856392</v>
      </c>
      <c r="E1370" s="0" t="s">
        <v>383</v>
      </c>
    </row>
    <row r="1371" customFormat="false" ht="15" hidden="false" customHeight="false" outlineLevel="0" collapsed="false">
      <c r="A1371" s="0" t="s">
        <v>154</v>
      </c>
      <c r="B1371" s="0" t="n">
        <v>2015</v>
      </c>
      <c r="C1371" s="0" t="s">
        <v>43</v>
      </c>
      <c r="D1371" s="0" t="n">
        <v>0.572966177320382</v>
      </c>
      <c r="E1371" s="0" t="s">
        <v>383</v>
      </c>
    </row>
    <row r="1372" customFormat="false" ht="15" hidden="false" customHeight="false" outlineLevel="0" collapsed="false">
      <c r="A1372" s="0" t="s">
        <v>154</v>
      </c>
      <c r="B1372" s="0" t="n">
        <v>2015</v>
      </c>
      <c r="C1372" s="0" t="s">
        <v>31</v>
      </c>
      <c r="D1372" s="0" t="n">
        <v>88.3894426510739</v>
      </c>
      <c r="E1372" s="0" t="s">
        <v>383</v>
      </c>
    </row>
    <row r="1373" customFormat="false" ht="15" hidden="false" customHeight="false" outlineLevel="0" collapsed="false">
      <c r="A1373" s="0" t="s">
        <v>154</v>
      </c>
      <c r="B1373" s="0" t="n">
        <v>2015</v>
      </c>
      <c r="C1373" s="0" t="s">
        <v>33</v>
      </c>
      <c r="D1373" s="0" t="n">
        <v>12.8910447863248</v>
      </c>
      <c r="E1373" s="0" t="s">
        <v>383</v>
      </c>
    </row>
    <row r="1374" customFormat="false" ht="15" hidden="false" customHeight="false" outlineLevel="0" collapsed="false">
      <c r="A1374" s="0" t="s">
        <v>154</v>
      </c>
      <c r="B1374" s="0" t="n">
        <v>2015</v>
      </c>
      <c r="C1374" s="0" t="s">
        <v>21</v>
      </c>
      <c r="D1374" s="0" t="n">
        <v>-1.45519152283669E-011</v>
      </c>
      <c r="E1374" s="0" t="s">
        <v>383</v>
      </c>
    </row>
    <row r="1375" customFormat="false" ht="15" hidden="false" customHeight="false" outlineLevel="0" collapsed="false">
      <c r="A1375" s="0" t="s">
        <v>154</v>
      </c>
      <c r="B1375" s="0" t="n">
        <v>2016</v>
      </c>
      <c r="C1375" s="0" t="s">
        <v>54</v>
      </c>
      <c r="D1375" s="0" t="n">
        <v>2591.8</v>
      </c>
      <c r="E1375" s="0" t="s">
        <v>382</v>
      </c>
      <c r="G1375" s="0" t="s">
        <v>81</v>
      </c>
    </row>
    <row r="1376" customFormat="false" ht="15" hidden="false" customHeight="false" outlineLevel="0" collapsed="false">
      <c r="A1376" s="0" t="s">
        <v>154</v>
      </c>
      <c r="B1376" s="0" t="n">
        <v>2016</v>
      </c>
      <c r="C1376" s="0" t="s">
        <v>55</v>
      </c>
      <c r="D1376" s="0" t="n">
        <v>421221.036</v>
      </c>
      <c r="E1376" s="0" t="s">
        <v>382</v>
      </c>
      <c r="G1376" s="0" t="s">
        <v>81</v>
      </c>
    </row>
    <row r="1377" customFormat="false" ht="15" hidden="false" customHeight="false" outlineLevel="0" collapsed="false">
      <c r="A1377" s="0" t="s">
        <v>154</v>
      </c>
      <c r="B1377" s="0" t="n">
        <v>2016</v>
      </c>
      <c r="C1377" s="0" t="s">
        <v>56</v>
      </c>
      <c r="D1377" s="0" t="n">
        <v>372719.082</v>
      </c>
      <c r="E1377" s="0" t="s">
        <v>382</v>
      </c>
      <c r="G1377" s="0" t="s">
        <v>81</v>
      </c>
    </row>
    <row r="1378" customFormat="false" ht="15" hidden="false" customHeight="false" outlineLevel="0" collapsed="false">
      <c r="A1378" s="0" t="s">
        <v>154</v>
      </c>
      <c r="B1378" s="0" t="n">
        <v>2016</v>
      </c>
      <c r="C1378" s="0" t="s">
        <v>57</v>
      </c>
      <c r="D1378" s="0" t="n">
        <v>48501.954</v>
      </c>
      <c r="E1378" s="0" t="s">
        <v>382</v>
      </c>
      <c r="G1378" s="0" t="s">
        <v>81</v>
      </c>
    </row>
    <row r="1379" customFormat="false" ht="15" hidden="false" customHeight="false" outlineLevel="0" collapsed="false">
      <c r="A1379" s="0" t="s">
        <v>154</v>
      </c>
      <c r="B1379" s="0" t="n">
        <v>2016</v>
      </c>
      <c r="C1379" s="0" t="s">
        <v>58</v>
      </c>
      <c r="D1379" s="0" t="n">
        <v>15892.427</v>
      </c>
      <c r="E1379" s="0" t="s">
        <v>382</v>
      </c>
      <c r="G1379" s="0" t="s">
        <v>81</v>
      </c>
    </row>
    <row r="1380" customFormat="false" ht="15" hidden="false" customHeight="false" outlineLevel="0" collapsed="false">
      <c r="A1380" s="0" t="s">
        <v>154</v>
      </c>
      <c r="B1380" s="0" t="n">
        <v>2016</v>
      </c>
      <c r="C1380" s="0" t="s">
        <v>59</v>
      </c>
      <c r="D1380" s="0" t="n">
        <v>396743.314</v>
      </c>
      <c r="E1380" s="0" t="s">
        <v>382</v>
      </c>
      <c r="G1380" s="0" t="s">
        <v>81</v>
      </c>
    </row>
    <row r="1381" customFormat="false" ht="15" hidden="false" customHeight="false" outlineLevel="0" collapsed="false">
      <c r="A1381" s="0" t="s">
        <v>154</v>
      </c>
      <c r="B1381" s="0" t="n">
        <v>2016</v>
      </c>
      <c r="C1381" s="0" t="s">
        <v>63</v>
      </c>
      <c r="D1381" s="0" t="n">
        <v>412.401</v>
      </c>
      <c r="E1381" s="0" t="s">
        <v>382</v>
      </c>
      <c r="G1381" s="0" t="s">
        <v>81</v>
      </c>
    </row>
    <row r="1382" customFormat="false" ht="15" hidden="false" customHeight="false" outlineLevel="0" collapsed="false">
      <c r="A1382" s="0" t="s">
        <v>154</v>
      </c>
      <c r="B1382" s="0" t="n">
        <v>2016</v>
      </c>
      <c r="C1382" s="0" t="s">
        <v>73</v>
      </c>
      <c r="D1382" s="0" t="n">
        <v>0</v>
      </c>
      <c r="E1382" s="0" t="s">
        <v>400</v>
      </c>
      <c r="F1382" s="0" t="s">
        <v>301</v>
      </c>
      <c r="G1382" s="0" t="s">
        <v>714</v>
      </c>
      <c r="H1382" s="0" t="s">
        <v>306</v>
      </c>
    </row>
    <row r="1383" customFormat="false" ht="15" hidden="false" customHeight="false" outlineLevel="0" collapsed="false">
      <c r="A1383" s="0" t="s">
        <v>154</v>
      </c>
      <c r="B1383" s="0" t="n">
        <v>2016</v>
      </c>
      <c r="C1383" s="0" t="s">
        <v>19</v>
      </c>
      <c r="D1383" s="0" t="n">
        <v>408982.175</v>
      </c>
      <c r="E1383" s="0" t="s">
        <v>383</v>
      </c>
    </row>
    <row r="1384" customFormat="false" ht="15" hidden="false" customHeight="false" outlineLevel="0" collapsed="false">
      <c r="A1384" s="0" t="s">
        <v>154</v>
      </c>
      <c r="B1384" s="0" t="n">
        <v>2016</v>
      </c>
      <c r="C1384" s="0" t="s">
        <v>41</v>
      </c>
      <c r="D1384" s="0" t="n">
        <v>0.633719550246903</v>
      </c>
      <c r="E1384" s="0" t="s">
        <v>383</v>
      </c>
    </row>
    <row r="1385" customFormat="false" ht="15" hidden="false" customHeight="false" outlineLevel="0" collapsed="false">
      <c r="A1385" s="0" t="s">
        <v>154</v>
      </c>
      <c r="B1385" s="0" t="n">
        <v>2016</v>
      </c>
      <c r="C1385" s="0" t="s">
        <v>27</v>
      </c>
      <c r="D1385" s="0" t="n">
        <v>11.5146086863525</v>
      </c>
      <c r="E1385" s="0" t="s">
        <v>383</v>
      </c>
    </row>
    <row r="1386" customFormat="false" ht="15" hidden="false" customHeight="false" outlineLevel="0" collapsed="false">
      <c r="A1386" s="0" t="s">
        <v>154</v>
      </c>
      <c r="B1386" s="0" t="n">
        <v>2016</v>
      </c>
      <c r="C1386" s="0" t="s">
        <v>39</v>
      </c>
      <c r="D1386" s="0" t="n">
        <v>3.88584832578584</v>
      </c>
      <c r="E1386" s="0" t="s">
        <v>383</v>
      </c>
    </row>
    <row r="1387" customFormat="false" ht="15" hidden="false" customHeight="false" outlineLevel="0" collapsed="false">
      <c r="A1387" s="0" t="s">
        <v>154</v>
      </c>
      <c r="B1387" s="0" t="n">
        <v>2016</v>
      </c>
      <c r="C1387" s="0" t="s">
        <v>29</v>
      </c>
      <c r="D1387" s="0" t="n">
        <v>0.100835934964647</v>
      </c>
      <c r="E1387" s="0" t="s">
        <v>383</v>
      </c>
    </row>
    <row r="1388" customFormat="false" ht="15" hidden="false" customHeight="false" outlineLevel="0" collapsed="false">
      <c r="A1388" s="0" t="s">
        <v>154</v>
      </c>
      <c r="B1388" s="0" t="n">
        <v>2016</v>
      </c>
      <c r="C1388" s="0" t="s">
        <v>43</v>
      </c>
      <c r="D1388" s="0" t="n">
        <v>0.615306401743905</v>
      </c>
      <c r="E1388" s="0" t="s">
        <v>383</v>
      </c>
    </row>
    <row r="1389" customFormat="false" ht="15" hidden="false" customHeight="false" outlineLevel="0" collapsed="false">
      <c r="A1389" s="0" t="s">
        <v>154</v>
      </c>
      <c r="B1389" s="0" t="n">
        <v>2016</v>
      </c>
      <c r="C1389" s="0" t="s">
        <v>31</v>
      </c>
      <c r="D1389" s="0" t="n">
        <v>88.4853913136475</v>
      </c>
      <c r="E1389" s="0" t="s">
        <v>383</v>
      </c>
    </row>
    <row r="1390" customFormat="false" ht="15" hidden="false" customHeight="false" outlineLevel="0" collapsed="false">
      <c r="A1390" s="0" t="s">
        <v>154</v>
      </c>
      <c r="B1390" s="0" t="n">
        <v>2016</v>
      </c>
      <c r="C1390" s="0" t="s">
        <v>33</v>
      </c>
      <c r="D1390" s="0" t="n">
        <v>12.9509130010148</v>
      </c>
      <c r="E1390" s="0" t="s">
        <v>383</v>
      </c>
    </row>
    <row r="1391" customFormat="false" ht="15" hidden="false" customHeight="false" outlineLevel="0" collapsed="false">
      <c r="A1391" s="0" t="s">
        <v>154</v>
      </c>
      <c r="B1391" s="0" t="n">
        <v>2016</v>
      </c>
      <c r="C1391" s="0" t="s">
        <v>21</v>
      </c>
      <c r="D1391" s="0" t="n">
        <v>2.91038304567337E-011</v>
      </c>
      <c r="E1391" s="0" t="s">
        <v>383</v>
      </c>
    </row>
    <row r="1392" customFormat="false" ht="15" hidden="false" customHeight="false" outlineLevel="0" collapsed="false">
      <c r="A1392" s="0" t="s">
        <v>154</v>
      </c>
      <c r="B1392" s="0" t="n">
        <v>2017</v>
      </c>
      <c r="C1392" s="0" t="s">
        <v>54</v>
      </c>
      <c r="D1392" s="0" t="n">
        <v>2301.158</v>
      </c>
      <c r="E1392" s="0" t="s">
        <v>382</v>
      </c>
      <c r="G1392" s="0" t="s">
        <v>81</v>
      </c>
    </row>
    <row r="1393" customFormat="false" ht="15" hidden="false" customHeight="false" outlineLevel="0" collapsed="false">
      <c r="A1393" s="0" t="s">
        <v>154</v>
      </c>
      <c r="B1393" s="0" t="n">
        <v>2017</v>
      </c>
      <c r="C1393" s="0" t="s">
        <v>55</v>
      </c>
      <c r="D1393" s="0" t="n">
        <v>384779.809</v>
      </c>
      <c r="E1393" s="0" t="s">
        <v>382</v>
      </c>
      <c r="G1393" s="0" t="s">
        <v>81</v>
      </c>
    </row>
    <row r="1394" customFormat="false" ht="15" hidden="false" customHeight="false" outlineLevel="0" collapsed="false">
      <c r="A1394" s="0" t="s">
        <v>154</v>
      </c>
      <c r="B1394" s="0" t="n">
        <v>2017</v>
      </c>
      <c r="C1394" s="0" t="s">
        <v>56</v>
      </c>
      <c r="D1394" s="0" t="n">
        <v>335087.669</v>
      </c>
      <c r="E1394" s="0" t="s">
        <v>382</v>
      </c>
      <c r="G1394" s="0" t="s">
        <v>81</v>
      </c>
    </row>
    <row r="1395" customFormat="false" ht="15" hidden="false" customHeight="false" outlineLevel="0" collapsed="false">
      <c r="A1395" s="0" t="s">
        <v>154</v>
      </c>
      <c r="B1395" s="0" t="n">
        <v>2017</v>
      </c>
      <c r="C1395" s="0" t="s">
        <v>57</v>
      </c>
      <c r="D1395" s="0" t="n">
        <v>49692.14</v>
      </c>
      <c r="E1395" s="0" t="s">
        <v>382</v>
      </c>
      <c r="G1395" s="0" t="s">
        <v>81</v>
      </c>
    </row>
    <row r="1396" customFormat="false" ht="15" hidden="false" customHeight="false" outlineLevel="0" collapsed="false">
      <c r="A1396" s="0" t="s">
        <v>154</v>
      </c>
      <c r="B1396" s="0" t="n">
        <v>2017</v>
      </c>
      <c r="C1396" s="0" t="s">
        <v>58</v>
      </c>
      <c r="D1396" s="0" t="n">
        <v>-25950.964</v>
      </c>
      <c r="E1396" s="0" t="s">
        <v>382</v>
      </c>
      <c r="G1396" s="0" t="s">
        <v>81</v>
      </c>
    </row>
    <row r="1397" customFormat="false" ht="15" hidden="false" customHeight="false" outlineLevel="0" collapsed="false">
      <c r="A1397" s="0" t="s">
        <v>154</v>
      </c>
      <c r="B1397" s="0" t="n">
        <v>2017</v>
      </c>
      <c r="C1397" s="0" t="s">
        <v>59</v>
      </c>
      <c r="D1397" s="0" t="n">
        <v>421221.036</v>
      </c>
      <c r="E1397" s="0" t="s">
        <v>382</v>
      </c>
      <c r="G1397" s="0" t="s">
        <v>81</v>
      </c>
    </row>
    <row r="1398" customFormat="false" ht="15" hidden="false" customHeight="false" outlineLevel="0" collapsed="false">
      <c r="A1398" s="0" t="s">
        <v>154</v>
      </c>
      <c r="B1398" s="0" t="n">
        <v>2017</v>
      </c>
      <c r="C1398" s="0" t="s">
        <v>60</v>
      </c>
      <c r="D1398" s="0" t="n">
        <v>220076.031</v>
      </c>
      <c r="E1398" s="0" t="s">
        <v>382</v>
      </c>
      <c r="G1398" s="0" t="s">
        <v>81</v>
      </c>
    </row>
    <row r="1399" customFormat="false" ht="15" hidden="false" customHeight="false" outlineLevel="0" collapsed="false">
      <c r="A1399" s="0" t="s">
        <v>154</v>
      </c>
      <c r="B1399" s="0" t="n">
        <v>2017</v>
      </c>
      <c r="C1399" s="0" t="s">
        <v>61</v>
      </c>
      <c r="D1399" s="0" t="n">
        <v>4236.001</v>
      </c>
      <c r="E1399" s="0" t="s">
        <v>382</v>
      </c>
      <c r="G1399" s="0" t="s">
        <v>81</v>
      </c>
    </row>
    <row r="1400" customFormat="false" ht="15" hidden="false" customHeight="false" outlineLevel="0" collapsed="false">
      <c r="A1400" s="0" t="s">
        <v>154</v>
      </c>
      <c r="B1400" s="0" t="n">
        <v>2017</v>
      </c>
      <c r="C1400" s="0" t="s">
        <v>63</v>
      </c>
      <c r="D1400" s="0" t="n">
        <v>2179.798</v>
      </c>
      <c r="E1400" s="0" t="s">
        <v>382</v>
      </c>
      <c r="G1400" s="0" t="s">
        <v>81</v>
      </c>
    </row>
    <row r="1401" customFormat="false" ht="15" hidden="false" customHeight="false" outlineLevel="0" collapsed="false">
      <c r="A1401" s="0" t="s">
        <v>154</v>
      </c>
      <c r="B1401" s="0" t="n">
        <v>2017</v>
      </c>
      <c r="C1401" s="0" t="s">
        <v>266</v>
      </c>
      <c r="D1401" s="0" t="n">
        <v>3.52</v>
      </c>
      <c r="E1401" s="0" t="s">
        <v>382</v>
      </c>
      <c r="G1401" s="0" t="s">
        <v>81</v>
      </c>
    </row>
    <row r="1402" customFormat="false" ht="15" hidden="false" customHeight="false" outlineLevel="0" collapsed="false">
      <c r="A1402" s="0" t="s">
        <v>154</v>
      </c>
      <c r="B1402" s="0" t="n">
        <v>2017</v>
      </c>
      <c r="C1402" s="0" t="s">
        <v>69</v>
      </c>
      <c r="D1402" s="0" t="n">
        <v>14.32</v>
      </c>
      <c r="E1402" s="0" t="s">
        <v>382</v>
      </c>
      <c r="G1402" s="0" t="s">
        <v>81</v>
      </c>
    </row>
    <row r="1403" customFormat="false" ht="15" hidden="false" customHeight="false" outlineLevel="0" collapsed="false">
      <c r="A1403" s="0" t="s">
        <v>154</v>
      </c>
      <c r="B1403" s="0" t="n">
        <v>2017</v>
      </c>
      <c r="C1403" s="0" t="s">
        <v>71</v>
      </c>
      <c r="D1403" s="0" t="n">
        <v>26.25</v>
      </c>
      <c r="E1403" s="0" t="s">
        <v>382</v>
      </c>
      <c r="G1403" s="0" t="s">
        <v>81</v>
      </c>
    </row>
    <row r="1404" customFormat="false" ht="15" hidden="false" customHeight="false" outlineLevel="0" collapsed="false">
      <c r="A1404" s="0" t="s">
        <v>154</v>
      </c>
      <c r="B1404" s="0" t="n">
        <v>2017</v>
      </c>
      <c r="C1404" s="0" t="s">
        <v>19</v>
      </c>
      <c r="D1404" s="0" t="n">
        <v>403000.4225</v>
      </c>
      <c r="E1404" s="0" t="s">
        <v>383</v>
      </c>
    </row>
    <row r="1405" customFormat="false" ht="15" hidden="false" customHeight="false" outlineLevel="0" collapsed="false">
      <c r="A1405" s="0" t="s">
        <v>154</v>
      </c>
      <c r="B1405" s="0" t="n">
        <v>2017</v>
      </c>
      <c r="C1405" s="0" t="s">
        <v>41</v>
      </c>
      <c r="D1405" s="0" t="n">
        <v>0.57100634925513</v>
      </c>
      <c r="E1405" s="0" t="s">
        <v>383</v>
      </c>
    </row>
    <row r="1406" customFormat="false" ht="15" hidden="false" customHeight="false" outlineLevel="0" collapsed="false">
      <c r="A1406" s="0" t="s">
        <v>154</v>
      </c>
      <c r="B1406" s="0" t="n">
        <v>2017</v>
      </c>
      <c r="C1406" s="0" t="s">
        <v>27</v>
      </c>
      <c r="D1406" s="0" t="n">
        <v>12.9144354349425</v>
      </c>
      <c r="E1406" s="0" t="s">
        <v>383</v>
      </c>
    </row>
    <row r="1407" customFormat="false" ht="15" hidden="false" customHeight="false" outlineLevel="0" collapsed="false">
      <c r="A1407" s="0" t="s">
        <v>154</v>
      </c>
      <c r="B1407" s="0" t="n">
        <v>2017</v>
      </c>
      <c r="C1407" s="0" t="s">
        <v>39</v>
      </c>
      <c r="D1407" s="0" t="n">
        <v>-6.43943841026618</v>
      </c>
      <c r="E1407" s="0" t="s">
        <v>383</v>
      </c>
    </row>
    <row r="1408" customFormat="false" ht="15" hidden="false" customHeight="false" outlineLevel="0" collapsed="false">
      <c r="A1408" s="0" t="s">
        <v>154</v>
      </c>
      <c r="B1408" s="0" t="n">
        <v>2017</v>
      </c>
      <c r="C1408" s="0" t="s">
        <v>17</v>
      </c>
      <c r="D1408" s="0" t="n">
        <v>1.92478980139368</v>
      </c>
      <c r="E1408" s="0" t="s">
        <v>383</v>
      </c>
    </row>
    <row r="1409" customFormat="false" ht="15" hidden="false" customHeight="false" outlineLevel="0" collapsed="false">
      <c r="A1409" s="0" t="s">
        <v>154</v>
      </c>
      <c r="B1409" s="0" t="n">
        <v>2017</v>
      </c>
      <c r="C1409" s="0" t="s">
        <v>29</v>
      </c>
      <c r="D1409" s="0" t="n">
        <v>0.540892236905781</v>
      </c>
      <c r="E1409" s="0" t="s">
        <v>383</v>
      </c>
    </row>
    <row r="1410" customFormat="false" ht="15" hidden="false" customHeight="false" outlineLevel="0" collapsed="false">
      <c r="A1410" s="0" t="s">
        <v>154</v>
      </c>
      <c r="B1410" s="0" t="n">
        <v>2017</v>
      </c>
      <c r="C1410" s="0" t="s">
        <v>43</v>
      </c>
      <c r="D1410" s="0" t="n">
        <v>0.598045413552352</v>
      </c>
      <c r="E1410" s="0" t="s">
        <v>383</v>
      </c>
    </row>
    <row r="1411" customFormat="false" ht="15" hidden="false" customHeight="false" outlineLevel="0" collapsed="false">
      <c r="A1411" s="0" t="s">
        <v>154</v>
      </c>
      <c r="B1411" s="0" t="n">
        <v>2017</v>
      </c>
      <c r="C1411" s="0" t="s">
        <v>31</v>
      </c>
      <c r="D1411" s="0" t="n">
        <v>87.0855645650575</v>
      </c>
      <c r="E1411" s="0" t="s">
        <v>383</v>
      </c>
    </row>
    <row r="1412" customFormat="false" ht="15" hidden="false" customHeight="false" outlineLevel="0" collapsed="false">
      <c r="A1412" s="0" t="s">
        <v>154</v>
      </c>
      <c r="B1412" s="0" t="n">
        <v>2017</v>
      </c>
      <c r="C1412" s="0" t="s">
        <v>33</v>
      </c>
      <c r="D1412" s="0" t="n">
        <v>12.8604265249833</v>
      </c>
      <c r="E1412" s="0" t="s">
        <v>383</v>
      </c>
    </row>
    <row r="1413" customFormat="false" ht="15" hidden="false" customHeight="false" outlineLevel="0" collapsed="false">
      <c r="A1413" s="0" t="s">
        <v>154</v>
      </c>
      <c r="B1413" s="0" t="n">
        <v>2017</v>
      </c>
      <c r="C1413" s="0" t="s">
        <v>21</v>
      </c>
      <c r="D1413" s="0" t="n">
        <v>1.45519152283669E-011</v>
      </c>
      <c r="E1413" s="0" t="s">
        <v>383</v>
      </c>
    </row>
    <row r="1414" customFormat="false" ht="15" hidden="false" customHeight="false" outlineLevel="0" collapsed="false">
      <c r="A1414" s="0" t="s">
        <v>154</v>
      </c>
      <c r="B1414" s="0" t="n">
        <v>2018</v>
      </c>
      <c r="C1414" s="0" t="s">
        <v>54</v>
      </c>
      <c r="D1414" s="0" t="n">
        <v>3359.259</v>
      </c>
      <c r="E1414" s="0" t="s">
        <v>382</v>
      </c>
      <c r="G1414" s="0" t="s">
        <v>81</v>
      </c>
    </row>
    <row r="1415" customFormat="false" ht="15" hidden="false" customHeight="false" outlineLevel="0" collapsed="false">
      <c r="A1415" s="0" t="s">
        <v>154</v>
      </c>
      <c r="B1415" s="0" t="n">
        <v>2018</v>
      </c>
      <c r="C1415" s="0" t="s">
        <v>55</v>
      </c>
      <c r="D1415" s="0" t="n">
        <v>477915.742</v>
      </c>
      <c r="E1415" s="0" t="s">
        <v>382</v>
      </c>
      <c r="G1415" s="0" t="s">
        <v>81</v>
      </c>
    </row>
    <row r="1416" customFormat="false" ht="15" hidden="false" customHeight="false" outlineLevel="0" collapsed="false">
      <c r="A1416" s="0" t="s">
        <v>154</v>
      </c>
      <c r="B1416" s="0" t="n">
        <v>2018</v>
      </c>
      <c r="C1416" s="0" t="s">
        <v>56</v>
      </c>
      <c r="D1416" s="0" t="n">
        <v>426916.863</v>
      </c>
      <c r="E1416" s="0" t="s">
        <v>382</v>
      </c>
      <c r="G1416" s="0" t="s">
        <v>81</v>
      </c>
    </row>
    <row r="1417" customFormat="false" ht="15" hidden="false" customHeight="false" outlineLevel="0" collapsed="false">
      <c r="A1417" s="0" t="s">
        <v>154</v>
      </c>
      <c r="B1417" s="0" t="n">
        <v>2018</v>
      </c>
      <c r="C1417" s="0" t="s">
        <v>57</v>
      </c>
      <c r="D1417" s="0" t="n">
        <v>50998.879</v>
      </c>
      <c r="E1417" s="0" t="s">
        <v>382</v>
      </c>
      <c r="G1417" s="0" t="s">
        <v>81</v>
      </c>
    </row>
    <row r="1418" customFormat="false" ht="15" hidden="false" customHeight="false" outlineLevel="0" collapsed="false">
      <c r="A1418" s="0" t="s">
        <v>154</v>
      </c>
      <c r="B1418" s="0" t="n">
        <v>2018</v>
      </c>
      <c r="C1418" s="0" t="s">
        <v>58</v>
      </c>
      <c r="D1418" s="0" t="n">
        <v>49309.182</v>
      </c>
      <c r="E1418" s="0" t="s">
        <v>382</v>
      </c>
      <c r="G1418" s="0" t="s">
        <v>81</v>
      </c>
    </row>
    <row r="1419" customFormat="false" ht="15" hidden="false" customHeight="false" outlineLevel="0" collapsed="false">
      <c r="A1419" s="0" t="s">
        <v>154</v>
      </c>
      <c r="B1419" s="0" t="n">
        <v>2018</v>
      </c>
      <c r="C1419" s="0" t="s">
        <v>59</v>
      </c>
      <c r="D1419" s="0" t="n">
        <v>384779.809</v>
      </c>
      <c r="E1419" s="0" t="s">
        <v>382</v>
      </c>
      <c r="G1419" s="0" t="s">
        <v>81</v>
      </c>
    </row>
    <row r="1420" customFormat="false" ht="15" hidden="false" customHeight="false" outlineLevel="0" collapsed="false">
      <c r="A1420" s="0" t="s">
        <v>154</v>
      </c>
      <c r="B1420" s="0" t="n">
        <v>2018</v>
      </c>
      <c r="C1420" s="0" t="s">
        <v>60</v>
      </c>
      <c r="D1420" s="0" t="n">
        <v>261583.723</v>
      </c>
      <c r="E1420" s="0" t="s">
        <v>382</v>
      </c>
      <c r="G1420" s="0" t="s">
        <v>81</v>
      </c>
    </row>
    <row r="1421" customFormat="false" ht="15" hidden="false" customHeight="false" outlineLevel="0" collapsed="false">
      <c r="A1421" s="0" t="s">
        <v>154</v>
      </c>
      <c r="B1421" s="0" t="n">
        <v>2018</v>
      </c>
      <c r="C1421" s="0" t="s">
        <v>61</v>
      </c>
      <c r="D1421" s="0" t="n">
        <v>9394.11</v>
      </c>
      <c r="E1421" s="0" t="s">
        <v>382</v>
      </c>
      <c r="G1421" s="0" t="s">
        <v>81</v>
      </c>
    </row>
    <row r="1422" customFormat="false" ht="15" hidden="false" customHeight="false" outlineLevel="0" collapsed="false">
      <c r="A1422" s="0" t="s">
        <v>154</v>
      </c>
      <c r="B1422" s="0" t="n">
        <v>2018</v>
      </c>
      <c r="C1422" s="0" t="s">
        <v>63</v>
      </c>
      <c r="D1422" s="0" t="n">
        <v>3510.537</v>
      </c>
      <c r="E1422" s="0" t="s">
        <v>382</v>
      </c>
      <c r="G1422" s="0" t="s">
        <v>81</v>
      </c>
    </row>
    <row r="1423" customFormat="false" ht="15" hidden="false" customHeight="false" outlineLevel="0" collapsed="false">
      <c r="A1423" s="0" t="s">
        <v>154</v>
      </c>
      <c r="B1423" s="0" t="n">
        <v>2018</v>
      </c>
      <c r="C1423" s="0" t="s">
        <v>266</v>
      </c>
      <c r="D1423" s="0" t="n">
        <v>4.98</v>
      </c>
      <c r="E1423" s="0" t="s">
        <v>382</v>
      </c>
      <c r="G1423" s="0" t="s">
        <v>81</v>
      </c>
    </row>
    <row r="1424" customFormat="false" ht="15" hidden="false" customHeight="false" outlineLevel="0" collapsed="false">
      <c r="A1424" s="0" t="s">
        <v>154</v>
      </c>
      <c r="B1424" s="0" t="n">
        <v>2018</v>
      </c>
      <c r="C1424" s="0" t="s">
        <v>69</v>
      </c>
      <c r="D1424" s="0" t="n">
        <v>18.01</v>
      </c>
      <c r="E1424" s="0" t="s">
        <v>382</v>
      </c>
      <c r="G1424" s="0" t="s">
        <v>81</v>
      </c>
    </row>
    <row r="1425" customFormat="false" ht="15" hidden="false" customHeight="false" outlineLevel="0" collapsed="false">
      <c r="A1425" s="0" t="s">
        <v>154</v>
      </c>
      <c r="B1425" s="0" t="n">
        <v>2018</v>
      </c>
      <c r="C1425" s="0" t="s">
        <v>71</v>
      </c>
      <c r="D1425" s="0" t="n">
        <v>34.64</v>
      </c>
      <c r="E1425" s="0" t="s">
        <v>382</v>
      </c>
      <c r="G1425" s="0" t="s">
        <v>81</v>
      </c>
    </row>
    <row r="1426" customFormat="false" ht="15" hidden="false" customHeight="false" outlineLevel="0" collapsed="false">
      <c r="A1426" s="0" t="s">
        <v>154</v>
      </c>
      <c r="B1426" s="0" t="n">
        <v>2018</v>
      </c>
      <c r="C1426" s="0" t="s">
        <v>73</v>
      </c>
      <c r="D1426" s="0" t="n">
        <v>0</v>
      </c>
      <c r="E1426" s="0" t="s">
        <v>382</v>
      </c>
      <c r="G1426" s="0" t="s">
        <v>81</v>
      </c>
    </row>
    <row r="1427" customFormat="false" ht="15" hidden="false" customHeight="false" outlineLevel="0" collapsed="false">
      <c r="A1427" s="0" t="s">
        <v>154</v>
      </c>
      <c r="B1427" s="0" t="n">
        <v>2018</v>
      </c>
      <c r="C1427" s="0" t="s">
        <v>19</v>
      </c>
      <c r="D1427" s="0" t="n">
        <v>431347.7755</v>
      </c>
      <c r="E1427" s="0" t="s">
        <v>383</v>
      </c>
    </row>
    <row r="1428" customFormat="false" ht="15" hidden="false" customHeight="false" outlineLevel="0" collapsed="false">
      <c r="A1428" s="0" t="s">
        <v>154</v>
      </c>
      <c r="B1428" s="0" t="n">
        <v>2018</v>
      </c>
      <c r="C1428" s="0" t="s">
        <v>41</v>
      </c>
      <c r="D1428" s="0" t="n">
        <v>0.778782038717156</v>
      </c>
      <c r="E1428" s="0" t="s">
        <v>383</v>
      </c>
    </row>
    <row r="1429" customFormat="false" ht="15" hidden="false" customHeight="false" outlineLevel="0" collapsed="false">
      <c r="A1429" s="0" t="s">
        <v>154</v>
      </c>
      <c r="B1429" s="0" t="n">
        <v>2018</v>
      </c>
      <c r="C1429" s="0" t="s">
        <v>27</v>
      </c>
      <c r="D1429" s="0" t="n">
        <v>10.6711025643512</v>
      </c>
      <c r="E1429" s="0" t="s">
        <v>383</v>
      </c>
    </row>
    <row r="1430" customFormat="false" ht="15" hidden="false" customHeight="false" outlineLevel="0" collapsed="false">
      <c r="A1430" s="0" t="s">
        <v>154</v>
      </c>
      <c r="B1430" s="0" t="n">
        <v>2018</v>
      </c>
      <c r="C1430" s="0" t="s">
        <v>39</v>
      </c>
      <c r="D1430" s="0" t="n">
        <v>11.431421419258</v>
      </c>
      <c r="E1430" s="0" t="s">
        <v>383</v>
      </c>
    </row>
    <row r="1431" customFormat="false" ht="15" hidden="false" customHeight="false" outlineLevel="0" collapsed="false">
      <c r="A1431" s="0" t="s">
        <v>154</v>
      </c>
      <c r="B1431" s="0" t="n">
        <v>2018</v>
      </c>
      <c r="C1431" s="0" t="s">
        <v>17</v>
      </c>
      <c r="D1431" s="0" t="n">
        <v>3.59124409281383</v>
      </c>
      <c r="E1431" s="0" t="s">
        <v>383</v>
      </c>
    </row>
    <row r="1432" customFormat="false" ht="15" hidden="false" customHeight="false" outlineLevel="0" collapsed="false">
      <c r="A1432" s="0" t="s">
        <v>154</v>
      </c>
      <c r="B1432" s="0" t="n">
        <v>2018</v>
      </c>
      <c r="C1432" s="0" t="s">
        <v>29</v>
      </c>
      <c r="D1432" s="0" t="n">
        <v>0.813853043737327</v>
      </c>
      <c r="E1432" s="0" t="s">
        <v>383</v>
      </c>
    </row>
    <row r="1433" customFormat="false" ht="15" hidden="false" customHeight="false" outlineLevel="0" collapsed="false">
      <c r="A1433" s="0" t="s">
        <v>154</v>
      </c>
      <c r="B1433" s="0" t="n">
        <v>2018</v>
      </c>
      <c r="C1433" s="0" t="s">
        <v>43</v>
      </c>
      <c r="D1433" s="0" t="n">
        <v>0.70289775054114</v>
      </c>
      <c r="E1433" s="0" t="s">
        <v>383</v>
      </c>
    </row>
    <row r="1434" customFormat="false" ht="15" hidden="false" customHeight="false" outlineLevel="0" collapsed="false">
      <c r="A1434" s="0" t="s">
        <v>154</v>
      </c>
      <c r="B1434" s="0" t="n">
        <v>2018</v>
      </c>
      <c r="C1434" s="0" t="s">
        <v>31</v>
      </c>
      <c r="D1434" s="0" t="n">
        <v>89.3288974356488</v>
      </c>
      <c r="E1434" s="0" t="s">
        <v>383</v>
      </c>
    </row>
    <row r="1435" customFormat="false" ht="15" hidden="false" customHeight="false" outlineLevel="0" collapsed="false">
      <c r="A1435" s="0" t="s">
        <v>154</v>
      </c>
      <c r="B1435" s="0" t="n">
        <v>2018</v>
      </c>
      <c r="C1435" s="0" t="s">
        <v>33</v>
      </c>
      <c r="D1435" s="0" t="n">
        <v>13.0771897239693</v>
      </c>
      <c r="E1435" s="0" t="s">
        <v>383</v>
      </c>
    </row>
    <row r="1436" customFormat="false" ht="15" hidden="false" customHeight="false" outlineLevel="0" collapsed="false">
      <c r="A1436" s="0" t="s">
        <v>154</v>
      </c>
      <c r="B1436" s="0" t="n">
        <v>2018</v>
      </c>
      <c r="C1436" s="0" t="s">
        <v>21</v>
      </c>
      <c r="D1436" s="0" t="n">
        <v>1.45519152283669E-011</v>
      </c>
      <c r="E1436" s="0" t="s">
        <v>383</v>
      </c>
    </row>
    <row r="1437" customFormat="false" ht="15" hidden="false" customHeight="false" outlineLevel="0" collapsed="false">
      <c r="A1437" s="0" t="s">
        <v>154</v>
      </c>
      <c r="B1437" s="0" t="n">
        <v>2019</v>
      </c>
      <c r="C1437" s="0" t="s">
        <v>54</v>
      </c>
      <c r="D1437" s="0" t="n">
        <v>5210.748</v>
      </c>
      <c r="E1437" s="0" t="s">
        <v>382</v>
      </c>
      <c r="G1437" s="0" t="s">
        <v>81</v>
      </c>
    </row>
    <row r="1438" customFormat="false" ht="15" hidden="false" customHeight="false" outlineLevel="0" collapsed="false">
      <c r="A1438" s="0" t="s">
        <v>154</v>
      </c>
      <c r="B1438" s="0" t="n">
        <v>2019</v>
      </c>
      <c r="C1438" s="0" t="s">
        <v>55</v>
      </c>
      <c r="D1438" s="0" t="n">
        <v>704955.604</v>
      </c>
      <c r="E1438" s="0" t="s">
        <v>382</v>
      </c>
      <c r="G1438" s="0" t="s">
        <v>81</v>
      </c>
    </row>
    <row r="1439" customFormat="false" ht="15" hidden="false" customHeight="false" outlineLevel="0" collapsed="false">
      <c r="A1439" s="0" t="s">
        <v>154</v>
      </c>
      <c r="B1439" s="0" t="n">
        <v>2019</v>
      </c>
      <c r="C1439" s="0" t="s">
        <v>56</v>
      </c>
      <c r="D1439" s="0" t="n">
        <v>649598.753</v>
      </c>
      <c r="E1439" s="0" t="s">
        <v>382</v>
      </c>
      <c r="G1439" s="0" t="s">
        <v>81</v>
      </c>
    </row>
    <row r="1440" customFormat="false" ht="15" hidden="false" customHeight="false" outlineLevel="0" collapsed="false">
      <c r="A1440" s="0" t="s">
        <v>154</v>
      </c>
      <c r="B1440" s="0" t="n">
        <v>2019</v>
      </c>
      <c r="C1440" s="0" t="s">
        <v>57</v>
      </c>
      <c r="D1440" s="0" t="n">
        <v>55356.851</v>
      </c>
      <c r="E1440" s="0" t="s">
        <v>382</v>
      </c>
      <c r="G1440" s="0" t="s">
        <v>81</v>
      </c>
    </row>
    <row r="1441" customFormat="false" ht="15" hidden="false" customHeight="false" outlineLevel="0" collapsed="false">
      <c r="A1441" s="0" t="s">
        <v>154</v>
      </c>
      <c r="B1441" s="0" t="n">
        <v>2019</v>
      </c>
      <c r="C1441" s="0" t="s">
        <v>58</v>
      </c>
      <c r="D1441" s="0" t="n">
        <v>107380.822</v>
      </c>
      <c r="E1441" s="0" t="s">
        <v>382</v>
      </c>
      <c r="G1441" s="0" t="s">
        <v>81</v>
      </c>
    </row>
    <row r="1442" customFormat="false" ht="15" hidden="false" customHeight="false" outlineLevel="0" collapsed="false">
      <c r="A1442" s="0" t="s">
        <v>154</v>
      </c>
      <c r="B1442" s="0" t="n">
        <v>2019</v>
      </c>
      <c r="C1442" s="0" t="s">
        <v>59</v>
      </c>
      <c r="D1442" s="0" t="n">
        <v>477915.742</v>
      </c>
      <c r="E1442" s="0" t="s">
        <v>382</v>
      </c>
      <c r="G1442" s="0" t="s">
        <v>81</v>
      </c>
    </row>
    <row r="1443" customFormat="false" ht="15" hidden="false" customHeight="false" outlineLevel="0" collapsed="false">
      <c r="A1443" s="0" t="s">
        <v>154</v>
      </c>
      <c r="B1443" s="0" t="n">
        <v>2019</v>
      </c>
      <c r="C1443" s="0" t="s">
        <v>60</v>
      </c>
      <c r="D1443" s="0" t="n">
        <v>301368.302</v>
      </c>
      <c r="E1443" s="0" t="s">
        <v>382</v>
      </c>
      <c r="G1443" s="0" t="s">
        <v>81</v>
      </c>
    </row>
    <row r="1444" customFormat="false" ht="15" hidden="false" customHeight="false" outlineLevel="0" collapsed="false">
      <c r="A1444" s="0" t="s">
        <v>154</v>
      </c>
      <c r="B1444" s="0" t="n">
        <v>2019</v>
      </c>
      <c r="C1444" s="0" t="s">
        <v>61</v>
      </c>
      <c r="D1444" s="0" t="n">
        <v>12128.432</v>
      </c>
      <c r="E1444" s="0" t="s">
        <v>382</v>
      </c>
      <c r="G1444" s="0" t="s">
        <v>81</v>
      </c>
    </row>
    <row r="1445" customFormat="false" ht="15" hidden="false" customHeight="false" outlineLevel="0" collapsed="false">
      <c r="A1445" s="0" t="s">
        <v>154</v>
      </c>
      <c r="B1445" s="0" t="n">
        <v>2019</v>
      </c>
      <c r="C1445" s="0" t="s">
        <v>62</v>
      </c>
      <c r="D1445" s="0" t="n">
        <v>289239.87</v>
      </c>
      <c r="E1445" s="0" t="s">
        <v>382</v>
      </c>
      <c r="G1445" s="0" t="s">
        <v>81</v>
      </c>
    </row>
    <row r="1446" customFormat="false" ht="15" hidden="false" customHeight="false" outlineLevel="0" collapsed="false">
      <c r="A1446" s="0" t="s">
        <v>154</v>
      </c>
      <c r="B1446" s="0" t="n">
        <v>2019</v>
      </c>
      <c r="C1446" s="0" t="s">
        <v>63</v>
      </c>
      <c r="D1446" s="0" t="n">
        <v>6130.6</v>
      </c>
      <c r="E1446" s="0" t="s">
        <v>382</v>
      </c>
      <c r="G1446" s="0" t="s">
        <v>81</v>
      </c>
    </row>
    <row r="1447" customFormat="false" ht="15" hidden="false" customHeight="false" outlineLevel="0" collapsed="false">
      <c r="A1447" s="0" t="s">
        <v>154</v>
      </c>
      <c r="B1447" s="0" t="n">
        <v>2019</v>
      </c>
      <c r="C1447" s="0" t="s">
        <v>69</v>
      </c>
      <c r="D1447" s="0" t="n">
        <v>13.6</v>
      </c>
      <c r="E1447" s="0" t="s">
        <v>382</v>
      </c>
      <c r="G1447" s="0" t="s">
        <v>81</v>
      </c>
    </row>
    <row r="1448" customFormat="false" ht="15" hidden="false" customHeight="false" outlineLevel="0" collapsed="false">
      <c r="A1448" s="0" t="s">
        <v>154</v>
      </c>
      <c r="B1448" s="0" t="n">
        <v>2019</v>
      </c>
      <c r="C1448" s="0" t="s">
        <v>65</v>
      </c>
      <c r="D1448" s="0" t="n">
        <v>33853.301</v>
      </c>
      <c r="E1448" s="0" t="s">
        <v>382</v>
      </c>
      <c r="G1448" s="0" t="s">
        <v>81</v>
      </c>
    </row>
    <row r="1449" customFormat="false" ht="15" hidden="false" customHeight="false" outlineLevel="0" collapsed="false">
      <c r="A1449" s="0" t="s">
        <v>154</v>
      </c>
      <c r="B1449" s="0" t="n">
        <v>2019</v>
      </c>
      <c r="C1449" s="0" t="s">
        <v>66</v>
      </c>
      <c r="D1449" s="0" t="n">
        <v>248951.162</v>
      </c>
      <c r="E1449" s="0" t="s">
        <v>382</v>
      </c>
      <c r="G1449" s="0" t="s">
        <v>81</v>
      </c>
    </row>
    <row r="1450" customFormat="false" ht="15" hidden="false" customHeight="false" outlineLevel="0" collapsed="false">
      <c r="A1450" s="0" t="s">
        <v>154</v>
      </c>
      <c r="B1450" s="0" t="n">
        <v>2019</v>
      </c>
      <c r="C1450" s="0" t="s">
        <v>68</v>
      </c>
      <c r="D1450" s="0" t="n">
        <v>4646.11</v>
      </c>
      <c r="E1450" s="0" t="s">
        <v>382</v>
      </c>
      <c r="G1450" s="0" t="s">
        <v>81</v>
      </c>
    </row>
    <row r="1451" customFormat="false" ht="15" hidden="false" customHeight="false" outlineLevel="0" collapsed="false">
      <c r="A1451" s="0" t="s">
        <v>154</v>
      </c>
      <c r="B1451" s="0" t="n">
        <v>2019</v>
      </c>
      <c r="C1451" s="0" t="s">
        <v>402</v>
      </c>
      <c r="D1451" s="0" t="n">
        <v>6770.828</v>
      </c>
      <c r="E1451" s="0" t="s">
        <v>382</v>
      </c>
      <c r="G1451" s="0" t="s">
        <v>81</v>
      </c>
    </row>
    <row r="1452" customFormat="false" ht="15" hidden="false" customHeight="false" outlineLevel="0" collapsed="false">
      <c r="A1452" s="0" t="s">
        <v>154</v>
      </c>
      <c r="B1452" s="0" t="n">
        <v>2019</v>
      </c>
      <c r="C1452" s="0" t="s">
        <v>19</v>
      </c>
      <c r="D1452" s="0" t="n">
        <v>591435.673</v>
      </c>
      <c r="E1452" s="0" t="s">
        <v>383</v>
      </c>
    </row>
    <row r="1453" customFormat="false" ht="15" hidden="false" customHeight="false" outlineLevel="0" collapsed="false">
      <c r="A1453" s="0" t="s">
        <v>154</v>
      </c>
      <c r="B1453" s="0" t="n">
        <v>2019</v>
      </c>
      <c r="C1453" s="0" t="s">
        <v>41</v>
      </c>
      <c r="D1453" s="0" t="n">
        <v>0.881033768823748</v>
      </c>
      <c r="E1453" s="0" t="s">
        <v>383</v>
      </c>
    </row>
    <row r="1454" customFormat="false" ht="15" hidden="false" customHeight="false" outlineLevel="0" collapsed="false">
      <c r="A1454" s="0" t="s">
        <v>154</v>
      </c>
      <c r="B1454" s="0" t="n">
        <v>2019</v>
      </c>
      <c r="C1454" s="0" t="s">
        <v>27</v>
      </c>
      <c r="D1454" s="0" t="n">
        <v>7.85253010060475</v>
      </c>
      <c r="E1454" s="0" t="s">
        <v>383</v>
      </c>
    </row>
    <row r="1455" customFormat="false" ht="15" hidden="false" customHeight="false" outlineLevel="0" collapsed="false">
      <c r="A1455" s="0" t="s">
        <v>154</v>
      </c>
      <c r="B1455" s="0" t="n">
        <v>2019</v>
      </c>
      <c r="C1455" s="0" t="s">
        <v>39</v>
      </c>
      <c r="D1455" s="0" t="n">
        <v>18.1559596253843</v>
      </c>
      <c r="E1455" s="0" t="s">
        <v>383</v>
      </c>
    </row>
    <row r="1456" customFormat="false" ht="15" hidden="false" customHeight="false" outlineLevel="0" collapsed="false">
      <c r="A1456" s="0" t="s">
        <v>154</v>
      </c>
      <c r="B1456" s="0" t="n">
        <v>2019</v>
      </c>
      <c r="C1456" s="0" t="s">
        <v>17</v>
      </c>
      <c r="D1456" s="0" t="n">
        <v>4.02445510012529</v>
      </c>
      <c r="E1456" s="0" t="s">
        <v>383</v>
      </c>
    </row>
    <row r="1457" customFormat="false" ht="15" hidden="false" customHeight="false" outlineLevel="0" collapsed="false">
      <c r="A1457" s="0" t="s">
        <v>154</v>
      </c>
      <c r="B1457" s="0" t="n">
        <v>2019</v>
      </c>
      <c r="C1457" s="0" t="s">
        <v>25</v>
      </c>
      <c r="D1457" s="0" t="n">
        <v>13.5983703502456</v>
      </c>
      <c r="E1457" s="0" t="s">
        <v>383</v>
      </c>
    </row>
    <row r="1458" customFormat="false" ht="15" hidden="false" customHeight="false" outlineLevel="0" collapsed="false">
      <c r="A1458" s="0" t="s">
        <v>154</v>
      </c>
      <c r="B1458" s="0" t="n">
        <v>2019</v>
      </c>
      <c r="C1458" s="0" t="s">
        <v>29</v>
      </c>
      <c r="D1458" s="0" t="n">
        <v>1.03656243271616</v>
      </c>
      <c r="E1458" s="0" t="s">
        <v>383</v>
      </c>
    </row>
    <row r="1459" customFormat="false" ht="15" hidden="false" customHeight="false" outlineLevel="0" collapsed="false">
      <c r="A1459" s="0" t="s">
        <v>154</v>
      </c>
      <c r="B1459" s="0" t="n">
        <v>2019</v>
      </c>
      <c r="C1459" s="0" t="s">
        <v>43</v>
      </c>
      <c r="D1459" s="0" t="n">
        <v>0.739159738632278</v>
      </c>
      <c r="E1459" s="0" t="s">
        <v>383</v>
      </c>
    </row>
    <row r="1460" customFormat="false" ht="15" hidden="false" customHeight="false" outlineLevel="0" collapsed="false">
      <c r="A1460" s="0" t="s">
        <v>154</v>
      </c>
      <c r="B1460" s="0" t="n">
        <v>2019</v>
      </c>
      <c r="C1460" s="0" t="s">
        <v>31</v>
      </c>
      <c r="D1460" s="0" t="n">
        <v>92.1474698993953</v>
      </c>
      <c r="E1460" s="0" t="s">
        <v>383</v>
      </c>
    </row>
    <row r="1461" customFormat="false" ht="15" hidden="false" customHeight="false" outlineLevel="0" collapsed="false">
      <c r="A1461" s="0" t="s">
        <v>154</v>
      </c>
      <c r="B1461" s="0" t="n">
        <v>2019</v>
      </c>
      <c r="C1461" s="0" t="s">
        <v>33</v>
      </c>
      <c r="D1461" s="0" t="n">
        <v>13.4658901067619</v>
      </c>
      <c r="E1461" s="0" t="s">
        <v>383</v>
      </c>
    </row>
    <row r="1462" customFormat="false" ht="15" hidden="false" customHeight="false" outlineLevel="0" collapsed="false">
      <c r="A1462" s="0" t="s">
        <v>154</v>
      </c>
      <c r="B1462" s="0" t="n">
        <v>2019</v>
      </c>
      <c r="C1462" s="0" t="s">
        <v>21</v>
      </c>
      <c r="D1462" s="0" t="n">
        <v>2.18278728425503E-011</v>
      </c>
      <c r="E1462" s="0" t="s">
        <v>383</v>
      </c>
    </row>
    <row r="1463" customFormat="false" ht="15" hidden="false" customHeight="false" outlineLevel="0" collapsed="false">
      <c r="A1463" s="0" t="s">
        <v>154</v>
      </c>
      <c r="B1463" s="0" t="n">
        <v>2019</v>
      </c>
      <c r="C1463" s="0" t="s">
        <v>35</v>
      </c>
      <c r="D1463" s="0" t="n">
        <v>0</v>
      </c>
      <c r="E1463" s="0" t="s">
        <v>383</v>
      </c>
    </row>
    <row r="1464" customFormat="false" ht="15" hidden="false" customHeight="false" outlineLevel="0" collapsed="false">
      <c r="A1464" s="0" t="s">
        <v>154</v>
      </c>
      <c r="B1464" s="0" t="n">
        <v>2020</v>
      </c>
      <c r="C1464" s="0" t="s">
        <v>54</v>
      </c>
      <c r="D1464" s="0" t="n">
        <v>4592.217</v>
      </c>
      <c r="E1464" s="0" t="s">
        <v>382</v>
      </c>
      <c r="G1464" s="0" t="s">
        <v>81</v>
      </c>
    </row>
    <row r="1465" customFormat="false" ht="15" hidden="false" customHeight="false" outlineLevel="0" collapsed="false">
      <c r="A1465" s="0" t="s">
        <v>154</v>
      </c>
      <c r="B1465" s="0" t="n">
        <v>2020</v>
      </c>
      <c r="C1465" s="0" t="s">
        <v>55</v>
      </c>
      <c r="D1465" s="0" t="n">
        <v>968582.084</v>
      </c>
      <c r="E1465" s="0" t="s">
        <v>382</v>
      </c>
      <c r="G1465" s="0" t="s">
        <v>81</v>
      </c>
    </row>
    <row r="1466" customFormat="false" ht="15" hidden="false" customHeight="false" outlineLevel="0" collapsed="false">
      <c r="A1466" s="0" t="s">
        <v>154</v>
      </c>
      <c r="B1466" s="0" t="n">
        <v>2020</v>
      </c>
      <c r="C1466" s="0" t="s">
        <v>56</v>
      </c>
      <c r="D1466" s="0" t="n">
        <v>909229.251</v>
      </c>
      <c r="E1466" s="0" t="s">
        <v>382</v>
      </c>
      <c r="G1466" s="0" t="s">
        <v>81</v>
      </c>
    </row>
    <row r="1467" customFormat="false" ht="15" hidden="false" customHeight="false" outlineLevel="0" collapsed="false">
      <c r="A1467" s="0" t="s">
        <v>154</v>
      </c>
      <c r="B1467" s="0" t="n">
        <v>2020</v>
      </c>
      <c r="C1467" s="0" t="s">
        <v>57</v>
      </c>
      <c r="D1467" s="0" t="n">
        <v>59352.833</v>
      </c>
      <c r="E1467" s="0" t="s">
        <v>382</v>
      </c>
      <c r="G1467" s="0" t="s">
        <v>81</v>
      </c>
    </row>
    <row r="1468" customFormat="false" ht="15" hidden="false" customHeight="false" outlineLevel="0" collapsed="false">
      <c r="A1468" s="0" t="s">
        <v>154</v>
      </c>
      <c r="B1468" s="0" t="n">
        <v>2020</v>
      </c>
      <c r="C1468" s="0" t="s">
        <v>58</v>
      </c>
      <c r="D1468" s="0" t="n">
        <v>46804.348</v>
      </c>
      <c r="E1468" s="0" t="s">
        <v>382</v>
      </c>
      <c r="G1468" s="0" t="s">
        <v>81</v>
      </c>
    </row>
    <row r="1469" customFormat="false" ht="15" hidden="false" customHeight="false" outlineLevel="0" collapsed="false">
      <c r="A1469" s="0" t="s">
        <v>154</v>
      </c>
      <c r="B1469" s="0" t="n">
        <v>2020</v>
      </c>
      <c r="C1469" s="0" t="s">
        <v>59</v>
      </c>
      <c r="D1469" s="0" t="n">
        <v>704955.604</v>
      </c>
      <c r="E1469" s="0" t="s">
        <v>382</v>
      </c>
      <c r="G1469" s="0" t="s">
        <v>81</v>
      </c>
    </row>
    <row r="1470" customFormat="false" ht="15" hidden="false" customHeight="false" outlineLevel="0" collapsed="false">
      <c r="A1470" s="0" t="s">
        <v>154</v>
      </c>
      <c r="B1470" s="0" t="n">
        <v>2020</v>
      </c>
      <c r="C1470" s="0" t="s">
        <v>60</v>
      </c>
      <c r="D1470" s="0" t="n">
        <v>375039.658</v>
      </c>
      <c r="E1470" s="0" t="s">
        <v>382</v>
      </c>
      <c r="G1470" s="0" t="s">
        <v>81</v>
      </c>
    </row>
    <row r="1471" customFormat="false" ht="15" hidden="false" customHeight="false" outlineLevel="0" collapsed="false">
      <c r="A1471" s="0" t="s">
        <v>154</v>
      </c>
      <c r="B1471" s="0" t="n">
        <v>2020</v>
      </c>
      <c r="C1471" s="0" t="s">
        <v>61</v>
      </c>
      <c r="D1471" s="0" t="n">
        <v>14963.578</v>
      </c>
      <c r="E1471" s="0" t="s">
        <v>382</v>
      </c>
      <c r="G1471" s="0" t="s">
        <v>81</v>
      </c>
    </row>
    <row r="1472" customFormat="false" ht="15" hidden="false" customHeight="false" outlineLevel="0" collapsed="false">
      <c r="A1472" s="0" t="s">
        <v>154</v>
      </c>
      <c r="B1472" s="0" t="n">
        <v>2020</v>
      </c>
      <c r="C1472" s="0" t="s">
        <v>62</v>
      </c>
      <c r="D1472" s="0" t="n">
        <v>360076.079</v>
      </c>
      <c r="E1472" s="0" t="s">
        <v>382</v>
      </c>
      <c r="G1472" s="0" t="s">
        <v>81</v>
      </c>
    </row>
    <row r="1473" customFormat="false" ht="15" hidden="false" customHeight="false" outlineLevel="0" collapsed="false">
      <c r="A1473" s="0" t="s">
        <v>154</v>
      </c>
      <c r="B1473" s="0" t="n">
        <v>2020</v>
      </c>
      <c r="C1473" s="0" t="s">
        <v>63</v>
      </c>
      <c r="D1473" s="0" t="n">
        <v>5635.165</v>
      </c>
      <c r="E1473" s="0" t="s">
        <v>382</v>
      </c>
      <c r="G1473" s="0" t="s">
        <v>81</v>
      </c>
    </row>
    <row r="1474" customFormat="false" ht="15" hidden="false" customHeight="false" outlineLevel="0" collapsed="false">
      <c r="A1474" s="0" t="s">
        <v>154</v>
      </c>
      <c r="B1474" s="0" t="n">
        <v>2020</v>
      </c>
      <c r="C1474" s="0" t="s">
        <v>69</v>
      </c>
      <c r="D1474" s="0" t="n">
        <v>15.01</v>
      </c>
      <c r="E1474" s="0" t="s">
        <v>382</v>
      </c>
      <c r="G1474" s="0" t="s">
        <v>81</v>
      </c>
    </row>
    <row r="1475" customFormat="false" ht="15" hidden="false" customHeight="false" outlineLevel="0" collapsed="false">
      <c r="A1475" s="0" t="s">
        <v>154</v>
      </c>
      <c r="B1475" s="0" t="n">
        <v>2020</v>
      </c>
      <c r="C1475" s="0" t="s">
        <v>65</v>
      </c>
      <c r="D1475" s="0" t="n">
        <v>41760.881</v>
      </c>
      <c r="E1475" s="0" t="s">
        <v>382</v>
      </c>
      <c r="G1475" s="0" t="s">
        <v>81</v>
      </c>
    </row>
    <row r="1476" customFormat="false" ht="15" hidden="false" customHeight="false" outlineLevel="0" collapsed="false">
      <c r="A1476" s="0" t="s">
        <v>154</v>
      </c>
      <c r="B1476" s="0" t="n">
        <v>2020</v>
      </c>
      <c r="C1476" s="0" t="s">
        <v>66</v>
      </c>
      <c r="D1476" s="0" t="n">
        <v>278133.743</v>
      </c>
      <c r="E1476" s="0" t="s">
        <v>382</v>
      </c>
      <c r="G1476" s="0" t="s">
        <v>81</v>
      </c>
    </row>
    <row r="1477" customFormat="false" ht="15" hidden="false" customHeight="false" outlineLevel="0" collapsed="false">
      <c r="A1477" s="0" t="s">
        <v>154</v>
      </c>
      <c r="B1477" s="0" t="n">
        <v>2020</v>
      </c>
      <c r="C1477" s="0" t="s">
        <v>73</v>
      </c>
      <c r="D1477" s="0" t="n">
        <v>0</v>
      </c>
      <c r="E1477" s="0" t="s">
        <v>400</v>
      </c>
      <c r="F1477" s="0" t="s">
        <v>301</v>
      </c>
      <c r="G1477" s="0" t="s">
        <v>712</v>
      </c>
      <c r="H1477" s="0" t="s">
        <v>307</v>
      </c>
    </row>
    <row r="1478" customFormat="false" ht="15" hidden="false" customHeight="false" outlineLevel="0" collapsed="false">
      <c r="A1478" s="0" t="s">
        <v>154</v>
      </c>
      <c r="B1478" s="0" t="n">
        <v>2020</v>
      </c>
      <c r="C1478" s="0" t="s">
        <v>68</v>
      </c>
      <c r="D1478" s="0" t="n">
        <v>5411.37</v>
      </c>
      <c r="E1478" s="0" t="s">
        <v>382</v>
      </c>
      <c r="G1478" s="0" t="s">
        <v>81</v>
      </c>
    </row>
    <row r="1479" customFormat="false" ht="15" hidden="false" customHeight="false" outlineLevel="0" collapsed="false">
      <c r="A1479" s="0" t="s">
        <v>154</v>
      </c>
      <c r="B1479" s="0" t="n">
        <v>2020</v>
      </c>
      <c r="C1479" s="0" t="s">
        <v>402</v>
      </c>
      <c r="D1479" s="0" t="n">
        <v>5946.523</v>
      </c>
      <c r="E1479" s="0" t="s">
        <v>382</v>
      </c>
      <c r="G1479" s="0" t="s">
        <v>81</v>
      </c>
    </row>
    <row r="1480" customFormat="false" ht="15" hidden="false" customHeight="false" outlineLevel="0" collapsed="false">
      <c r="A1480" s="0" t="s">
        <v>154</v>
      </c>
      <c r="B1480" s="0" t="n">
        <v>2020</v>
      </c>
      <c r="C1480" s="0" t="s">
        <v>19</v>
      </c>
      <c r="D1480" s="0" t="n">
        <v>836768.844</v>
      </c>
      <c r="E1480" s="0" t="s">
        <v>383</v>
      </c>
    </row>
    <row r="1481" customFormat="false" ht="15" hidden="false" customHeight="false" outlineLevel="0" collapsed="false">
      <c r="A1481" s="0" t="s">
        <v>154</v>
      </c>
      <c r="B1481" s="0" t="n">
        <v>2020</v>
      </c>
      <c r="C1481" s="0" t="s">
        <v>41</v>
      </c>
      <c r="D1481" s="0" t="n">
        <v>0.548803535519781</v>
      </c>
      <c r="E1481" s="0" t="s">
        <v>383</v>
      </c>
    </row>
    <row r="1482" customFormat="false" ht="15" hidden="false" customHeight="false" outlineLevel="0" collapsed="false">
      <c r="A1482" s="0" t="s">
        <v>154</v>
      </c>
      <c r="B1482" s="0" t="n">
        <v>2020</v>
      </c>
      <c r="C1482" s="0" t="s">
        <v>27</v>
      </c>
      <c r="D1482" s="0" t="n">
        <v>6.12780620047067</v>
      </c>
      <c r="E1482" s="0" t="s">
        <v>383</v>
      </c>
    </row>
    <row r="1483" customFormat="false" ht="15" hidden="false" customHeight="false" outlineLevel="0" collapsed="false">
      <c r="A1483" s="0" t="s">
        <v>154</v>
      </c>
      <c r="B1483" s="0" t="n">
        <v>2020</v>
      </c>
      <c r="C1483" s="0" t="s">
        <v>39</v>
      </c>
      <c r="D1483" s="0" t="n">
        <v>5.59346208162597</v>
      </c>
      <c r="E1483" s="0" t="s">
        <v>383</v>
      </c>
    </row>
    <row r="1484" customFormat="false" ht="15" hidden="false" customHeight="false" outlineLevel="0" collapsed="false">
      <c r="A1484" s="0" t="s">
        <v>154</v>
      </c>
      <c r="B1484" s="0" t="n">
        <v>2020</v>
      </c>
      <c r="C1484" s="0" t="s">
        <v>17</v>
      </c>
      <c r="D1484" s="0" t="n">
        <v>3.98986551976858</v>
      </c>
      <c r="E1484" s="0" t="s">
        <v>383</v>
      </c>
    </row>
    <row r="1485" customFormat="false" ht="15" hidden="false" customHeight="false" outlineLevel="0" collapsed="false">
      <c r="A1485" s="0" t="s">
        <v>154</v>
      </c>
      <c r="B1485" s="0" t="n">
        <v>2020</v>
      </c>
      <c r="C1485" s="0" t="s">
        <v>25</v>
      </c>
      <c r="D1485" s="0" t="n">
        <v>15.0146762307801</v>
      </c>
      <c r="E1485" s="0" t="s">
        <v>383</v>
      </c>
    </row>
    <row r="1486" customFormat="false" ht="15" hidden="false" customHeight="false" outlineLevel="0" collapsed="false">
      <c r="A1486" s="0" t="s">
        <v>154</v>
      </c>
      <c r="B1486" s="0" t="n">
        <v>2020</v>
      </c>
      <c r="C1486" s="0" t="s">
        <v>29</v>
      </c>
      <c r="D1486" s="0" t="n">
        <v>0.673443453398941</v>
      </c>
      <c r="E1486" s="0" t="s">
        <v>383</v>
      </c>
    </row>
    <row r="1487" customFormat="false" ht="15" hidden="false" customHeight="false" outlineLevel="0" collapsed="false">
      <c r="A1487" s="0" t="s">
        <v>154</v>
      </c>
      <c r="B1487" s="0" t="n">
        <v>2020</v>
      </c>
      <c r="C1487" s="0" t="s">
        <v>43</v>
      </c>
      <c r="D1487" s="0" t="n">
        <v>0.474117483263298</v>
      </c>
      <c r="E1487" s="0" t="s">
        <v>383</v>
      </c>
    </row>
    <row r="1488" customFormat="false" ht="15" hidden="false" customHeight="false" outlineLevel="0" collapsed="false">
      <c r="A1488" s="0" t="s">
        <v>154</v>
      </c>
      <c r="B1488" s="0" t="n">
        <v>2020</v>
      </c>
      <c r="C1488" s="0" t="s">
        <v>31</v>
      </c>
      <c r="D1488" s="0" t="n">
        <v>93.8721937995293</v>
      </c>
      <c r="E1488" s="0" t="s">
        <v>383</v>
      </c>
    </row>
    <row r="1489" customFormat="false" ht="15" hidden="false" customHeight="false" outlineLevel="0" collapsed="false">
      <c r="A1489" s="0" t="s">
        <v>154</v>
      </c>
      <c r="B1489" s="0" t="n">
        <v>2020</v>
      </c>
      <c r="C1489" s="0" t="s">
        <v>33</v>
      </c>
      <c r="D1489" s="0" t="n">
        <v>13.7835885119807</v>
      </c>
      <c r="E1489" s="0" t="s">
        <v>383</v>
      </c>
    </row>
    <row r="1490" customFormat="false" ht="15" hidden="false" customHeight="false" outlineLevel="0" collapsed="false">
      <c r="A1490" s="0" t="s">
        <v>154</v>
      </c>
      <c r="B1490" s="0" t="n">
        <v>2020</v>
      </c>
      <c r="C1490" s="0" t="s">
        <v>21</v>
      </c>
      <c r="D1490" s="0" t="n">
        <v>-1.45519152283669E-011</v>
      </c>
      <c r="E1490" s="0" t="s">
        <v>383</v>
      </c>
    </row>
    <row r="1491" customFormat="false" ht="15" hidden="false" customHeight="false" outlineLevel="0" collapsed="false">
      <c r="A1491" s="0" t="s">
        <v>154</v>
      </c>
      <c r="B1491" s="0" t="n">
        <v>2020</v>
      </c>
      <c r="C1491" s="0" t="s">
        <v>35</v>
      </c>
      <c r="D1491" s="0" t="n">
        <v>0.00099999998928979</v>
      </c>
      <c r="E1491" s="0" t="s">
        <v>383</v>
      </c>
    </row>
    <row r="1492" customFormat="false" ht="15" hidden="false" customHeight="false" outlineLevel="0" collapsed="false">
      <c r="A1492" s="0" t="s">
        <v>154</v>
      </c>
      <c r="B1492" s="0" t="n">
        <v>2021</v>
      </c>
      <c r="C1492" s="0" t="s">
        <v>54</v>
      </c>
      <c r="D1492" s="0" t="n">
        <v>8933.202</v>
      </c>
      <c r="E1492" s="0" t="s">
        <v>384</v>
      </c>
      <c r="F1492" s="0" t="s">
        <v>385</v>
      </c>
      <c r="G1492" s="0" t="s">
        <v>161</v>
      </c>
      <c r="H1492" s="0" t="s">
        <v>715</v>
      </c>
    </row>
    <row r="1493" customFormat="false" ht="15" hidden="false" customHeight="false" outlineLevel="0" collapsed="false">
      <c r="A1493" s="0" t="s">
        <v>154</v>
      </c>
      <c r="B1493" s="0" t="n">
        <v>2021</v>
      </c>
      <c r="C1493" s="0" t="s">
        <v>55</v>
      </c>
      <c r="D1493" s="0" t="n">
        <v>1164517.865</v>
      </c>
      <c r="E1493" s="0" t="s">
        <v>384</v>
      </c>
      <c r="F1493" s="0" t="s">
        <v>385</v>
      </c>
      <c r="G1493" s="0" t="s">
        <v>161</v>
      </c>
      <c r="H1493" s="0" t="s">
        <v>716</v>
      </c>
    </row>
    <row r="1494" customFormat="false" ht="15" hidden="false" customHeight="false" outlineLevel="0" collapsed="false">
      <c r="A1494" s="0" t="s">
        <v>154</v>
      </c>
      <c r="B1494" s="0" t="n">
        <v>2021</v>
      </c>
      <c r="C1494" s="0" t="s">
        <v>56</v>
      </c>
      <c r="D1494" s="0" t="n">
        <v>1094153.52</v>
      </c>
      <c r="E1494" s="0" t="s">
        <v>384</v>
      </c>
      <c r="F1494" s="0" t="s">
        <v>385</v>
      </c>
      <c r="G1494" s="0" t="s">
        <v>161</v>
      </c>
      <c r="H1494" s="0" t="s">
        <v>717</v>
      </c>
    </row>
    <row r="1495" customFormat="false" ht="15" hidden="false" customHeight="false" outlineLevel="0" collapsed="false">
      <c r="A1495" s="0" t="s">
        <v>154</v>
      </c>
      <c r="B1495" s="0" t="n">
        <v>2021</v>
      </c>
      <c r="C1495" s="0" t="s">
        <v>57</v>
      </c>
      <c r="D1495" s="0" t="n">
        <v>70364.344</v>
      </c>
      <c r="E1495" s="0" t="s">
        <v>384</v>
      </c>
      <c r="F1495" s="0" t="s">
        <v>385</v>
      </c>
      <c r="G1495" s="0" t="s">
        <v>161</v>
      </c>
      <c r="H1495" s="0" t="s">
        <v>718</v>
      </c>
    </row>
    <row r="1496" customFormat="false" ht="15" hidden="false" customHeight="false" outlineLevel="0" collapsed="false">
      <c r="A1496" s="0" t="s">
        <v>154</v>
      </c>
      <c r="B1496" s="0" t="n">
        <v>2021</v>
      </c>
      <c r="C1496" s="0" t="s">
        <v>58</v>
      </c>
      <c r="D1496" s="0" t="n">
        <v>9851.888</v>
      </c>
      <c r="E1496" s="0" t="s">
        <v>384</v>
      </c>
      <c r="F1496" s="0" t="s">
        <v>385</v>
      </c>
      <c r="G1496" s="0" t="s">
        <v>161</v>
      </c>
      <c r="H1496" s="0" t="s">
        <v>719</v>
      </c>
    </row>
    <row r="1497" customFormat="false" ht="15" hidden="false" customHeight="false" outlineLevel="0" collapsed="false">
      <c r="A1497" s="0" t="s">
        <v>154</v>
      </c>
      <c r="B1497" s="0" t="n">
        <v>2021</v>
      </c>
      <c r="C1497" s="0" t="s">
        <v>59</v>
      </c>
      <c r="D1497" s="0" t="n">
        <v>968582.084</v>
      </c>
      <c r="E1497" s="0" t="s">
        <v>384</v>
      </c>
      <c r="F1497" s="0" t="s">
        <v>385</v>
      </c>
      <c r="G1497" s="0" t="s">
        <v>100</v>
      </c>
      <c r="H1497" s="0" t="s">
        <v>720</v>
      </c>
    </row>
    <row r="1498" customFormat="false" ht="15" hidden="false" customHeight="false" outlineLevel="0" collapsed="false">
      <c r="A1498" s="0" t="s">
        <v>154</v>
      </c>
      <c r="B1498" s="0" t="n">
        <v>2021</v>
      </c>
      <c r="C1498" s="0" t="s">
        <v>60</v>
      </c>
      <c r="D1498" s="0" t="n">
        <v>435551.971</v>
      </c>
      <c r="E1498" s="0" t="s">
        <v>384</v>
      </c>
      <c r="F1498" s="0" t="s">
        <v>385</v>
      </c>
      <c r="G1498" s="0" t="s">
        <v>161</v>
      </c>
      <c r="H1498" s="0" t="s">
        <v>721</v>
      </c>
    </row>
    <row r="1499" customFormat="false" ht="15" hidden="false" customHeight="false" outlineLevel="0" collapsed="false">
      <c r="A1499" s="0" t="s">
        <v>154</v>
      </c>
      <c r="B1499" s="0" t="n">
        <v>2021</v>
      </c>
      <c r="C1499" s="0" t="s">
        <v>61</v>
      </c>
      <c r="D1499" s="0" t="n">
        <v>16687.668</v>
      </c>
      <c r="E1499" s="0" t="s">
        <v>384</v>
      </c>
      <c r="F1499" s="0" t="s">
        <v>385</v>
      </c>
      <c r="G1499" s="0" t="s">
        <v>161</v>
      </c>
      <c r="H1499" s="0" t="s">
        <v>722</v>
      </c>
    </row>
    <row r="1500" customFormat="false" ht="15" hidden="false" customHeight="false" outlineLevel="0" collapsed="false">
      <c r="A1500" s="0" t="s">
        <v>154</v>
      </c>
      <c r="B1500" s="0" t="n">
        <v>2021</v>
      </c>
      <c r="C1500" s="0" t="s">
        <v>62</v>
      </c>
      <c r="D1500" s="0" t="n">
        <v>418864.303</v>
      </c>
      <c r="E1500" s="0" t="s">
        <v>384</v>
      </c>
      <c r="F1500" s="0" t="s">
        <v>385</v>
      </c>
      <c r="G1500" s="0" t="s">
        <v>161</v>
      </c>
      <c r="H1500" s="0" t="s">
        <v>723</v>
      </c>
    </row>
    <row r="1501" customFormat="false" ht="15" hidden="false" customHeight="false" outlineLevel="0" collapsed="false">
      <c r="A1501" s="0" t="s">
        <v>154</v>
      </c>
      <c r="B1501" s="0" t="n">
        <v>2021</v>
      </c>
      <c r="C1501" s="0" t="s">
        <v>63</v>
      </c>
      <c r="D1501" s="0" t="n">
        <v>2104.393</v>
      </c>
      <c r="E1501" s="0" t="s">
        <v>384</v>
      </c>
      <c r="F1501" s="0" t="s">
        <v>385</v>
      </c>
      <c r="G1501" s="0" t="s">
        <v>161</v>
      </c>
      <c r="H1501" s="0" t="s">
        <v>724</v>
      </c>
    </row>
    <row r="1502" customFormat="false" ht="15" hidden="false" customHeight="false" outlineLevel="0" collapsed="false">
      <c r="A1502" s="0" t="s">
        <v>154</v>
      </c>
      <c r="B1502" s="0" t="n">
        <v>2021</v>
      </c>
      <c r="C1502" s="0" t="s">
        <v>64</v>
      </c>
      <c r="D1502" s="0" t="n">
        <v>21263.336</v>
      </c>
      <c r="E1502" s="0" t="s">
        <v>384</v>
      </c>
      <c r="F1502" s="0" t="s">
        <v>385</v>
      </c>
      <c r="G1502" s="0" t="s">
        <v>161</v>
      </c>
      <c r="H1502" s="0" t="s">
        <v>725</v>
      </c>
      <c r="I1502" s="0" t="s">
        <v>726</v>
      </c>
    </row>
    <row r="1503" customFormat="false" ht="15" hidden="false" customHeight="false" outlineLevel="0" collapsed="false">
      <c r="A1503" s="0" t="s">
        <v>154</v>
      </c>
      <c r="B1503" s="0" t="n">
        <v>2021</v>
      </c>
      <c r="C1503" s="0" t="s">
        <v>69</v>
      </c>
      <c r="D1503" s="0" t="n">
        <v>11.71</v>
      </c>
      <c r="E1503" s="0" t="s">
        <v>384</v>
      </c>
      <c r="F1503" s="0" t="s">
        <v>385</v>
      </c>
      <c r="G1503" s="0" t="s">
        <v>161</v>
      </c>
      <c r="H1503" s="0" t="s">
        <v>727</v>
      </c>
      <c r="I1503" s="0" t="s">
        <v>437</v>
      </c>
    </row>
    <row r="1504" customFormat="false" ht="15" hidden="false" customHeight="false" outlineLevel="0" collapsed="false">
      <c r="A1504" s="0" t="s">
        <v>154</v>
      </c>
      <c r="B1504" s="0" t="n">
        <v>2021</v>
      </c>
      <c r="C1504" s="0" t="s">
        <v>65</v>
      </c>
      <c r="D1504" s="0" t="n">
        <v>40009.725</v>
      </c>
      <c r="E1504" s="0" t="s">
        <v>384</v>
      </c>
      <c r="F1504" s="0" t="s">
        <v>385</v>
      </c>
      <c r="G1504" s="0" t="s">
        <v>161</v>
      </c>
      <c r="H1504" s="0" t="s">
        <v>728</v>
      </c>
    </row>
    <row r="1505" customFormat="false" ht="15" hidden="false" customHeight="false" outlineLevel="0" collapsed="false">
      <c r="A1505" s="0" t="s">
        <v>154</v>
      </c>
      <c r="B1505" s="0" t="n">
        <v>2021</v>
      </c>
      <c r="C1505" s="0" t="s">
        <v>66</v>
      </c>
      <c r="D1505" s="0" t="n">
        <v>346012.969</v>
      </c>
      <c r="E1505" s="0" t="s">
        <v>384</v>
      </c>
      <c r="F1505" s="0" t="s">
        <v>385</v>
      </c>
      <c r="G1505" s="0" t="s">
        <v>161</v>
      </c>
      <c r="H1505" s="0" t="s">
        <v>729</v>
      </c>
    </row>
    <row r="1506" customFormat="false" ht="15" hidden="false" customHeight="false" outlineLevel="0" collapsed="false">
      <c r="A1506" s="0" t="s">
        <v>154</v>
      </c>
      <c r="B1506" s="0" t="n">
        <v>2021</v>
      </c>
      <c r="C1506" s="0" t="s">
        <v>68</v>
      </c>
      <c r="D1506" s="0" t="n">
        <v>11225.979</v>
      </c>
      <c r="E1506" s="0" t="s">
        <v>384</v>
      </c>
      <c r="F1506" s="0" t="s">
        <v>385</v>
      </c>
      <c r="G1506" s="0" t="s">
        <v>161</v>
      </c>
      <c r="H1506" s="0" t="s">
        <v>730</v>
      </c>
    </row>
    <row r="1507" customFormat="false" ht="15" hidden="false" customHeight="false" outlineLevel="0" collapsed="false">
      <c r="A1507" s="0" t="s">
        <v>154</v>
      </c>
      <c r="B1507" s="0" t="n">
        <v>2021</v>
      </c>
      <c r="C1507" s="0" t="s">
        <v>402</v>
      </c>
      <c r="D1507" s="0" t="n">
        <v>12384.142</v>
      </c>
      <c r="E1507" s="0" t="s">
        <v>384</v>
      </c>
      <c r="F1507" s="0" t="s">
        <v>385</v>
      </c>
      <c r="G1507" s="0" t="s">
        <v>161</v>
      </c>
      <c r="H1507" s="0" t="s">
        <v>731</v>
      </c>
    </row>
    <row r="1508" customFormat="false" ht="15" hidden="false" customHeight="false" outlineLevel="0" collapsed="false">
      <c r="A1508" s="0" t="s">
        <v>154</v>
      </c>
      <c r="B1508" s="0" t="n">
        <v>2021</v>
      </c>
      <c r="C1508" s="0" t="s">
        <v>19</v>
      </c>
      <c r="D1508" s="0" t="n">
        <v>1066549.9745</v>
      </c>
      <c r="E1508" s="0" t="s">
        <v>383</v>
      </c>
    </row>
    <row r="1509" customFormat="false" ht="15" hidden="false" customHeight="false" outlineLevel="0" collapsed="false">
      <c r="A1509" s="0" t="s">
        <v>154</v>
      </c>
      <c r="B1509" s="0" t="n">
        <v>2021</v>
      </c>
      <c r="C1509" s="0" t="s">
        <v>41</v>
      </c>
      <c r="D1509" s="0" t="n">
        <v>0.837579317761261</v>
      </c>
      <c r="E1509" s="0" t="s">
        <v>383</v>
      </c>
    </row>
    <row r="1510" customFormat="false" ht="15" hidden="false" customHeight="false" outlineLevel="0" collapsed="false">
      <c r="A1510" s="0" t="s">
        <v>154</v>
      </c>
      <c r="B1510" s="0" t="n">
        <v>2021</v>
      </c>
      <c r="C1510" s="0" t="s">
        <v>27</v>
      </c>
      <c r="D1510" s="0" t="n">
        <v>6.04235848283873</v>
      </c>
      <c r="E1510" s="0" t="s">
        <v>383</v>
      </c>
    </row>
    <row r="1511" customFormat="false" ht="15" hidden="false" customHeight="false" outlineLevel="0" collapsed="false">
      <c r="A1511" s="0" t="s">
        <v>154</v>
      </c>
      <c r="B1511" s="0" t="n">
        <v>2021</v>
      </c>
      <c r="C1511" s="0" t="s">
        <v>39</v>
      </c>
      <c r="D1511" s="0" t="n">
        <v>0.923715553471236</v>
      </c>
      <c r="E1511" s="0" t="s">
        <v>383</v>
      </c>
    </row>
    <row r="1512" customFormat="false" ht="15" hidden="false" customHeight="false" outlineLevel="0" collapsed="false">
      <c r="A1512" s="0" t="s">
        <v>154</v>
      </c>
      <c r="B1512" s="0" t="n">
        <v>2021</v>
      </c>
      <c r="C1512" s="0" t="s">
        <v>17</v>
      </c>
      <c r="D1512" s="0" t="n">
        <v>3.83138387864166</v>
      </c>
      <c r="E1512" s="0" t="s">
        <v>383</v>
      </c>
    </row>
    <row r="1513" customFormat="false" ht="15" hidden="false" customHeight="false" outlineLevel="0" collapsed="false">
      <c r="A1513" s="0" t="s">
        <v>154</v>
      </c>
      <c r="B1513" s="0" t="n">
        <v>2021</v>
      </c>
      <c r="C1513" s="0" t="s">
        <v>25</v>
      </c>
      <c r="D1513" s="0" t="n">
        <v>11.5630709206163</v>
      </c>
      <c r="E1513" s="0" t="s">
        <v>383</v>
      </c>
    </row>
    <row r="1514" customFormat="false" ht="15" hidden="false" customHeight="false" outlineLevel="0" collapsed="false">
      <c r="A1514" s="0" t="s">
        <v>154</v>
      </c>
      <c r="B1514" s="0" t="n">
        <v>2021</v>
      </c>
      <c r="C1514" s="0" t="s">
        <v>29</v>
      </c>
      <c r="D1514" s="0" t="n">
        <v>0.197308429076335</v>
      </c>
      <c r="E1514" s="0" t="s">
        <v>383</v>
      </c>
    </row>
    <row r="1515" customFormat="false" ht="15" hidden="false" customHeight="false" outlineLevel="0" collapsed="false">
      <c r="A1515" s="0" t="s">
        <v>154</v>
      </c>
      <c r="B1515" s="0" t="n">
        <v>2021</v>
      </c>
      <c r="C1515" s="0" t="s">
        <v>23</v>
      </c>
      <c r="D1515" s="0" t="n">
        <v>78.4809495556107</v>
      </c>
      <c r="E1515" s="0" t="s">
        <v>383</v>
      </c>
    </row>
    <row r="1516" customFormat="false" ht="15" hidden="false" customHeight="false" outlineLevel="0" collapsed="false">
      <c r="A1516" s="0" t="s">
        <v>154</v>
      </c>
      <c r="B1516" s="0" t="n">
        <v>2021</v>
      </c>
      <c r="C1516" s="0" t="s">
        <v>37</v>
      </c>
      <c r="D1516" s="0" t="n">
        <v>4.88192854487163</v>
      </c>
      <c r="E1516" s="0" t="s">
        <v>383</v>
      </c>
    </row>
    <row r="1517" customFormat="false" ht="15" hidden="false" customHeight="false" outlineLevel="0" collapsed="false">
      <c r="A1517" s="0" t="s">
        <v>154</v>
      </c>
      <c r="B1517" s="0" t="n">
        <v>2021</v>
      </c>
      <c r="C1517" s="0" t="s">
        <v>43</v>
      </c>
      <c r="D1517" s="0" t="n">
        <v>0.767115925696855</v>
      </c>
      <c r="E1517" s="0" t="s">
        <v>383</v>
      </c>
    </row>
    <row r="1518" customFormat="false" ht="15" hidden="false" customHeight="false" outlineLevel="0" collapsed="false">
      <c r="A1518" s="0" t="s">
        <v>154</v>
      </c>
      <c r="B1518" s="0" t="n">
        <v>2021</v>
      </c>
      <c r="C1518" s="0" t="s">
        <v>31</v>
      </c>
      <c r="D1518" s="0" t="n">
        <v>93.9576414312888</v>
      </c>
      <c r="E1518" s="0" t="s">
        <v>383</v>
      </c>
    </row>
    <row r="1519" customFormat="false" ht="15" hidden="false" customHeight="false" outlineLevel="0" collapsed="false">
      <c r="A1519" s="0" t="s">
        <v>154</v>
      </c>
      <c r="B1519" s="0" t="n">
        <v>2021</v>
      </c>
      <c r="C1519" s="0" t="s">
        <v>33</v>
      </c>
      <c r="D1519" s="0" t="n">
        <v>13.9678177095371</v>
      </c>
      <c r="E1519" s="0" t="s">
        <v>383</v>
      </c>
    </row>
    <row r="1520" customFormat="false" ht="15" hidden="false" customHeight="false" outlineLevel="0" collapsed="false">
      <c r="A1520" s="0" t="s">
        <v>154</v>
      </c>
      <c r="B1520" s="0" t="n">
        <v>2021</v>
      </c>
      <c r="C1520" s="0" t="s">
        <v>21</v>
      </c>
      <c r="D1520" s="0" t="n">
        <v>0.000999999974737875</v>
      </c>
      <c r="E1520" s="0" t="s">
        <v>383</v>
      </c>
    </row>
    <row r="1521" customFormat="false" ht="15" hidden="false" customHeight="false" outlineLevel="0" collapsed="false">
      <c r="A1521" s="0" t="s">
        <v>154</v>
      </c>
      <c r="B1521" s="0" t="n">
        <v>2021</v>
      </c>
      <c r="C1521" s="0" t="s">
        <v>35</v>
      </c>
      <c r="D1521" s="0" t="n">
        <v>0</v>
      </c>
      <c r="E1521" s="0" t="s">
        <v>383</v>
      </c>
    </row>
    <row r="1522" customFormat="false" ht="15" hidden="false" customHeight="false" outlineLevel="0" collapsed="false">
      <c r="A1522" s="0" t="s">
        <v>154</v>
      </c>
      <c r="B1522" s="0" t="n">
        <v>2022</v>
      </c>
      <c r="C1522" s="0" t="s">
        <v>54</v>
      </c>
      <c r="D1522" s="0" t="n">
        <v>11214.027</v>
      </c>
      <c r="E1522" s="0" t="s">
        <v>382</v>
      </c>
      <c r="G1522" s="0" t="s">
        <v>81</v>
      </c>
    </row>
    <row r="1523" customFormat="false" ht="15" hidden="false" customHeight="false" outlineLevel="0" collapsed="false">
      <c r="A1523" s="0" t="s">
        <v>154</v>
      </c>
      <c r="B1523" s="0" t="n">
        <v>2022</v>
      </c>
      <c r="C1523" s="0" t="s">
        <v>55</v>
      </c>
      <c r="D1523" s="0" t="n">
        <v>1433703.656</v>
      </c>
      <c r="E1523" s="0" t="s">
        <v>382</v>
      </c>
      <c r="G1523" s="0" t="s">
        <v>81</v>
      </c>
    </row>
    <row r="1524" customFormat="false" ht="15" hidden="false" customHeight="false" outlineLevel="0" collapsed="false">
      <c r="A1524" s="0" t="s">
        <v>154</v>
      </c>
      <c r="B1524" s="0" t="n">
        <v>2022</v>
      </c>
      <c r="C1524" s="0" t="s">
        <v>56</v>
      </c>
      <c r="D1524" s="0" t="n">
        <v>1351080.98</v>
      </c>
      <c r="E1524" s="0" t="s">
        <v>382</v>
      </c>
      <c r="G1524" s="0" t="s">
        <v>81</v>
      </c>
    </row>
    <row r="1525" customFormat="false" ht="15" hidden="false" customHeight="false" outlineLevel="0" collapsed="false">
      <c r="A1525" s="0" t="s">
        <v>154</v>
      </c>
      <c r="B1525" s="0" t="n">
        <v>2022</v>
      </c>
      <c r="C1525" s="0" t="s">
        <v>57</v>
      </c>
      <c r="D1525" s="0" t="n">
        <v>82622.676</v>
      </c>
      <c r="E1525" s="0" t="s">
        <v>382</v>
      </c>
      <c r="G1525" s="0" t="s">
        <v>81</v>
      </c>
    </row>
    <row r="1526" customFormat="false" ht="15" hidden="false" customHeight="false" outlineLevel="0" collapsed="false">
      <c r="A1526" s="0" t="s">
        <v>154</v>
      </c>
      <c r="B1526" s="0" t="n">
        <v>2022</v>
      </c>
      <c r="C1526" s="0" t="s">
        <v>58</v>
      </c>
      <c r="D1526" s="0" t="n">
        <v>179324.77</v>
      </c>
      <c r="E1526" s="0" t="s">
        <v>382</v>
      </c>
      <c r="G1526" s="0" t="s">
        <v>81</v>
      </c>
    </row>
    <row r="1527" customFormat="false" ht="15" hidden="false" customHeight="false" outlineLevel="0" collapsed="false">
      <c r="A1527" s="0" t="s">
        <v>154</v>
      </c>
      <c r="B1527" s="0" t="n">
        <v>2022</v>
      </c>
      <c r="C1527" s="0" t="s">
        <v>60</v>
      </c>
      <c r="D1527" s="0" t="n">
        <v>539372.013</v>
      </c>
      <c r="E1527" s="0" t="s">
        <v>382</v>
      </c>
      <c r="G1527" s="0" t="s">
        <v>81</v>
      </c>
    </row>
    <row r="1528" customFormat="false" ht="15" hidden="false" customHeight="false" outlineLevel="0" collapsed="false">
      <c r="A1528" s="0" t="s">
        <v>154</v>
      </c>
      <c r="B1528" s="0" t="n">
        <v>2022</v>
      </c>
      <c r="C1528" s="0" t="s">
        <v>61</v>
      </c>
      <c r="D1528" s="0" t="n">
        <v>17941.317</v>
      </c>
      <c r="E1528" s="0" t="s">
        <v>382</v>
      </c>
      <c r="G1528" s="0" t="s">
        <v>81</v>
      </c>
    </row>
    <row r="1529" customFormat="false" ht="15" hidden="false" customHeight="false" outlineLevel="0" collapsed="false">
      <c r="A1529" s="0" t="s">
        <v>154</v>
      </c>
      <c r="B1529" s="0" t="n">
        <v>2022</v>
      </c>
      <c r="C1529" s="0" t="s">
        <v>62</v>
      </c>
      <c r="D1529" s="0" t="n">
        <v>521430.696</v>
      </c>
      <c r="E1529" s="0" t="s">
        <v>382</v>
      </c>
      <c r="G1529" s="0" t="s">
        <v>81</v>
      </c>
    </row>
    <row r="1530" customFormat="false" ht="15" hidden="false" customHeight="false" outlineLevel="0" collapsed="false">
      <c r="A1530" s="0" t="s">
        <v>154</v>
      </c>
      <c r="B1530" s="0" t="n">
        <v>2022</v>
      </c>
      <c r="C1530" s="0" t="s">
        <v>63</v>
      </c>
      <c r="D1530" s="0" t="n">
        <v>4762.274</v>
      </c>
      <c r="E1530" s="0" t="s">
        <v>382</v>
      </c>
      <c r="G1530" s="0" t="s">
        <v>81</v>
      </c>
      <c r="I1530" s="0" t="s">
        <v>732</v>
      </c>
    </row>
    <row r="1531" customFormat="false" ht="15" hidden="false" customHeight="false" outlineLevel="0" collapsed="false">
      <c r="A1531" s="0" t="s">
        <v>154</v>
      </c>
      <c r="B1531" s="0" t="n">
        <v>2022</v>
      </c>
      <c r="C1531" s="0" t="s">
        <v>69</v>
      </c>
      <c r="D1531" s="0" t="n">
        <v>12.74</v>
      </c>
      <c r="E1531" s="0" t="s">
        <v>382</v>
      </c>
      <c r="G1531" s="0" t="s">
        <v>81</v>
      </c>
    </row>
    <row r="1532" customFormat="false" ht="15" hidden="false" customHeight="false" outlineLevel="0" collapsed="false">
      <c r="A1532" s="0" t="s">
        <v>154</v>
      </c>
      <c r="B1532" s="0" t="n">
        <v>2022</v>
      </c>
      <c r="C1532" s="0" t="s">
        <v>65</v>
      </c>
      <c r="D1532" s="0" t="n">
        <v>59144.646</v>
      </c>
      <c r="E1532" s="0" t="s">
        <v>382</v>
      </c>
      <c r="G1532" s="0" t="s">
        <v>81</v>
      </c>
    </row>
    <row r="1533" customFormat="false" ht="15" hidden="false" customHeight="false" outlineLevel="0" collapsed="false">
      <c r="A1533" s="0" t="s">
        <v>154</v>
      </c>
      <c r="B1533" s="0" t="n">
        <v>2022</v>
      </c>
      <c r="C1533" s="0" t="s">
        <v>66</v>
      </c>
      <c r="D1533" s="0" t="n">
        <v>464338.153</v>
      </c>
      <c r="E1533" s="0" t="s">
        <v>382</v>
      </c>
      <c r="G1533" s="0" t="s">
        <v>81</v>
      </c>
    </row>
    <row r="1534" customFormat="false" ht="15" hidden="false" customHeight="false" outlineLevel="0" collapsed="false">
      <c r="A1534" s="0" t="s">
        <v>154</v>
      </c>
      <c r="B1534" s="0" t="n">
        <v>2022</v>
      </c>
      <c r="C1534" s="0" t="s">
        <v>73</v>
      </c>
      <c r="D1534" s="0" t="n">
        <v>0</v>
      </c>
      <c r="E1534" s="0" t="s">
        <v>400</v>
      </c>
      <c r="F1534" s="0" t="s">
        <v>301</v>
      </c>
      <c r="G1534" s="0" t="s">
        <v>509</v>
      </c>
      <c r="H1534" s="0" t="s">
        <v>308</v>
      </c>
    </row>
    <row r="1535" customFormat="false" ht="15" hidden="false" customHeight="false" outlineLevel="0" collapsed="false">
      <c r="A1535" s="0" t="s">
        <v>154</v>
      </c>
      <c r="B1535" s="0" t="n">
        <v>2022</v>
      </c>
      <c r="C1535" s="0" t="s">
        <v>68</v>
      </c>
      <c r="D1535" s="0" t="n">
        <v>12600.451</v>
      </c>
      <c r="E1535" s="0" t="s">
        <v>382</v>
      </c>
      <c r="G1535" s="0" t="s">
        <v>81</v>
      </c>
    </row>
    <row r="1536" customFormat="false" ht="15" hidden="false" customHeight="false" outlineLevel="0" collapsed="false">
      <c r="A1536" s="0" t="s">
        <v>154</v>
      </c>
      <c r="B1536" s="0" t="n">
        <v>2022</v>
      </c>
      <c r="C1536" s="0" t="s">
        <v>402</v>
      </c>
      <c r="D1536" s="0" t="n">
        <v>14746.008</v>
      </c>
      <c r="E1536" s="0" t="s">
        <v>382</v>
      </c>
      <c r="G1536" s="0" t="s">
        <v>81</v>
      </c>
    </row>
    <row r="1537" customFormat="false" ht="15" hidden="false" customHeight="false" outlineLevel="0" collapsed="false">
      <c r="A1537" s="0" t="s">
        <v>154</v>
      </c>
      <c r="B1537" s="0" t="n">
        <v>2022</v>
      </c>
      <c r="C1537" s="0" t="s">
        <v>27</v>
      </c>
      <c r="D1537" s="0" t="n">
        <v>5.76288381871853</v>
      </c>
      <c r="E1537" s="0" t="s">
        <v>383</v>
      </c>
    </row>
    <row r="1538" customFormat="false" ht="15" hidden="false" customHeight="false" outlineLevel="0" collapsed="false">
      <c r="A1538" s="0" t="s">
        <v>154</v>
      </c>
      <c r="B1538" s="0" t="n">
        <v>2022</v>
      </c>
      <c r="C1538" s="0" t="s">
        <v>17</v>
      </c>
      <c r="D1538" s="0" t="n">
        <v>3.32633443478277</v>
      </c>
      <c r="E1538" s="0" t="s">
        <v>383</v>
      </c>
    </row>
    <row r="1539" customFormat="false" ht="15" hidden="false" customHeight="false" outlineLevel="0" collapsed="false">
      <c r="A1539" s="0" t="s">
        <v>154</v>
      </c>
      <c r="B1539" s="0" t="n">
        <v>2022</v>
      </c>
      <c r="C1539" s="0" t="s">
        <v>25</v>
      </c>
      <c r="D1539" s="0" t="n">
        <v>12.7374082051793</v>
      </c>
      <c r="E1539" s="0" t="s">
        <v>383</v>
      </c>
    </row>
    <row r="1540" customFormat="false" ht="15" hidden="false" customHeight="false" outlineLevel="0" collapsed="false">
      <c r="A1540" s="0" t="s">
        <v>154</v>
      </c>
      <c r="B1540" s="0" t="n">
        <v>2022</v>
      </c>
      <c r="C1540" s="0" t="s">
        <v>43</v>
      </c>
      <c r="D1540" s="0" t="n">
        <v>0.782171891176373</v>
      </c>
      <c r="E1540" s="0" t="s">
        <v>383</v>
      </c>
    </row>
    <row r="1541" customFormat="false" ht="15" hidden="false" customHeight="false" outlineLevel="0" collapsed="false">
      <c r="A1541" s="0" t="s">
        <v>154</v>
      </c>
      <c r="B1541" s="0" t="n">
        <v>2022</v>
      </c>
      <c r="C1541" s="0" t="s">
        <v>31</v>
      </c>
      <c r="D1541" s="0" t="n">
        <v>94.2371161812815</v>
      </c>
      <c r="E1541" s="0" t="s">
        <v>383</v>
      </c>
    </row>
    <row r="1542" customFormat="false" ht="15" hidden="false" customHeight="false" outlineLevel="0" collapsed="false">
      <c r="A1542" s="0" t="s">
        <v>154</v>
      </c>
      <c r="B1542" s="0" t="n">
        <v>2022</v>
      </c>
      <c r="C1542" s="0" t="s">
        <v>33</v>
      </c>
      <c r="D1542" s="0" t="n">
        <v>14.1757716232764</v>
      </c>
      <c r="E1542" s="0" t="s">
        <v>383</v>
      </c>
    </row>
    <row r="1543" customFormat="false" ht="15" hidden="false" customHeight="false" outlineLevel="0" collapsed="false">
      <c r="A1543" s="0" t="s">
        <v>154</v>
      </c>
      <c r="B1543" s="0" t="n">
        <v>2022</v>
      </c>
      <c r="C1543" s="0" t="s">
        <v>21</v>
      </c>
      <c r="D1543" s="0" t="n">
        <v>-2.91038304567337E-011</v>
      </c>
      <c r="E1543" s="0" t="s">
        <v>383</v>
      </c>
    </row>
    <row r="1544" customFormat="false" ht="15" hidden="false" customHeight="false" outlineLevel="0" collapsed="false">
      <c r="A1544" s="0" t="s">
        <v>154</v>
      </c>
      <c r="B1544" s="0" t="n">
        <v>2022</v>
      </c>
      <c r="C1544" s="0" t="s">
        <v>35</v>
      </c>
      <c r="D1544" s="0" t="n">
        <v>5.82076609134674E-011</v>
      </c>
      <c r="E1544" s="0" t="s">
        <v>383</v>
      </c>
    </row>
    <row r="1545" customFormat="false" ht="15" hidden="false" customHeight="false" outlineLevel="0" collapsed="false">
      <c r="A1545" s="0" t="s">
        <v>163</v>
      </c>
      <c r="B1545" s="0" t="n">
        <v>2014</v>
      </c>
      <c r="C1545" s="0" t="s">
        <v>54</v>
      </c>
      <c r="D1545" s="0" t="n">
        <v>92479</v>
      </c>
      <c r="E1545" s="0" t="s">
        <v>382</v>
      </c>
      <c r="G1545" s="0" t="s">
        <v>81</v>
      </c>
    </row>
    <row r="1546" customFormat="false" ht="15" hidden="false" customHeight="false" outlineLevel="0" collapsed="false">
      <c r="A1546" s="0" t="s">
        <v>163</v>
      </c>
      <c r="B1546" s="0" t="n">
        <v>2014</v>
      </c>
      <c r="C1546" s="0" t="s">
        <v>55</v>
      </c>
      <c r="D1546" s="0" t="n">
        <v>3423819</v>
      </c>
      <c r="E1546" s="0" t="s">
        <v>382</v>
      </c>
      <c r="G1546" s="0" t="s">
        <v>81</v>
      </c>
    </row>
    <row r="1547" customFormat="false" ht="15" hidden="false" customHeight="false" outlineLevel="0" collapsed="false">
      <c r="A1547" s="0" t="s">
        <v>163</v>
      </c>
      <c r="B1547" s="0" t="n">
        <v>2014</v>
      </c>
      <c r="C1547" s="0" t="s">
        <v>56</v>
      </c>
      <c r="D1547" s="0" t="n">
        <v>2911112</v>
      </c>
      <c r="E1547" s="0" t="s">
        <v>382</v>
      </c>
      <c r="G1547" s="0" t="s">
        <v>81</v>
      </c>
    </row>
    <row r="1548" customFormat="false" ht="15" hidden="false" customHeight="false" outlineLevel="0" collapsed="false">
      <c r="A1548" s="0" t="s">
        <v>163</v>
      </c>
      <c r="B1548" s="0" t="n">
        <v>2014</v>
      </c>
      <c r="C1548" s="0" t="s">
        <v>57</v>
      </c>
      <c r="D1548" s="0" t="n">
        <v>512707</v>
      </c>
      <c r="E1548" s="0" t="s">
        <v>382</v>
      </c>
      <c r="G1548" s="0" t="s">
        <v>81</v>
      </c>
    </row>
    <row r="1549" customFormat="false" ht="15" hidden="false" customHeight="false" outlineLevel="0" collapsed="false">
      <c r="A1549" s="0" t="s">
        <v>163</v>
      </c>
      <c r="B1549" s="0" t="n">
        <v>2014</v>
      </c>
      <c r="C1549" s="0" t="s">
        <v>58</v>
      </c>
      <c r="D1549" s="0" t="n">
        <v>-145986</v>
      </c>
      <c r="E1549" s="0" t="s">
        <v>382</v>
      </c>
      <c r="G1549" s="0" t="s">
        <v>81</v>
      </c>
    </row>
    <row r="1550" customFormat="false" ht="15" hidden="false" customHeight="false" outlineLevel="0" collapsed="false">
      <c r="A1550" s="0" t="s">
        <v>163</v>
      </c>
      <c r="B1550" s="0" t="n">
        <v>2014</v>
      </c>
      <c r="C1550" s="0" t="s">
        <v>60</v>
      </c>
      <c r="D1550" s="0" t="n">
        <v>1605581</v>
      </c>
      <c r="E1550" s="0" t="s">
        <v>382</v>
      </c>
      <c r="G1550" s="0" t="s">
        <v>81</v>
      </c>
    </row>
    <row r="1551" customFormat="false" ht="15" hidden="false" customHeight="false" outlineLevel="0" collapsed="false">
      <c r="A1551" s="0" t="s">
        <v>163</v>
      </c>
      <c r="B1551" s="0" t="n">
        <v>2014</v>
      </c>
      <c r="C1551" s="0" t="s">
        <v>61</v>
      </c>
      <c r="D1551" s="0" t="n">
        <v>25331</v>
      </c>
      <c r="E1551" s="0" t="s">
        <v>382</v>
      </c>
      <c r="G1551" s="0" t="s">
        <v>81</v>
      </c>
    </row>
    <row r="1552" customFormat="false" ht="15" hidden="false" customHeight="false" outlineLevel="0" collapsed="false">
      <c r="A1552" s="0" t="s">
        <v>163</v>
      </c>
      <c r="B1552" s="0" t="n">
        <v>2014</v>
      </c>
      <c r="C1552" s="0" t="s">
        <v>63</v>
      </c>
      <c r="D1552" s="0" t="n">
        <v>12392</v>
      </c>
      <c r="E1552" s="0" t="s">
        <v>382</v>
      </c>
      <c r="G1552" s="0" t="s">
        <v>81</v>
      </c>
    </row>
    <row r="1553" customFormat="false" ht="15" hidden="false" customHeight="false" outlineLevel="0" collapsed="false">
      <c r="A1553" s="0" t="s">
        <v>163</v>
      </c>
      <c r="B1553" s="0" t="n">
        <v>2014</v>
      </c>
      <c r="C1553" s="0" t="s">
        <v>64</v>
      </c>
      <c r="D1553" s="0" t="n">
        <v>26407</v>
      </c>
      <c r="E1553" s="0" t="s">
        <v>382</v>
      </c>
      <c r="G1553" s="0" t="s">
        <v>81</v>
      </c>
    </row>
    <row r="1554" customFormat="false" ht="15" hidden="false" customHeight="false" outlineLevel="0" collapsed="false">
      <c r="A1554" s="0" t="s">
        <v>163</v>
      </c>
      <c r="B1554" s="0" t="n">
        <v>2014</v>
      </c>
      <c r="C1554" s="0" t="s">
        <v>69</v>
      </c>
      <c r="D1554" s="0" t="n">
        <v>19</v>
      </c>
      <c r="E1554" s="0" t="s">
        <v>382</v>
      </c>
      <c r="G1554" s="0" t="s">
        <v>81</v>
      </c>
    </row>
    <row r="1555" customFormat="false" ht="15" hidden="false" customHeight="false" outlineLevel="0" collapsed="false">
      <c r="A1555" s="0" t="s">
        <v>163</v>
      </c>
      <c r="B1555" s="0" t="n">
        <v>2014</v>
      </c>
      <c r="C1555" s="0" t="s">
        <v>27</v>
      </c>
      <c r="D1555" s="0" t="n">
        <v>14.9747109879348</v>
      </c>
      <c r="E1555" s="0" t="s">
        <v>383</v>
      </c>
    </row>
    <row r="1556" customFormat="false" ht="15" hidden="false" customHeight="false" outlineLevel="0" collapsed="false">
      <c r="A1556" s="0" t="s">
        <v>163</v>
      </c>
      <c r="B1556" s="0" t="n">
        <v>2014</v>
      </c>
      <c r="C1556" s="0" t="s">
        <v>17</v>
      </c>
      <c r="D1556" s="0" t="n">
        <v>1.57768433981219</v>
      </c>
      <c r="E1556" s="0" t="s">
        <v>383</v>
      </c>
    </row>
    <row r="1557" customFormat="false" ht="15" hidden="false" customHeight="false" outlineLevel="0" collapsed="false">
      <c r="A1557" s="0" t="s">
        <v>163</v>
      </c>
      <c r="B1557" s="0" t="n">
        <v>2014</v>
      </c>
      <c r="C1557" s="0" t="s">
        <v>23</v>
      </c>
      <c r="D1557" s="0" t="n">
        <v>95.9253228310675</v>
      </c>
      <c r="E1557" s="0" t="s">
        <v>383</v>
      </c>
    </row>
    <row r="1558" customFormat="false" ht="15" hidden="false" customHeight="false" outlineLevel="0" collapsed="false">
      <c r="A1558" s="0" t="s">
        <v>163</v>
      </c>
      <c r="B1558" s="0" t="n">
        <v>2014</v>
      </c>
      <c r="C1558" s="0" t="s">
        <v>37</v>
      </c>
      <c r="D1558" s="0" t="n">
        <v>1.6447005787936</v>
      </c>
      <c r="E1558" s="0" t="s">
        <v>383</v>
      </c>
    </row>
    <row r="1559" customFormat="false" ht="15" hidden="false" customHeight="false" outlineLevel="0" collapsed="false">
      <c r="A1559" s="0" t="s">
        <v>163</v>
      </c>
      <c r="B1559" s="0" t="n">
        <v>2014</v>
      </c>
      <c r="C1559" s="0" t="s">
        <v>43</v>
      </c>
      <c r="D1559" s="0" t="n">
        <v>2.70104815704335</v>
      </c>
      <c r="E1559" s="0" t="s">
        <v>383</v>
      </c>
    </row>
    <row r="1560" customFormat="false" ht="15" hidden="false" customHeight="false" outlineLevel="0" collapsed="false">
      <c r="A1560" s="0" t="s">
        <v>163</v>
      </c>
      <c r="B1560" s="0" t="n">
        <v>2014</v>
      </c>
      <c r="C1560" s="0" t="s">
        <v>31</v>
      </c>
      <c r="D1560" s="0" t="n">
        <v>85.0252890120652</v>
      </c>
      <c r="E1560" s="0" t="s">
        <v>383</v>
      </c>
    </row>
    <row r="1561" customFormat="false" ht="15" hidden="false" customHeight="false" outlineLevel="0" collapsed="false">
      <c r="A1561" s="0" t="s">
        <v>163</v>
      </c>
      <c r="B1561" s="0" t="n">
        <v>2014</v>
      </c>
      <c r="C1561" s="0" t="s">
        <v>33</v>
      </c>
      <c r="D1561" s="0" t="n">
        <v>15.046267152697</v>
      </c>
      <c r="E1561" s="0" t="s">
        <v>383</v>
      </c>
    </row>
    <row r="1562" customFormat="false" ht="15" hidden="false" customHeight="false" outlineLevel="0" collapsed="false">
      <c r="A1562" s="0" t="s">
        <v>163</v>
      </c>
      <c r="B1562" s="0" t="n">
        <v>2014</v>
      </c>
      <c r="C1562" s="0" t="s">
        <v>21</v>
      </c>
      <c r="D1562" s="0" t="n">
        <v>0</v>
      </c>
      <c r="E1562" s="0" t="s">
        <v>383</v>
      </c>
    </row>
    <row r="1563" customFormat="false" ht="15" hidden="false" customHeight="false" outlineLevel="0" collapsed="false">
      <c r="A1563" s="0" t="s">
        <v>163</v>
      </c>
      <c r="B1563" s="0" t="n">
        <v>2015</v>
      </c>
      <c r="C1563" s="0" t="s">
        <v>54</v>
      </c>
      <c r="D1563" s="0" t="n">
        <v>98784</v>
      </c>
      <c r="E1563" s="0" t="s">
        <v>382</v>
      </c>
      <c r="G1563" s="0" t="s">
        <v>81</v>
      </c>
    </row>
    <row r="1564" customFormat="false" ht="15" hidden="false" customHeight="false" outlineLevel="0" collapsed="false">
      <c r="A1564" s="0" t="s">
        <v>163</v>
      </c>
      <c r="B1564" s="0" t="n">
        <v>2015</v>
      </c>
      <c r="C1564" s="0" t="s">
        <v>55</v>
      </c>
      <c r="D1564" s="0" t="n">
        <v>3750327</v>
      </c>
      <c r="E1564" s="0" t="s">
        <v>382</v>
      </c>
      <c r="G1564" s="0" t="s">
        <v>81</v>
      </c>
    </row>
    <row r="1565" customFormat="false" ht="15" hidden="false" customHeight="false" outlineLevel="0" collapsed="false">
      <c r="A1565" s="0" t="s">
        <v>163</v>
      </c>
      <c r="B1565" s="0" t="n">
        <v>2015</v>
      </c>
      <c r="C1565" s="0" t="s">
        <v>56</v>
      </c>
      <c r="D1565" s="0" t="n">
        <v>3203381</v>
      </c>
      <c r="E1565" s="0" t="s">
        <v>382</v>
      </c>
      <c r="G1565" s="0" t="s">
        <v>81</v>
      </c>
    </row>
    <row r="1566" customFormat="false" ht="15" hidden="false" customHeight="false" outlineLevel="0" collapsed="false">
      <c r="A1566" s="0" t="s">
        <v>163</v>
      </c>
      <c r="B1566" s="0" t="n">
        <v>2015</v>
      </c>
      <c r="C1566" s="0" t="s">
        <v>57</v>
      </c>
      <c r="D1566" s="0" t="n">
        <v>546946</v>
      </c>
      <c r="E1566" s="0" t="s">
        <v>382</v>
      </c>
      <c r="G1566" s="0" t="s">
        <v>81</v>
      </c>
    </row>
    <row r="1567" customFormat="false" ht="15" hidden="false" customHeight="false" outlineLevel="0" collapsed="false">
      <c r="A1567" s="0" t="s">
        <v>163</v>
      </c>
      <c r="B1567" s="0" t="n">
        <v>2015</v>
      </c>
      <c r="C1567" s="0" t="s">
        <v>58</v>
      </c>
      <c r="D1567" s="0" t="n">
        <v>-415396</v>
      </c>
      <c r="E1567" s="0" t="s">
        <v>382</v>
      </c>
      <c r="G1567" s="0" t="s">
        <v>81</v>
      </c>
    </row>
    <row r="1568" customFormat="false" ht="15" hidden="false" customHeight="false" outlineLevel="0" collapsed="false">
      <c r="A1568" s="0" t="s">
        <v>163</v>
      </c>
      <c r="B1568" s="0" t="n">
        <v>2015</v>
      </c>
      <c r="C1568" s="0" t="s">
        <v>59</v>
      </c>
      <c r="D1568" s="0" t="n">
        <v>3423819</v>
      </c>
      <c r="E1568" s="0" t="s">
        <v>382</v>
      </c>
      <c r="G1568" s="0" t="s">
        <v>81</v>
      </c>
    </row>
    <row r="1569" customFormat="false" ht="15" hidden="false" customHeight="false" outlineLevel="0" collapsed="false">
      <c r="A1569" s="0" t="s">
        <v>163</v>
      </c>
      <c r="B1569" s="0" t="n">
        <v>2015</v>
      </c>
      <c r="C1569" s="0" t="s">
        <v>60</v>
      </c>
      <c r="D1569" s="0" t="n">
        <v>1884941</v>
      </c>
      <c r="E1569" s="0" t="s">
        <v>382</v>
      </c>
      <c r="G1569" s="0" t="s">
        <v>81</v>
      </c>
    </row>
    <row r="1570" customFormat="false" ht="15" hidden="false" customHeight="false" outlineLevel="0" collapsed="false">
      <c r="A1570" s="0" t="s">
        <v>163</v>
      </c>
      <c r="B1570" s="0" t="n">
        <v>2015</v>
      </c>
      <c r="C1570" s="0" t="s">
        <v>61</v>
      </c>
      <c r="D1570" s="0" t="n">
        <v>35716</v>
      </c>
      <c r="E1570" s="0" t="s">
        <v>382</v>
      </c>
      <c r="G1570" s="0" t="s">
        <v>81</v>
      </c>
    </row>
    <row r="1571" customFormat="false" ht="15" hidden="false" customHeight="false" outlineLevel="0" collapsed="false">
      <c r="A1571" s="0" t="s">
        <v>163</v>
      </c>
      <c r="B1571" s="0" t="n">
        <v>2015</v>
      </c>
      <c r="C1571" s="0" t="s">
        <v>63</v>
      </c>
      <c r="D1571" s="0" t="n">
        <v>11091</v>
      </c>
      <c r="E1571" s="0" t="s">
        <v>382</v>
      </c>
      <c r="G1571" s="0" t="s">
        <v>81</v>
      </c>
    </row>
    <row r="1572" customFormat="false" ht="15" hidden="false" customHeight="false" outlineLevel="0" collapsed="false">
      <c r="A1572" s="0" t="s">
        <v>163</v>
      </c>
      <c r="B1572" s="0" t="n">
        <v>2015</v>
      </c>
      <c r="C1572" s="0" t="s">
        <v>64</v>
      </c>
      <c r="D1572" s="0" t="n">
        <v>30871</v>
      </c>
      <c r="E1572" s="0" t="s">
        <v>382</v>
      </c>
      <c r="G1572" s="0" t="s">
        <v>81</v>
      </c>
    </row>
    <row r="1573" customFormat="false" ht="15" hidden="false" customHeight="false" outlineLevel="0" collapsed="false">
      <c r="A1573" s="0" t="s">
        <v>163</v>
      </c>
      <c r="B1573" s="0" t="n">
        <v>2015</v>
      </c>
      <c r="C1573" s="0" t="s">
        <v>69</v>
      </c>
      <c r="D1573" s="0" t="n">
        <v>20</v>
      </c>
      <c r="E1573" s="0" t="s">
        <v>382</v>
      </c>
      <c r="G1573" s="0" t="s">
        <v>81</v>
      </c>
    </row>
    <row r="1574" customFormat="false" ht="15" hidden="false" customHeight="false" outlineLevel="0" collapsed="false">
      <c r="A1574" s="0" t="s">
        <v>163</v>
      </c>
      <c r="B1574" s="0" t="n">
        <v>2015</v>
      </c>
      <c r="C1574" s="0" t="s">
        <v>19</v>
      </c>
      <c r="D1574" s="0" t="n">
        <v>3587073</v>
      </c>
      <c r="E1574" s="0" t="s">
        <v>383</v>
      </c>
    </row>
    <row r="1575" customFormat="false" ht="15" hidden="false" customHeight="false" outlineLevel="0" collapsed="false">
      <c r="A1575" s="0" t="s">
        <v>163</v>
      </c>
      <c r="B1575" s="0" t="n">
        <v>2015</v>
      </c>
      <c r="C1575" s="0" t="s">
        <v>41</v>
      </c>
      <c r="D1575" s="0" t="n">
        <v>2.75388875553968</v>
      </c>
      <c r="E1575" s="0" t="s">
        <v>383</v>
      </c>
    </row>
    <row r="1576" customFormat="false" ht="15" hidden="false" customHeight="false" outlineLevel="0" collapsed="false">
      <c r="A1576" s="0" t="s">
        <v>163</v>
      </c>
      <c r="B1576" s="0" t="n">
        <v>2015</v>
      </c>
      <c r="C1576" s="0" t="s">
        <v>27</v>
      </c>
      <c r="D1576" s="0" t="n">
        <v>14.5839549457954</v>
      </c>
      <c r="E1576" s="0" t="s">
        <v>383</v>
      </c>
    </row>
    <row r="1577" customFormat="false" ht="15" hidden="false" customHeight="false" outlineLevel="0" collapsed="false">
      <c r="A1577" s="0" t="s">
        <v>163</v>
      </c>
      <c r="B1577" s="0" t="n">
        <v>2015</v>
      </c>
      <c r="C1577" s="0" t="s">
        <v>39</v>
      </c>
      <c r="D1577" s="0" t="n">
        <v>-11.580360923795</v>
      </c>
      <c r="E1577" s="0" t="s">
        <v>383</v>
      </c>
    </row>
    <row r="1578" customFormat="false" ht="15" hidden="false" customHeight="false" outlineLevel="0" collapsed="false">
      <c r="A1578" s="0" t="s">
        <v>163</v>
      </c>
      <c r="B1578" s="0" t="n">
        <v>2015</v>
      </c>
      <c r="C1578" s="0" t="s">
        <v>17</v>
      </c>
      <c r="D1578" s="0" t="n">
        <v>1.89480731757652</v>
      </c>
      <c r="E1578" s="0" t="s">
        <v>383</v>
      </c>
    </row>
    <row r="1579" customFormat="false" ht="15" hidden="false" customHeight="false" outlineLevel="0" collapsed="false">
      <c r="A1579" s="0" t="s">
        <v>163</v>
      </c>
      <c r="B1579" s="0" t="n">
        <v>2015</v>
      </c>
      <c r="C1579" s="0" t="s">
        <v>29</v>
      </c>
      <c r="D1579" s="0" t="n">
        <v>0.309193596004319</v>
      </c>
      <c r="E1579" s="0" t="s">
        <v>383</v>
      </c>
    </row>
    <row r="1580" customFormat="false" ht="15" hidden="false" customHeight="false" outlineLevel="0" collapsed="false">
      <c r="A1580" s="0" t="s">
        <v>163</v>
      </c>
      <c r="B1580" s="0" t="n">
        <v>2015</v>
      </c>
      <c r="C1580" s="0" t="s">
        <v>23</v>
      </c>
      <c r="D1580" s="0" t="n">
        <v>115.694340967251</v>
      </c>
      <c r="E1580" s="0" t="s">
        <v>383</v>
      </c>
    </row>
    <row r="1581" customFormat="false" ht="15" hidden="false" customHeight="false" outlineLevel="0" collapsed="false">
      <c r="A1581" s="0" t="s">
        <v>163</v>
      </c>
      <c r="B1581" s="0" t="n">
        <v>2015</v>
      </c>
      <c r="C1581" s="0" t="s">
        <v>37</v>
      </c>
      <c r="D1581" s="0" t="n">
        <v>1.63777009466079</v>
      </c>
      <c r="E1581" s="0" t="s">
        <v>383</v>
      </c>
    </row>
    <row r="1582" customFormat="false" ht="15" hidden="false" customHeight="false" outlineLevel="0" collapsed="false">
      <c r="A1582" s="0" t="s">
        <v>163</v>
      </c>
      <c r="B1582" s="0" t="n">
        <v>2015</v>
      </c>
      <c r="C1582" s="0" t="s">
        <v>43</v>
      </c>
      <c r="D1582" s="0" t="n">
        <v>2.63401031430059</v>
      </c>
      <c r="E1582" s="0" t="s">
        <v>383</v>
      </c>
    </row>
    <row r="1583" customFormat="false" ht="15" hidden="false" customHeight="false" outlineLevel="0" collapsed="false">
      <c r="A1583" s="0" t="s">
        <v>163</v>
      </c>
      <c r="B1583" s="0" t="n">
        <v>2015</v>
      </c>
      <c r="C1583" s="0" t="s">
        <v>31</v>
      </c>
      <c r="D1583" s="0" t="n">
        <v>85.4160450542046</v>
      </c>
      <c r="E1583" s="0" t="s">
        <v>383</v>
      </c>
    </row>
    <row r="1584" customFormat="false" ht="15" hidden="false" customHeight="false" outlineLevel="0" collapsed="false">
      <c r="A1584" s="0" t="s">
        <v>163</v>
      </c>
      <c r="B1584" s="0" t="n">
        <v>2015</v>
      </c>
      <c r="C1584" s="0" t="s">
        <v>33</v>
      </c>
      <c r="D1584" s="0" t="n">
        <v>15.1373535941449</v>
      </c>
      <c r="E1584" s="0" t="s">
        <v>383</v>
      </c>
    </row>
    <row r="1585" customFormat="false" ht="15" hidden="false" customHeight="false" outlineLevel="0" collapsed="false">
      <c r="A1585" s="0" t="s">
        <v>163</v>
      </c>
      <c r="B1585" s="0" t="n">
        <v>2015</v>
      </c>
      <c r="C1585" s="0" t="s">
        <v>21</v>
      </c>
      <c r="D1585" s="0" t="n">
        <v>0</v>
      </c>
      <c r="E1585" s="0" t="s">
        <v>383</v>
      </c>
    </row>
    <row r="1586" customFormat="false" ht="15" hidden="false" customHeight="false" outlineLevel="0" collapsed="false">
      <c r="A1586" s="0" t="s">
        <v>163</v>
      </c>
      <c r="B1586" s="0" t="n">
        <v>2016</v>
      </c>
      <c r="C1586" s="0" t="s">
        <v>54</v>
      </c>
      <c r="D1586" s="0" t="n">
        <v>119285</v>
      </c>
      <c r="E1586" s="0" t="s">
        <v>384</v>
      </c>
      <c r="F1586" s="0" t="s">
        <v>385</v>
      </c>
      <c r="G1586" s="0" t="s">
        <v>166</v>
      </c>
      <c r="H1586" s="0" t="s">
        <v>733</v>
      </c>
    </row>
    <row r="1587" customFormat="false" ht="15" hidden="false" customHeight="false" outlineLevel="0" collapsed="false">
      <c r="A1587" s="0" t="s">
        <v>163</v>
      </c>
      <c r="B1587" s="0" t="n">
        <v>2016</v>
      </c>
      <c r="C1587" s="0" t="s">
        <v>55</v>
      </c>
      <c r="D1587" s="0" t="n">
        <v>4283736</v>
      </c>
      <c r="E1587" s="0" t="s">
        <v>384</v>
      </c>
      <c r="F1587" s="0" t="s">
        <v>385</v>
      </c>
      <c r="G1587" s="0" t="s">
        <v>166</v>
      </c>
      <c r="H1587" s="0" t="s">
        <v>734</v>
      </c>
    </row>
    <row r="1588" customFormat="false" ht="15" hidden="false" customHeight="false" outlineLevel="0" collapsed="false">
      <c r="A1588" s="0" t="s">
        <v>163</v>
      </c>
      <c r="B1588" s="0" t="n">
        <v>2016</v>
      </c>
      <c r="C1588" s="0" t="s">
        <v>56</v>
      </c>
      <c r="D1588" s="0" t="n">
        <v>3667383</v>
      </c>
      <c r="E1588" s="0" t="s">
        <v>384</v>
      </c>
      <c r="F1588" s="0" t="s">
        <v>385</v>
      </c>
      <c r="G1588" s="0" t="s">
        <v>166</v>
      </c>
      <c r="H1588" s="0" t="s">
        <v>735</v>
      </c>
    </row>
    <row r="1589" customFormat="false" ht="15" hidden="false" customHeight="false" outlineLevel="0" collapsed="false">
      <c r="A1589" s="0" t="s">
        <v>163</v>
      </c>
      <c r="B1589" s="0" t="n">
        <v>2016</v>
      </c>
      <c r="C1589" s="0" t="s">
        <v>57</v>
      </c>
      <c r="D1589" s="0" t="n">
        <v>616353</v>
      </c>
      <c r="E1589" s="0" t="s">
        <v>384</v>
      </c>
      <c r="F1589" s="0" t="s">
        <v>385</v>
      </c>
      <c r="G1589" s="0" t="s">
        <v>166</v>
      </c>
      <c r="H1589" s="0" t="s">
        <v>736</v>
      </c>
    </row>
    <row r="1590" customFormat="false" ht="15" hidden="false" customHeight="false" outlineLevel="0" collapsed="false">
      <c r="A1590" s="0" t="s">
        <v>163</v>
      </c>
      <c r="B1590" s="0" t="n">
        <v>2016</v>
      </c>
      <c r="C1590" s="0" t="s">
        <v>58</v>
      </c>
      <c r="D1590" s="0" t="n">
        <v>-104917</v>
      </c>
      <c r="E1590" s="0" t="s">
        <v>384</v>
      </c>
      <c r="F1590" s="0" t="s">
        <v>385</v>
      </c>
      <c r="G1590" s="0" t="s">
        <v>166</v>
      </c>
      <c r="H1590" s="0" t="s">
        <v>737</v>
      </c>
    </row>
    <row r="1591" customFormat="false" ht="15" hidden="false" customHeight="false" outlineLevel="0" collapsed="false">
      <c r="A1591" s="0" t="s">
        <v>163</v>
      </c>
      <c r="B1591" s="0" t="n">
        <v>2016</v>
      </c>
      <c r="C1591" s="0" t="s">
        <v>59</v>
      </c>
      <c r="D1591" s="0" t="n">
        <v>3750327</v>
      </c>
      <c r="E1591" s="0" t="s">
        <v>384</v>
      </c>
      <c r="F1591" s="0" t="s">
        <v>385</v>
      </c>
      <c r="G1591" s="0" t="s">
        <v>166</v>
      </c>
      <c r="H1591" s="0" t="s">
        <v>738</v>
      </c>
    </row>
    <row r="1592" customFormat="false" ht="15" hidden="false" customHeight="false" outlineLevel="0" collapsed="false">
      <c r="A1592" s="0" t="s">
        <v>163</v>
      </c>
      <c r="B1592" s="0" t="n">
        <v>2016</v>
      </c>
      <c r="C1592" s="0" t="s">
        <v>60</v>
      </c>
      <c r="D1592" s="0" t="n">
        <v>2193224</v>
      </c>
      <c r="E1592" s="0" t="s">
        <v>384</v>
      </c>
      <c r="F1592" s="0" t="s">
        <v>385</v>
      </c>
      <c r="G1592" s="0" t="s">
        <v>166</v>
      </c>
      <c r="H1592" s="0" t="s">
        <v>739</v>
      </c>
    </row>
    <row r="1593" customFormat="false" ht="15" hidden="false" customHeight="false" outlineLevel="0" collapsed="false">
      <c r="A1593" s="0" t="s">
        <v>163</v>
      </c>
      <c r="B1593" s="0" t="n">
        <v>2016</v>
      </c>
      <c r="C1593" s="0" t="s">
        <v>61</v>
      </c>
      <c r="D1593" s="0" t="n">
        <v>55092</v>
      </c>
      <c r="E1593" s="0" t="s">
        <v>567</v>
      </c>
      <c r="F1593" s="0" t="s">
        <v>385</v>
      </c>
      <c r="G1593" s="0" t="s">
        <v>166</v>
      </c>
      <c r="H1593" s="0" t="s">
        <v>740</v>
      </c>
    </row>
    <row r="1594" customFormat="false" ht="15" hidden="false" customHeight="false" outlineLevel="0" collapsed="false">
      <c r="A1594" s="0" t="s">
        <v>163</v>
      </c>
      <c r="B1594" s="0" t="n">
        <v>2016</v>
      </c>
      <c r="C1594" s="0" t="s">
        <v>62</v>
      </c>
      <c r="D1594" s="0" t="n">
        <v>2138132</v>
      </c>
      <c r="E1594" s="0" t="s">
        <v>384</v>
      </c>
      <c r="F1594" s="0" t="s">
        <v>385</v>
      </c>
      <c r="G1594" s="0" t="s">
        <v>166</v>
      </c>
      <c r="H1594" s="0" t="s">
        <v>741</v>
      </c>
    </row>
    <row r="1595" customFormat="false" ht="15" hidden="false" customHeight="false" outlineLevel="0" collapsed="false">
      <c r="A1595" s="0" t="s">
        <v>163</v>
      </c>
      <c r="B1595" s="0" t="n">
        <v>2016</v>
      </c>
      <c r="C1595" s="0" t="s">
        <v>63</v>
      </c>
      <c r="D1595" s="0" t="n">
        <v>26295</v>
      </c>
      <c r="E1595" s="0" t="s">
        <v>384</v>
      </c>
      <c r="F1595" s="0" t="s">
        <v>385</v>
      </c>
      <c r="G1595" s="0" t="s">
        <v>166</v>
      </c>
      <c r="H1595" s="0" t="s">
        <v>742</v>
      </c>
    </row>
    <row r="1596" customFormat="false" ht="15" hidden="false" customHeight="false" outlineLevel="0" collapsed="false">
      <c r="A1596" s="0" t="s">
        <v>163</v>
      </c>
      <c r="B1596" s="0" t="n">
        <v>2016</v>
      </c>
      <c r="C1596" s="0" t="s">
        <v>64</v>
      </c>
      <c r="D1596" s="0" t="n">
        <v>57577</v>
      </c>
      <c r="E1596" s="0" t="s">
        <v>384</v>
      </c>
      <c r="F1596" s="0" t="s">
        <v>385</v>
      </c>
      <c r="G1596" s="0" t="s">
        <v>166</v>
      </c>
      <c r="H1596" s="0" t="s">
        <v>743</v>
      </c>
    </row>
    <row r="1597" customFormat="false" ht="15" hidden="false" customHeight="false" outlineLevel="0" collapsed="false">
      <c r="A1597" s="0" t="s">
        <v>163</v>
      </c>
      <c r="B1597" s="0" t="n">
        <v>2016</v>
      </c>
      <c r="C1597" s="0" t="s">
        <v>69</v>
      </c>
      <c r="D1597" s="0" t="n">
        <v>22</v>
      </c>
      <c r="E1597" s="0" t="s">
        <v>384</v>
      </c>
      <c r="F1597" s="0" t="s">
        <v>385</v>
      </c>
      <c r="G1597" s="0" t="s">
        <v>166</v>
      </c>
      <c r="H1597" s="0" t="s">
        <v>744</v>
      </c>
    </row>
    <row r="1598" customFormat="false" ht="15" hidden="false" customHeight="false" outlineLevel="0" collapsed="false">
      <c r="A1598" s="0" t="s">
        <v>163</v>
      </c>
      <c r="B1598" s="0" t="n">
        <v>2016</v>
      </c>
      <c r="C1598" s="0" t="s">
        <v>65</v>
      </c>
      <c r="D1598" s="0" t="n">
        <v>565277</v>
      </c>
      <c r="E1598" s="0" t="s">
        <v>384</v>
      </c>
      <c r="F1598" s="0" t="s">
        <v>385</v>
      </c>
      <c r="G1598" s="0" t="s">
        <v>166</v>
      </c>
      <c r="H1598" s="0" t="s">
        <v>745</v>
      </c>
    </row>
    <row r="1599" customFormat="false" ht="15" hidden="false" customHeight="false" outlineLevel="0" collapsed="false">
      <c r="A1599" s="0" t="s">
        <v>163</v>
      </c>
      <c r="B1599" s="0" t="n">
        <v>2016</v>
      </c>
      <c r="C1599" s="0" t="s">
        <v>66</v>
      </c>
      <c r="D1599" s="0" t="n">
        <v>2624643</v>
      </c>
      <c r="E1599" s="0" t="s">
        <v>384</v>
      </c>
      <c r="F1599" s="0" t="s">
        <v>385</v>
      </c>
      <c r="G1599" s="0" t="s">
        <v>166</v>
      </c>
      <c r="H1599" s="0" t="s">
        <v>746</v>
      </c>
    </row>
    <row r="1600" customFormat="false" ht="15" hidden="false" customHeight="false" outlineLevel="0" collapsed="false">
      <c r="A1600" s="0" t="s">
        <v>163</v>
      </c>
      <c r="B1600" s="0" t="n">
        <v>2016</v>
      </c>
      <c r="C1600" s="0" t="s">
        <v>402</v>
      </c>
      <c r="D1600" s="0" t="n">
        <v>139927</v>
      </c>
      <c r="E1600" s="0" t="s">
        <v>384</v>
      </c>
      <c r="F1600" s="0" t="s">
        <v>385</v>
      </c>
      <c r="G1600" s="0" t="s">
        <v>166</v>
      </c>
      <c r="H1600" s="0" t="s">
        <v>747</v>
      </c>
    </row>
    <row r="1601" customFormat="false" ht="15" hidden="false" customHeight="false" outlineLevel="0" collapsed="false">
      <c r="A1601" s="0" t="s">
        <v>163</v>
      </c>
      <c r="B1601" s="0" t="n">
        <v>2016</v>
      </c>
      <c r="C1601" s="0" t="s">
        <v>404</v>
      </c>
      <c r="D1601" s="0" t="n">
        <v>17607</v>
      </c>
      <c r="E1601" s="0" t="s">
        <v>384</v>
      </c>
      <c r="F1601" s="0" t="s">
        <v>385</v>
      </c>
      <c r="G1601" s="0" t="s">
        <v>166</v>
      </c>
      <c r="H1601" s="0" t="s">
        <v>748</v>
      </c>
    </row>
    <row r="1602" customFormat="false" ht="15" hidden="false" customHeight="false" outlineLevel="0" collapsed="false">
      <c r="A1602" s="0" t="s">
        <v>163</v>
      </c>
      <c r="B1602" s="0" t="n">
        <v>2016</v>
      </c>
      <c r="C1602" s="0" t="s">
        <v>406</v>
      </c>
      <c r="D1602" s="0" t="n">
        <v>37485</v>
      </c>
      <c r="E1602" s="0" t="s">
        <v>384</v>
      </c>
      <c r="F1602" s="0" t="s">
        <v>385</v>
      </c>
      <c r="G1602" s="0" t="s">
        <v>166</v>
      </c>
      <c r="H1602" s="0" t="s">
        <v>749</v>
      </c>
    </row>
    <row r="1603" customFormat="false" ht="15" hidden="false" customHeight="false" outlineLevel="0" collapsed="false">
      <c r="A1603" s="0" t="s">
        <v>163</v>
      </c>
      <c r="B1603" s="0" t="n">
        <v>2016</v>
      </c>
      <c r="C1603" s="0" t="s">
        <v>19</v>
      </c>
      <c r="D1603" s="0" t="n">
        <v>4017031.5</v>
      </c>
      <c r="E1603" s="0" t="s">
        <v>383</v>
      </c>
    </row>
    <row r="1604" customFormat="false" ht="15" hidden="false" customHeight="false" outlineLevel="0" collapsed="false">
      <c r="A1604" s="0" t="s">
        <v>163</v>
      </c>
      <c r="B1604" s="0" t="n">
        <v>2016</v>
      </c>
      <c r="C1604" s="0" t="s">
        <v>41</v>
      </c>
      <c r="D1604" s="0" t="n">
        <v>2.96948131972577</v>
      </c>
      <c r="E1604" s="0" t="s">
        <v>383</v>
      </c>
    </row>
    <row r="1605" customFormat="false" ht="15" hidden="false" customHeight="false" outlineLevel="0" collapsed="false">
      <c r="A1605" s="0" t="s">
        <v>163</v>
      </c>
      <c r="B1605" s="0" t="n">
        <v>2016</v>
      </c>
      <c r="C1605" s="0" t="s">
        <v>27</v>
      </c>
      <c r="D1605" s="0" t="n">
        <v>14.3882115984739</v>
      </c>
      <c r="E1605" s="0" t="s">
        <v>383</v>
      </c>
    </row>
    <row r="1606" customFormat="false" ht="15" hidden="false" customHeight="false" outlineLevel="0" collapsed="false">
      <c r="A1606" s="0" t="s">
        <v>163</v>
      </c>
      <c r="B1606" s="0" t="n">
        <v>2016</v>
      </c>
      <c r="C1606" s="0" t="s">
        <v>39</v>
      </c>
      <c r="D1606" s="0" t="n">
        <v>-2.61180426391976</v>
      </c>
      <c r="E1606" s="0" t="s">
        <v>383</v>
      </c>
    </row>
    <row r="1607" customFormat="false" ht="15" hidden="false" customHeight="false" outlineLevel="0" collapsed="false">
      <c r="A1607" s="0" t="s">
        <v>163</v>
      </c>
      <c r="B1607" s="0" t="n">
        <v>2016</v>
      </c>
      <c r="C1607" s="0" t="s">
        <v>17</v>
      </c>
      <c r="D1607" s="0" t="n">
        <v>2.51191852724574</v>
      </c>
      <c r="E1607" s="0" t="s">
        <v>383</v>
      </c>
    </row>
    <row r="1608" customFormat="false" ht="15" hidden="false" customHeight="false" outlineLevel="0" collapsed="false">
      <c r="A1608" s="0" t="s">
        <v>163</v>
      </c>
      <c r="B1608" s="0" t="n">
        <v>2016</v>
      </c>
      <c r="C1608" s="0" t="s">
        <v>25</v>
      </c>
      <c r="D1608" s="0" t="n">
        <v>21.5372909763347</v>
      </c>
      <c r="E1608" s="0" t="s">
        <v>383</v>
      </c>
    </row>
    <row r="1609" customFormat="false" ht="15" hidden="false" customHeight="false" outlineLevel="0" collapsed="false">
      <c r="A1609" s="0" t="s">
        <v>163</v>
      </c>
      <c r="B1609" s="0" t="n">
        <v>2016</v>
      </c>
      <c r="C1609" s="0" t="s">
        <v>29</v>
      </c>
      <c r="D1609" s="0" t="n">
        <v>0.654587846771926</v>
      </c>
      <c r="E1609" s="0" t="s">
        <v>383</v>
      </c>
    </row>
    <row r="1610" customFormat="false" ht="15" hidden="false" customHeight="false" outlineLevel="0" collapsed="false">
      <c r="A1610" s="0" t="s">
        <v>163</v>
      </c>
      <c r="B1610" s="0" t="n">
        <v>2016</v>
      </c>
      <c r="C1610" s="0" t="s">
        <v>23</v>
      </c>
      <c r="D1610" s="0" t="n">
        <v>95.6840405022839</v>
      </c>
      <c r="E1610" s="0" t="s">
        <v>383</v>
      </c>
    </row>
    <row r="1611" customFormat="false" ht="15" hidden="false" customHeight="false" outlineLevel="0" collapsed="false">
      <c r="A1611" s="0" t="s">
        <v>163</v>
      </c>
      <c r="B1611" s="0" t="n">
        <v>2016</v>
      </c>
      <c r="C1611" s="0" t="s">
        <v>37</v>
      </c>
      <c r="D1611" s="0" t="n">
        <v>2.6252220475428</v>
      </c>
      <c r="E1611" s="0" t="s">
        <v>383</v>
      </c>
    </row>
    <row r="1612" customFormat="false" ht="15" hidden="false" customHeight="false" outlineLevel="0" collapsed="false">
      <c r="A1612" s="0" t="s">
        <v>163</v>
      </c>
      <c r="B1612" s="0" t="n">
        <v>2016</v>
      </c>
      <c r="C1612" s="0" t="s">
        <v>43</v>
      </c>
      <c r="D1612" s="0" t="n">
        <v>2.78460203896785</v>
      </c>
      <c r="E1612" s="0" t="s">
        <v>383</v>
      </c>
    </row>
    <row r="1613" customFormat="false" ht="15" hidden="false" customHeight="false" outlineLevel="0" collapsed="false">
      <c r="A1613" s="0" t="s">
        <v>163</v>
      </c>
      <c r="B1613" s="0" t="n">
        <v>2016</v>
      </c>
      <c r="C1613" s="0" t="s">
        <v>31</v>
      </c>
      <c r="D1613" s="0" t="n">
        <v>85.6117884015261</v>
      </c>
      <c r="E1613" s="0" t="s">
        <v>383</v>
      </c>
    </row>
    <row r="1614" customFormat="false" ht="15" hidden="false" customHeight="false" outlineLevel="0" collapsed="false">
      <c r="A1614" s="0" t="s">
        <v>163</v>
      </c>
      <c r="B1614" s="0" t="n">
        <v>2016</v>
      </c>
      <c r="C1614" s="0" t="s">
        <v>33</v>
      </c>
      <c r="D1614" s="0" t="n">
        <v>15.270336084001</v>
      </c>
      <c r="E1614" s="0" t="s">
        <v>383</v>
      </c>
    </row>
    <row r="1615" customFormat="false" ht="15" hidden="false" customHeight="false" outlineLevel="0" collapsed="false">
      <c r="A1615" s="0" t="s">
        <v>163</v>
      </c>
      <c r="B1615" s="0" t="n">
        <v>2016</v>
      </c>
      <c r="C1615" s="0" t="s">
        <v>21</v>
      </c>
      <c r="D1615" s="0" t="n">
        <v>0</v>
      </c>
      <c r="E1615" s="0" t="s">
        <v>383</v>
      </c>
    </row>
    <row r="1616" customFormat="false" ht="15" hidden="false" customHeight="false" outlineLevel="0" collapsed="false">
      <c r="A1616" s="0" t="s">
        <v>163</v>
      </c>
      <c r="B1616" s="0" t="n">
        <v>2016</v>
      </c>
      <c r="C1616" s="0" t="s">
        <v>35</v>
      </c>
      <c r="D1616" s="0" t="n">
        <v>0</v>
      </c>
      <c r="E1616" s="0" t="s">
        <v>383</v>
      </c>
    </row>
    <row r="1617" customFormat="false" ht="15" hidden="false" customHeight="false" outlineLevel="0" collapsed="false">
      <c r="A1617" s="0" t="s">
        <v>163</v>
      </c>
      <c r="B1617" s="0" t="n">
        <v>2017</v>
      </c>
      <c r="C1617" s="0" t="s">
        <v>54</v>
      </c>
      <c r="D1617" s="0" t="n">
        <v>157145</v>
      </c>
      <c r="E1617" s="0" t="s">
        <v>384</v>
      </c>
      <c r="F1617" s="0" t="s">
        <v>385</v>
      </c>
      <c r="G1617" s="0" t="s">
        <v>168</v>
      </c>
      <c r="H1617" s="0" t="s">
        <v>750</v>
      </c>
    </row>
    <row r="1618" customFormat="false" ht="15" hidden="false" customHeight="false" outlineLevel="0" collapsed="false">
      <c r="A1618" s="0" t="s">
        <v>163</v>
      </c>
      <c r="B1618" s="0" t="n">
        <v>2017</v>
      </c>
      <c r="C1618" s="0" t="s">
        <v>55</v>
      </c>
      <c r="D1618" s="0" t="n">
        <v>4833658</v>
      </c>
      <c r="E1618" s="0" t="s">
        <v>400</v>
      </c>
      <c r="F1618" s="0" t="s">
        <v>385</v>
      </c>
      <c r="G1618" s="0" t="s">
        <v>168</v>
      </c>
      <c r="H1618" s="0" t="s">
        <v>751</v>
      </c>
    </row>
    <row r="1619" customFormat="false" ht="15" hidden="false" customHeight="false" outlineLevel="0" collapsed="false">
      <c r="A1619" s="0" t="s">
        <v>163</v>
      </c>
      <c r="B1619" s="0" t="n">
        <v>2017</v>
      </c>
      <c r="C1619" s="0" t="s">
        <v>56</v>
      </c>
      <c r="D1619" s="0" t="n">
        <v>4126133</v>
      </c>
      <c r="E1619" s="0" t="s">
        <v>400</v>
      </c>
      <c r="F1619" s="0" t="s">
        <v>385</v>
      </c>
      <c r="G1619" s="0" t="s">
        <v>168</v>
      </c>
      <c r="H1619" s="0" t="s">
        <v>752</v>
      </c>
      <c r="I1619" s="0" t="s">
        <v>564</v>
      </c>
    </row>
    <row r="1620" customFormat="false" ht="15" hidden="false" customHeight="false" outlineLevel="0" collapsed="false">
      <c r="A1620" s="0" t="s">
        <v>163</v>
      </c>
      <c r="B1620" s="0" t="n">
        <v>2017</v>
      </c>
      <c r="C1620" s="0" t="s">
        <v>57</v>
      </c>
      <c r="D1620" s="0" t="n">
        <v>707525</v>
      </c>
      <c r="E1620" s="0" t="s">
        <v>400</v>
      </c>
      <c r="F1620" s="0" t="s">
        <v>385</v>
      </c>
      <c r="G1620" s="0" t="s">
        <v>168</v>
      </c>
      <c r="H1620" s="0" t="s">
        <v>753</v>
      </c>
    </row>
    <row r="1621" customFormat="false" ht="15" hidden="false" customHeight="false" outlineLevel="0" collapsed="false">
      <c r="A1621" s="0" t="s">
        <v>163</v>
      </c>
      <c r="B1621" s="0" t="n">
        <v>2017</v>
      </c>
      <c r="C1621" s="0" t="s">
        <v>58</v>
      </c>
      <c r="D1621" s="0" t="n">
        <v>-255750</v>
      </c>
      <c r="E1621" s="0" t="s">
        <v>384</v>
      </c>
      <c r="F1621" s="0" t="s">
        <v>385</v>
      </c>
      <c r="G1621" s="0" t="s">
        <v>168</v>
      </c>
      <c r="H1621" s="0" t="s">
        <v>754</v>
      </c>
    </row>
    <row r="1622" customFormat="false" ht="15" hidden="false" customHeight="false" outlineLevel="0" collapsed="false">
      <c r="A1622" s="0" t="s">
        <v>163</v>
      </c>
      <c r="B1622" s="0" t="n">
        <v>2017</v>
      </c>
      <c r="C1622" s="0" t="s">
        <v>59</v>
      </c>
      <c r="D1622" s="0" t="n">
        <v>4283736</v>
      </c>
      <c r="E1622" s="0" t="s">
        <v>400</v>
      </c>
      <c r="F1622" s="0" t="s">
        <v>385</v>
      </c>
      <c r="G1622" s="0" t="s">
        <v>168</v>
      </c>
      <c r="H1622" s="0" t="s">
        <v>755</v>
      </c>
    </row>
    <row r="1623" customFormat="false" ht="15" hidden="false" customHeight="false" outlineLevel="0" collapsed="false">
      <c r="A1623" s="0" t="s">
        <v>163</v>
      </c>
      <c r="B1623" s="0" t="n">
        <v>2017</v>
      </c>
      <c r="C1623" s="0" t="s">
        <v>60</v>
      </c>
      <c r="D1623" s="0" t="n">
        <v>2117069</v>
      </c>
      <c r="E1623" s="0" t="s">
        <v>384</v>
      </c>
      <c r="F1623" s="0" t="s">
        <v>385</v>
      </c>
      <c r="G1623" s="0" t="s">
        <v>168</v>
      </c>
      <c r="H1623" s="0" t="s">
        <v>756</v>
      </c>
    </row>
    <row r="1624" customFormat="false" ht="15" hidden="false" customHeight="false" outlineLevel="0" collapsed="false">
      <c r="A1624" s="0" t="s">
        <v>163</v>
      </c>
      <c r="B1624" s="0" t="n">
        <v>2017</v>
      </c>
      <c r="C1624" s="0" t="s">
        <v>61</v>
      </c>
      <c r="D1624" s="0" t="n">
        <v>136605</v>
      </c>
      <c r="E1624" s="0" t="s">
        <v>567</v>
      </c>
      <c r="F1624" s="0" t="s">
        <v>385</v>
      </c>
      <c r="G1624" s="0" t="s">
        <v>168</v>
      </c>
      <c r="H1624" s="0" t="s">
        <v>757</v>
      </c>
    </row>
    <row r="1625" customFormat="false" ht="15" hidden="false" customHeight="false" outlineLevel="0" collapsed="false">
      <c r="A1625" s="0" t="s">
        <v>163</v>
      </c>
      <c r="B1625" s="0" t="n">
        <v>2017</v>
      </c>
      <c r="C1625" s="0" t="s">
        <v>62</v>
      </c>
      <c r="D1625" s="0" t="n">
        <v>1980464</v>
      </c>
      <c r="E1625" s="0" t="s">
        <v>384</v>
      </c>
      <c r="F1625" s="0" t="s">
        <v>385</v>
      </c>
      <c r="G1625" s="0" t="s">
        <v>168</v>
      </c>
      <c r="H1625" s="0" t="s">
        <v>758</v>
      </c>
    </row>
    <row r="1626" customFormat="false" ht="15" hidden="false" customHeight="false" outlineLevel="0" collapsed="false">
      <c r="A1626" s="0" t="s">
        <v>163</v>
      </c>
      <c r="B1626" s="0" t="n">
        <v>2017</v>
      </c>
      <c r="C1626" s="0" t="s">
        <v>63</v>
      </c>
      <c r="D1626" s="0" t="n">
        <v>95244</v>
      </c>
      <c r="E1626" s="0" t="s">
        <v>384</v>
      </c>
      <c r="F1626" s="0" t="s">
        <v>385</v>
      </c>
      <c r="G1626" s="0" t="s">
        <v>168</v>
      </c>
      <c r="H1626" s="0" t="s">
        <v>759</v>
      </c>
    </row>
    <row r="1627" customFormat="false" ht="15" hidden="false" customHeight="false" outlineLevel="0" collapsed="false">
      <c r="A1627" s="0" t="s">
        <v>163</v>
      </c>
      <c r="B1627" s="0" t="n">
        <v>2017</v>
      </c>
      <c r="C1627" s="0" t="s">
        <v>64</v>
      </c>
      <c r="D1627" s="0" t="n">
        <v>91738</v>
      </c>
      <c r="E1627" s="0" t="s">
        <v>384</v>
      </c>
      <c r="F1627" s="0" t="s">
        <v>385</v>
      </c>
      <c r="G1627" s="0" t="s">
        <v>168</v>
      </c>
      <c r="H1627" s="0" t="s">
        <v>760</v>
      </c>
    </row>
    <row r="1628" customFormat="false" ht="15" hidden="false" customHeight="false" outlineLevel="0" collapsed="false">
      <c r="A1628" s="0" t="s">
        <v>163</v>
      </c>
      <c r="B1628" s="0" t="n">
        <v>2017</v>
      </c>
      <c r="C1628" s="0" t="s">
        <v>69</v>
      </c>
      <c r="D1628" s="0" t="n">
        <v>24</v>
      </c>
      <c r="E1628" s="0" t="s">
        <v>384</v>
      </c>
      <c r="F1628" s="0" t="s">
        <v>385</v>
      </c>
      <c r="G1628" s="0" t="s">
        <v>168</v>
      </c>
      <c r="H1628" s="0" t="s">
        <v>761</v>
      </c>
    </row>
    <row r="1629" customFormat="false" ht="15" hidden="false" customHeight="false" outlineLevel="0" collapsed="false">
      <c r="A1629" s="0" t="s">
        <v>163</v>
      </c>
      <c r="B1629" s="0" t="n">
        <v>2017</v>
      </c>
      <c r="C1629" s="0" t="s">
        <v>65</v>
      </c>
      <c r="D1629" s="0" t="n">
        <v>652237</v>
      </c>
      <c r="E1629" s="0" t="s">
        <v>384</v>
      </c>
      <c r="F1629" s="0" t="s">
        <v>385</v>
      </c>
      <c r="G1629" s="0" t="s">
        <v>168</v>
      </c>
      <c r="H1629" s="0" t="s">
        <v>762</v>
      </c>
    </row>
    <row r="1630" customFormat="false" ht="15" hidden="false" customHeight="false" outlineLevel="0" collapsed="false">
      <c r="A1630" s="0" t="s">
        <v>163</v>
      </c>
      <c r="B1630" s="0" t="n">
        <v>2017</v>
      </c>
      <c r="C1630" s="0" t="s">
        <v>66</v>
      </c>
      <c r="D1630" s="0" t="n">
        <v>2670248</v>
      </c>
      <c r="E1630" s="0" t="s">
        <v>384</v>
      </c>
      <c r="F1630" s="0" t="s">
        <v>385</v>
      </c>
      <c r="G1630" s="0" t="s">
        <v>168</v>
      </c>
      <c r="H1630" s="0" t="s">
        <v>763</v>
      </c>
    </row>
    <row r="1631" customFormat="false" ht="15" hidden="false" customHeight="false" outlineLevel="0" collapsed="false">
      <c r="A1631" s="0" t="s">
        <v>163</v>
      </c>
      <c r="B1631" s="0" t="n">
        <v>2017</v>
      </c>
      <c r="C1631" s="0" t="s">
        <v>402</v>
      </c>
      <c r="D1631" s="0" t="n">
        <v>173563</v>
      </c>
      <c r="E1631" s="0" t="s">
        <v>384</v>
      </c>
      <c r="F1631" s="0" t="s">
        <v>385</v>
      </c>
      <c r="G1631" s="0" t="s">
        <v>168</v>
      </c>
      <c r="H1631" s="0" t="s">
        <v>764</v>
      </c>
    </row>
    <row r="1632" customFormat="false" ht="15" hidden="false" customHeight="false" outlineLevel="0" collapsed="false">
      <c r="A1632" s="0" t="s">
        <v>163</v>
      </c>
      <c r="B1632" s="0" t="n">
        <v>2017</v>
      </c>
      <c r="C1632" s="0" t="s">
        <v>404</v>
      </c>
      <c r="D1632" s="0" t="n">
        <v>68443</v>
      </c>
      <c r="E1632" s="0" t="s">
        <v>384</v>
      </c>
      <c r="F1632" s="0" t="s">
        <v>385</v>
      </c>
      <c r="G1632" s="0" t="s">
        <v>168</v>
      </c>
      <c r="H1632" s="0" t="s">
        <v>765</v>
      </c>
    </row>
    <row r="1633" customFormat="false" ht="15" hidden="false" customHeight="false" outlineLevel="0" collapsed="false">
      <c r="A1633" s="0" t="s">
        <v>163</v>
      </c>
      <c r="B1633" s="0" t="n">
        <v>2017</v>
      </c>
      <c r="C1633" s="0" t="s">
        <v>406</v>
      </c>
      <c r="D1633" s="0" t="n">
        <v>68162</v>
      </c>
      <c r="E1633" s="0" t="s">
        <v>384</v>
      </c>
      <c r="F1633" s="0" t="s">
        <v>385</v>
      </c>
      <c r="G1633" s="0" t="s">
        <v>168</v>
      </c>
      <c r="H1633" s="0" t="s">
        <v>766</v>
      </c>
    </row>
    <row r="1634" customFormat="false" ht="15" hidden="false" customHeight="false" outlineLevel="0" collapsed="false">
      <c r="A1634" s="0" t="s">
        <v>163</v>
      </c>
      <c r="B1634" s="0" t="n">
        <v>2017</v>
      </c>
      <c r="C1634" s="0" t="s">
        <v>19</v>
      </c>
      <c r="D1634" s="0" t="n">
        <v>4558697</v>
      </c>
      <c r="E1634" s="0" t="s">
        <v>383</v>
      </c>
    </row>
    <row r="1635" customFormat="false" ht="15" hidden="false" customHeight="false" outlineLevel="0" collapsed="false">
      <c r="A1635" s="0" t="s">
        <v>163</v>
      </c>
      <c r="B1635" s="0" t="n">
        <v>2017</v>
      </c>
      <c r="C1635" s="0" t="s">
        <v>41</v>
      </c>
      <c r="D1635" s="0" t="n">
        <v>3.44714728792021</v>
      </c>
      <c r="E1635" s="0" t="s">
        <v>383</v>
      </c>
    </row>
    <row r="1636" customFormat="false" ht="15" hidden="false" customHeight="false" outlineLevel="0" collapsed="false">
      <c r="A1636" s="0" t="s">
        <v>163</v>
      </c>
      <c r="B1636" s="0" t="n">
        <v>2017</v>
      </c>
      <c r="C1636" s="0" t="s">
        <v>27</v>
      </c>
      <c r="D1636" s="0" t="n">
        <v>14.6374650420034</v>
      </c>
      <c r="E1636" s="0" t="s">
        <v>383</v>
      </c>
    </row>
    <row r="1637" customFormat="false" ht="15" hidden="false" customHeight="false" outlineLevel="0" collapsed="false">
      <c r="A1637" s="0" t="s">
        <v>163</v>
      </c>
      <c r="B1637" s="0" t="n">
        <v>2017</v>
      </c>
      <c r="C1637" s="0" t="s">
        <v>39</v>
      </c>
      <c r="D1637" s="0" t="n">
        <v>-5.61015570896684</v>
      </c>
      <c r="E1637" s="0" t="s">
        <v>383</v>
      </c>
    </row>
    <row r="1638" customFormat="false" ht="15" hidden="false" customHeight="false" outlineLevel="0" collapsed="false">
      <c r="A1638" s="0" t="s">
        <v>163</v>
      </c>
      <c r="B1638" s="0" t="n">
        <v>2017</v>
      </c>
      <c r="C1638" s="0" t="s">
        <v>17</v>
      </c>
      <c r="D1638" s="0" t="n">
        <v>6.45255303440748</v>
      </c>
      <c r="E1638" s="0" t="s">
        <v>383</v>
      </c>
    </row>
    <row r="1639" customFormat="false" ht="15" hidden="false" customHeight="false" outlineLevel="0" collapsed="false">
      <c r="A1639" s="0" t="s">
        <v>163</v>
      </c>
      <c r="B1639" s="0" t="n">
        <v>2017</v>
      </c>
      <c r="C1639" s="0" t="s">
        <v>25</v>
      </c>
      <c r="D1639" s="0" t="n">
        <v>24.4260832701682</v>
      </c>
      <c r="E1639" s="0" t="s">
        <v>383</v>
      </c>
    </row>
    <row r="1640" customFormat="false" ht="15" hidden="false" customHeight="false" outlineLevel="0" collapsed="false">
      <c r="A1640" s="0" t="s">
        <v>163</v>
      </c>
      <c r="B1640" s="0" t="n">
        <v>2017</v>
      </c>
      <c r="C1640" s="0" t="s">
        <v>29</v>
      </c>
      <c r="D1640" s="0" t="n">
        <v>2.08928121346955</v>
      </c>
      <c r="E1640" s="0" t="s">
        <v>383</v>
      </c>
    </row>
    <row r="1641" customFormat="false" ht="15" hidden="false" customHeight="false" outlineLevel="0" collapsed="false">
      <c r="A1641" s="0" t="s">
        <v>163</v>
      </c>
      <c r="B1641" s="0" t="n">
        <v>2017</v>
      </c>
      <c r="C1641" s="0" t="s">
        <v>23</v>
      </c>
      <c r="D1641" s="0" t="n">
        <v>148.907759052955</v>
      </c>
      <c r="E1641" s="0" t="s">
        <v>383</v>
      </c>
    </row>
    <row r="1642" customFormat="false" ht="15" hidden="false" customHeight="false" outlineLevel="0" collapsed="false">
      <c r="A1642" s="0" t="s">
        <v>163</v>
      </c>
      <c r="B1642" s="0" t="n">
        <v>2017</v>
      </c>
      <c r="C1642" s="0" t="s">
        <v>37</v>
      </c>
      <c r="D1642" s="0" t="n">
        <v>4.333255080491</v>
      </c>
      <c r="E1642" s="0" t="s">
        <v>383</v>
      </c>
    </row>
    <row r="1643" customFormat="false" ht="15" hidden="false" customHeight="false" outlineLevel="0" collapsed="false">
      <c r="A1643" s="0" t="s">
        <v>163</v>
      </c>
      <c r="B1643" s="0" t="n">
        <v>2017</v>
      </c>
      <c r="C1643" s="0" t="s">
        <v>43</v>
      </c>
      <c r="D1643" s="0" t="n">
        <v>3.25105748069061</v>
      </c>
      <c r="E1643" s="0" t="s">
        <v>383</v>
      </c>
    </row>
    <row r="1644" customFormat="false" ht="15" hidden="false" customHeight="false" outlineLevel="0" collapsed="false">
      <c r="A1644" s="0" t="s">
        <v>163</v>
      </c>
      <c r="B1644" s="0" t="n">
        <v>2017</v>
      </c>
      <c r="C1644" s="0" t="s">
        <v>31</v>
      </c>
      <c r="D1644" s="0" t="n">
        <v>85.3625349579966</v>
      </c>
      <c r="E1644" s="0" t="s">
        <v>383</v>
      </c>
    </row>
    <row r="1645" customFormat="false" ht="15" hidden="false" customHeight="false" outlineLevel="0" collapsed="false">
      <c r="A1645" s="0" t="s">
        <v>163</v>
      </c>
      <c r="B1645" s="0" t="n">
        <v>2017</v>
      </c>
      <c r="C1645" s="0" t="s">
        <v>33</v>
      </c>
      <c r="D1645" s="0" t="n">
        <v>15.3911140888805</v>
      </c>
      <c r="E1645" s="0" t="s">
        <v>383</v>
      </c>
    </row>
    <row r="1646" customFormat="false" ht="15" hidden="false" customHeight="false" outlineLevel="0" collapsed="false">
      <c r="A1646" s="0" t="s">
        <v>163</v>
      </c>
      <c r="B1646" s="0" t="n">
        <v>2017</v>
      </c>
      <c r="C1646" s="0" t="s">
        <v>21</v>
      </c>
      <c r="D1646" s="0" t="n">
        <v>0</v>
      </c>
      <c r="E1646" s="0" t="s">
        <v>383</v>
      </c>
    </row>
    <row r="1647" customFormat="false" ht="15" hidden="false" customHeight="false" outlineLevel="0" collapsed="false">
      <c r="A1647" s="0" t="s">
        <v>163</v>
      </c>
      <c r="B1647" s="0" t="n">
        <v>2017</v>
      </c>
      <c r="C1647" s="0" t="s">
        <v>35</v>
      </c>
      <c r="D1647" s="0" t="n">
        <v>0</v>
      </c>
      <c r="E1647" s="0" t="s">
        <v>383</v>
      </c>
    </row>
    <row r="1648" customFormat="false" ht="15" hidden="false" customHeight="false" outlineLevel="0" collapsed="false">
      <c r="A1648" s="0" t="s">
        <v>163</v>
      </c>
      <c r="B1648" s="0" t="n">
        <v>2018</v>
      </c>
      <c r="C1648" s="0" t="s">
        <v>54</v>
      </c>
      <c r="D1648" s="0" t="n">
        <v>165480</v>
      </c>
      <c r="E1648" s="0" t="s">
        <v>384</v>
      </c>
      <c r="F1648" s="0" t="s">
        <v>385</v>
      </c>
      <c r="G1648" s="0" t="s">
        <v>170</v>
      </c>
      <c r="H1648" s="0" t="s">
        <v>767</v>
      </c>
    </row>
    <row r="1649" customFormat="false" ht="15" hidden="false" customHeight="false" outlineLevel="0" collapsed="false">
      <c r="A1649" s="0" t="s">
        <v>163</v>
      </c>
      <c r="B1649" s="0" t="n">
        <v>2018</v>
      </c>
      <c r="C1649" s="0" t="s">
        <v>55</v>
      </c>
      <c r="D1649" s="0" t="n">
        <v>4955445</v>
      </c>
      <c r="E1649" s="0" t="s">
        <v>384</v>
      </c>
      <c r="F1649" s="0" t="s">
        <v>385</v>
      </c>
      <c r="G1649" s="0" t="s">
        <v>170</v>
      </c>
      <c r="H1649" s="0" t="s">
        <v>768</v>
      </c>
    </row>
    <row r="1650" customFormat="false" ht="15" hidden="false" customHeight="false" outlineLevel="0" collapsed="false">
      <c r="A1650" s="0" t="s">
        <v>163</v>
      </c>
      <c r="B1650" s="0" t="n">
        <v>2018</v>
      </c>
      <c r="C1650" s="0" t="s">
        <v>56</v>
      </c>
      <c r="D1650" s="0" t="n">
        <v>4280413</v>
      </c>
      <c r="E1650" s="0" t="s">
        <v>384</v>
      </c>
      <c r="F1650" s="0" t="s">
        <v>385</v>
      </c>
      <c r="G1650" s="0" t="s">
        <v>170</v>
      </c>
      <c r="H1650" s="0" t="s">
        <v>769</v>
      </c>
    </row>
    <row r="1651" customFormat="false" ht="15" hidden="false" customHeight="false" outlineLevel="0" collapsed="false">
      <c r="A1651" s="0" t="s">
        <v>163</v>
      </c>
      <c r="B1651" s="0" t="n">
        <v>2018</v>
      </c>
      <c r="C1651" s="0" t="s">
        <v>57</v>
      </c>
      <c r="D1651" s="0" t="n">
        <v>675032</v>
      </c>
      <c r="E1651" s="0" t="s">
        <v>384</v>
      </c>
      <c r="F1651" s="0" t="s">
        <v>385</v>
      </c>
      <c r="G1651" s="0" t="s">
        <v>170</v>
      </c>
      <c r="H1651" s="0" t="s">
        <v>770</v>
      </c>
    </row>
    <row r="1652" customFormat="false" ht="15" hidden="false" customHeight="false" outlineLevel="0" collapsed="false">
      <c r="A1652" s="0" t="s">
        <v>163</v>
      </c>
      <c r="B1652" s="0" t="n">
        <v>2018</v>
      </c>
      <c r="C1652" s="0" t="s">
        <v>58</v>
      </c>
      <c r="D1652" s="0" t="n">
        <v>184314</v>
      </c>
      <c r="E1652" s="0" t="s">
        <v>384</v>
      </c>
      <c r="F1652" s="0" t="s">
        <v>385</v>
      </c>
      <c r="G1652" s="0" t="s">
        <v>170</v>
      </c>
      <c r="H1652" s="0" t="s">
        <v>771</v>
      </c>
    </row>
    <row r="1653" customFormat="false" ht="15" hidden="false" customHeight="false" outlineLevel="0" collapsed="false">
      <c r="A1653" s="0" t="s">
        <v>163</v>
      </c>
      <c r="B1653" s="0" t="n">
        <v>2018</v>
      </c>
      <c r="C1653" s="0" t="s">
        <v>59</v>
      </c>
      <c r="D1653" s="0" t="n">
        <v>4833658</v>
      </c>
      <c r="E1653" s="0" t="s">
        <v>384</v>
      </c>
      <c r="F1653" s="0" t="s">
        <v>385</v>
      </c>
      <c r="G1653" s="0" t="s">
        <v>170</v>
      </c>
      <c r="H1653" s="0" t="s">
        <v>772</v>
      </c>
    </row>
    <row r="1654" customFormat="false" ht="15" hidden="false" customHeight="false" outlineLevel="0" collapsed="false">
      <c r="A1654" s="0" t="s">
        <v>163</v>
      </c>
      <c r="B1654" s="0" t="n">
        <v>2018</v>
      </c>
      <c r="C1654" s="0" t="s">
        <v>60</v>
      </c>
      <c r="D1654" s="0" t="n">
        <v>1921064</v>
      </c>
      <c r="E1654" s="0" t="s">
        <v>384</v>
      </c>
      <c r="F1654" s="0" t="s">
        <v>385</v>
      </c>
      <c r="G1654" s="0" t="s">
        <v>170</v>
      </c>
      <c r="H1654" s="0" t="s">
        <v>773</v>
      </c>
    </row>
    <row r="1655" customFormat="false" ht="15" hidden="false" customHeight="false" outlineLevel="0" collapsed="false">
      <c r="A1655" s="0" t="s">
        <v>163</v>
      </c>
      <c r="B1655" s="0" t="n">
        <v>2018</v>
      </c>
      <c r="C1655" s="0" t="s">
        <v>61</v>
      </c>
      <c r="D1655" s="0" t="n">
        <v>184998</v>
      </c>
      <c r="E1655" s="0" t="s">
        <v>384</v>
      </c>
      <c r="F1655" s="0" t="s">
        <v>385</v>
      </c>
      <c r="G1655" s="0" t="s">
        <v>170</v>
      </c>
      <c r="H1655" s="0" t="s">
        <v>774</v>
      </c>
    </row>
    <row r="1656" customFormat="false" ht="15" hidden="false" customHeight="false" outlineLevel="0" collapsed="false">
      <c r="A1656" s="0" t="s">
        <v>163</v>
      </c>
      <c r="B1656" s="0" t="n">
        <v>2018</v>
      </c>
      <c r="C1656" s="0" t="s">
        <v>62</v>
      </c>
      <c r="D1656" s="0" t="n">
        <v>1736066</v>
      </c>
      <c r="E1656" s="0" t="s">
        <v>384</v>
      </c>
      <c r="F1656" s="0" t="s">
        <v>385</v>
      </c>
      <c r="G1656" s="0" t="s">
        <v>170</v>
      </c>
      <c r="H1656" s="0" t="s">
        <v>775</v>
      </c>
    </row>
    <row r="1657" customFormat="false" ht="15" hidden="false" customHeight="false" outlineLevel="0" collapsed="false">
      <c r="A1657" s="0" t="s">
        <v>163</v>
      </c>
      <c r="B1657" s="0" t="n">
        <v>2018</v>
      </c>
      <c r="C1657" s="0" t="s">
        <v>63</v>
      </c>
      <c r="D1657" s="0" t="n">
        <v>15313</v>
      </c>
      <c r="E1657" s="0" t="s">
        <v>384</v>
      </c>
      <c r="F1657" s="0" t="s">
        <v>385</v>
      </c>
      <c r="G1657" s="0" t="s">
        <v>170</v>
      </c>
      <c r="H1657" s="0" t="s">
        <v>776</v>
      </c>
    </row>
    <row r="1658" customFormat="false" ht="15" hidden="false" customHeight="false" outlineLevel="0" collapsed="false">
      <c r="A1658" s="0" t="s">
        <v>163</v>
      </c>
      <c r="B1658" s="0" t="n">
        <v>2018</v>
      </c>
      <c r="C1658" s="0" t="s">
        <v>64</v>
      </c>
      <c r="D1658" s="0" t="n">
        <v>92630</v>
      </c>
      <c r="E1658" s="0" t="s">
        <v>384</v>
      </c>
      <c r="F1658" s="0" t="s">
        <v>385</v>
      </c>
      <c r="G1658" s="0" t="s">
        <v>170</v>
      </c>
      <c r="H1658" s="0" t="s">
        <v>777</v>
      </c>
    </row>
    <row r="1659" customFormat="false" ht="15" hidden="false" customHeight="false" outlineLevel="0" collapsed="false">
      <c r="A1659" s="0" t="s">
        <v>163</v>
      </c>
      <c r="B1659" s="0" t="n">
        <v>2018</v>
      </c>
      <c r="C1659" s="0" t="s">
        <v>69</v>
      </c>
      <c r="D1659" s="0" t="n">
        <v>24</v>
      </c>
      <c r="E1659" s="0" t="s">
        <v>384</v>
      </c>
      <c r="F1659" s="0" t="s">
        <v>385</v>
      </c>
      <c r="G1659" s="0" t="s">
        <v>170</v>
      </c>
      <c r="H1659" s="0" t="s">
        <v>778</v>
      </c>
    </row>
    <row r="1660" customFormat="false" ht="15" hidden="false" customHeight="false" outlineLevel="0" collapsed="false">
      <c r="A1660" s="0" t="s">
        <v>163</v>
      </c>
      <c r="B1660" s="0" t="n">
        <v>2018</v>
      </c>
      <c r="C1660" s="0" t="s">
        <v>591</v>
      </c>
      <c r="D1660" s="0" t="n">
        <v>26</v>
      </c>
      <c r="E1660" s="0" t="s">
        <v>384</v>
      </c>
      <c r="F1660" s="0" t="s">
        <v>385</v>
      </c>
      <c r="G1660" s="0" t="s">
        <v>170</v>
      </c>
      <c r="H1660" s="0" t="s">
        <v>779</v>
      </c>
    </row>
    <row r="1661" customFormat="false" ht="15" hidden="false" customHeight="false" outlineLevel="0" collapsed="false">
      <c r="A1661" s="0" t="s">
        <v>163</v>
      </c>
      <c r="B1661" s="0" t="n">
        <v>2018</v>
      </c>
      <c r="C1661" s="0" t="s">
        <v>65</v>
      </c>
      <c r="D1661" s="0" t="n">
        <v>641524</v>
      </c>
      <c r="E1661" s="0" t="s">
        <v>384</v>
      </c>
      <c r="F1661" s="0" t="s">
        <v>385</v>
      </c>
      <c r="G1661" s="0" t="s">
        <v>170</v>
      </c>
      <c r="H1661" s="0" t="s">
        <v>780</v>
      </c>
    </row>
    <row r="1662" customFormat="false" ht="15" hidden="false" customHeight="false" outlineLevel="0" collapsed="false">
      <c r="A1662" s="0" t="s">
        <v>163</v>
      </c>
      <c r="B1662" s="0" t="n">
        <v>2018</v>
      </c>
      <c r="C1662" s="0" t="s">
        <v>66</v>
      </c>
      <c r="D1662" s="0" t="n">
        <v>2690329</v>
      </c>
      <c r="E1662" s="0" t="s">
        <v>384</v>
      </c>
      <c r="F1662" s="0" t="s">
        <v>385</v>
      </c>
      <c r="G1662" s="0" t="s">
        <v>170</v>
      </c>
      <c r="H1662" s="0" t="s">
        <v>781</v>
      </c>
    </row>
    <row r="1663" customFormat="false" ht="15" hidden="false" customHeight="false" outlineLevel="0" collapsed="false">
      <c r="A1663" s="0" t="s">
        <v>163</v>
      </c>
      <c r="B1663" s="0" t="n">
        <v>2018</v>
      </c>
      <c r="C1663" s="0" t="s">
        <v>595</v>
      </c>
      <c r="D1663" s="0" t="n">
        <v>703653</v>
      </c>
      <c r="E1663" s="0" t="s">
        <v>384</v>
      </c>
      <c r="F1663" s="0" t="s">
        <v>385</v>
      </c>
      <c r="G1663" s="0" t="s">
        <v>170</v>
      </c>
      <c r="H1663" s="0" t="s">
        <v>782</v>
      </c>
    </row>
    <row r="1664" customFormat="false" ht="15" hidden="false" customHeight="false" outlineLevel="0" collapsed="false">
      <c r="A1664" s="0" t="s">
        <v>163</v>
      </c>
      <c r="B1664" s="0" t="n">
        <v>2018</v>
      </c>
      <c r="C1664" s="0" t="s">
        <v>402</v>
      </c>
      <c r="D1664" s="0" t="n">
        <v>192107</v>
      </c>
      <c r="E1664" s="0" t="s">
        <v>384</v>
      </c>
      <c r="F1664" s="0" t="s">
        <v>385</v>
      </c>
      <c r="G1664" s="0" t="s">
        <v>170</v>
      </c>
      <c r="H1664" s="0" t="s">
        <v>783</v>
      </c>
    </row>
    <row r="1665" customFormat="false" ht="15" hidden="false" customHeight="false" outlineLevel="0" collapsed="false">
      <c r="A1665" s="0" t="s">
        <v>163</v>
      </c>
      <c r="B1665" s="0" t="n">
        <v>2018</v>
      </c>
      <c r="C1665" s="0" t="s">
        <v>19</v>
      </c>
      <c r="D1665" s="0" t="n">
        <v>4894551.5</v>
      </c>
      <c r="E1665" s="0" t="s">
        <v>383</v>
      </c>
    </row>
    <row r="1666" customFormat="false" ht="15" hidden="false" customHeight="false" outlineLevel="0" collapsed="false">
      <c r="A1666" s="0" t="s">
        <v>163</v>
      </c>
      <c r="B1666" s="0" t="n">
        <v>2018</v>
      </c>
      <c r="C1666" s="0" t="s">
        <v>41</v>
      </c>
      <c r="D1666" s="0" t="n">
        <v>3.38090221341016</v>
      </c>
      <c r="E1666" s="0" t="s">
        <v>383</v>
      </c>
    </row>
    <row r="1667" customFormat="false" ht="15" hidden="false" customHeight="false" outlineLevel="0" collapsed="false">
      <c r="A1667" s="0" t="s">
        <v>163</v>
      </c>
      <c r="B1667" s="0" t="n">
        <v>2018</v>
      </c>
      <c r="C1667" s="0" t="s">
        <v>27</v>
      </c>
      <c r="D1667" s="0" t="n">
        <v>13.6220258725503</v>
      </c>
      <c r="E1667" s="0" t="s">
        <v>383</v>
      </c>
    </row>
    <row r="1668" customFormat="false" ht="15" hidden="false" customHeight="false" outlineLevel="0" collapsed="false">
      <c r="A1668" s="0" t="s">
        <v>163</v>
      </c>
      <c r="B1668" s="0" t="n">
        <v>2018</v>
      </c>
      <c r="C1668" s="0" t="s">
        <v>39</v>
      </c>
      <c r="D1668" s="0" t="n">
        <v>3.76569742906986</v>
      </c>
      <c r="E1668" s="0" t="s">
        <v>383</v>
      </c>
    </row>
    <row r="1669" customFormat="false" ht="15" hidden="false" customHeight="false" outlineLevel="0" collapsed="false">
      <c r="A1669" s="0" t="s">
        <v>163</v>
      </c>
      <c r="B1669" s="0" t="n">
        <v>2018</v>
      </c>
      <c r="C1669" s="0" t="s">
        <v>17</v>
      </c>
      <c r="D1669" s="0" t="n">
        <v>9.62997588836187</v>
      </c>
      <c r="E1669" s="0" t="s">
        <v>383</v>
      </c>
    </row>
    <row r="1670" customFormat="false" ht="15" hidden="false" customHeight="false" outlineLevel="0" collapsed="false">
      <c r="A1670" s="0" t="s">
        <v>163</v>
      </c>
      <c r="B1670" s="0" t="n">
        <v>2018</v>
      </c>
      <c r="C1670" s="0" t="s">
        <v>25</v>
      </c>
      <c r="D1670" s="0" t="n">
        <v>23.8455594092767</v>
      </c>
      <c r="E1670" s="0" t="s">
        <v>383</v>
      </c>
    </row>
    <row r="1671" customFormat="false" ht="15" hidden="false" customHeight="false" outlineLevel="0" collapsed="false">
      <c r="A1671" s="0" t="s">
        <v>163</v>
      </c>
      <c r="B1671" s="0" t="n">
        <v>2018</v>
      </c>
      <c r="C1671" s="0" t="s">
        <v>29</v>
      </c>
      <c r="D1671" s="0" t="n">
        <v>0.312858083115481</v>
      </c>
      <c r="E1671" s="0" t="s">
        <v>383</v>
      </c>
    </row>
    <row r="1672" customFormat="false" ht="15" hidden="false" customHeight="false" outlineLevel="0" collapsed="false">
      <c r="A1672" s="0" t="s">
        <v>163</v>
      </c>
      <c r="B1672" s="0" t="n">
        <v>2018</v>
      </c>
      <c r="C1672" s="0" t="s">
        <v>23</v>
      </c>
      <c r="D1672" s="0" t="n">
        <v>199.717154269675</v>
      </c>
      <c r="E1672" s="0" t="s">
        <v>383</v>
      </c>
    </row>
    <row r="1673" customFormat="false" ht="15" hidden="false" customHeight="false" outlineLevel="0" collapsed="false">
      <c r="A1673" s="0" t="s">
        <v>163</v>
      </c>
      <c r="B1673" s="0" t="n">
        <v>2018</v>
      </c>
      <c r="C1673" s="0" t="s">
        <v>37</v>
      </c>
      <c r="D1673" s="0" t="n">
        <v>4.82180708190878</v>
      </c>
      <c r="E1673" s="0" t="s">
        <v>383</v>
      </c>
    </row>
    <row r="1674" customFormat="false" ht="15" hidden="false" customHeight="false" outlineLevel="0" collapsed="false">
      <c r="A1674" s="0" t="s">
        <v>163</v>
      </c>
      <c r="B1674" s="0" t="n">
        <v>2018</v>
      </c>
      <c r="C1674" s="0" t="s">
        <v>43</v>
      </c>
      <c r="D1674" s="0" t="n">
        <v>3.33935701031895</v>
      </c>
      <c r="E1674" s="0" t="s">
        <v>383</v>
      </c>
    </row>
    <row r="1675" customFormat="false" ht="15" hidden="false" customHeight="false" outlineLevel="0" collapsed="false">
      <c r="A1675" s="0" t="s">
        <v>163</v>
      </c>
      <c r="B1675" s="0" t="n">
        <v>2018</v>
      </c>
      <c r="C1675" s="0" t="s">
        <v>31</v>
      </c>
      <c r="D1675" s="0" t="n">
        <v>86.3779741274497</v>
      </c>
      <c r="E1675" s="0" t="s">
        <v>383</v>
      </c>
    </row>
    <row r="1676" customFormat="false" ht="15" hidden="false" customHeight="false" outlineLevel="0" collapsed="false">
      <c r="A1676" s="0" t="s">
        <v>163</v>
      </c>
      <c r="B1676" s="0" t="n">
        <v>2018</v>
      </c>
      <c r="C1676" s="0" t="s">
        <v>33</v>
      </c>
      <c r="D1676" s="0" t="n">
        <v>15.4159975299882</v>
      </c>
      <c r="E1676" s="0" t="s">
        <v>383</v>
      </c>
    </row>
    <row r="1677" customFormat="false" ht="15" hidden="false" customHeight="false" outlineLevel="0" collapsed="false">
      <c r="A1677" s="0" t="s">
        <v>163</v>
      </c>
      <c r="B1677" s="0" t="n">
        <v>2018</v>
      </c>
      <c r="C1677" s="0" t="s">
        <v>21</v>
      </c>
      <c r="D1677" s="0" t="n">
        <v>0</v>
      </c>
      <c r="E1677" s="0" t="s">
        <v>383</v>
      </c>
    </row>
    <row r="1678" customFormat="false" ht="15" hidden="false" customHeight="false" outlineLevel="0" collapsed="false">
      <c r="A1678" s="0" t="s">
        <v>163</v>
      </c>
      <c r="B1678" s="0" t="n">
        <v>2018</v>
      </c>
      <c r="C1678" s="0" t="s">
        <v>35</v>
      </c>
      <c r="D1678" s="0" t="n">
        <v>0</v>
      </c>
      <c r="E1678" s="0" t="s">
        <v>383</v>
      </c>
    </row>
    <row r="1679" customFormat="false" ht="15" hidden="false" customHeight="false" outlineLevel="0" collapsed="false">
      <c r="A1679" s="0" t="s">
        <v>163</v>
      </c>
      <c r="B1679" s="0" t="n">
        <v>2019</v>
      </c>
      <c r="C1679" s="0" t="s">
        <v>54</v>
      </c>
      <c r="D1679" s="0" t="n">
        <v>178003</v>
      </c>
      <c r="E1679" s="0" t="s">
        <v>384</v>
      </c>
      <c r="F1679" s="0" t="s">
        <v>385</v>
      </c>
      <c r="G1679" s="0" t="s">
        <v>172</v>
      </c>
      <c r="H1679" s="0" t="s">
        <v>784</v>
      </c>
    </row>
    <row r="1680" customFormat="false" ht="15" hidden="false" customHeight="false" outlineLevel="0" collapsed="false">
      <c r="A1680" s="0" t="s">
        <v>163</v>
      </c>
      <c r="B1680" s="0" t="n">
        <v>2019</v>
      </c>
      <c r="C1680" s="0" t="s">
        <v>55</v>
      </c>
      <c r="D1680" s="0" t="n">
        <v>5435073</v>
      </c>
      <c r="E1680" s="0" t="s">
        <v>384</v>
      </c>
      <c r="F1680" s="0" t="s">
        <v>385</v>
      </c>
      <c r="G1680" s="0" t="s">
        <v>172</v>
      </c>
      <c r="H1680" s="0" t="s">
        <v>785</v>
      </c>
    </row>
    <row r="1681" customFormat="false" ht="15" hidden="false" customHeight="false" outlineLevel="0" collapsed="false">
      <c r="A1681" s="0" t="s">
        <v>163</v>
      </c>
      <c r="B1681" s="0" t="n">
        <v>2019</v>
      </c>
      <c r="C1681" s="0" t="s">
        <v>56</v>
      </c>
      <c r="D1681" s="0" t="n">
        <v>4656078</v>
      </c>
      <c r="E1681" s="0" t="s">
        <v>384</v>
      </c>
      <c r="F1681" s="0" t="s">
        <v>385</v>
      </c>
      <c r="G1681" s="0" t="s">
        <v>172</v>
      </c>
      <c r="H1681" s="0" t="s">
        <v>786</v>
      </c>
    </row>
    <row r="1682" customFormat="false" ht="15" hidden="false" customHeight="false" outlineLevel="0" collapsed="false">
      <c r="A1682" s="0" t="s">
        <v>163</v>
      </c>
      <c r="B1682" s="0" t="n">
        <v>2019</v>
      </c>
      <c r="C1682" s="0" t="s">
        <v>57</v>
      </c>
      <c r="D1682" s="0" t="n">
        <v>778995</v>
      </c>
      <c r="E1682" s="0" t="s">
        <v>384</v>
      </c>
      <c r="F1682" s="0" t="s">
        <v>385</v>
      </c>
      <c r="G1682" s="0" t="s">
        <v>172</v>
      </c>
      <c r="H1682" s="0" t="s">
        <v>787</v>
      </c>
    </row>
    <row r="1683" customFormat="false" ht="15" hidden="false" customHeight="false" outlineLevel="0" collapsed="false">
      <c r="A1683" s="0" t="s">
        <v>163</v>
      </c>
      <c r="B1683" s="0" t="n">
        <v>2019</v>
      </c>
      <c r="C1683" s="0" t="s">
        <v>58</v>
      </c>
      <c r="D1683" s="0" t="n">
        <v>390093</v>
      </c>
      <c r="E1683" s="0" t="s">
        <v>384</v>
      </c>
      <c r="F1683" s="0" t="s">
        <v>385</v>
      </c>
      <c r="G1683" s="0" t="s">
        <v>172</v>
      </c>
      <c r="H1683" s="0" t="s">
        <v>788</v>
      </c>
    </row>
    <row r="1684" customFormat="false" ht="15" hidden="false" customHeight="false" outlineLevel="0" collapsed="false">
      <c r="A1684" s="0" t="s">
        <v>163</v>
      </c>
      <c r="B1684" s="0" t="n">
        <v>2019</v>
      </c>
      <c r="C1684" s="0" t="s">
        <v>59</v>
      </c>
      <c r="D1684" s="0" t="n">
        <v>4955445</v>
      </c>
      <c r="E1684" s="0" t="s">
        <v>384</v>
      </c>
      <c r="F1684" s="0" t="s">
        <v>385</v>
      </c>
      <c r="G1684" s="0" t="s">
        <v>172</v>
      </c>
      <c r="H1684" s="0" t="s">
        <v>789</v>
      </c>
    </row>
    <row r="1685" customFormat="false" ht="15" hidden="false" customHeight="false" outlineLevel="0" collapsed="false">
      <c r="A1685" s="0" t="s">
        <v>163</v>
      </c>
      <c r="B1685" s="0" t="n">
        <v>2019</v>
      </c>
      <c r="C1685" s="0" t="s">
        <v>60</v>
      </c>
      <c r="D1685" s="0" t="n">
        <v>2390651</v>
      </c>
      <c r="E1685" s="0" t="s">
        <v>384</v>
      </c>
      <c r="F1685" s="0" t="s">
        <v>385</v>
      </c>
      <c r="G1685" s="0" t="s">
        <v>172</v>
      </c>
      <c r="H1685" s="0" t="s">
        <v>790</v>
      </c>
    </row>
    <row r="1686" customFormat="false" ht="15" hidden="false" customHeight="false" outlineLevel="0" collapsed="false">
      <c r="A1686" s="0" t="s">
        <v>163</v>
      </c>
      <c r="B1686" s="0" t="n">
        <v>2019</v>
      </c>
      <c r="C1686" s="0" t="s">
        <v>61</v>
      </c>
      <c r="D1686" s="0" t="n">
        <v>151179</v>
      </c>
      <c r="E1686" s="0" t="s">
        <v>384</v>
      </c>
      <c r="F1686" s="0" t="s">
        <v>385</v>
      </c>
      <c r="G1686" s="0" t="s">
        <v>172</v>
      </c>
      <c r="H1686" s="0" t="s">
        <v>791</v>
      </c>
    </row>
    <row r="1687" customFormat="false" ht="15" hidden="false" customHeight="false" outlineLevel="0" collapsed="false">
      <c r="A1687" s="0" t="s">
        <v>163</v>
      </c>
      <c r="B1687" s="0" t="n">
        <v>2019</v>
      </c>
      <c r="C1687" s="0" t="s">
        <v>62</v>
      </c>
      <c r="D1687" s="0" t="n">
        <v>2239472</v>
      </c>
      <c r="E1687" s="0" t="s">
        <v>384</v>
      </c>
      <c r="F1687" s="0" t="s">
        <v>385</v>
      </c>
      <c r="G1687" s="0" t="s">
        <v>172</v>
      </c>
      <c r="H1687" s="0" t="s">
        <v>792</v>
      </c>
    </row>
    <row r="1688" customFormat="false" ht="15" hidden="false" customHeight="false" outlineLevel="0" collapsed="false">
      <c r="A1688" s="0" t="s">
        <v>163</v>
      </c>
      <c r="B1688" s="0" t="n">
        <v>2019</v>
      </c>
      <c r="C1688" s="0" t="s">
        <v>63</v>
      </c>
      <c r="D1688" s="0" t="n">
        <v>23393</v>
      </c>
      <c r="E1688" s="0" t="s">
        <v>384</v>
      </c>
      <c r="F1688" s="0" t="s">
        <v>385</v>
      </c>
      <c r="G1688" s="0" t="s">
        <v>172</v>
      </c>
      <c r="H1688" s="0" t="s">
        <v>793</v>
      </c>
    </row>
    <row r="1689" customFormat="false" ht="15" hidden="false" customHeight="false" outlineLevel="0" collapsed="false">
      <c r="A1689" s="0" t="s">
        <v>163</v>
      </c>
      <c r="B1689" s="0" t="n">
        <v>2019</v>
      </c>
      <c r="C1689" s="0" t="s">
        <v>64</v>
      </c>
      <c r="D1689" s="0" t="n">
        <v>99457</v>
      </c>
      <c r="E1689" s="0" t="s">
        <v>384</v>
      </c>
      <c r="F1689" s="0" t="s">
        <v>385</v>
      </c>
      <c r="G1689" s="0" t="s">
        <v>172</v>
      </c>
      <c r="H1689" s="0" t="s">
        <v>794</v>
      </c>
    </row>
    <row r="1690" customFormat="false" ht="15" hidden="false" customHeight="false" outlineLevel="0" collapsed="false">
      <c r="A1690" s="0" t="s">
        <v>163</v>
      </c>
      <c r="B1690" s="0" t="n">
        <v>2019</v>
      </c>
      <c r="C1690" s="0" t="s">
        <v>69</v>
      </c>
      <c r="D1690" s="0" t="n">
        <v>20</v>
      </c>
      <c r="E1690" s="0" t="s">
        <v>384</v>
      </c>
      <c r="F1690" s="0" t="s">
        <v>385</v>
      </c>
      <c r="G1690" s="0" t="s">
        <v>172</v>
      </c>
      <c r="H1690" s="0" t="s">
        <v>795</v>
      </c>
    </row>
    <row r="1691" customFormat="false" ht="15" hidden="false" customHeight="false" outlineLevel="0" collapsed="false">
      <c r="A1691" s="0" t="s">
        <v>163</v>
      </c>
      <c r="B1691" s="0" t="n">
        <v>2019</v>
      </c>
      <c r="C1691" s="0" t="s">
        <v>591</v>
      </c>
      <c r="D1691" s="0" t="n">
        <v>21</v>
      </c>
      <c r="E1691" s="0" t="s">
        <v>384</v>
      </c>
      <c r="F1691" s="0" t="s">
        <v>385</v>
      </c>
      <c r="G1691" s="0" t="s">
        <v>172</v>
      </c>
      <c r="H1691" s="0" t="s">
        <v>796</v>
      </c>
    </row>
    <row r="1692" customFormat="false" ht="15" hidden="false" customHeight="false" outlineLevel="0" collapsed="false">
      <c r="A1692" s="0" t="s">
        <v>163</v>
      </c>
      <c r="B1692" s="0" t="n">
        <v>2019</v>
      </c>
      <c r="C1692" s="0" t="s">
        <v>65</v>
      </c>
      <c r="D1692" s="0" t="n">
        <v>717901</v>
      </c>
      <c r="E1692" s="0" t="s">
        <v>384</v>
      </c>
      <c r="F1692" s="0" t="s">
        <v>385</v>
      </c>
      <c r="G1692" s="0" t="s">
        <v>172</v>
      </c>
      <c r="H1692" s="0" t="s">
        <v>797</v>
      </c>
    </row>
    <row r="1693" customFormat="false" ht="15" hidden="false" customHeight="false" outlineLevel="0" collapsed="false">
      <c r="A1693" s="0" t="s">
        <v>163</v>
      </c>
      <c r="B1693" s="0" t="n">
        <v>2019</v>
      </c>
      <c r="C1693" s="0" t="s">
        <v>66</v>
      </c>
      <c r="D1693" s="0" t="n">
        <v>3669402</v>
      </c>
      <c r="E1693" s="0" t="s">
        <v>384</v>
      </c>
      <c r="F1693" s="0" t="s">
        <v>385</v>
      </c>
      <c r="G1693" s="0" t="s">
        <v>172</v>
      </c>
      <c r="H1693" s="0" t="s">
        <v>798</v>
      </c>
    </row>
    <row r="1694" customFormat="false" ht="15" hidden="false" customHeight="false" outlineLevel="0" collapsed="false">
      <c r="A1694" s="0" t="s">
        <v>163</v>
      </c>
      <c r="B1694" s="0" t="n">
        <v>2019</v>
      </c>
      <c r="C1694" s="0" t="s">
        <v>595</v>
      </c>
      <c r="D1694" s="0" t="n">
        <v>759321</v>
      </c>
      <c r="E1694" s="0" t="s">
        <v>384</v>
      </c>
      <c r="F1694" s="0" t="s">
        <v>385</v>
      </c>
      <c r="G1694" s="0" t="s">
        <v>172</v>
      </c>
      <c r="H1694" s="0" t="s">
        <v>799</v>
      </c>
    </row>
    <row r="1695" customFormat="false" ht="15" hidden="false" customHeight="false" outlineLevel="0" collapsed="false">
      <c r="A1695" s="0" t="s">
        <v>163</v>
      </c>
      <c r="B1695" s="0" t="n">
        <v>2019</v>
      </c>
      <c r="C1695" s="0" t="s">
        <v>73</v>
      </c>
      <c r="D1695" s="0" t="n">
        <v>0</v>
      </c>
      <c r="E1695" s="0" t="s">
        <v>400</v>
      </c>
      <c r="F1695" s="0" t="s">
        <v>385</v>
      </c>
      <c r="G1695" s="0" t="s">
        <v>463</v>
      </c>
      <c r="H1695" s="0" t="s">
        <v>800</v>
      </c>
    </row>
    <row r="1696" customFormat="false" ht="15" hidden="false" customHeight="false" outlineLevel="0" collapsed="false">
      <c r="A1696" s="0" t="s">
        <v>163</v>
      </c>
      <c r="B1696" s="0" t="n">
        <v>2019</v>
      </c>
      <c r="C1696" s="0" t="s">
        <v>402</v>
      </c>
      <c r="D1696" s="0" t="n">
        <v>200020</v>
      </c>
      <c r="E1696" s="0" t="s">
        <v>384</v>
      </c>
      <c r="F1696" s="0" t="s">
        <v>385</v>
      </c>
      <c r="G1696" s="0" t="s">
        <v>172</v>
      </c>
      <c r="H1696" s="0" t="s">
        <v>801</v>
      </c>
    </row>
    <row r="1697" customFormat="false" ht="15" hidden="false" customHeight="false" outlineLevel="0" collapsed="false">
      <c r="A1697" s="0" t="s">
        <v>163</v>
      </c>
      <c r="B1697" s="0" t="n">
        <v>2019</v>
      </c>
      <c r="C1697" s="0" t="s">
        <v>19</v>
      </c>
      <c r="D1697" s="0" t="n">
        <v>5195259</v>
      </c>
      <c r="E1697" s="0" t="s">
        <v>383</v>
      </c>
    </row>
    <row r="1698" customFormat="false" ht="15" hidden="false" customHeight="false" outlineLevel="0" collapsed="false">
      <c r="A1698" s="0" t="s">
        <v>163</v>
      </c>
      <c r="B1698" s="0" t="n">
        <v>2019</v>
      </c>
      <c r="C1698" s="0" t="s">
        <v>41</v>
      </c>
      <c r="D1698" s="0" t="n">
        <v>3.42625844062827</v>
      </c>
      <c r="E1698" s="0" t="s">
        <v>383</v>
      </c>
    </row>
    <row r="1699" customFormat="false" ht="15" hidden="false" customHeight="false" outlineLevel="0" collapsed="false">
      <c r="A1699" s="0" t="s">
        <v>163</v>
      </c>
      <c r="B1699" s="0" t="n">
        <v>2019</v>
      </c>
      <c r="C1699" s="0" t="s">
        <v>27</v>
      </c>
      <c r="D1699" s="0" t="n">
        <v>14.3327421729202</v>
      </c>
      <c r="E1699" s="0" t="s">
        <v>383</v>
      </c>
    </row>
    <row r="1700" customFormat="false" ht="15" hidden="false" customHeight="false" outlineLevel="0" collapsed="false">
      <c r="A1700" s="0" t="s">
        <v>163</v>
      </c>
      <c r="B1700" s="0" t="n">
        <v>2019</v>
      </c>
      <c r="C1700" s="0" t="s">
        <v>39</v>
      </c>
      <c r="D1700" s="0" t="n">
        <v>7.50863431447787</v>
      </c>
      <c r="E1700" s="0" t="s">
        <v>383</v>
      </c>
    </row>
    <row r="1701" customFormat="false" ht="15" hidden="false" customHeight="false" outlineLevel="0" collapsed="false">
      <c r="A1701" s="0" t="s">
        <v>163</v>
      </c>
      <c r="B1701" s="0" t="n">
        <v>2019</v>
      </c>
      <c r="C1701" s="0" t="s">
        <v>17</v>
      </c>
      <c r="D1701" s="0" t="n">
        <v>6.32375867493833</v>
      </c>
      <c r="E1701" s="0" t="s">
        <v>383</v>
      </c>
    </row>
    <row r="1702" customFormat="false" ht="15" hidden="false" customHeight="false" outlineLevel="0" collapsed="false">
      <c r="A1702" s="0" t="s">
        <v>163</v>
      </c>
      <c r="B1702" s="0" t="n">
        <v>2019</v>
      </c>
      <c r="C1702" s="0" t="s">
        <v>25</v>
      </c>
      <c r="D1702" s="0" t="n">
        <v>19.5645230476247</v>
      </c>
      <c r="E1702" s="0" t="s">
        <v>383</v>
      </c>
    </row>
    <row r="1703" customFormat="false" ht="15" hidden="false" customHeight="false" outlineLevel="0" collapsed="false">
      <c r="A1703" s="0" t="s">
        <v>163</v>
      </c>
      <c r="B1703" s="0" t="n">
        <v>2019</v>
      </c>
      <c r="C1703" s="0" t="s">
        <v>29</v>
      </c>
      <c r="D1703" s="0" t="n">
        <v>0.450275915021754</v>
      </c>
      <c r="E1703" s="0" t="s">
        <v>383</v>
      </c>
    </row>
    <row r="1704" customFormat="false" ht="15" hidden="false" customHeight="false" outlineLevel="0" collapsed="false">
      <c r="A1704" s="0" t="s">
        <v>163</v>
      </c>
      <c r="B1704" s="0" t="n">
        <v>2019</v>
      </c>
      <c r="C1704" s="0" t="s">
        <v>23</v>
      </c>
      <c r="D1704" s="0" t="n">
        <v>152.004383804056</v>
      </c>
      <c r="E1704" s="0" t="s">
        <v>383</v>
      </c>
    </row>
    <row r="1705" customFormat="false" ht="15" hidden="false" customHeight="false" outlineLevel="0" collapsed="false">
      <c r="A1705" s="0" t="s">
        <v>163</v>
      </c>
      <c r="B1705" s="0" t="n">
        <v>2019</v>
      </c>
      <c r="C1705" s="0" t="s">
        <v>37</v>
      </c>
      <c r="D1705" s="0" t="n">
        <v>4.16024756436636</v>
      </c>
      <c r="E1705" s="0" t="s">
        <v>383</v>
      </c>
    </row>
    <row r="1706" customFormat="false" ht="15" hidden="false" customHeight="false" outlineLevel="0" collapsed="false">
      <c r="A1706" s="0" t="s">
        <v>163</v>
      </c>
      <c r="B1706" s="0" t="n">
        <v>2019</v>
      </c>
      <c r="C1706" s="0" t="s">
        <v>43</v>
      </c>
      <c r="D1706" s="0" t="n">
        <v>3.27508020591444</v>
      </c>
      <c r="E1706" s="0" t="s">
        <v>383</v>
      </c>
    </row>
    <row r="1707" customFormat="false" ht="15" hidden="false" customHeight="false" outlineLevel="0" collapsed="false">
      <c r="A1707" s="0" t="s">
        <v>163</v>
      </c>
      <c r="B1707" s="0" t="n">
        <v>2019</v>
      </c>
      <c r="C1707" s="0" t="s">
        <v>31</v>
      </c>
      <c r="D1707" s="0" t="n">
        <v>85.6672578270798</v>
      </c>
      <c r="E1707" s="0" t="s">
        <v>383</v>
      </c>
    </row>
    <row r="1708" customFormat="false" ht="15" hidden="false" customHeight="false" outlineLevel="0" collapsed="false">
      <c r="A1708" s="0" t="s">
        <v>163</v>
      </c>
      <c r="B1708" s="0" t="n">
        <v>2019</v>
      </c>
      <c r="C1708" s="0" t="s">
        <v>33</v>
      </c>
      <c r="D1708" s="0" t="n">
        <v>15.50838350991</v>
      </c>
      <c r="E1708" s="0" t="s">
        <v>383</v>
      </c>
    </row>
    <row r="1709" customFormat="false" ht="15" hidden="false" customHeight="false" outlineLevel="0" collapsed="false">
      <c r="A1709" s="0" t="s">
        <v>163</v>
      </c>
      <c r="B1709" s="0" t="n">
        <v>2019</v>
      </c>
      <c r="C1709" s="0" t="s">
        <v>21</v>
      </c>
      <c r="D1709" s="0" t="n">
        <v>0</v>
      </c>
      <c r="E1709" s="0" t="s">
        <v>383</v>
      </c>
    </row>
    <row r="1710" customFormat="false" ht="15" hidden="false" customHeight="false" outlineLevel="0" collapsed="false">
      <c r="A1710" s="0" t="s">
        <v>163</v>
      </c>
      <c r="B1710" s="0" t="n">
        <v>2019</v>
      </c>
      <c r="C1710" s="0" t="s">
        <v>35</v>
      </c>
      <c r="D1710" s="0" t="n">
        <v>0</v>
      </c>
      <c r="E1710" s="0" t="s">
        <v>383</v>
      </c>
    </row>
    <row r="1711" customFormat="false" ht="15" hidden="false" customHeight="false" outlineLevel="0" collapsed="false">
      <c r="A1711" s="0" t="s">
        <v>163</v>
      </c>
      <c r="B1711" s="0" t="n">
        <v>2020</v>
      </c>
      <c r="C1711" s="0" t="s">
        <v>54</v>
      </c>
      <c r="D1711" s="0" t="n">
        <v>197852</v>
      </c>
      <c r="E1711" s="0" t="s">
        <v>384</v>
      </c>
      <c r="F1711" s="0" t="s">
        <v>385</v>
      </c>
      <c r="G1711" s="0" t="s">
        <v>174</v>
      </c>
      <c r="H1711" s="0" t="s">
        <v>802</v>
      </c>
    </row>
    <row r="1712" customFormat="false" ht="15" hidden="false" customHeight="false" outlineLevel="0" collapsed="false">
      <c r="A1712" s="0" t="s">
        <v>163</v>
      </c>
      <c r="B1712" s="0" t="n">
        <v>2020</v>
      </c>
      <c r="C1712" s="0" t="s">
        <v>55</v>
      </c>
      <c r="D1712" s="0" t="n">
        <v>7124987</v>
      </c>
      <c r="E1712" s="0" t="s">
        <v>384</v>
      </c>
      <c r="F1712" s="0" t="s">
        <v>385</v>
      </c>
      <c r="G1712" s="0" t="s">
        <v>174</v>
      </c>
      <c r="H1712" s="0" t="s">
        <v>803</v>
      </c>
    </row>
    <row r="1713" customFormat="false" ht="15" hidden="false" customHeight="false" outlineLevel="0" collapsed="false">
      <c r="A1713" s="0" t="s">
        <v>163</v>
      </c>
      <c r="B1713" s="0" t="n">
        <v>2020</v>
      </c>
      <c r="C1713" s="0" t="s">
        <v>56</v>
      </c>
      <c r="D1713" s="0" t="n">
        <v>6219755</v>
      </c>
      <c r="E1713" s="0" t="s">
        <v>384</v>
      </c>
      <c r="F1713" s="0" t="s">
        <v>385</v>
      </c>
      <c r="G1713" s="0" t="s">
        <v>174</v>
      </c>
      <c r="H1713" s="0" t="s">
        <v>804</v>
      </c>
    </row>
    <row r="1714" customFormat="false" ht="15" hidden="false" customHeight="false" outlineLevel="0" collapsed="false">
      <c r="A1714" s="0" t="s">
        <v>163</v>
      </c>
      <c r="B1714" s="0" t="n">
        <v>2020</v>
      </c>
      <c r="C1714" s="0" t="s">
        <v>57</v>
      </c>
      <c r="D1714" s="0" t="n">
        <v>905232</v>
      </c>
      <c r="E1714" s="0" t="s">
        <v>384</v>
      </c>
      <c r="F1714" s="0" t="s">
        <v>385</v>
      </c>
      <c r="G1714" s="0" t="s">
        <v>174</v>
      </c>
      <c r="H1714" s="0" t="s">
        <v>805</v>
      </c>
    </row>
    <row r="1715" customFormat="false" ht="15" hidden="false" customHeight="false" outlineLevel="0" collapsed="false">
      <c r="A1715" s="0" t="s">
        <v>163</v>
      </c>
      <c r="B1715" s="0" t="n">
        <v>2020</v>
      </c>
      <c r="C1715" s="0" t="s">
        <v>58</v>
      </c>
      <c r="D1715" s="0" t="n">
        <v>65920</v>
      </c>
      <c r="E1715" s="0" t="s">
        <v>384</v>
      </c>
      <c r="F1715" s="0" t="s">
        <v>385</v>
      </c>
      <c r="G1715" s="0" t="s">
        <v>174</v>
      </c>
      <c r="H1715" s="0" t="s">
        <v>806</v>
      </c>
    </row>
    <row r="1716" customFormat="false" ht="15" hidden="false" customHeight="false" outlineLevel="0" collapsed="false">
      <c r="A1716" s="0" t="s">
        <v>163</v>
      </c>
      <c r="B1716" s="0" t="n">
        <v>2020</v>
      </c>
      <c r="C1716" s="0" t="s">
        <v>59</v>
      </c>
      <c r="D1716" s="0" t="n">
        <v>5435073</v>
      </c>
      <c r="E1716" s="0" t="s">
        <v>384</v>
      </c>
      <c r="F1716" s="0" t="s">
        <v>385</v>
      </c>
      <c r="G1716" s="0" t="s">
        <v>174</v>
      </c>
      <c r="H1716" s="0" t="s">
        <v>807</v>
      </c>
    </row>
    <row r="1717" customFormat="false" ht="15" hidden="false" customHeight="false" outlineLevel="0" collapsed="false">
      <c r="A1717" s="0" t="s">
        <v>163</v>
      </c>
      <c r="B1717" s="0" t="n">
        <v>2020</v>
      </c>
      <c r="C1717" s="0" t="s">
        <v>60</v>
      </c>
      <c r="D1717" s="0" t="n">
        <v>2772663</v>
      </c>
      <c r="E1717" s="0" t="s">
        <v>384</v>
      </c>
      <c r="F1717" s="0" t="s">
        <v>385</v>
      </c>
      <c r="G1717" s="0" t="s">
        <v>174</v>
      </c>
      <c r="H1717" s="0" t="s">
        <v>808</v>
      </c>
    </row>
    <row r="1718" customFormat="false" ht="15" hidden="false" customHeight="false" outlineLevel="0" collapsed="false">
      <c r="A1718" s="0" t="s">
        <v>163</v>
      </c>
      <c r="B1718" s="0" t="n">
        <v>2020</v>
      </c>
      <c r="C1718" s="0" t="s">
        <v>61</v>
      </c>
      <c r="D1718" s="0" t="n">
        <v>132866</v>
      </c>
      <c r="E1718" s="0" t="s">
        <v>384</v>
      </c>
      <c r="F1718" s="0" t="s">
        <v>385</v>
      </c>
      <c r="G1718" s="0" t="s">
        <v>174</v>
      </c>
      <c r="H1718" s="0" t="s">
        <v>809</v>
      </c>
    </row>
    <row r="1719" customFormat="false" ht="15" hidden="false" customHeight="false" outlineLevel="0" collapsed="false">
      <c r="A1719" s="0" t="s">
        <v>163</v>
      </c>
      <c r="B1719" s="0" t="n">
        <v>2020</v>
      </c>
      <c r="C1719" s="0" t="s">
        <v>62</v>
      </c>
      <c r="D1719" s="0" t="n">
        <v>2639797</v>
      </c>
      <c r="E1719" s="0" t="s">
        <v>384</v>
      </c>
      <c r="F1719" s="0" t="s">
        <v>385</v>
      </c>
      <c r="G1719" s="0" t="s">
        <v>174</v>
      </c>
      <c r="H1719" s="0" t="s">
        <v>810</v>
      </c>
    </row>
    <row r="1720" customFormat="false" ht="15" hidden="false" customHeight="false" outlineLevel="0" collapsed="false">
      <c r="A1720" s="0" t="s">
        <v>163</v>
      </c>
      <c r="B1720" s="0" t="n">
        <v>2020</v>
      </c>
      <c r="C1720" s="0" t="s">
        <v>63</v>
      </c>
      <c r="D1720" s="0" t="n">
        <v>37237</v>
      </c>
      <c r="E1720" s="0" t="s">
        <v>384</v>
      </c>
      <c r="F1720" s="0" t="s">
        <v>385</v>
      </c>
      <c r="G1720" s="0" t="s">
        <v>174</v>
      </c>
      <c r="H1720" s="0" t="s">
        <v>811</v>
      </c>
    </row>
    <row r="1721" customFormat="false" ht="15" hidden="false" customHeight="false" outlineLevel="0" collapsed="false">
      <c r="A1721" s="0" t="s">
        <v>163</v>
      </c>
      <c r="B1721" s="0" t="n">
        <v>2020</v>
      </c>
      <c r="C1721" s="0" t="s">
        <v>73</v>
      </c>
      <c r="D1721" s="0" t="n">
        <v>0</v>
      </c>
      <c r="E1721" s="0" t="s">
        <v>400</v>
      </c>
      <c r="F1721" s="0" t="s">
        <v>385</v>
      </c>
      <c r="G1721" s="0" t="s">
        <v>712</v>
      </c>
      <c r="H1721" s="0" t="s">
        <v>812</v>
      </c>
    </row>
    <row r="1722" customFormat="false" ht="15" hidden="false" customHeight="false" outlineLevel="0" collapsed="false">
      <c r="A1722" s="0" t="s">
        <v>163</v>
      </c>
      <c r="B1722" s="0" t="n">
        <v>2020</v>
      </c>
      <c r="C1722" s="0" t="s">
        <v>402</v>
      </c>
      <c r="D1722" s="0" t="n">
        <v>210007</v>
      </c>
      <c r="E1722" s="0" t="s">
        <v>384</v>
      </c>
      <c r="F1722" s="0" t="s">
        <v>385</v>
      </c>
      <c r="G1722" s="0" t="s">
        <v>174</v>
      </c>
      <c r="H1722" s="0" t="s">
        <v>813</v>
      </c>
    </row>
    <row r="1723" customFormat="false" ht="15" hidden="false" customHeight="false" outlineLevel="0" collapsed="false">
      <c r="A1723" s="0" t="s">
        <v>163</v>
      </c>
      <c r="B1723" s="0" t="n">
        <v>2020</v>
      </c>
      <c r="C1723" s="0" t="s">
        <v>19</v>
      </c>
      <c r="D1723" s="0" t="n">
        <v>6280030</v>
      </c>
      <c r="E1723" s="0" t="s">
        <v>383</v>
      </c>
    </row>
    <row r="1724" customFormat="false" ht="15" hidden="false" customHeight="false" outlineLevel="0" collapsed="false">
      <c r="A1724" s="0" t="s">
        <v>163</v>
      </c>
      <c r="B1724" s="0" t="n">
        <v>2020</v>
      </c>
      <c r="C1724" s="0" t="s">
        <v>41</v>
      </c>
      <c r="D1724" s="0" t="n">
        <v>3.15049450400715</v>
      </c>
      <c r="E1724" s="0" t="s">
        <v>383</v>
      </c>
    </row>
    <row r="1725" customFormat="false" ht="15" hidden="false" customHeight="false" outlineLevel="0" collapsed="false">
      <c r="A1725" s="0" t="s">
        <v>163</v>
      </c>
      <c r="B1725" s="0" t="n">
        <v>2020</v>
      </c>
      <c r="C1725" s="0" t="s">
        <v>27</v>
      </c>
      <c r="D1725" s="0" t="n">
        <v>12.7050337074299</v>
      </c>
      <c r="E1725" s="0" t="s">
        <v>383</v>
      </c>
    </row>
    <row r="1726" customFormat="false" ht="15" hidden="false" customHeight="false" outlineLevel="0" collapsed="false">
      <c r="A1726" s="0" t="s">
        <v>163</v>
      </c>
      <c r="B1726" s="0" t="n">
        <v>2020</v>
      </c>
      <c r="C1726" s="0" t="s">
        <v>39</v>
      </c>
      <c r="D1726" s="0" t="n">
        <v>1.04967651428417</v>
      </c>
      <c r="E1726" s="0" t="s">
        <v>383</v>
      </c>
    </row>
    <row r="1727" customFormat="false" ht="15" hidden="false" customHeight="false" outlineLevel="0" collapsed="false">
      <c r="A1727" s="0" t="s">
        <v>163</v>
      </c>
      <c r="B1727" s="0" t="n">
        <v>2020</v>
      </c>
      <c r="C1727" s="0" t="s">
        <v>17</v>
      </c>
      <c r="D1727" s="0" t="n">
        <v>4.79199960471215</v>
      </c>
      <c r="E1727" s="0" t="s">
        <v>383</v>
      </c>
    </row>
    <row r="1728" customFormat="false" ht="15" hidden="false" customHeight="false" outlineLevel="0" collapsed="false">
      <c r="A1728" s="0" t="s">
        <v>163</v>
      </c>
      <c r="B1728" s="0" t="n">
        <v>2020</v>
      </c>
      <c r="C1728" s="0" t="s">
        <v>29</v>
      </c>
      <c r="D1728" s="0" t="n">
        <v>0.592943027342226</v>
      </c>
      <c r="E1728" s="0" t="s">
        <v>383</v>
      </c>
    </row>
    <row r="1729" customFormat="false" ht="15" hidden="false" customHeight="false" outlineLevel="0" collapsed="false">
      <c r="A1729" s="0" t="s">
        <v>163</v>
      </c>
      <c r="B1729" s="0" t="n">
        <v>2020</v>
      </c>
      <c r="C1729" s="0" t="s">
        <v>43</v>
      </c>
      <c r="D1729" s="0" t="n">
        <v>2.77687524201799</v>
      </c>
      <c r="E1729" s="0" t="s">
        <v>383</v>
      </c>
    </row>
    <row r="1730" customFormat="false" ht="15" hidden="false" customHeight="false" outlineLevel="0" collapsed="false">
      <c r="A1730" s="0" t="s">
        <v>163</v>
      </c>
      <c r="B1730" s="0" t="n">
        <v>2020</v>
      </c>
      <c r="C1730" s="0" t="s">
        <v>31</v>
      </c>
      <c r="D1730" s="0" t="n">
        <v>87.2949662925701</v>
      </c>
      <c r="E1730" s="0" t="s">
        <v>383</v>
      </c>
    </row>
    <row r="1731" customFormat="false" ht="15" hidden="false" customHeight="false" outlineLevel="0" collapsed="false">
      <c r="A1731" s="0" t="s">
        <v>163</v>
      </c>
      <c r="B1731" s="0" t="n">
        <v>2020</v>
      </c>
      <c r="C1731" s="0" t="s">
        <v>33</v>
      </c>
      <c r="D1731" s="0" t="n">
        <v>15.7791184595559</v>
      </c>
      <c r="E1731" s="0" t="s">
        <v>383</v>
      </c>
    </row>
    <row r="1732" customFormat="false" ht="15" hidden="false" customHeight="false" outlineLevel="0" collapsed="false">
      <c r="A1732" s="0" t="s">
        <v>163</v>
      </c>
      <c r="B1732" s="0" t="n">
        <v>2020</v>
      </c>
      <c r="C1732" s="0" t="s">
        <v>21</v>
      </c>
      <c r="D1732" s="0" t="n">
        <v>0</v>
      </c>
      <c r="E1732" s="0" t="s">
        <v>383</v>
      </c>
    </row>
    <row r="1733" customFormat="false" ht="15" hidden="false" customHeight="false" outlineLevel="0" collapsed="false">
      <c r="A1733" s="0" t="s">
        <v>163</v>
      </c>
      <c r="B1733" s="0" t="n">
        <v>2020</v>
      </c>
      <c r="C1733" s="0" t="s">
        <v>35</v>
      </c>
      <c r="D1733" s="0" t="n">
        <v>0</v>
      </c>
      <c r="E1733" s="0" t="s">
        <v>383</v>
      </c>
    </row>
    <row r="1734" customFormat="false" ht="15" hidden="false" customHeight="false" outlineLevel="0" collapsed="false">
      <c r="A1734" s="0" t="s">
        <v>163</v>
      </c>
      <c r="B1734" s="0" t="n">
        <v>2021</v>
      </c>
      <c r="C1734" s="0" t="s">
        <v>54</v>
      </c>
      <c r="D1734" s="0" t="n">
        <v>233133</v>
      </c>
      <c r="E1734" s="0" t="s">
        <v>382</v>
      </c>
      <c r="G1734" s="0" t="s">
        <v>81</v>
      </c>
    </row>
    <row r="1735" customFormat="false" ht="15" hidden="false" customHeight="false" outlineLevel="0" collapsed="false">
      <c r="A1735" s="0" t="s">
        <v>163</v>
      </c>
      <c r="B1735" s="0" t="n">
        <v>2021</v>
      </c>
      <c r="C1735" s="0" t="s">
        <v>55</v>
      </c>
      <c r="D1735" s="0" t="n">
        <v>7872292</v>
      </c>
      <c r="E1735" s="0" t="s">
        <v>382</v>
      </c>
      <c r="G1735" s="0" t="s">
        <v>81</v>
      </c>
    </row>
    <row r="1736" customFormat="false" ht="15" hidden="false" customHeight="false" outlineLevel="0" collapsed="false">
      <c r="A1736" s="0" t="s">
        <v>163</v>
      </c>
      <c r="B1736" s="0" t="n">
        <v>2021</v>
      </c>
      <c r="C1736" s="0" t="s">
        <v>56</v>
      </c>
      <c r="D1736" s="0" t="n">
        <v>6822517</v>
      </c>
      <c r="E1736" s="0" t="s">
        <v>382</v>
      </c>
      <c r="G1736" s="0" t="s">
        <v>81</v>
      </c>
    </row>
    <row r="1737" customFormat="false" ht="15" hidden="false" customHeight="false" outlineLevel="0" collapsed="false">
      <c r="A1737" s="0" t="s">
        <v>163</v>
      </c>
      <c r="B1737" s="0" t="n">
        <v>2021</v>
      </c>
      <c r="C1737" s="0" t="s">
        <v>57</v>
      </c>
      <c r="D1737" s="0" t="n">
        <v>1049775</v>
      </c>
      <c r="E1737" s="0" t="s">
        <v>382</v>
      </c>
      <c r="G1737" s="0" t="s">
        <v>81</v>
      </c>
    </row>
    <row r="1738" customFormat="false" ht="15" hidden="false" customHeight="false" outlineLevel="0" collapsed="false">
      <c r="A1738" s="0" t="s">
        <v>163</v>
      </c>
      <c r="B1738" s="0" t="n">
        <v>2021</v>
      </c>
      <c r="C1738" s="0" t="s">
        <v>58</v>
      </c>
      <c r="D1738" s="0" t="n">
        <v>457857</v>
      </c>
      <c r="E1738" s="0" t="s">
        <v>382</v>
      </c>
      <c r="G1738" s="0" t="s">
        <v>81</v>
      </c>
    </row>
    <row r="1739" customFormat="false" ht="15" hidden="false" customHeight="false" outlineLevel="0" collapsed="false">
      <c r="A1739" s="0" t="s">
        <v>163</v>
      </c>
      <c r="B1739" s="0" t="n">
        <v>2021</v>
      </c>
      <c r="C1739" s="0" t="s">
        <v>60</v>
      </c>
      <c r="D1739" s="0" t="n">
        <v>3237973</v>
      </c>
      <c r="E1739" s="0" t="s">
        <v>382</v>
      </c>
      <c r="G1739" s="0" t="s">
        <v>81</v>
      </c>
    </row>
    <row r="1740" customFormat="false" ht="15" hidden="false" customHeight="false" outlineLevel="0" collapsed="false">
      <c r="A1740" s="0" t="s">
        <v>163</v>
      </c>
      <c r="B1740" s="0" t="n">
        <v>2021</v>
      </c>
      <c r="C1740" s="0" t="s">
        <v>61</v>
      </c>
      <c r="D1740" s="0" t="n">
        <v>138521</v>
      </c>
      <c r="E1740" s="0" t="s">
        <v>382</v>
      </c>
      <c r="G1740" s="0" t="s">
        <v>81</v>
      </c>
    </row>
    <row r="1741" customFormat="false" ht="15" hidden="false" customHeight="false" outlineLevel="0" collapsed="false">
      <c r="A1741" s="0" t="s">
        <v>163</v>
      </c>
      <c r="B1741" s="0" t="n">
        <v>2021</v>
      </c>
      <c r="C1741" s="0" t="s">
        <v>62</v>
      </c>
      <c r="D1741" s="0" t="n">
        <v>3099452</v>
      </c>
      <c r="E1741" s="0" t="s">
        <v>382</v>
      </c>
      <c r="G1741" s="0" t="s">
        <v>81</v>
      </c>
    </row>
    <row r="1742" customFormat="false" ht="15" hidden="false" customHeight="false" outlineLevel="0" collapsed="false">
      <c r="A1742" s="0" t="s">
        <v>163</v>
      </c>
      <c r="B1742" s="0" t="n">
        <v>2021</v>
      </c>
      <c r="C1742" s="0" t="s">
        <v>63</v>
      </c>
      <c r="D1742" s="0" t="n">
        <v>56175</v>
      </c>
      <c r="E1742" s="0" t="s">
        <v>382</v>
      </c>
      <c r="G1742" s="0" t="s">
        <v>81</v>
      </c>
    </row>
    <row r="1743" customFormat="false" ht="15" hidden="false" customHeight="false" outlineLevel="0" collapsed="false">
      <c r="A1743" s="0" t="s">
        <v>163</v>
      </c>
      <c r="B1743" s="0" t="n">
        <v>2021</v>
      </c>
      <c r="C1743" s="0" t="s">
        <v>69</v>
      </c>
      <c r="D1743" s="0" t="n">
        <v>20</v>
      </c>
      <c r="E1743" s="0" t="s">
        <v>382</v>
      </c>
      <c r="G1743" s="0" t="s">
        <v>81</v>
      </c>
    </row>
    <row r="1744" customFormat="false" ht="15" hidden="false" customHeight="false" outlineLevel="0" collapsed="false">
      <c r="A1744" s="0" t="s">
        <v>163</v>
      </c>
      <c r="B1744" s="0" t="n">
        <v>2021</v>
      </c>
      <c r="C1744" s="0" t="s">
        <v>65</v>
      </c>
      <c r="D1744" s="0" t="n">
        <v>985934</v>
      </c>
      <c r="E1744" s="0" t="s">
        <v>382</v>
      </c>
      <c r="G1744" s="0" t="s">
        <v>81</v>
      </c>
    </row>
    <row r="1745" customFormat="false" ht="15" hidden="false" customHeight="false" outlineLevel="0" collapsed="false">
      <c r="A1745" s="0" t="s">
        <v>163</v>
      </c>
      <c r="B1745" s="0" t="n">
        <v>2021</v>
      </c>
      <c r="C1745" s="0" t="s">
        <v>66</v>
      </c>
      <c r="D1745" s="0" t="n">
        <v>5032121</v>
      </c>
      <c r="E1745" s="0" t="s">
        <v>382</v>
      </c>
      <c r="G1745" s="0" t="s">
        <v>81</v>
      </c>
    </row>
    <row r="1746" customFormat="false" ht="15" hidden="false" customHeight="false" outlineLevel="0" collapsed="false">
      <c r="A1746" s="0" t="s">
        <v>163</v>
      </c>
      <c r="B1746" s="0" t="n">
        <v>2021</v>
      </c>
      <c r="C1746" s="0" t="s">
        <v>402</v>
      </c>
      <c r="D1746" s="0" t="n">
        <v>257167</v>
      </c>
      <c r="E1746" s="0" t="s">
        <v>382</v>
      </c>
      <c r="G1746" s="0" t="s">
        <v>81</v>
      </c>
    </row>
    <row r="1747" customFormat="false" ht="15" hidden="false" customHeight="false" outlineLevel="0" collapsed="false">
      <c r="A1747" s="0" t="s">
        <v>163</v>
      </c>
      <c r="B1747" s="0" t="n">
        <v>2021</v>
      </c>
      <c r="C1747" s="0" t="s">
        <v>27</v>
      </c>
      <c r="D1747" s="0" t="n">
        <v>13.3350617583799</v>
      </c>
      <c r="E1747" s="0" t="s">
        <v>383</v>
      </c>
    </row>
    <row r="1748" customFormat="false" ht="15" hidden="false" customHeight="false" outlineLevel="0" collapsed="false">
      <c r="A1748" s="0" t="s">
        <v>163</v>
      </c>
      <c r="B1748" s="0" t="n">
        <v>2021</v>
      </c>
      <c r="C1748" s="0" t="s">
        <v>17</v>
      </c>
      <c r="D1748" s="0" t="n">
        <v>4.27801590686519</v>
      </c>
      <c r="E1748" s="0" t="s">
        <v>383</v>
      </c>
    </row>
    <row r="1749" customFormat="false" ht="15" hidden="false" customHeight="false" outlineLevel="0" collapsed="false">
      <c r="A1749" s="0" t="s">
        <v>163</v>
      </c>
      <c r="B1749" s="0" t="n">
        <v>2021</v>
      </c>
      <c r="C1749" s="0" t="s">
        <v>25</v>
      </c>
      <c r="D1749" s="0" t="n">
        <v>19.5928118580614</v>
      </c>
      <c r="E1749" s="0" t="s">
        <v>383</v>
      </c>
    </row>
    <row r="1750" customFormat="false" ht="15" hidden="false" customHeight="false" outlineLevel="0" collapsed="false">
      <c r="A1750" s="0" t="s">
        <v>163</v>
      </c>
      <c r="B1750" s="0" t="n">
        <v>2021</v>
      </c>
      <c r="C1750" s="0" t="s">
        <v>43</v>
      </c>
      <c r="D1750" s="0" t="n">
        <v>2.96143740603118</v>
      </c>
      <c r="E1750" s="0" t="s">
        <v>383</v>
      </c>
    </row>
    <row r="1751" customFormat="false" ht="15" hidden="false" customHeight="false" outlineLevel="0" collapsed="false">
      <c r="A1751" s="0" t="s">
        <v>163</v>
      </c>
      <c r="B1751" s="0" t="n">
        <v>2021</v>
      </c>
      <c r="C1751" s="0" t="s">
        <v>31</v>
      </c>
      <c r="D1751" s="0" t="n">
        <v>86.6649382416201</v>
      </c>
      <c r="E1751" s="0" t="s">
        <v>383</v>
      </c>
    </row>
    <row r="1752" customFormat="false" ht="15" hidden="false" customHeight="false" outlineLevel="0" collapsed="false">
      <c r="A1752" s="0" t="s">
        <v>163</v>
      </c>
      <c r="B1752" s="0" t="n">
        <v>2021</v>
      </c>
      <c r="C1752" s="0" t="s">
        <v>33</v>
      </c>
      <c r="D1752" s="0" t="n">
        <v>15.8788598105222</v>
      </c>
      <c r="E1752" s="0" t="s">
        <v>383</v>
      </c>
    </row>
    <row r="1753" customFormat="false" ht="15" hidden="false" customHeight="false" outlineLevel="0" collapsed="false">
      <c r="A1753" s="0" t="s">
        <v>163</v>
      </c>
      <c r="B1753" s="0" t="n">
        <v>2021</v>
      </c>
      <c r="C1753" s="0" t="s">
        <v>21</v>
      </c>
      <c r="D1753" s="0" t="n">
        <v>0</v>
      </c>
      <c r="E1753" s="0" t="s">
        <v>383</v>
      </c>
    </row>
    <row r="1754" customFormat="false" ht="15" hidden="false" customHeight="false" outlineLevel="0" collapsed="false">
      <c r="A1754" s="0" t="s">
        <v>163</v>
      </c>
      <c r="B1754" s="0" t="n">
        <v>2021</v>
      </c>
      <c r="C1754" s="0" t="s">
        <v>35</v>
      </c>
      <c r="D1754" s="0" t="n">
        <v>0</v>
      </c>
      <c r="E1754" s="0" t="s">
        <v>383</v>
      </c>
    </row>
    <row r="1755" customFormat="false" ht="15" hidden="false" customHeight="false" outlineLevel="0" collapsed="false">
      <c r="A1755" s="0" t="s">
        <v>163</v>
      </c>
      <c r="B1755" s="0" t="n">
        <v>2022</v>
      </c>
      <c r="C1755" s="0" t="s">
        <v>54</v>
      </c>
      <c r="D1755" s="0" t="n">
        <v>234593</v>
      </c>
      <c r="E1755" s="0" t="s">
        <v>382</v>
      </c>
      <c r="G1755" s="0" t="s">
        <v>81</v>
      </c>
    </row>
    <row r="1756" customFormat="false" ht="15" hidden="false" customHeight="false" outlineLevel="0" collapsed="false">
      <c r="A1756" s="0" t="s">
        <v>163</v>
      </c>
      <c r="B1756" s="0" t="n">
        <v>2022</v>
      </c>
      <c r="C1756" s="0" t="s">
        <v>55</v>
      </c>
      <c r="D1756" s="0" t="n">
        <v>10570678</v>
      </c>
      <c r="E1756" s="0" t="s">
        <v>382</v>
      </c>
      <c r="G1756" s="0" t="s">
        <v>81</v>
      </c>
    </row>
    <row r="1757" customFormat="false" ht="15" hidden="false" customHeight="false" outlineLevel="0" collapsed="false">
      <c r="A1757" s="0" t="s">
        <v>163</v>
      </c>
      <c r="B1757" s="0" t="n">
        <v>2022</v>
      </c>
      <c r="C1757" s="0" t="s">
        <v>56</v>
      </c>
      <c r="D1757" s="0" t="n">
        <v>9375531</v>
      </c>
      <c r="E1757" s="0" t="s">
        <v>382</v>
      </c>
      <c r="G1757" s="0" t="s">
        <v>81</v>
      </c>
    </row>
    <row r="1758" customFormat="false" ht="15" hidden="false" customHeight="false" outlineLevel="0" collapsed="false">
      <c r="A1758" s="0" t="s">
        <v>163</v>
      </c>
      <c r="B1758" s="0" t="n">
        <v>2022</v>
      </c>
      <c r="C1758" s="0" t="s">
        <v>57</v>
      </c>
      <c r="D1758" s="0" t="n">
        <v>1195147</v>
      </c>
      <c r="E1758" s="0" t="s">
        <v>382</v>
      </c>
      <c r="G1758" s="0" t="s">
        <v>81</v>
      </c>
    </row>
    <row r="1759" customFormat="false" ht="15" hidden="false" customHeight="false" outlineLevel="0" collapsed="false">
      <c r="A1759" s="0" t="s">
        <v>163</v>
      </c>
      <c r="B1759" s="0" t="n">
        <v>2022</v>
      </c>
      <c r="C1759" s="0" t="s">
        <v>58</v>
      </c>
      <c r="D1759" s="0" t="n">
        <v>1279758</v>
      </c>
      <c r="E1759" s="0" t="s">
        <v>382</v>
      </c>
      <c r="G1759" s="0" t="s">
        <v>81</v>
      </c>
    </row>
    <row r="1760" customFormat="false" ht="15" hidden="false" customHeight="false" outlineLevel="0" collapsed="false">
      <c r="A1760" s="0" t="s">
        <v>163</v>
      </c>
      <c r="B1760" s="0" t="n">
        <v>2022</v>
      </c>
      <c r="C1760" s="0" t="s">
        <v>59</v>
      </c>
      <c r="D1760" s="0" t="n">
        <v>7872292</v>
      </c>
      <c r="E1760" s="0" t="s">
        <v>382</v>
      </c>
      <c r="G1760" s="0" t="s">
        <v>81</v>
      </c>
    </row>
    <row r="1761" customFormat="false" ht="15" hidden="false" customHeight="false" outlineLevel="0" collapsed="false">
      <c r="A1761" s="0" t="s">
        <v>163</v>
      </c>
      <c r="B1761" s="0" t="n">
        <v>2022</v>
      </c>
      <c r="C1761" s="0" t="s">
        <v>60</v>
      </c>
      <c r="D1761" s="0" t="n">
        <v>3838805</v>
      </c>
      <c r="E1761" s="0" t="s">
        <v>382</v>
      </c>
      <c r="G1761" s="0" t="s">
        <v>81</v>
      </c>
    </row>
    <row r="1762" customFormat="false" ht="15" hidden="false" customHeight="false" outlineLevel="0" collapsed="false">
      <c r="A1762" s="0" t="s">
        <v>163</v>
      </c>
      <c r="B1762" s="0" t="n">
        <v>2022</v>
      </c>
      <c r="C1762" s="0" t="s">
        <v>61</v>
      </c>
      <c r="D1762" s="0" t="n">
        <v>103129</v>
      </c>
      <c r="E1762" s="0" t="s">
        <v>382</v>
      </c>
      <c r="G1762" s="0" t="s">
        <v>81</v>
      </c>
    </row>
    <row r="1763" customFormat="false" ht="15" hidden="false" customHeight="false" outlineLevel="0" collapsed="false">
      <c r="A1763" s="0" t="s">
        <v>163</v>
      </c>
      <c r="B1763" s="0" t="n">
        <v>2022</v>
      </c>
      <c r="C1763" s="0" t="s">
        <v>62</v>
      </c>
      <c r="D1763" s="0" t="n">
        <v>3735676</v>
      </c>
      <c r="E1763" s="0" t="s">
        <v>382</v>
      </c>
      <c r="G1763" s="0" t="s">
        <v>81</v>
      </c>
    </row>
    <row r="1764" customFormat="false" ht="15" hidden="false" customHeight="false" outlineLevel="0" collapsed="false">
      <c r="A1764" s="0" t="s">
        <v>163</v>
      </c>
      <c r="B1764" s="0" t="n">
        <v>2022</v>
      </c>
      <c r="C1764" s="0" t="s">
        <v>63</v>
      </c>
      <c r="D1764" s="0" t="n">
        <v>61896</v>
      </c>
      <c r="E1764" s="0" t="s">
        <v>382</v>
      </c>
      <c r="G1764" s="0" t="s">
        <v>81</v>
      </c>
    </row>
    <row r="1765" customFormat="false" ht="15" hidden="false" customHeight="false" outlineLevel="0" collapsed="false">
      <c r="A1765" s="0" t="s">
        <v>163</v>
      </c>
      <c r="B1765" s="0" t="n">
        <v>2022</v>
      </c>
      <c r="C1765" s="0" t="s">
        <v>69</v>
      </c>
      <c r="D1765" s="0" t="n">
        <v>19</v>
      </c>
      <c r="E1765" s="0" t="s">
        <v>382</v>
      </c>
      <c r="G1765" s="0" t="s">
        <v>81</v>
      </c>
    </row>
    <row r="1766" customFormat="false" ht="15" hidden="false" customHeight="false" outlineLevel="0" collapsed="false">
      <c r="A1766" s="0" t="s">
        <v>163</v>
      </c>
      <c r="B1766" s="0" t="n">
        <v>2022</v>
      </c>
      <c r="C1766" s="0" t="s">
        <v>65</v>
      </c>
      <c r="D1766" s="0" t="n">
        <v>1042652</v>
      </c>
      <c r="E1766" s="0" t="s">
        <v>382</v>
      </c>
      <c r="G1766" s="0" t="s">
        <v>81</v>
      </c>
    </row>
    <row r="1767" customFormat="false" ht="15" hidden="false" customHeight="false" outlineLevel="0" collapsed="false">
      <c r="A1767" s="0" t="s">
        <v>163</v>
      </c>
      <c r="B1767" s="0" t="n">
        <v>2022</v>
      </c>
      <c r="C1767" s="0" t="s">
        <v>66</v>
      </c>
      <c r="D1767" s="0" t="n">
        <v>5488669</v>
      </c>
      <c r="E1767" s="0" t="s">
        <v>382</v>
      </c>
      <c r="G1767" s="0" t="s">
        <v>81</v>
      </c>
    </row>
    <row r="1768" customFormat="false" ht="15" hidden="false" customHeight="false" outlineLevel="0" collapsed="false">
      <c r="A1768" s="0" t="s">
        <v>163</v>
      </c>
      <c r="B1768" s="0" t="n">
        <v>2022</v>
      </c>
      <c r="C1768" s="0" t="s">
        <v>402</v>
      </c>
      <c r="D1768" s="0" t="n">
        <v>294050</v>
      </c>
      <c r="E1768" s="0" t="s">
        <v>382</v>
      </c>
      <c r="G1768" s="0" t="s">
        <v>81</v>
      </c>
    </row>
    <row r="1769" customFormat="false" ht="15" hidden="false" customHeight="false" outlineLevel="0" collapsed="false">
      <c r="A1769" s="0" t="s">
        <v>163</v>
      </c>
      <c r="B1769" s="0" t="n">
        <v>2022</v>
      </c>
      <c r="C1769" s="0" t="s">
        <v>19</v>
      </c>
      <c r="D1769" s="0" t="n">
        <v>9221485</v>
      </c>
      <c r="E1769" s="0" t="s">
        <v>383</v>
      </c>
    </row>
    <row r="1770" customFormat="false" ht="15" hidden="false" customHeight="false" outlineLevel="0" collapsed="false">
      <c r="A1770" s="0" t="s">
        <v>163</v>
      </c>
      <c r="B1770" s="0" t="n">
        <v>2022</v>
      </c>
      <c r="C1770" s="0" t="s">
        <v>41</v>
      </c>
      <c r="D1770" s="0" t="n">
        <v>2.54398288345098</v>
      </c>
      <c r="E1770" s="0" t="s">
        <v>383</v>
      </c>
    </row>
    <row r="1771" customFormat="false" ht="15" hidden="false" customHeight="false" outlineLevel="0" collapsed="false">
      <c r="A1771" s="0" t="s">
        <v>163</v>
      </c>
      <c r="B1771" s="0" t="n">
        <v>2022</v>
      </c>
      <c r="C1771" s="0" t="s">
        <v>27</v>
      </c>
      <c r="D1771" s="0" t="n">
        <v>11.3062473381556</v>
      </c>
      <c r="E1771" s="0" t="s">
        <v>383</v>
      </c>
    </row>
    <row r="1772" customFormat="false" ht="15" hidden="false" customHeight="false" outlineLevel="0" collapsed="false">
      <c r="A1772" s="0" t="s">
        <v>163</v>
      </c>
      <c r="B1772" s="0" t="n">
        <v>2022</v>
      </c>
      <c r="C1772" s="0" t="s">
        <v>39</v>
      </c>
      <c r="D1772" s="0" t="n">
        <v>13.8780033801497</v>
      </c>
      <c r="E1772" s="0" t="s">
        <v>383</v>
      </c>
    </row>
    <row r="1773" customFormat="false" ht="15" hidden="false" customHeight="false" outlineLevel="0" collapsed="false">
      <c r="A1773" s="0" t="s">
        <v>163</v>
      </c>
      <c r="B1773" s="0" t="n">
        <v>2022</v>
      </c>
      <c r="C1773" s="0" t="s">
        <v>17</v>
      </c>
      <c r="D1773" s="0" t="n">
        <v>2.68648707084627</v>
      </c>
      <c r="E1773" s="0" t="s">
        <v>383</v>
      </c>
    </row>
    <row r="1774" customFormat="false" ht="15" hidden="false" customHeight="false" outlineLevel="0" collapsed="false">
      <c r="A1774" s="0" t="s">
        <v>163</v>
      </c>
      <c r="B1774" s="0" t="n">
        <v>2022</v>
      </c>
      <c r="C1774" s="0" t="s">
        <v>25</v>
      </c>
      <c r="D1774" s="0" t="n">
        <v>18.9964452219655</v>
      </c>
      <c r="E1774" s="0" t="s">
        <v>383</v>
      </c>
    </row>
    <row r="1775" customFormat="false" ht="15" hidden="false" customHeight="false" outlineLevel="0" collapsed="false">
      <c r="A1775" s="0" t="s">
        <v>163</v>
      </c>
      <c r="B1775" s="0" t="n">
        <v>2022</v>
      </c>
      <c r="C1775" s="0" t="s">
        <v>29</v>
      </c>
      <c r="D1775" s="0" t="n">
        <v>0.671215102556692</v>
      </c>
      <c r="E1775" s="0" t="s">
        <v>383</v>
      </c>
    </row>
    <row r="1776" customFormat="false" ht="15" hidden="false" customHeight="false" outlineLevel="0" collapsed="false">
      <c r="A1776" s="0" t="s">
        <v>163</v>
      </c>
      <c r="B1776" s="0" t="n">
        <v>2022</v>
      </c>
      <c r="C1776" s="0" t="s">
        <v>43</v>
      </c>
      <c r="D1776" s="0" t="n">
        <v>2.21928054189145</v>
      </c>
      <c r="E1776" s="0" t="s">
        <v>383</v>
      </c>
    </row>
    <row r="1777" customFormat="false" ht="15" hidden="false" customHeight="false" outlineLevel="0" collapsed="false">
      <c r="A1777" s="0" t="s">
        <v>163</v>
      </c>
      <c r="B1777" s="0" t="n">
        <v>2022</v>
      </c>
      <c r="C1777" s="0" t="s">
        <v>31</v>
      </c>
      <c r="D1777" s="0" t="n">
        <v>88.6937526618444</v>
      </c>
      <c r="E1777" s="0" t="s">
        <v>383</v>
      </c>
    </row>
    <row r="1778" customFormat="false" ht="15" hidden="false" customHeight="false" outlineLevel="0" collapsed="false">
      <c r="A1778" s="0" t="s">
        <v>163</v>
      </c>
      <c r="B1778" s="0" t="n">
        <v>2022</v>
      </c>
      <c r="C1778" s="0" t="s">
        <v>33</v>
      </c>
      <c r="D1778" s="0" t="n">
        <v>16.1735944995925</v>
      </c>
      <c r="E1778" s="0" t="s">
        <v>383</v>
      </c>
    </row>
    <row r="1779" customFormat="false" ht="15" hidden="false" customHeight="false" outlineLevel="0" collapsed="false">
      <c r="A1779" s="0" t="s">
        <v>163</v>
      </c>
      <c r="B1779" s="0" t="n">
        <v>2022</v>
      </c>
      <c r="C1779" s="0" t="s">
        <v>21</v>
      </c>
      <c r="D1779" s="0" t="n">
        <v>0</v>
      </c>
      <c r="E1779" s="0" t="s">
        <v>383</v>
      </c>
    </row>
    <row r="1780" customFormat="false" ht="15" hidden="false" customHeight="false" outlineLevel="0" collapsed="false">
      <c r="A1780" s="0" t="s">
        <v>163</v>
      </c>
      <c r="B1780" s="0" t="n">
        <v>2022</v>
      </c>
      <c r="C1780" s="0" t="s">
        <v>35</v>
      </c>
      <c r="D1780" s="0" t="n">
        <v>0</v>
      </c>
      <c r="E1780" s="0" t="s">
        <v>383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814</v>
      </c>
    </row>
    <row r="3" customFormat="false" ht="15" hidden="false" customHeight="false" outlineLevel="0" collapsed="false">
      <c r="A3" s="3" t="s">
        <v>50</v>
      </c>
      <c r="B3" s="3" t="s">
        <v>51</v>
      </c>
      <c r="C3" s="3" t="s">
        <v>241</v>
      </c>
      <c r="D3" s="3" t="s">
        <v>815</v>
      </c>
      <c r="E3" s="3" t="s">
        <v>816</v>
      </c>
      <c r="F3" s="3" t="s">
        <v>817</v>
      </c>
      <c r="G3" s="3" t="s">
        <v>818</v>
      </c>
      <c r="H3" s="3" t="s">
        <v>819</v>
      </c>
      <c r="I3" s="3" t="s">
        <v>820</v>
      </c>
      <c r="J3" s="3" t="s">
        <v>821</v>
      </c>
      <c r="K3" s="3" t="s">
        <v>822</v>
      </c>
    </row>
    <row r="4" customFormat="false" ht="15" hidden="false" customHeight="false" outlineLevel="0" collapsed="false">
      <c r="A4" s="0" t="s">
        <v>116</v>
      </c>
      <c r="B4" s="0" t="n">
        <v>2021</v>
      </c>
      <c r="C4" s="0" t="s">
        <v>65</v>
      </c>
      <c r="D4" s="0" t="n">
        <v>226940</v>
      </c>
      <c r="E4" s="0" t="s">
        <v>823</v>
      </c>
      <c r="F4" s="0" t="n">
        <v>228300</v>
      </c>
      <c r="G4" s="0" t="s">
        <v>824</v>
      </c>
      <c r="H4" s="0" t="s">
        <v>825</v>
      </c>
      <c r="I4" s="0" t="s">
        <v>826</v>
      </c>
      <c r="J4" s="0" t="s">
        <v>827</v>
      </c>
      <c r="K4" s="0" t="s">
        <v>828</v>
      </c>
    </row>
    <row r="5" customFormat="false" ht="15" hidden="false" customHeight="false" outlineLevel="0" collapsed="false">
      <c r="A5" s="0" t="s">
        <v>163</v>
      </c>
      <c r="B5" s="0" t="n">
        <v>2017</v>
      </c>
      <c r="C5" s="0" t="s">
        <v>829</v>
      </c>
      <c r="D5" s="0" t="s">
        <v>830</v>
      </c>
      <c r="E5" s="0" t="s">
        <v>831</v>
      </c>
      <c r="F5" s="0" t="s">
        <v>832</v>
      </c>
      <c r="G5" s="0" t="s">
        <v>833</v>
      </c>
      <c r="H5" s="0" t="s">
        <v>834</v>
      </c>
      <c r="I5" s="0" t="s">
        <v>835</v>
      </c>
      <c r="J5" s="0" t="s">
        <v>827</v>
      </c>
      <c r="K5" s="0" t="s">
        <v>832</v>
      </c>
    </row>
    <row r="6" customFormat="false" ht="15" hidden="false" customHeight="false" outlineLevel="0" collapsed="false">
      <c r="A6" s="0" t="s">
        <v>109</v>
      </c>
      <c r="B6" s="0" t="n">
        <v>2018</v>
      </c>
      <c r="C6" s="0" t="s">
        <v>836</v>
      </c>
      <c r="D6" s="0" t="s">
        <v>837</v>
      </c>
      <c r="E6" s="0" t="s">
        <v>838</v>
      </c>
      <c r="F6" s="0" t="s">
        <v>839</v>
      </c>
      <c r="G6" s="0" t="s">
        <v>840</v>
      </c>
      <c r="H6" s="0" t="s">
        <v>834</v>
      </c>
      <c r="I6" s="0" t="s">
        <v>841</v>
      </c>
      <c r="J6" s="0" t="s">
        <v>827</v>
      </c>
      <c r="K6" s="0" t="s">
        <v>842</v>
      </c>
    </row>
    <row r="7" customFormat="false" ht="15" hidden="false" customHeight="false" outlineLevel="0" collapsed="false">
      <c r="A7" s="0" t="s">
        <v>109</v>
      </c>
      <c r="B7" s="0" t="n">
        <v>2017</v>
      </c>
      <c r="C7" s="0" t="s">
        <v>843</v>
      </c>
      <c r="D7" s="0" t="s">
        <v>844</v>
      </c>
      <c r="E7" s="0" t="s">
        <v>845</v>
      </c>
      <c r="F7" s="0" t="s">
        <v>846</v>
      </c>
      <c r="G7" s="0" t="s">
        <v>831</v>
      </c>
      <c r="H7" s="0" t="s">
        <v>847</v>
      </c>
      <c r="I7" s="0" t="s">
        <v>848</v>
      </c>
      <c r="J7" s="0" t="s">
        <v>849</v>
      </c>
      <c r="K7" s="0" t="s">
        <v>850</v>
      </c>
    </row>
    <row r="8" customFormat="false" ht="15" hidden="false" customHeight="false" outlineLevel="0" collapsed="false">
      <c r="A8" s="0" t="s">
        <v>138</v>
      </c>
      <c r="B8" s="0" t="n">
        <v>2015</v>
      </c>
      <c r="C8" s="0" t="s">
        <v>843</v>
      </c>
      <c r="D8" s="0" t="s">
        <v>851</v>
      </c>
      <c r="E8" s="0" t="s">
        <v>852</v>
      </c>
      <c r="F8" s="0" t="s">
        <v>853</v>
      </c>
      <c r="G8" s="0" t="s">
        <v>854</v>
      </c>
      <c r="H8" s="0" t="s">
        <v>847</v>
      </c>
      <c r="I8" s="0" t="s">
        <v>855</v>
      </c>
      <c r="J8" s="0" t="s">
        <v>856</v>
      </c>
      <c r="K8" s="0" t="s">
        <v>857</v>
      </c>
    </row>
    <row r="9" customFormat="false" ht="15" hidden="false" customHeight="false" outlineLevel="0" collapsed="false">
      <c r="A9" s="0" t="s">
        <v>86</v>
      </c>
      <c r="B9" s="0" t="n">
        <v>2021</v>
      </c>
      <c r="C9" s="0" t="s">
        <v>843</v>
      </c>
      <c r="D9" s="0" t="s">
        <v>858</v>
      </c>
      <c r="E9" s="0" t="s">
        <v>859</v>
      </c>
      <c r="F9" s="0" t="s">
        <v>846</v>
      </c>
      <c r="G9" s="0" t="s">
        <v>823</v>
      </c>
      <c r="H9" s="0" t="s">
        <v>847</v>
      </c>
      <c r="I9" s="0" t="s">
        <v>860</v>
      </c>
      <c r="J9" s="0" t="s">
        <v>856</v>
      </c>
      <c r="K9" s="0" t="s">
        <v>861</v>
      </c>
    </row>
    <row r="10" customFormat="false" ht="15" hidden="false" customHeight="false" outlineLevel="0" collapsed="false">
      <c r="A10" s="0" t="s">
        <v>154</v>
      </c>
      <c r="B10" s="0" t="n">
        <v>2021</v>
      </c>
      <c r="C10" s="0" t="s">
        <v>862</v>
      </c>
      <c r="D10" s="0" t="s">
        <v>824</v>
      </c>
      <c r="E10" s="0" t="s">
        <v>863</v>
      </c>
      <c r="F10" s="0" t="s">
        <v>846</v>
      </c>
      <c r="G10" s="0" t="s">
        <v>823</v>
      </c>
      <c r="H10" s="0" t="s">
        <v>864</v>
      </c>
      <c r="I10" s="0" t="s">
        <v>865</v>
      </c>
      <c r="J10" s="0" t="s">
        <v>856</v>
      </c>
      <c r="K10" s="0" t="s">
        <v>861</v>
      </c>
    </row>
    <row r="11" customFormat="false" ht="15" hidden="false" customHeight="false" outlineLevel="0" collapsed="false">
      <c r="A11" s="0" t="s">
        <v>154</v>
      </c>
      <c r="B11" s="0" t="n">
        <v>2022</v>
      </c>
      <c r="C11" s="0" t="s">
        <v>63</v>
      </c>
      <c r="D11" s="0" t="n">
        <v>4762.274</v>
      </c>
      <c r="E11" s="0" t="s">
        <v>866</v>
      </c>
      <c r="F11" s="0" t="n">
        <v>4808.387</v>
      </c>
      <c r="G11" s="0" t="s">
        <v>867</v>
      </c>
      <c r="H11" s="0" t="s">
        <v>868</v>
      </c>
      <c r="I11" s="0" t="s">
        <v>869</v>
      </c>
      <c r="J11" s="0" t="s">
        <v>870</v>
      </c>
      <c r="K11" s="0" t="s">
        <v>871</v>
      </c>
    </row>
    <row r="12" customFormat="false" ht="15" hidden="false" customHeight="false" outlineLevel="0" collapsed="false">
      <c r="A12" s="0" t="s">
        <v>154</v>
      </c>
      <c r="B12" s="0" t="n">
        <v>2021</v>
      </c>
      <c r="C12" s="0" t="s">
        <v>63</v>
      </c>
      <c r="D12" s="0" t="n">
        <v>2104.393</v>
      </c>
      <c r="E12" s="0" t="s">
        <v>824</v>
      </c>
      <c r="F12" s="0" t="s">
        <v>872</v>
      </c>
      <c r="H12" s="0" t="s">
        <v>873</v>
      </c>
      <c r="I12" s="0" t="s">
        <v>874</v>
      </c>
      <c r="J12" s="0" t="s">
        <v>875</v>
      </c>
      <c r="K12" s="0" t="s">
        <v>876</v>
      </c>
    </row>
    <row r="13" customFormat="false" ht="15" hidden="false" customHeight="false" outlineLevel="0" collapsed="false">
      <c r="A13" s="0" t="s">
        <v>116</v>
      </c>
      <c r="B13" s="0" t="n">
        <v>2020</v>
      </c>
      <c r="C13" s="0" t="s">
        <v>65</v>
      </c>
      <c r="D13" s="0" t="s">
        <v>877</v>
      </c>
      <c r="E13" s="0" t="s">
        <v>878</v>
      </c>
      <c r="F13" s="0" t="s">
        <v>879</v>
      </c>
      <c r="G13" s="0" t="s">
        <v>880</v>
      </c>
      <c r="H13" s="0" t="s">
        <v>881</v>
      </c>
      <c r="I13" s="0" t="s">
        <v>882</v>
      </c>
      <c r="J13" s="0" t="s">
        <v>883</v>
      </c>
      <c r="K13" s="0" t="s">
        <v>884</v>
      </c>
    </row>
    <row r="14" customFormat="false" ht="15" hidden="false" customHeight="false" outlineLevel="0" collapsed="false">
      <c r="A14" s="0" t="s">
        <v>116</v>
      </c>
      <c r="B14" s="0" t="n">
        <v>2020</v>
      </c>
      <c r="C14" s="0" t="s">
        <v>595</v>
      </c>
      <c r="D14" s="0" t="s">
        <v>885</v>
      </c>
      <c r="E14" s="0" t="s">
        <v>878</v>
      </c>
      <c r="F14" s="0" t="s">
        <v>886</v>
      </c>
      <c r="G14" s="0" t="s">
        <v>880</v>
      </c>
      <c r="H14" s="0" t="s">
        <v>881</v>
      </c>
      <c r="I14" s="0" t="s">
        <v>887</v>
      </c>
      <c r="J14" s="0" t="s">
        <v>888</v>
      </c>
      <c r="K14" s="0" t="s">
        <v>889</v>
      </c>
    </row>
    <row r="15" customFormat="false" ht="15" hidden="false" customHeight="false" outlineLevel="0" collapsed="false">
      <c r="A15" s="0" t="s">
        <v>154</v>
      </c>
      <c r="B15" s="0" t="n">
        <v>2021</v>
      </c>
      <c r="C15" s="0" t="s">
        <v>69</v>
      </c>
      <c r="D15" s="0" t="n">
        <v>11.71</v>
      </c>
      <c r="E15" s="0" t="s">
        <v>824</v>
      </c>
      <c r="F15" s="0" t="s">
        <v>890</v>
      </c>
      <c r="G15" s="0" t="s">
        <v>880</v>
      </c>
      <c r="H15" s="0" t="s">
        <v>881</v>
      </c>
      <c r="I15" s="0" t="s">
        <v>891</v>
      </c>
      <c r="J15" s="0" t="s">
        <v>892</v>
      </c>
      <c r="K15" s="0" t="n">
        <v>11.56</v>
      </c>
    </row>
    <row r="16" customFormat="false" ht="15" hidden="false" customHeight="false" outlineLevel="0" collapsed="false">
      <c r="A16" s="0" t="s">
        <v>86</v>
      </c>
      <c r="B16" s="0" t="n">
        <v>2016</v>
      </c>
      <c r="C16" s="0" t="s">
        <v>69</v>
      </c>
      <c r="D16" s="0" t="n">
        <v>17.22</v>
      </c>
      <c r="E16" s="0" t="s">
        <v>893</v>
      </c>
      <c r="F16" s="0" t="s">
        <v>894</v>
      </c>
      <c r="G16" s="0" t="s">
        <v>880</v>
      </c>
      <c r="H16" s="0" t="s">
        <v>881</v>
      </c>
      <c r="I16" s="0" t="s">
        <v>895</v>
      </c>
      <c r="J16" s="0" t="s">
        <v>892</v>
      </c>
      <c r="K16" s="0" t="n">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896</v>
      </c>
    </row>
    <row r="3" customFormat="false" ht="15" hidden="false" customHeight="false" outlineLevel="0" collapsed="false">
      <c r="A3" s="3" t="s">
        <v>380</v>
      </c>
      <c r="B3" s="3" t="s">
        <v>897</v>
      </c>
      <c r="C3" s="3" t="s">
        <v>898</v>
      </c>
      <c r="D3" s="3" t="s">
        <v>899</v>
      </c>
      <c r="E3" s="3" t="s">
        <v>900</v>
      </c>
      <c r="F3" s="3" t="s">
        <v>901</v>
      </c>
      <c r="G3" s="3" t="s">
        <v>902</v>
      </c>
      <c r="H3" s="3" t="s">
        <v>903</v>
      </c>
      <c r="I3" s="3" t="s">
        <v>904</v>
      </c>
      <c r="J3" s="3" t="s">
        <v>905</v>
      </c>
    </row>
    <row r="4" customFormat="false" ht="15" hidden="false" customHeight="false" outlineLevel="0" collapsed="false">
      <c r="A4" s="0" t="s">
        <v>906</v>
      </c>
      <c r="B4" s="0" t="s">
        <v>116</v>
      </c>
      <c r="C4" s="0" t="n">
        <v>2020</v>
      </c>
      <c r="D4" s="0" t="s">
        <v>65</v>
      </c>
      <c r="E4" s="0" t="n">
        <v>176542</v>
      </c>
      <c r="F4" s="0" t="n">
        <v>176542</v>
      </c>
      <c r="G4" s="0" t="n">
        <v>144</v>
      </c>
      <c r="H4" s="0" t="n">
        <v>113</v>
      </c>
      <c r="I4" s="0" t="s">
        <v>907</v>
      </c>
      <c r="J4" s="0" t="s">
        <v>908</v>
      </c>
    </row>
    <row r="5" customFormat="false" ht="15" hidden="false" customHeight="false" outlineLevel="0" collapsed="false">
      <c r="A5" s="0" t="s">
        <v>909</v>
      </c>
      <c r="B5" s="0" t="s">
        <v>116</v>
      </c>
      <c r="C5" s="0" t="n">
        <v>2020</v>
      </c>
      <c r="D5" s="0" t="s">
        <v>595</v>
      </c>
      <c r="E5" s="0" t="n">
        <v>182720</v>
      </c>
      <c r="F5" s="0" t="n">
        <v>182720</v>
      </c>
      <c r="G5" s="0" t="n">
        <v>144</v>
      </c>
      <c r="H5" s="0" t="n">
        <v>113</v>
      </c>
      <c r="I5" s="0" t="s">
        <v>907</v>
      </c>
      <c r="J5" s="0" t="s">
        <v>910</v>
      </c>
    </row>
    <row r="6" customFormat="false" ht="15" hidden="false" customHeight="false" outlineLevel="0" collapsed="false">
      <c r="A6" s="0" t="s">
        <v>911</v>
      </c>
      <c r="B6" s="0" t="s">
        <v>116</v>
      </c>
      <c r="C6" s="0" t="n">
        <v>2021</v>
      </c>
      <c r="D6" s="0" t="s">
        <v>65</v>
      </c>
      <c r="E6" s="0" t="n">
        <v>228300</v>
      </c>
      <c r="F6" s="0" t="n">
        <v>228300</v>
      </c>
      <c r="G6" s="0" t="n">
        <v>143</v>
      </c>
      <c r="H6" s="0" t="n">
        <v>113</v>
      </c>
      <c r="I6" s="0" t="s">
        <v>912</v>
      </c>
      <c r="J6" s="0" t="s">
        <v>913</v>
      </c>
    </row>
    <row r="7" customFormat="false" ht="15" hidden="false" customHeight="false" outlineLevel="0" collapsed="false">
      <c r="A7" s="0" t="s">
        <v>914</v>
      </c>
      <c r="B7" s="0" t="s">
        <v>154</v>
      </c>
      <c r="C7" s="0" t="n">
        <v>2022</v>
      </c>
      <c r="D7" s="0" t="s">
        <v>63</v>
      </c>
      <c r="E7" s="0" t="n">
        <v>-4808387</v>
      </c>
      <c r="F7" s="0" t="n">
        <v>4808.387</v>
      </c>
      <c r="G7" s="0" t="n">
        <v>114</v>
      </c>
      <c r="H7" s="0" t="n">
        <v>109</v>
      </c>
      <c r="I7" s="0" t="s">
        <v>915</v>
      </c>
      <c r="J7" s="0" t="s">
        <v>916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917</v>
      </c>
    </row>
    <row r="3" customFormat="false" ht="15" hidden="false" customHeight="false" outlineLevel="0" collapsed="false">
      <c r="A3" s="3" t="s">
        <v>50</v>
      </c>
      <c r="B3" s="3" t="s">
        <v>51</v>
      </c>
      <c r="C3" s="3" t="s">
        <v>918</v>
      </c>
      <c r="D3" s="3" t="s">
        <v>919</v>
      </c>
      <c r="E3" s="3" t="s">
        <v>920</v>
      </c>
      <c r="F3" s="3" t="s">
        <v>921</v>
      </c>
      <c r="G3" s="3" t="s">
        <v>922</v>
      </c>
      <c r="H3" s="3" t="s">
        <v>923</v>
      </c>
      <c r="I3" s="3" t="s">
        <v>924</v>
      </c>
      <c r="J3" s="3" t="s">
        <v>925</v>
      </c>
      <c r="K3" s="3" t="s">
        <v>926</v>
      </c>
      <c r="L3" s="3" t="s">
        <v>927</v>
      </c>
      <c r="M3" s="3" t="s">
        <v>928</v>
      </c>
      <c r="N3" s="3" t="s">
        <v>929</v>
      </c>
      <c r="O3" s="3" t="s">
        <v>930</v>
      </c>
      <c r="P3" s="3" t="s">
        <v>931</v>
      </c>
      <c r="Q3" s="3" t="s">
        <v>932</v>
      </c>
      <c r="R3" s="3" t="s">
        <v>933</v>
      </c>
      <c r="S3" s="3" t="s">
        <v>934</v>
      </c>
      <c r="T3" s="3" t="s">
        <v>935</v>
      </c>
      <c r="U3" s="3" t="s">
        <v>936</v>
      </c>
    </row>
    <row r="4" customFormat="false" ht="15" hidden="false" customHeight="false" outlineLevel="0" collapsed="false">
      <c r="A4" s="0" t="s">
        <v>138</v>
      </c>
      <c r="B4" s="0" t="n">
        <v>2016</v>
      </c>
      <c r="C4" s="0" t="s">
        <v>937</v>
      </c>
      <c r="D4" s="0" t="s">
        <v>938</v>
      </c>
      <c r="E4" s="0" t="s">
        <v>939</v>
      </c>
      <c r="F4" s="0" t="s">
        <v>940</v>
      </c>
      <c r="G4" s="0" t="s">
        <v>941</v>
      </c>
      <c r="H4" s="0" t="s">
        <v>942</v>
      </c>
      <c r="I4" s="0" t="s">
        <v>943</v>
      </c>
      <c r="J4" s="0" t="s">
        <v>944</v>
      </c>
      <c r="K4" s="0" t="s">
        <v>945</v>
      </c>
      <c r="L4" s="0" t="n">
        <v>39</v>
      </c>
      <c r="M4" s="0" t="s">
        <v>946</v>
      </c>
      <c r="N4" s="0" t="s">
        <v>947</v>
      </c>
      <c r="O4" s="0" t="s">
        <v>947</v>
      </c>
      <c r="P4" s="0" t="s">
        <v>947</v>
      </c>
      <c r="Q4" s="0" t="s">
        <v>948</v>
      </c>
      <c r="R4" s="0" t="s">
        <v>949</v>
      </c>
      <c r="S4" s="0" t="s">
        <v>950</v>
      </c>
      <c r="T4" s="0" t="n">
        <v>0</v>
      </c>
      <c r="U4" s="0" t="s">
        <v>951</v>
      </c>
    </row>
    <row r="5" customFormat="false" ht="15" hidden="false" customHeight="false" outlineLevel="0" collapsed="false">
      <c r="A5" s="0" t="s">
        <v>116</v>
      </c>
      <c r="B5" s="0" t="n">
        <v>2021</v>
      </c>
      <c r="C5" s="0" t="s">
        <v>952</v>
      </c>
      <c r="D5" s="0" t="s">
        <v>953</v>
      </c>
      <c r="E5" s="0" t="s">
        <v>954</v>
      </c>
      <c r="F5" s="0" t="s">
        <v>955</v>
      </c>
      <c r="G5" s="0" t="s">
        <v>956</v>
      </c>
      <c r="H5" s="0" t="s">
        <v>942</v>
      </c>
      <c r="I5" s="0" t="s">
        <v>943</v>
      </c>
      <c r="J5" s="0" t="s">
        <v>944</v>
      </c>
      <c r="K5" s="0" t="s">
        <v>957</v>
      </c>
      <c r="L5" s="0" t="n">
        <v>31</v>
      </c>
      <c r="M5" s="0" t="s">
        <v>958</v>
      </c>
      <c r="N5" s="0" t="s">
        <v>947</v>
      </c>
      <c r="O5" s="0" t="s">
        <v>947</v>
      </c>
      <c r="P5" s="0" t="s">
        <v>947</v>
      </c>
      <c r="Q5" s="0" t="s">
        <v>948</v>
      </c>
      <c r="R5" s="0" t="s">
        <v>959</v>
      </c>
      <c r="S5" s="0" t="s">
        <v>960</v>
      </c>
      <c r="T5" s="0" t="n">
        <v>0</v>
      </c>
      <c r="U5" s="0" t="s">
        <v>951</v>
      </c>
    </row>
    <row r="6" customFormat="false" ht="15" hidden="false" customHeight="false" outlineLevel="0" collapsed="false">
      <c r="A6" s="0" t="s">
        <v>116</v>
      </c>
      <c r="B6" s="0" t="n">
        <v>2022</v>
      </c>
      <c r="C6" s="0" t="s">
        <v>961</v>
      </c>
      <c r="D6" s="0" t="s">
        <v>962</v>
      </c>
      <c r="E6" s="0" t="s">
        <v>954</v>
      </c>
      <c r="F6" s="0" t="s">
        <v>955</v>
      </c>
      <c r="G6" s="0" t="s">
        <v>963</v>
      </c>
      <c r="H6" s="0" t="s">
        <v>942</v>
      </c>
      <c r="I6" s="0" t="s">
        <v>943</v>
      </c>
      <c r="J6" s="0" t="s">
        <v>944</v>
      </c>
      <c r="K6" s="0" t="s">
        <v>964</v>
      </c>
      <c r="L6" s="0" t="n">
        <v>30</v>
      </c>
      <c r="M6" s="0" t="s">
        <v>946</v>
      </c>
      <c r="N6" s="0" t="s">
        <v>947</v>
      </c>
      <c r="O6" s="0" t="s">
        <v>947</v>
      </c>
      <c r="P6" s="0" t="s">
        <v>947</v>
      </c>
      <c r="Q6" s="0" t="s">
        <v>948</v>
      </c>
      <c r="R6" s="0" t="s">
        <v>965</v>
      </c>
      <c r="S6" s="0" t="s">
        <v>960</v>
      </c>
      <c r="T6" s="0" t="n">
        <v>0</v>
      </c>
      <c r="U6" s="0" t="s">
        <v>951</v>
      </c>
    </row>
    <row r="7" customFormat="false" ht="15" hidden="false" customHeight="false" outlineLevel="0" collapsed="false">
      <c r="A7" s="0" t="s">
        <v>138</v>
      </c>
      <c r="B7" s="0" t="n">
        <v>2018</v>
      </c>
      <c r="C7" s="0" t="s">
        <v>966</v>
      </c>
      <c r="D7" s="0" t="s">
        <v>967</v>
      </c>
      <c r="E7" s="0" t="s">
        <v>939</v>
      </c>
      <c r="F7" s="0" t="s">
        <v>940</v>
      </c>
      <c r="G7" s="0" t="s">
        <v>968</v>
      </c>
      <c r="H7" s="0" t="s">
        <v>942</v>
      </c>
      <c r="I7" s="0" t="s">
        <v>943</v>
      </c>
      <c r="J7" s="0" t="s">
        <v>944</v>
      </c>
      <c r="K7" s="0" t="s">
        <v>969</v>
      </c>
      <c r="L7" s="0" t="s">
        <v>970</v>
      </c>
      <c r="M7" s="0" t="s">
        <v>971</v>
      </c>
      <c r="N7" s="0" t="s">
        <v>947</v>
      </c>
      <c r="O7" s="0" t="s">
        <v>947</v>
      </c>
      <c r="P7" s="0" t="s">
        <v>947</v>
      </c>
      <c r="Q7" s="0" t="s">
        <v>948</v>
      </c>
      <c r="R7" s="0" t="s">
        <v>972</v>
      </c>
      <c r="S7" s="0" t="s">
        <v>973</v>
      </c>
      <c r="T7" s="0" t="n">
        <v>0</v>
      </c>
      <c r="U7" s="0" t="s">
        <v>951</v>
      </c>
    </row>
    <row r="8" customFormat="false" ht="15" hidden="false" customHeight="false" outlineLevel="0" collapsed="false">
      <c r="A8" s="0" t="s">
        <v>138</v>
      </c>
      <c r="B8" s="0" t="n">
        <v>2020</v>
      </c>
      <c r="C8" s="0" t="s">
        <v>974</v>
      </c>
      <c r="D8" s="0" t="s">
        <v>975</v>
      </c>
      <c r="E8" s="0" t="s">
        <v>976</v>
      </c>
      <c r="F8" s="0" t="s">
        <v>977</v>
      </c>
      <c r="G8" s="0" t="s">
        <v>978</v>
      </c>
      <c r="H8" s="0" t="s">
        <v>942</v>
      </c>
      <c r="I8" s="0" t="s">
        <v>943</v>
      </c>
      <c r="J8" s="0" t="s">
        <v>944</v>
      </c>
      <c r="K8" s="0" t="s">
        <v>979</v>
      </c>
      <c r="L8" s="0" t="n">
        <v>51</v>
      </c>
      <c r="M8" s="0" t="s">
        <v>958</v>
      </c>
      <c r="N8" s="0" t="s">
        <v>947</v>
      </c>
      <c r="O8" s="0" t="s">
        <v>947</v>
      </c>
      <c r="P8" s="0" t="s">
        <v>980</v>
      </c>
      <c r="Q8" s="0" t="s">
        <v>948</v>
      </c>
      <c r="R8" s="0" t="s">
        <v>972</v>
      </c>
      <c r="S8" s="0" t="s">
        <v>973</v>
      </c>
      <c r="T8" s="0" t="n">
        <v>0</v>
      </c>
      <c r="U8" s="0" t="s">
        <v>951</v>
      </c>
    </row>
    <row r="9" customFormat="false" ht="15" hidden="false" customHeight="false" outlineLevel="0" collapsed="false">
      <c r="A9" s="0" t="s">
        <v>138</v>
      </c>
      <c r="B9" s="0" t="n">
        <v>2022</v>
      </c>
      <c r="C9" s="0" t="s">
        <v>981</v>
      </c>
      <c r="D9" s="0" t="s">
        <v>982</v>
      </c>
      <c r="E9" s="0" t="s">
        <v>976</v>
      </c>
      <c r="F9" s="0" t="s">
        <v>983</v>
      </c>
      <c r="G9" s="0" t="s">
        <v>984</v>
      </c>
      <c r="H9" s="0" t="s">
        <v>942</v>
      </c>
      <c r="I9" s="0" t="s">
        <v>943</v>
      </c>
      <c r="J9" s="0" t="s">
        <v>944</v>
      </c>
      <c r="K9" s="0" t="s">
        <v>985</v>
      </c>
      <c r="L9" s="0" t="n">
        <v>57</v>
      </c>
      <c r="M9" s="0" t="s">
        <v>958</v>
      </c>
      <c r="N9" s="0" t="s">
        <v>947</v>
      </c>
      <c r="O9" s="0" t="s">
        <v>947</v>
      </c>
      <c r="P9" s="0" t="s">
        <v>947</v>
      </c>
      <c r="Q9" s="0" t="s">
        <v>948</v>
      </c>
      <c r="R9" s="0" t="s">
        <v>972</v>
      </c>
      <c r="S9" s="0" t="s">
        <v>973</v>
      </c>
      <c r="T9" s="0" t="n">
        <v>0</v>
      </c>
      <c r="U9" s="0" t="s">
        <v>951</v>
      </c>
    </row>
    <row r="10" customFormat="false" ht="15" hidden="false" customHeight="false" outlineLevel="0" collapsed="false">
      <c r="A10" s="0" t="s">
        <v>154</v>
      </c>
      <c r="B10" s="0" t="n">
        <v>2016</v>
      </c>
      <c r="C10" s="0" t="s">
        <v>986</v>
      </c>
      <c r="D10" s="0" t="s">
        <v>987</v>
      </c>
      <c r="E10" s="0" t="s">
        <v>988</v>
      </c>
      <c r="G10" s="0" t="s">
        <v>989</v>
      </c>
      <c r="H10" s="0" t="s">
        <v>942</v>
      </c>
      <c r="I10" s="0" t="s">
        <v>943</v>
      </c>
      <c r="J10" s="0" t="s">
        <v>944</v>
      </c>
      <c r="K10" s="0" t="s">
        <v>990</v>
      </c>
      <c r="L10" s="0" t="n">
        <v>62</v>
      </c>
      <c r="M10" s="0" t="s">
        <v>958</v>
      </c>
      <c r="N10" s="0" t="s">
        <v>947</v>
      </c>
      <c r="O10" s="0" t="s">
        <v>947</v>
      </c>
      <c r="P10" s="0" t="s">
        <v>947</v>
      </c>
      <c r="Q10" s="0" t="s">
        <v>948</v>
      </c>
      <c r="R10" s="0" t="s">
        <v>991</v>
      </c>
      <c r="S10" s="0" t="s">
        <v>973</v>
      </c>
      <c r="T10" s="0" t="n">
        <v>0</v>
      </c>
      <c r="U10" s="0" t="s">
        <v>951</v>
      </c>
    </row>
    <row r="11" customFormat="false" ht="15" hidden="false" customHeight="false" outlineLevel="0" collapsed="false">
      <c r="A11" s="0" t="s">
        <v>154</v>
      </c>
      <c r="B11" s="0" t="n">
        <v>2020</v>
      </c>
      <c r="C11" s="0" t="s">
        <v>992</v>
      </c>
      <c r="D11" s="0" t="s">
        <v>993</v>
      </c>
      <c r="E11" s="0" t="s">
        <v>994</v>
      </c>
      <c r="F11" s="0" t="s">
        <v>995</v>
      </c>
      <c r="G11" s="0" t="s">
        <v>996</v>
      </c>
      <c r="H11" s="0" t="s">
        <v>942</v>
      </c>
      <c r="I11" s="0" t="s">
        <v>943</v>
      </c>
      <c r="J11" s="0" t="s">
        <v>944</v>
      </c>
      <c r="K11" s="0" t="s">
        <v>997</v>
      </c>
      <c r="L11" s="0" t="n">
        <v>31</v>
      </c>
      <c r="M11" s="0" t="s">
        <v>958</v>
      </c>
      <c r="N11" s="0" t="s">
        <v>947</v>
      </c>
      <c r="O11" s="0" t="s">
        <v>947</v>
      </c>
      <c r="P11" s="0" t="s">
        <v>947</v>
      </c>
      <c r="Q11" s="0" t="s">
        <v>948</v>
      </c>
      <c r="R11" s="0" t="s">
        <v>998</v>
      </c>
      <c r="S11" s="0" t="s">
        <v>973</v>
      </c>
      <c r="T11" s="0" t="n">
        <v>0</v>
      </c>
      <c r="U11" s="0" t="s">
        <v>951</v>
      </c>
    </row>
    <row r="12" customFormat="false" ht="15" hidden="false" customHeight="false" outlineLevel="0" collapsed="false">
      <c r="A12" s="0" t="s">
        <v>154</v>
      </c>
      <c r="B12" s="0" t="n">
        <v>2022</v>
      </c>
      <c r="C12" s="0" t="s">
        <v>999</v>
      </c>
      <c r="D12" s="0" t="s">
        <v>1000</v>
      </c>
      <c r="E12" s="0" t="s">
        <v>939</v>
      </c>
      <c r="G12" s="0" t="s">
        <v>1001</v>
      </c>
      <c r="H12" s="0" t="s">
        <v>942</v>
      </c>
      <c r="I12" s="0" t="s">
        <v>943</v>
      </c>
      <c r="J12" s="0" t="s">
        <v>944</v>
      </c>
      <c r="K12" s="0" t="s">
        <v>1002</v>
      </c>
      <c r="L12" s="0" t="n">
        <v>112</v>
      </c>
      <c r="M12" s="0" t="s">
        <v>958</v>
      </c>
      <c r="N12" s="0" t="s">
        <v>947</v>
      </c>
      <c r="O12" s="0" t="s">
        <v>947</v>
      </c>
      <c r="P12" s="0" t="s">
        <v>947</v>
      </c>
      <c r="Q12" s="0" t="s">
        <v>948</v>
      </c>
      <c r="R12" s="0" t="s">
        <v>972</v>
      </c>
      <c r="S12" s="0" t="s">
        <v>973</v>
      </c>
      <c r="T12" s="0" t="n">
        <v>0</v>
      </c>
      <c r="U12" s="0" t="s">
        <v>951</v>
      </c>
    </row>
    <row r="13" customFormat="false" ht="15" hidden="false" customHeight="false" outlineLevel="0" collapsed="false">
      <c r="A13" s="0" t="s">
        <v>86</v>
      </c>
      <c r="B13" s="0" t="n">
        <v>2019</v>
      </c>
      <c r="C13" s="0" t="s">
        <v>1003</v>
      </c>
      <c r="D13" s="0" t="s">
        <v>1004</v>
      </c>
      <c r="E13" s="0" t="s">
        <v>976</v>
      </c>
      <c r="G13" s="0" t="s">
        <v>1005</v>
      </c>
      <c r="H13" s="0" t="s">
        <v>1006</v>
      </c>
      <c r="I13" s="0" t="s">
        <v>1007</v>
      </c>
      <c r="J13" s="0" t="s">
        <v>1008</v>
      </c>
      <c r="K13" s="0" t="s">
        <v>1009</v>
      </c>
      <c r="L13" s="0" t="n">
        <v>59</v>
      </c>
      <c r="M13" s="0" t="s">
        <v>958</v>
      </c>
      <c r="N13" s="0" t="s">
        <v>947</v>
      </c>
      <c r="O13" s="0" t="s">
        <v>947</v>
      </c>
      <c r="P13" s="0" t="s">
        <v>947</v>
      </c>
      <c r="Q13" s="0" t="s">
        <v>948</v>
      </c>
      <c r="R13" s="0" t="s">
        <v>1010</v>
      </c>
      <c r="S13" s="0" t="s">
        <v>973</v>
      </c>
      <c r="T13" s="0" t="n">
        <v>0</v>
      </c>
      <c r="U13" s="0" t="s">
        <v>951</v>
      </c>
    </row>
    <row r="14" customFormat="false" ht="15" hidden="false" customHeight="false" outlineLevel="0" collapsed="false">
      <c r="A14" s="0" t="s">
        <v>86</v>
      </c>
      <c r="B14" s="0" t="n">
        <v>2022</v>
      </c>
      <c r="C14" s="0" t="s">
        <v>1011</v>
      </c>
      <c r="D14" s="0" t="s">
        <v>1012</v>
      </c>
      <c r="E14" s="0" t="s">
        <v>994</v>
      </c>
      <c r="F14" s="0" t="s">
        <v>1013</v>
      </c>
      <c r="G14" s="0" t="s">
        <v>1014</v>
      </c>
      <c r="H14" s="0" t="s">
        <v>942</v>
      </c>
      <c r="I14" s="0" t="s">
        <v>1007</v>
      </c>
      <c r="J14" s="0" t="s">
        <v>1008</v>
      </c>
      <c r="K14" s="0" t="s">
        <v>1015</v>
      </c>
      <c r="L14" s="0" t="s">
        <v>1016</v>
      </c>
      <c r="M14" s="0" t="s">
        <v>1017</v>
      </c>
      <c r="N14" s="0" t="s">
        <v>947</v>
      </c>
      <c r="O14" s="0" t="s">
        <v>947</v>
      </c>
      <c r="P14" s="0" t="s">
        <v>947</v>
      </c>
      <c r="Q14" s="0" t="s">
        <v>948</v>
      </c>
      <c r="R14" s="0" t="s">
        <v>972</v>
      </c>
      <c r="S14" s="0" t="s">
        <v>973</v>
      </c>
      <c r="T14" s="0" t="n">
        <v>0</v>
      </c>
      <c r="U14" s="0" t="s">
        <v>951</v>
      </c>
    </row>
    <row r="15" customFormat="false" ht="15" hidden="false" customHeight="false" outlineLevel="0" collapsed="false">
      <c r="A15" s="0" t="s">
        <v>126</v>
      </c>
      <c r="B15" s="0" t="n">
        <v>2014</v>
      </c>
      <c r="C15" s="0" t="s">
        <v>1018</v>
      </c>
      <c r="D15" s="0" t="s">
        <v>1019</v>
      </c>
      <c r="E15" s="0" t="s">
        <v>976</v>
      </c>
      <c r="G15" s="0" t="s">
        <v>1020</v>
      </c>
      <c r="H15" s="0" t="s">
        <v>1006</v>
      </c>
      <c r="I15" s="0" t="s">
        <v>1021</v>
      </c>
      <c r="J15" s="0" t="s">
        <v>1008</v>
      </c>
      <c r="K15" s="0" t="s">
        <v>1022</v>
      </c>
      <c r="L15" s="0" t="n">
        <v>54</v>
      </c>
      <c r="M15" s="0" t="s">
        <v>958</v>
      </c>
      <c r="N15" s="0" t="s">
        <v>947</v>
      </c>
      <c r="O15" s="0" t="s">
        <v>947</v>
      </c>
      <c r="P15" s="0" t="s">
        <v>947</v>
      </c>
      <c r="Q15" s="0" t="s">
        <v>1023</v>
      </c>
      <c r="R15" s="0" t="s">
        <v>1024</v>
      </c>
      <c r="S15" s="0" t="s">
        <v>973</v>
      </c>
      <c r="T15" s="0" t="n">
        <v>0</v>
      </c>
      <c r="U15" s="0" t="s">
        <v>951</v>
      </c>
    </row>
    <row r="16" customFormat="false" ht="15" hidden="false" customHeight="false" outlineLevel="0" collapsed="false">
      <c r="A16" s="0" t="s">
        <v>126</v>
      </c>
      <c r="B16" s="0" t="n">
        <v>2019</v>
      </c>
      <c r="C16" s="0" t="s">
        <v>1025</v>
      </c>
      <c r="D16" s="0" t="s">
        <v>1026</v>
      </c>
      <c r="E16" s="0" t="s">
        <v>976</v>
      </c>
      <c r="F16" s="0" t="s">
        <v>1027</v>
      </c>
      <c r="G16" s="0" t="s">
        <v>1028</v>
      </c>
      <c r="H16" s="0" t="s">
        <v>1006</v>
      </c>
      <c r="I16" s="0" t="s">
        <v>943</v>
      </c>
      <c r="J16" s="0" t="s">
        <v>944</v>
      </c>
      <c r="K16" s="0" t="s">
        <v>957</v>
      </c>
      <c r="L16" s="0" t="n">
        <v>31</v>
      </c>
      <c r="M16" s="0" t="s">
        <v>946</v>
      </c>
      <c r="N16" s="0" t="s">
        <v>947</v>
      </c>
      <c r="O16" s="0" t="s">
        <v>947</v>
      </c>
      <c r="P16" s="0" t="s">
        <v>947</v>
      </c>
      <c r="Q16" s="0" t="s">
        <v>948</v>
      </c>
      <c r="R16" s="0" t="s">
        <v>1029</v>
      </c>
      <c r="S16" s="0" t="s">
        <v>973</v>
      </c>
      <c r="T16" s="0" t="n">
        <v>0</v>
      </c>
      <c r="U16" s="0" t="s">
        <v>951</v>
      </c>
    </row>
    <row r="17" customFormat="false" ht="15" hidden="false" customHeight="false" outlineLevel="0" collapsed="false">
      <c r="A17" s="0" t="s">
        <v>109</v>
      </c>
      <c r="B17" s="0" t="n">
        <v>2018</v>
      </c>
      <c r="C17" s="0" t="s">
        <v>1030</v>
      </c>
      <c r="D17" s="0" t="s">
        <v>1031</v>
      </c>
      <c r="E17" s="0" t="s">
        <v>954</v>
      </c>
      <c r="F17" s="0" t="s">
        <v>1032</v>
      </c>
      <c r="G17" s="0" t="s">
        <v>1033</v>
      </c>
      <c r="H17" s="0" t="s">
        <v>942</v>
      </c>
      <c r="I17" s="0" t="s">
        <v>943</v>
      </c>
      <c r="J17" s="0" t="s">
        <v>944</v>
      </c>
      <c r="K17" s="0" t="s">
        <v>1034</v>
      </c>
      <c r="L17" s="0" t="n">
        <v>80</v>
      </c>
      <c r="M17" s="0" t="s">
        <v>958</v>
      </c>
      <c r="N17" s="0" t="s">
        <v>947</v>
      </c>
      <c r="O17" s="0" t="s">
        <v>947</v>
      </c>
      <c r="P17" s="0" t="s">
        <v>947</v>
      </c>
      <c r="Q17" s="0" t="s">
        <v>948</v>
      </c>
      <c r="R17" s="0" t="s">
        <v>972</v>
      </c>
      <c r="S17" s="0" t="s">
        <v>973</v>
      </c>
      <c r="T17" s="0" t="n">
        <v>0</v>
      </c>
      <c r="U17" s="0" t="s">
        <v>951</v>
      </c>
    </row>
    <row r="18" customFormat="false" ht="15" hidden="false" customHeight="false" outlineLevel="0" collapsed="false">
      <c r="A18" s="0" t="s">
        <v>109</v>
      </c>
      <c r="B18" s="0" t="n">
        <v>2019</v>
      </c>
      <c r="C18" s="0" t="s">
        <v>1035</v>
      </c>
      <c r="D18" s="0" t="s">
        <v>1036</v>
      </c>
      <c r="E18" s="0" t="s">
        <v>954</v>
      </c>
      <c r="F18" s="0" t="s">
        <v>1032</v>
      </c>
      <c r="G18" s="0" t="s">
        <v>1037</v>
      </c>
      <c r="H18" s="0" t="s">
        <v>942</v>
      </c>
      <c r="I18" s="0" t="s">
        <v>943</v>
      </c>
      <c r="J18" s="0" t="s">
        <v>944</v>
      </c>
      <c r="K18" s="0" t="s">
        <v>1038</v>
      </c>
      <c r="L18" s="0" t="n">
        <v>77</v>
      </c>
      <c r="M18" s="0" t="s">
        <v>958</v>
      </c>
      <c r="N18" s="0" t="s">
        <v>947</v>
      </c>
      <c r="O18" s="0" t="s">
        <v>947</v>
      </c>
      <c r="P18" s="0" t="s">
        <v>947</v>
      </c>
      <c r="Q18" s="0" t="s">
        <v>948</v>
      </c>
      <c r="R18" s="0" t="s">
        <v>972</v>
      </c>
      <c r="S18" s="0" t="s">
        <v>973</v>
      </c>
      <c r="T18" s="0" t="n">
        <v>0</v>
      </c>
      <c r="U18" s="0" t="s">
        <v>951</v>
      </c>
    </row>
    <row r="19" customFormat="false" ht="15" hidden="false" customHeight="false" outlineLevel="0" collapsed="false">
      <c r="A19" s="0" t="s">
        <v>163</v>
      </c>
      <c r="B19" s="0" t="n">
        <v>2019</v>
      </c>
      <c r="C19" s="0" t="s">
        <v>1039</v>
      </c>
      <c r="D19" s="0" t="s">
        <v>1040</v>
      </c>
      <c r="E19" s="0" t="s">
        <v>939</v>
      </c>
      <c r="G19" s="0" t="s">
        <v>1041</v>
      </c>
      <c r="H19" s="0" t="s">
        <v>942</v>
      </c>
      <c r="I19" s="0" t="s">
        <v>943</v>
      </c>
      <c r="J19" s="0" t="s">
        <v>944</v>
      </c>
      <c r="K19" s="0" t="s">
        <v>1042</v>
      </c>
      <c r="L19" s="0" t="n">
        <v>80</v>
      </c>
      <c r="M19" s="0" t="s">
        <v>958</v>
      </c>
      <c r="N19" s="0" t="s">
        <v>947</v>
      </c>
      <c r="O19" s="0" t="s">
        <v>947</v>
      </c>
      <c r="P19" s="0" t="s">
        <v>947</v>
      </c>
      <c r="Q19" s="0" t="s">
        <v>948</v>
      </c>
      <c r="R19" s="0" t="s">
        <v>972</v>
      </c>
      <c r="S19" s="0" t="s">
        <v>973</v>
      </c>
      <c r="T19" s="0" t="n">
        <v>0</v>
      </c>
      <c r="U19" s="0" t="s">
        <v>951</v>
      </c>
    </row>
    <row r="20" customFormat="false" ht="15" hidden="false" customHeight="false" outlineLevel="0" collapsed="false">
      <c r="A20" s="0" t="s">
        <v>163</v>
      </c>
      <c r="B20" s="0" t="n">
        <v>2020</v>
      </c>
      <c r="C20" s="0" t="s">
        <v>1043</v>
      </c>
      <c r="D20" s="0" t="s">
        <v>1044</v>
      </c>
      <c r="E20" s="0" t="s">
        <v>954</v>
      </c>
      <c r="F20" s="0" t="s">
        <v>955</v>
      </c>
      <c r="G20" s="0" t="s">
        <v>1045</v>
      </c>
      <c r="H20" s="0" t="s">
        <v>942</v>
      </c>
      <c r="I20" s="0" t="s">
        <v>943</v>
      </c>
      <c r="J20" s="0" t="s">
        <v>944</v>
      </c>
      <c r="K20" s="0" t="s">
        <v>1038</v>
      </c>
      <c r="L20" s="0" t="n">
        <v>77</v>
      </c>
      <c r="M20" s="0" t="s">
        <v>1046</v>
      </c>
      <c r="N20" s="0" t="s">
        <v>947</v>
      </c>
      <c r="O20" s="0" t="s">
        <v>947</v>
      </c>
      <c r="P20" s="0" t="s">
        <v>947</v>
      </c>
      <c r="Q20" s="0" t="s">
        <v>948</v>
      </c>
      <c r="R20" s="0" t="s">
        <v>965</v>
      </c>
      <c r="S20" s="0" t="s">
        <v>973</v>
      </c>
      <c r="T20" s="0" t="n">
        <v>0</v>
      </c>
      <c r="U20" s="0" t="s">
        <v>951</v>
      </c>
    </row>
    <row r="21" customFormat="false" ht="15" hidden="false" customHeight="false" outlineLevel="0" collapsed="false">
      <c r="A21" s="0" t="s">
        <v>152</v>
      </c>
      <c r="B21" s="0" t="n">
        <v>2019</v>
      </c>
      <c r="C21" s="0" t="s">
        <v>1047</v>
      </c>
      <c r="D21" s="0" t="s">
        <v>1048</v>
      </c>
      <c r="E21" s="0" t="s">
        <v>939</v>
      </c>
      <c r="G21" s="0" t="s">
        <v>1049</v>
      </c>
      <c r="H21" s="0" t="s">
        <v>1050</v>
      </c>
      <c r="I21" s="0" t="s">
        <v>1051</v>
      </c>
      <c r="J21" s="0" t="s">
        <v>1008</v>
      </c>
      <c r="K21" s="0" t="s">
        <v>1052</v>
      </c>
      <c r="L21" s="0" t="n">
        <v>22</v>
      </c>
      <c r="M21" s="0" t="s">
        <v>1053</v>
      </c>
      <c r="N21" s="0" t="s">
        <v>1054</v>
      </c>
      <c r="O21" s="0" t="s">
        <v>1055</v>
      </c>
      <c r="P21" s="0" t="s">
        <v>1056</v>
      </c>
      <c r="Q21" s="0" t="s">
        <v>948</v>
      </c>
      <c r="R21" s="0" t="s">
        <v>1057</v>
      </c>
      <c r="S21" s="0" t="s">
        <v>1058</v>
      </c>
      <c r="T21" s="0" t="n">
        <v>1</v>
      </c>
      <c r="U21" s="0" t="s">
        <v>1059</v>
      </c>
    </row>
    <row r="22" customFormat="false" ht="15" hidden="false" customHeight="false" outlineLevel="0" collapsed="false">
      <c r="A22" s="0" t="s">
        <v>86</v>
      </c>
      <c r="B22" s="0" t="n">
        <v>2014</v>
      </c>
      <c r="C22" s="0" t="s">
        <v>1060</v>
      </c>
      <c r="D22" s="0" t="s">
        <v>1061</v>
      </c>
      <c r="E22" s="0" t="s">
        <v>1062</v>
      </c>
      <c r="F22" s="0" t="s">
        <v>1063</v>
      </c>
      <c r="G22" s="0" t="s">
        <v>1064</v>
      </c>
      <c r="H22" s="0" t="s">
        <v>1065</v>
      </c>
      <c r="I22" s="0" t="s">
        <v>1066</v>
      </c>
      <c r="J22" s="0" t="s">
        <v>1008</v>
      </c>
      <c r="K22" s="0" t="s">
        <v>1067</v>
      </c>
      <c r="L22" s="0" t="n">
        <v>93</v>
      </c>
      <c r="M22" s="0" t="s">
        <v>1068</v>
      </c>
      <c r="N22" s="0" t="s">
        <v>947</v>
      </c>
      <c r="O22" s="0" t="s">
        <v>947</v>
      </c>
      <c r="P22" s="0" t="s">
        <v>1069</v>
      </c>
      <c r="Q22" s="0" t="s">
        <v>947</v>
      </c>
      <c r="S22" s="0" t="s">
        <v>1070</v>
      </c>
      <c r="T22" s="0" t="n">
        <v>0</v>
      </c>
      <c r="U22" s="0" t="s">
        <v>951</v>
      </c>
    </row>
    <row r="23" customFormat="false" ht="15" hidden="false" customHeight="false" outlineLevel="0" collapsed="false">
      <c r="A23" s="0" t="s">
        <v>86</v>
      </c>
      <c r="B23" s="0" t="n">
        <v>2015</v>
      </c>
      <c r="C23" s="0" t="s">
        <v>1071</v>
      </c>
      <c r="D23" s="0" t="s">
        <v>1072</v>
      </c>
      <c r="E23" s="0" t="s">
        <v>1073</v>
      </c>
      <c r="F23" s="0" t="s">
        <v>1074</v>
      </c>
      <c r="G23" s="0" t="s">
        <v>1075</v>
      </c>
      <c r="H23" s="0" t="s">
        <v>1076</v>
      </c>
      <c r="I23" s="0" t="s">
        <v>1077</v>
      </c>
      <c r="J23" s="0" t="s">
        <v>1008</v>
      </c>
      <c r="K23" s="0" t="s">
        <v>1078</v>
      </c>
      <c r="L23" s="0" t="n">
        <v>48</v>
      </c>
      <c r="M23" s="0" t="s">
        <v>1068</v>
      </c>
      <c r="N23" s="0" t="s">
        <v>947</v>
      </c>
      <c r="O23" s="0" t="s">
        <v>947</v>
      </c>
      <c r="P23" s="0" t="s">
        <v>1079</v>
      </c>
      <c r="Q23" s="0" t="s">
        <v>1080</v>
      </c>
      <c r="S23" s="0" t="s">
        <v>1081</v>
      </c>
      <c r="T23" s="0" t="n">
        <v>0</v>
      </c>
      <c r="U23" s="0" t="s">
        <v>951</v>
      </c>
    </row>
    <row r="24" customFormat="false" ht="15" hidden="false" customHeight="false" outlineLevel="0" collapsed="false">
      <c r="A24" s="0" t="s">
        <v>86</v>
      </c>
      <c r="B24" s="0" t="n">
        <v>2016</v>
      </c>
      <c r="C24" s="0" t="s">
        <v>1082</v>
      </c>
      <c r="D24" s="0" t="s">
        <v>1083</v>
      </c>
      <c r="E24" s="0" t="s">
        <v>1084</v>
      </c>
      <c r="F24" s="0" t="s">
        <v>1085</v>
      </c>
      <c r="G24" s="0" t="s">
        <v>1086</v>
      </c>
      <c r="H24" s="0" t="s">
        <v>1087</v>
      </c>
      <c r="I24" s="0" t="s">
        <v>1088</v>
      </c>
      <c r="J24" s="0" t="s">
        <v>1008</v>
      </c>
      <c r="K24" s="0" t="s">
        <v>1089</v>
      </c>
      <c r="L24" s="0" t="n">
        <v>24</v>
      </c>
      <c r="M24" s="0" t="s">
        <v>1068</v>
      </c>
      <c r="N24" s="0" t="s">
        <v>947</v>
      </c>
      <c r="O24" s="0" t="s">
        <v>947</v>
      </c>
      <c r="P24" s="0" t="s">
        <v>1090</v>
      </c>
      <c r="Q24" s="0" t="s">
        <v>1054</v>
      </c>
      <c r="R24" s="0" t="s">
        <v>1091</v>
      </c>
      <c r="S24" s="0" t="s">
        <v>1092</v>
      </c>
      <c r="T24" s="0" t="n">
        <v>0</v>
      </c>
      <c r="U24" s="0" t="s">
        <v>951</v>
      </c>
    </row>
    <row r="25" customFormat="false" ht="15" hidden="false" customHeight="false" outlineLevel="0" collapsed="false">
      <c r="A25" s="0" t="s">
        <v>86</v>
      </c>
      <c r="B25" s="0" t="n">
        <v>2017</v>
      </c>
      <c r="C25" s="0" t="s">
        <v>1093</v>
      </c>
      <c r="D25" s="0" t="s">
        <v>1094</v>
      </c>
      <c r="E25" s="0" t="s">
        <v>1095</v>
      </c>
      <c r="F25" s="0" t="s">
        <v>1096</v>
      </c>
      <c r="G25" s="0" t="s">
        <v>1097</v>
      </c>
      <c r="H25" s="0" t="s">
        <v>1098</v>
      </c>
      <c r="I25" s="0" t="s">
        <v>1099</v>
      </c>
      <c r="J25" s="0" t="s">
        <v>1008</v>
      </c>
      <c r="K25" s="0" t="s">
        <v>1100</v>
      </c>
      <c r="L25" s="0" t="n">
        <v>50</v>
      </c>
      <c r="M25" s="0" t="s">
        <v>1068</v>
      </c>
      <c r="N25" s="0" t="s">
        <v>947</v>
      </c>
      <c r="O25" s="0" t="s">
        <v>947</v>
      </c>
      <c r="P25" s="0" t="s">
        <v>1101</v>
      </c>
      <c r="Q25" s="0" t="s">
        <v>1054</v>
      </c>
      <c r="R25" s="0" t="s">
        <v>1102</v>
      </c>
      <c r="S25" s="0" t="s">
        <v>1103</v>
      </c>
      <c r="T25" s="0" t="n">
        <v>0</v>
      </c>
      <c r="U25" s="0" t="s">
        <v>951</v>
      </c>
    </row>
    <row r="26" customFormat="false" ht="15" hidden="false" customHeight="false" outlineLevel="0" collapsed="false">
      <c r="A26" s="0" t="s">
        <v>86</v>
      </c>
      <c r="B26" s="0" t="n">
        <v>2020</v>
      </c>
      <c r="C26" s="0" t="s">
        <v>1104</v>
      </c>
      <c r="D26" s="0" t="s">
        <v>1105</v>
      </c>
      <c r="E26" s="0" t="s">
        <v>1106</v>
      </c>
      <c r="F26" s="0" t="s">
        <v>1107</v>
      </c>
      <c r="G26" s="0" t="s">
        <v>1108</v>
      </c>
      <c r="H26" s="0" t="s">
        <v>1109</v>
      </c>
      <c r="I26" s="0" t="s">
        <v>1110</v>
      </c>
      <c r="J26" s="0" t="s">
        <v>1008</v>
      </c>
      <c r="K26" s="0" t="s">
        <v>1111</v>
      </c>
      <c r="L26" s="0" t="n">
        <v>133</v>
      </c>
      <c r="M26" s="0" t="s">
        <v>1068</v>
      </c>
      <c r="N26" s="0" t="s">
        <v>947</v>
      </c>
      <c r="O26" s="0" t="s">
        <v>947</v>
      </c>
      <c r="P26" s="0" t="s">
        <v>1112</v>
      </c>
      <c r="Q26" s="0" t="s">
        <v>1113</v>
      </c>
      <c r="R26" s="0" t="s">
        <v>1114</v>
      </c>
      <c r="S26" s="0" t="s">
        <v>1115</v>
      </c>
      <c r="T26" s="0" t="n">
        <v>0</v>
      </c>
      <c r="U26" s="0" t="s">
        <v>951</v>
      </c>
    </row>
    <row r="27" customFormat="false" ht="15" hidden="false" customHeight="false" outlineLevel="0" collapsed="false">
      <c r="A27" s="0" t="s">
        <v>116</v>
      </c>
      <c r="B27" s="0" t="n">
        <v>2018</v>
      </c>
      <c r="C27" s="0" t="s">
        <v>1116</v>
      </c>
      <c r="D27" s="0" t="s">
        <v>1117</v>
      </c>
      <c r="E27" s="0" t="s">
        <v>939</v>
      </c>
      <c r="F27" s="0" t="s">
        <v>1118</v>
      </c>
      <c r="G27" s="0" t="s">
        <v>1119</v>
      </c>
      <c r="H27" s="0" t="s">
        <v>942</v>
      </c>
      <c r="I27" s="0" t="s">
        <v>1120</v>
      </c>
      <c r="J27" s="0" t="s">
        <v>944</v>
      </c>
      <c r="K27" s="0" t="s">
        <v>1121</v>
      </c>
      <c r="L27" s="0" t="n">
        <v>8</v>
      </c>
      <c r="M27" s="0" t="s">
        <v>1122</v>
      </c>
      <c r="N27" s="0" t="s">
        <v>947</v>
      </c>
      <c r="O27" s="0" t="s">
        <v>947</v>
      </c>
      <c r="P27" s="0" t="s">
        <v>1123</v>
      </c>
      <c r="Q27" s="0" t="s">
        <v>948</v>
      </c>
      <c r="R27" s="0" t="s">
        <v>1124</v>
      </c>
      <c r="S27" s="0" t="s">
        <v>1125</v>
      </c>
      <c r="T27" s="0" t="n">
        <v>0</v>
      </c>
      <c r="U27" s="0" t="s">
        <v>951</v>
      </c>
    </row>
    <row r="28" customFormat="false" ht="15" hidden="false" customHeight="false" outlineLevel="0" collapsed="false">
      <c r="A28" s="0" t="s">
        <v>116</v>
      </c>
      <c r="B28" s="0" t="n">
        <v>2019</v>
      </c>
      <c r="C28" s="0" t="s">
        <v>1126</v>
      </c>
      <c r="D28" s="0" t="s">
        <v>1127</v>
      </c>
      <c r="E28" s="0" t="s">
        <v>939</v>
      </c>
      <c r="F28" s="0" t="s">
        <v>1118</v>
      </c>
      <c r="G28" s="0" t="s">
        <v>1128</v>
      </c>
      <c r="H28" s="0" t="s">
        <v>942</v>
      </c>
      <c r="I28" s="0" t="s">
        <v>1120</v>
      </c>
      <c r="J28" s="0" t="s">
        <v>944</v>
      </c>
      <c r="K28" s="0" t="s">
        <v>1129</v>
      </c>
      <c r="L28" s="0" t="n">
        <v>7</v>
      </c>
      <c r="M28" s="0" t="s">
        <v>1122</v>
      </c>
      <c r="N28" s="0" t="s">
        <v>947</v>
      </c>
      <c r="O28" s="0" t="s">
        <v>947</v>
      </c>
      <c r="P28" s="0" t="s">
        <v>1123</v>
      </c>
      <c r="Q28" s="0" t="s">
        <v>948</v>
      </c>
      <c r="R28" s="0" t="s">
        <v>1124</v>
      </c>
      <c r="S28" s="0" t="s">
        <v>1125</v>
      </c>
      <c r="T28" s="0" t="n">
        <v>0</v>
      </c>
      <c r="U28" s="0" t="s">
        <v>951</v>
      </c>
    </row>
    <row r="29" customFormat="false" ht="15" hidden="false" customHeight="false" outlineLevel="0" collapsed="false">
      <c r="A29" s="0" t="s">
        <v>138</v>
      </c>
      <c r="B29" s="0" t="n">
        <v>2015</v>
      </c>
      <c r="C29" s="0" t="s">
        <v>1130</v>
      </c>
      <c r="U29" s="0" t="s">
        <v>1131</v>
      </c>
    </row>
    <row r="30" customFormat="false" ht="15" hidden="false" customHeight="false" outlineLevel="0" collapsed="false">
      <c r="A30" s="0" t="s">
        <v>154</v>
      </c>
      <c r="B30" s="0" t="n">
        <v>2021</v>
      </c>
      <c r="C30" s="0" t="s">
        <v>1130</v>
      </c>
      <c r="U30" s="0" t="s">
        <v>1132</v>
      </c>
    </row>
    <row r="31" customFormat="false" ht="15" hidden="false" customHeight="false" outlineLevel="0" collapsed="false">
      <c r="A31" s="0" t="s">
        <v>116</v>
      </c>
      <c r="B31" s="0" t="n">
        <v>2020</v>
      </c>
      <c r="C31" s="0" t="s">
        <v>1130</v>
      </c>
      <c r="U31" s="0" t="s">
        <v>1133</v>
      </c>
    </row>
    <row r="32" customFormat="false" ht="15" hidden="false" customHeight="false" outlineLevel="0" collapsed="false">
      <c r="A32" s="0" t="s">
        <v>104</v>
      </c>
      <c r="B32" s="0" t="n">
        <v>2016</v>
      </c>
      <c r="C32" s="0" t="s">
        <v>1130</v>
      </c>
      <c r="U32" s="0" t="s">
        <v>1134</v>
      </c>
    </row>
    <row r="33" customFormat="false" ht="15" hidden="false" customHeight="false" outlineLevel="0" collapsed="false">
      <c r="A33" s="0" t="s">
        <v>104</v>
      </c>
      <c r="B33" s="0" t="n">
        <v>2017</v>
      </c>
      <c r="C33" s="0" t="s">
        <v>1130</v>
      </c>
      <c r="U33" s="0" t="s">
        <v>1135</v>
      </c>
    </row>
    <row r="34" customFormat="false" ht="15" hidden="false" customHeight="false" outlineLevel="0" collapsed="false">
      <c r="A34" s="0" t="s">
        <v>86</v>
      </c>
      <c r="B34" s="0" t="n">
        <v>2021</v>
      </c>
      <c r="C34" s="0" t="s">
        <v>1130</v>
      </c>
      <c r="U34" s="0" t="s">
        <v>1136</v>
      </c>
    </row>
    <row r="35" customFormat="false" ht="15" hidden="false" customHeight="false" outlineLevel="0" collapsed="false">
      <c r="A35" s="0" t="s">
        <v>109</v>
      </c>
      <c r="B35" s="0" t="n">
        <v>2017</v>
      </c>
      <c r="C35" s="0" t="s">
        <v>1130</v>
      </c>
      <c r="U35" s="0" t="s">
        <v>1137</v>
      </c>
    </row>
    <row r="36" customFormat="false" ht="15" hidden="false" customHeight="false" outlineLevel="0" collapsed="false">
      <c r="A36" s="0" t="s">
        <v>163</v>
      </c>
      <c r="B36" s="0" t="n">
        <v>2016</v>
      </c>
      <c r="C36" s="0" t="s">
        <v>1130</v>
      </c>
      <c r="U36" s="0" t="s">
        <v>1138</v>
      </c>
    </row>
    <row r="37" customFormat="false" ht="15" hidden="false" customHeight="false" outlineLevel="0" collapsed="false">
      <c r="A37" s="0" t="s">
        <v>163</v>
      </c>
      <c r="B37" s="0" t="n">
        <v>2017</v>
      </c>
      <c r="C37" s="0" t="s">
        <v>1130</v>
      </c>
      <c r="U37" s="0" t="s">
        <v>1138</v>
      </c>
    </row>
    <row r="38" customFormat="false" ht="15" hidden="false" customHeight="false" outlineLevel="0" collapsed="false">
      <c r="A38" s="0" t="s">
        <v>163</v>
      </c>
      <c r="B38" s="0" t="n">
        <v>2018</v>
      </c>
      <c r="C38" s="0" t="s">
        <v>1130</v>
      </c>
      <c r="U38" s="0" t="s">
        <v>1138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1139</v>
      </c>
    </row>
    <row r="3" customFormat="false" ht="15" hidden="false" customHeight="false" outlineLevel="0" collapsed="false">
      <c r="A3" s="3" t="s">
        <v>919</v>
      </c>
      <c r="B3" s="3" t="s">
        <v>50</v>
      </c>
      <c r="C3" s="3" t="s">
        <v>325</v>
      </c>
      <c r="D3" s="3" t="s">
        <v>1140</v>
      </c>
      <c r="E3" s="3" t="s">
        <v>74</v>
      </c>
      <c r="F3" s="3" t="s">
        <v>1141</v>
      </c>
      <c r="G3" s="3" t="s">
        <v>1142</v>
      </c>
      <c r="H3" s="3" t="s">
        <v>1143</v>
      </c>
      <c r="I3" s="3" t="s">
        <v>1144</v>
      </c>
      <c r="J3" s="3" t="s">
        <v>1145</v>
      </c>
      <c r="K3" s="3" t="s">
        <v>1146</v>
      </c>
      <c r="L3" s="3" t="s">
        <v>327</v>
      </c>
    </row>
    <row r="4" customFormat="false" ht="15" hidden="false" customHeight="false" outlineLevel="0" collapsed="false">
      <c r="A4" s="0" t="s">
        <v>1012</v>
      </c>
      <c r="B4" s="0" t="s">
        <v>86</v>
      </c>
      <c r="C4" s="0" t="s">
        <v>1147</v>
      </c>
      <c r="D4" s="0" t="s">
        <v>1148</v>
      </c>
      <c r="E4" s="0" t="s">
        <v>101</v>
      </c>
      <c r="F4" s="0" t="s">
        <v>1149</v>
      </c>
      <c r="G4" s="0" t="n">
        <v>5562091</v>
      </c>
      <c r="H4" s="0" t="s">
        <v>1150</v>
      </c>
      <c r="I4" s="0" t="s">
        <v>1054</v>
      </c>
      <c r="J4" s="0" t="s">
        <v>1151</v>
      </c>
      <c r="K4" s="0" t="s">
        <v>1151</v>
      </c>
    </row>
    <row r="5" customFormat="false" ht="15" hidden="false" customHeight="false" outlineLevel="0" collapsed="false">
      <c r="A5" s="0" t="s">
        <v>1152</v>
      </c>
      <c r="B5" s="0" t="s">
        <v>154</v>
      </c>
      <c r="C5" s="0" t="s">
        <v>1147</v>
      </c>
      <c r="D5" s="0" t="s">
        <v>1153</v>
      </c>
      <c r="E5" s="0" t="s">
        <v>155</v>
      </c>
      <c r="F5" s="0" t="s">
        <v>1154</v>
      </c>
      <c r="G5" s="0" t="n">
        <v>3102438</v>
      </c>
      <c r="H5" s="0" t="s">
        <v>1155</v>
      </c>
      <c r="I5" s="0" t="s">
        <v>1156</v>
      </c>
      <c r="J5" s="0" t="s">
        <v>1157</v>
      </c>
      <c r="K5" s="0" t="s">
        <v>1157</v>
      </c>
    </row>
    <row r="6" customFormat="false" ht="15" hidden="false" customHeight="false" outlineLevel="0" collapsed="false">
      <c r="A6" s="0" t="s">
        <v>1000</v>
      </c>
      <c r="B6" s="0" t="s">
        <v>154</v>
      </c>
      <c r="C6" s="0" t="s">
        <v>1147</v>
      </c>
      <c r="D6" s="0" t="s">
        <v>1153</v>
      </c>
      <c r="E6" s="0" t="s">
        <v>160</v>
      </c>
      <c r="F6" s="0" t="s">
        <v>1158</v>
      </c>
      <c r="G6" s="0" t="n">
        <v>23893681</v>
      </c>
      <c r="H6" s="0" t="s">
        <v>1155</v>
      </c>
      <c r="I6" s="0" t="s">
        <v>1054</v>
      </c>
      <c r="J6" s="0" t="s">
        <v>1151</v>
      </c>
      <c r="K6" s="0" t="s">
        <v>1151</v>
      </c>
    </row>
    <row r="7" customFormat="false" ht="15" hidden="false" customHeight="false" outlineLevel="0" collapsed="false">
      <c r="A7" s="0" t="s">
        <v>1159</v>
      </c>
      <c r="B7" s="0" t="s">
        <v>86</v>
      </c>
      <c r="C7" s="0" t="s">
        <v>1147</v>
      </c>
      <c r="D7" s="0" t="s">
        <v>1148</v>
      </c>
      <c r="E7" s="0" t="s">
        <v>87</v>
      </c>
      <c r="F7" s="0" t="s">
        <v>1160</v>
      </c>
      <c r="G7" s="0" t="n">
        <v>2935700</v>
      </c>
      <c r="H7" s="0" t="s">
        <v>1150</v>
      </c>
      <c r="I7" s="0" t="s">
        <v>1156</v>
      </c>
      <c r="J7" s="0" t="s">
        <v>1157</v>
      </c>
      <c r="K7" s="0" t="s">
        <v>1157</v>
      </c>
    </row>
    <row r="8" customFormat="false" ht="15" hidden="false" customHeight="false" outlineLevel="0" collapsed="false">
      <c r="A8" s="0" t="s">
        <v>1161</v>
      </c>
      <c r="B8" s="0" t="s">
        <v>129</v>
      </c>
      <c r="C8" s="0" t="s">
        <v>1147</v>
      </c>
      <c r="D8" s="0" t="s">
        <v>1162</v>
      </c>
      <c r="E8" s="0" t="s">
        <v>136</v>
      </c>
      <c r="F8" s="0" t="s">
        <v>1163</v>
      </c>
      <c r="G8" s="0" t="n">
        <v>3413675</v>
      </c>
      <c r="H8" s="0" t="s">
        <v>1150</v>
      </c>
      <c r="I8" s="0" t="s">
        <v>1156</v>
      </c>
      <c r="J8" s="0" t="s">
        <v>1157</v>
      </c>
      <c r="K8" s="0" t="s">
        <v>1157</v>
      </c>
    </row>
    <row r="9" customFormat="false" ht="15" hidden="false" customHeight="false" outlineLevel="0" collapsed="false">
      <c r="A9" s="0" t="s">
        <v>953</v>
      </c>
      <c r="B9" s="0" t="s">
        <v>116</v>
      </c>
      <c r="C9" s="0" t="s">
        <v>1147</v>
      </c>
      <c r="D9" s="0" t="s">
        <v>1164</v>
      </c>
      <c r="E9" s="0" t="s">
        <v>121</v>
      </c>
      <c r="F9" s="0" t="s">
        <v>1165</v>
      </c>
      <c r="G9" s="0" t="n">
        <v>9736155</v>
      </c>
      <c r="H9" s="0" t="s">
        <v>1150</v>
      </c>
      <c r="I9" s="0" t="s">
        <v>1054</v>
      </c>
      <c r="J9" s="0" t="s">
        <v>1151</v>
      </c>
      <c r="K9" s="0" t="s">
        <v>1151</v>
      </c>
    </row>
    <row r="10" customFormat="false" ht="15" hidden="false" customHeight="false" outlineLevel="0" collapsed="false">
      <c r="A10" s="0" t="s">
        <v>1166</v>
      </c>
      <c r="B10" s="0" t="s">
        <v>109</v>
      </c>
      <c r="C10" s="0" t="s">
        <v>1147</v>
      </c>
      <c r="D10" s="0" t="s">
        <v>1167</v>
      </c>
      <c r="E10" s="0" t="s">
        <v>110</v>
      </c>
      <c r="F10" s="0" t="s">
        <v>1168</v>
      </c>
      <c r="G10" s="0" t="n">
        <v>2135241</v>
      </c>
      <c r="H10" s="0" t="s">
        <v>1169</v>
      </c>
      <c r="I10" s="0" t="s">
        <v>947</v>
      </c>
      <c r="J10" s="0" t="s">
        <v>1024</v>
      </c>
      <c r="K10" s="0" t="s">
        <v>1157</v>
      </c>
      <c r="L10" s="0" t="s">
        <v>1170</v>
      </c>
    </row>
    <row r="11" customFormat="false" ht="15" hidden="false" customHeight="false" outlineLevel="0" collapsed="false">
      <c r="A11" s="0" t="s">
        <v>1171</v>
      </c>
      <c r="B11" s="0" t="s">
        <v>154</v>
      </c>
      <c r="C11" s="0" t="s">
        <v>1147</v>
      </c>
      <c r="D11" s="0" t="s">
        <v>1172</v>
      </c>
      <c r="E11" s="0" t="s">
        <v>158</v>
      </c>
      <c r="F11" s="0" t="s">
        <v>1173</v>
      </c>
      <c r="G11" s="0" t="n">
        <v>8139641</v>
      </c>
      <c r="H11" s="0" t="s">
        <v>1155</v>
      </c>
      <c r="I11" s="0" t="s">
        <v>1156</v>
      </c>
      <c r="J11" s="0" t="s">
        <v>1157</v>
      </c>
      <c r="K11" s="0" t="s">
        <v>1157</v>
      </c>
    </row>
    <row r="12" customFormat="false" ht="15" hidden="false" customHeight="false" outlineLevel="0" collapsed="false">
      <c r="A12" s="0" t="s">
        <v>982</v>
      </c>
      <c r="B12" s="0" t="s">
        <v>138</v>
      </c>
      <c r="C12" s="0" t="s">
        <v>1147</v>
      </c>
      <c r="D12" s="0" t="s">
        <v>1174</v>
      </c>
      <c r="E12" s="0" t="s">
        <v>149</v>
      </c>
      <c r="F12" s="0" t="s">
        <v>1175</v>
      </c>
      <c r="G12" s="0" t="n">
        <v>4027041</v>
      </c>
      <c r="H12" s="0" t="s">
        <v>1150</v>
      </c>
      <c r="I12" s="0" t="s">
        <v>1054</v>
      </c>
      <c r="J12" s="0" t="s">
        <v>1151</v>
      </c>
      <c r="K12" s="0" t="s">
        <v>1151</v>
      </c>
    </row>
    <row r="13" customFormat="false" ht="15" hidden="false" customHeight="false" outlineLevel="0" collapsed="false">
      <c r="A13" s="0" t="s">
        <v>1117</v>
      </c>
      <c r="B13" s="0" t="s">
        <v>116</v>
      </c>
      <c r="C13" s="0" t="s">
        <v>1147</v>
      </c>
      <c r="D13" s="0" t="s">
        <v>1164</v>
      </c>
      <c r="E13" s="0" t="s">
        <v>117</v>
      </c>
      <c r="F13" s="0" t="s">
        <v>1176</v>
      </c>
      <c r="G13" s="0" t="n">
        <v>4096893</v>
      </c>
      <c r="H13" s="0" t="s">
        <v>1177</v>
      </c>
      <c r="I13" s="0" t="s">
        <v>1178</v>
      </c>
      <c r="J13" s="0" t="s">
        <v>1151</v>
      </c>
      <c r="K13" s="0" t="s">
        <v>1151</v>
      </c>
      <c r="L13" s="0" t="s">
        <v>1179</v>
      </c>
    </row>
    <row r="14" customFormat="false" ht="15" hidden="false" customHeight="false" outlineLevel="0" collapsed="false">
      <c r="A14" s="0" t="s">
        <v>1004</v>
      </c>
      <c r="B14" s="0" t="s">
        <v>86</v>
      </c>
      <c r="C14" s="0" t="s">
        <v>1147</v>
      </c>
      <c r="D14" s="0" t="s">
        <v>1148</v>
      </c>
      <c r="E14" s="0" t="s">
        <v>98</v>
      </c>
      <c r="F14" s="0" t="s">
        <v>1180</v>
      </c>
      <c r="G14" s="0" t="n">
        <v>5796360</v>
      </c>
      <c r="H14" s="0" t="s">
        <v>1150</v>
      </c>
      <c r="I14" s="0" t="s">
        <v>1054</v>
      </c>
      <c r="J14" s="0" t="s">
        <v>1151</v>
      </c>
      <c r="K14" s="0" t="s">
        <v>1151</v>
      </c>
    </row>
    <row r="15" customFormat="false" ht="15" hidden="false" customHeight="false" outlineLevel="0" collapsed="false">
      <c r="A15" s="0" t="s">
        <v>1181</v>
      </c>
      <c r="B15" s="0" t="s">
        <v>77</v>
      </c>
      <c r="C15" s="0" t="s">
        <v>1182</v>
      </c>
      <c r="D15" s="0" t="s">
        <v>1183</v>
      </c>
      <c r="E15" s="0" t="s">
        <v>80</v>
      </c>
      <c r="G15" s="0" t="n">
        <v>0</v>
      </c>
      <c r="H15" s="0" t="s">
        <v>1150</v>
      </c>
      <c r="I15" s="0" t="s">
        <v>1156</v>
      </c>
      <c r="J15" s="0" t="s">
        <v>1157</v>
      </c>
      <c r="K15" s="0" t="s">
        <v>1157</v>
      </c>
    </row>
    <row r="16" customFormat="false" ht="15" hidden="false" customHeight="false" outlineLevel="0" collapsed="false">
      <c r="A16" s="0" t="s">
        <v>975</v>
      </c>
      <c r="B16" s="0" t="s">
        <v>138</v>
      </c>
      <c r="C16" s="0" t="s">
        <v>1147</v>
      </c>
      <c r="D16" s="0" t="s">
        <v>1174</v>
      </c>
      <c r="E16" s="0" t="s">
        <v>146</v>
      </c>
      <c r="F16" s="0" t="s">
        <v>1184</v>
      </c>
      <c r="G16" s="0" t="n">
        <v>2415232</v>
      </c>
      <c r="H16" s="0" t="s">
        <v>1150</v>
      </c>
      <c r="I16" s="0" t="s">
        <v>1054</v>
      </c>
      <c r="J16" s="0" t="s">
        <v>1151</v>
      </c>
      <c r="K16" s="0" t="s">
        <v>1151</v>
      </c>
    </row>
    <row r="17" customFormat="false" ht="15" hidden="false" customHeight="false" outlineLevel="0" collapsed="false">
      <c r="A17" s="0" t="s">
        <v>1185</v>
      </c>
      <c r="B17" s="0" t="s">
        <v>129</v>
      </c>
      <c r="C17" s="0" t="s">
        <v>1147</v>
      </c>
      <c r="D17" s="0" t="s">
        <v>1174</v>
      </c>
      <c r="E17" s="0" t="s">
        <v>137</v>
      </c>
      <c r="F17" s="0" t="s">
        <v>1186</v>
      </c>
      <c r="G17" s="0" t="n">
        <v>1647377</v>
      </c>
      <c r="H17" s="0" t="s">
        <v>1150</v>
      </c>
      <c r="I17" s="0" t="s">
        <v>1156</v>
      </c>
      <c r="J17" s="0" t="s">
        <v>1157</v>
      </c>
      <c r="K17" s="0" t="s">
        <v>1157</v>
      </c>
    </row>
    <row r="18" customFormat="false" ht="15" hidden="false" customHeight="false" outlineLevel="0" collapsed="false">
      <c r="A18" s="0" t="s">
        <v>1187</v>
      </c>
      <c r="B18" s="0" t="s">
        <v>138</v>
      </c>
      <c r="C18" s="0" t="s">
        <v>1147</v>
      </c>
      <c r="D18" s="0" t="s">
        <v>1174</v>
      </c>
      <c r="E18" s="0" t="s">
        <v>139</v>
      </c>
      <c r="F18" s="0" t="s">
        <v>1188</v>
      </c>
      <c r="G18" s="0" t="n">
        <v>3630147</v>
      </c>
      <c r="H18" s="0" t="s">
        <v>1150</v>
      </c>
      <c r="I18" s="0" t="s">
        <v>1156</v>
      </c>
      <c r="J18" s="0" t="s">
        <v>1157</v>
      </c>
      <c r="K18" s="0" t="s">
        <v>1157</v>
      </c>
    </row>
    <row r="19" customFormat="false" ht="15" hidden="false" customHeight="false" outlineLevel="0" collapsed="false">
      <c r="A19" s="0" t="s">
        <v>1189</v>
      </c>
      <c r="B19" s="0" t="s">
        <v>163</v>
      </c>
      <c r="C19" s="0" t="s">
        <v>1147</v>
      </c>
      <c r="D19" s="0" t="s">
        <v>1190</v>
      </c>
      <c r="E19" s="0" t="s">
        <v>164</v>
      </c>
      <c r="F19" s="0" t="s">
        <v>1191</v>
      </c>
      <c r="G19" s="0" t="n">
        <v>3257266</v>
      </c>
      <c r="H19" s="0" t="s">
        <v>1155</v>
      </c>
      <c r="I19" s="0" t="s">
        <v>1156</v>
      </c>
      <c r="J19" s="0" t="s">
        <v>1157</v>
      </c>
      <c r="K19" s="0" t="s">
        <v>1157</v>
      </c>
    </row>
    <row r="20" customFormat="false" ht="15" hidden="false" customHeight="false" outlineLevel="0" collapsed="false">
      <c r="A20" s="0" t="s">
        <v>1192</v>
      </c>
      <c r="B20" s="0" t="s">
        <v>129</v>
      </c>
      <c r="C20" s="0" t="s">
        <v>1147</v>
      </c>
      <c r="D20" s="0" t="s">
        <v>1162</v>
      </c>
      <c r="E20" s="0" t="s">
        <v>135</v>
      </c>
      <c r="F20" s="0" t="s">
        <v>1193</v>
      </c>
      <c r="G20" s="0" t="n">
        <v>7097382</v>
      </c>
      <c r="H20" s="0" t="s">
        <v>1150</v>
      </c>
      <c r="I20" s="0" t="s">
        <v>1156</v>
      </c>
      <c r="J20" s="0" t="s">
        <v>1157</v>
      </c>
      <c r="K20" s="0" t="s">
        <v>1157</v>
      </c>
    </row>
    <row r="21" customFormat="false" ht="15" hidden="false" customHeight="false" outlineLevel="0" collapsed="false">
      <c r="A21" s="0" t="s">
        <v>1194</v>
      </c>
      <c r="B21" s="0" t="s">
        <v>83</v>
      </c>
      <c r="C21" s="0" t="s">
        <v>1147</v>
      </c>
      <c r="D21" s="0" t="s">
        <v>1195</v>
      </c>
      <c r="E21" s="0" t="s">
        <v>85</v>
      </c>
      <c r="F21" s="0" t="s">
        <v>1196</v>
      </c>
      <c r="G21" s="0" t="n">
        <v>108693</v>
      </c>
      <c r="H21" s="0" t="s">
        <v>1197</v>
      </c>
      <c r="I21" s="0" t="s">
        <v>947</v>
      </c>
      <c r="J21" s="0" t="s">
        <v>1024</v>
      </c>
      <c r="K21" s="0" t="s">
        <v>1157</v>
      </c>
      <c r="L21" s="0" t="s">
        <v>1198</v>
      </c>
    </row>
    <row r="22" customFormat="false" ht="15" hidden="false" customHeight="false" outlineLevel="0" collapsed="false">
      <c r="A22" s="0" t="s">
        <v>1199</v>
      </c>
      <c r="B22" s="0" t="s">
        <v>104</v>
      </c>
      <c r="C22" s="0" t="s">
        <v>1147</v>
      </c>
      <c r="D22" s="0" t="s">
        <v>1200</v>
      </c>
      <c r="E22" s="0" t="s">
        <v>105</v>
      </c>
      <c r="F22" s="0" t="s">
        <v>1201</v>
      </c>
      <c r="G22" s="0" t="n">
        <v>6602892</v>
      </c>
      <c r="H22" s="0" t="s">
        <v>1150</v>
      </c>
      <c r="I22" s="0" t="s">
        <v>1156</v>
      </c>
      <c r="J22" s="0" t="s">
        <v>1157</v>
      </c>
      <c r="K22" s="0" t="s">
        <v>1157</v>
      </c>
    </row>
    <row r="23" customFormat="false" ht="15" hidden="false" customHeight="false" outlineLevel="0" collapsed="false">
      <c r="A23" s="0" t="s">
        <v>993</v>
      </c>
      <c r="B23" s="0" t="s">
        <v>154</v>
      </c>
      <c r="C23" s="0" t="s">
        <v>1147</v>
      </c>
      <c r="D23" s="0" t="s">
        <v>1174</v>
      </c>
      <c r="E23" s="0" t="s">
        <v>159</v>
      </c>
      <c r="F23" s="0" t="s">
        <v>1202</v>
      </c>
      <c r="G23" s="0" t="n">
        <v>3474978</v>
      </c>
      <c r="H23" s="0" t="s">
        <v>1150</v>
      </c>
      <c r="I23" s="0" t="s">
        <v>1054</v>
      </c>
      <c r="J23" s="0" t="s">
        <v>1151</v>
      </c>
      <c r="K23" s="0" t="s">
        <v>1151</v>
      </c>
    </row>
    <row r="24" customFormat="false" ht="15" hidden="false" customHeight="false" outlineLevel="0" collapsed="false">
      <c r="A24" s="0" t="s">
        <v>1019</v>
      </c>
      <c r="B24" s="0" t="s">
        <v>126</v>
      </c>
      <c r="C24" s="0" t="s">
        <v>1147</v>
      </c>
      <c r="D24" s="0" t="s">
        <v>1203</v>
      </c>
      <c r="E24" s="0" t="s">
        <v>127</v>
      </c>
      <c r="F24" s="0" t="s">
        <v>1204</v>
      </c>
      <c r="G24" s="0" t="n">
        <v>2526321</v>
      </c>
      <c r="H24" s="0" t="s">
        <v>1150</v>
      </c>
      <c r="I24" s="0" t="s">
        <v>1054</v>
      </c>
      <c r="J24" s="0" t="s">
        <v>1151</v>
      </c>
      <c r="K24" s="0" t="s">
        <v>1151</v>
      </c>
    </row>
    <row r="25" customFormat="false" ht="15" hidden="false" customHeight="false" outlineLevel="0" collapsed="false">
      <c r="A25" s="0" t="s">
        <v>1205</v>
      </c>
      <c r="B25" s="0" t="s">
        <v>129</v>
      </c>
      <c r="C25" s="0" t="s">
        <v>1147</v>
      </c>
      <c r="D25" s="0" t="s">
        <v>1162</v>
      </c>
      <c r="E25" s="0" t="s">
        <v>131</v>
      </c>
      <c r="F25" s="0" t="s">
        <v>1206</v>
      </c>
      <c r="G25" s="0" t="n">
        <v>5579693</v>
      </c>
      <c r="H25" s="0" t="s">
        <v>1150</v>
      </c>
      <c r="I25" s="0" t="s">
        <v>1156</v>
      </c>
      <c r="J25" s="0" t="s">
        <v>1157</v>
      </c>
      <c r="K25" s="0" t="s">
        <v>1157</v>
      </c>
    </row>
    <row r="26" customFormat="false" ht="15" hidden="false" customHeight="false" outlineLevel="0" collapsed="false">
      <c r="A26" s="0" t="s">
        <v>1207</v>
      </c>
      <c r="B26" s="0" t="s">
        <v>154</v>
      </c>
      <c r="C26" s="0" t="s">
        <v>1147</v>
      </c>
      <c r="D26" s="0" t="s">
        <v>1174</v>
      </c>
      <c r="E26" s="0" t="s">
        <v>162</v>
      </c>
      <c r="F26" s="0" t="s">
        <v>1208</v>
      </c>
      <c r="G26" s="0" t="n">
        <v>2880789</v>
      </c>
      <c r="H26" s="0" t="s">
        <v>1150</v>
      </c>
      <c r="I26" s="0" t="s">
        <v>1156</v>
      </c>
      <c r="J26" s="0" t="s">
        <v>1157</v>
      </c>
      <c r="K26" s="0" t="s">
        <v>1157</v>
      </c>
    </row>
    <row r="27" customFormat="false" ht="15" hidden="false" customHeight="false" outlineLevel="0" collapsed="false">
      <c r="A27" s="0" t="s">
        <v>1209</v>
      </c>
      <c r="B27" s="0" t="s">
        <v>163</v>
      </c>
      <c r="C27" s="0" t="s">
        <v>1147</v>
      </c>
      <c r="D27" s="0" t="s">
        <v>1190</v>
      </c>
      <c r="E27" s="0" t="s">
        <v>175</v>
      </c>
      <c r="F27" s="0" t="s">
        <v>1210</v>
      </c>
      <c r="G27" s="0" t="n">
        <v>8810170</v>
      </c>
      <c r="H27" s="0" t="s">
        <v>1155</v>
      </c>
      <c r="I27" s="0" t="s">
        <v>1156</v>
      </c>
      <c r="J27" s="0" t="s">
        <v>1157</v>
      </c>
      <c r="K27" s="0" t="s">
        <v>1157</v>
      </c>
    </row>
    <row r="28" customFormat="false" ht="15" hidden="false" customHeight="false" outlineLevel="0" collapsed="false">
      <c r="A28" s="0" t="s">
        <v>1026</v>
      </c>
      <c r="B28" s="0" t="s">
        <v>126</v>
      </c>
      <c r="C28" s="0" t="s">
        <v>1147</v>
      </c>
      <c r="D28" s="0" t="s">
        <v>1203</v>
      </c>
      <c r="E28" s="0" t="s">
        <v>128</v>
      </c>
      <c r="F28" s="0" t="s">
        <v>1211</v>
      </c>
      <c r="G28" s="0" t="n">
        <v>6660620</v>
      </c>
      <c r="H28" s="0" t="s">
        <v>1150</v>
      </c>
      <c r="I28" s="0" t="s">
        <v>1054</v>
      </c>
      <c r="J28" s="0" t="s">
        <v>1151</v>
      </c>
      <c r="K28" s="0" t="s">
        <v>1151</v>
      </c>
    </row>
    <row r="29" customFormat="false" ht="15" hidden="false" customHeight="false" outlineLevel="0" collapsed="false">
      <c r="A29" s="0" t="s">
        <v>1212</v>
      </c>
      <c r="B29" s="0" t="s">
        <v>129</v>
      </c>
      <c r="C29" s="0" t="s">
        <v>1147</v>
      </c>
      <c r="D29" s="0" t="s">
        <v>1162</v>
      </c>
      <c r="E29" s="0" t="s">
        <v>130</v>
      </c>
      <c r="F29" s="0" t="s">
        <v>1213</v>
      </c>
      <c r="G29" s="0" t="n">
        <v>4713072</v>
      </c>
      <c r="H29" s="0" t="s">
        <v>1150</v>
      </c>
      <c r="I29" s="0" t="s">
        <v>1156</v>
      </c>
      <c r="J29" s="0" t="s">
        <v>1157</v>
      </c>
      <c r="K29" s="0" t="s">
        <v>1157</v>
      </c>
    </row>
    <row r="30" customFormat="false" ht="15" hidden="false" customHeight="false" outlineLevel="0" collapsed="false">
      <c r="A30" s="0" t="s">
        <v>1048</v>
      </c>
      <c r="B30" s="0" t="s">
        <v>152</v>
      </c>
      <c r="C30" s="0" t="s">
        <v>1147</v>
      </c>
      <c r="D30" s="0" t="s">
        <v>1174</v>
      </c>
      <c r="E30" s="0" t="s">
        <v>153</v>
      </c>
      <c r="F30" s="0" t="s">
        <v>1214</v>
      </c>
      <c r="G30" s="0" t="n">
        <v>2228390</v>
      </c>
      <c r="H30" s="0" t="s">
        <v>1150</v>
      </c>
      <c r="I30" s="0" t="s">
        <v>1054</v>
      </c>
      <c r="J30" s="0" t="s">
        <v>1151</v>
      </c>
      <c r="K30" s="0" t="s">
        <v>1151</v>
      </c>
    </row>
    <row r="31" customFormat="false" ht="15" hidden="false" customHeight="false" outlineLevel="0" collapsed="false">
      <c r="A31" s="0" t="s">
        <v>962</v>
      </c>
      <c r="B31" s="0" t="s">
        <v>116</v>
      </c>
      <c r="C31" s="0" t="s">
        <v>1147</v>
      </c>
      <c r="D31" s="0" t="s">
        <v>1164</v>
      </c>
      <c r="E31" s="0" t="s">
        <v>124</v>
      </c>
      <c r="F31" s="0" t="s">
        <v>1215</v>
      </c>
      <c r="G31" s="0" t="n">
        <v>5416143</v>
      </c>
      <c r="H31" s="0" t="s">
        <v>1150</v>
      </c>
      <c r="I31" s="0" t="s">
        <v>1054</v>
      </c>
      <c r="J31" s="0" t="s">
        <v>1151</v>
      </c>
      <c r="K31" s="0" t="s">
        <v>1151</v>
      </c>
    </row>
    <row r="32" customFormat="false" ht="15" hidden="false" customHeight="false" outlineLevel="0" collapsed="false">
      <c r="A32" s="0" t="s">
        <v>967</v>
      </c>
      <c r="B32" s="0" t="s">
        <v>138</v>
      </c>
      <c r="C32" s="0" t="s">
        <v>1147</v>
      </c>
      <c r="D32" s="0" t="s">
        <v>1153</v>
      </c>
      <c r="E32" s="0" t="s">
        <v>142</v>
      </c>
      <c r="F32" s="0" t="s">
        <v>1216</v>
      </c>
      <c r="G32" s="0" t="n">
        <v>7609185</v>
      </c>
      <c r="H32" s="0" t="s">
        <v>1155</v>
      </c>
      <c r="I32" s="0" t="s">
        <v>1054</v>
      </c>
      <c r="J32" s="0" t="s">
        <v>1151</v>
      </c>
      <c r="K32" s="0" t="s">
        <v>1151</v>
      </c>
    </row>
    <row r="33" customFormat="false" ht="15" hidden="false" customHeight="false" outlineLevel="0" collapsed="false">
      <c r="A33" s="0" t="s">
        <v>987</v>
      </c>
      <c r="B33" s="0" t="s">
        <v>154</v>
      </c>
      <c r="C33" s="0" t="s">
        <v>1147</v>
      </c>
      <c r="D33" s="0" t="s">
        <v>1153</v>
      </c>
      <c r="E33" s="0" t="s">
        <v>157</v>
      </c>
      <c r="F33" s="0" t="s">
        <v>1217</v>
      </c>
      <c r="G33" s="0" t="n">
        <v>5400358</v>
      </c>
      <c r="H33" s="0" t="s">
        <v>1155</v>
      </c>
      <c r="I33" s="0" t="s">
        <v>1054</v>
      </c>
      <c r="J33" s="0" t="s">
        <v>1151</v>
      </c>
      <c r="K33" s="0" t="s">
        <v>1151</v>
      </c>
    </row>
    <row r="34" customFormat="false" ht="15" hidden="false" customHeight="false" outlineLevel="0" collapsed="false">
      <c r="A34" s="0" t="s">
        <v>1127</v>
      </c>
      <c r="B34" s="0" t="s">
        <v>116</v>
      </c>
      <c r="C34" s="0" t="s">
        <v>1147</v>
      </c>
      <c r="D34" s="0" t="s">
        <v>1164</v>
      </c>
      <c r="E34" s="0" t="s">
        <v>119</v>
      </c>
      <c r="F34" s="0" t="s">
        <v>1218</v>
      </c>
      <c r="G34" s="0" t="n">
        <v>3734370</v>
      </c>
      <c r="H34" s="0" t="s">
        <v>1177</v>
      </c>
      <c r="I34" s="0" t="s">
        <v>1219</v>
      </c>
      <c r="J34" s="0" t="s">
        <v>1151</v>
      </c>
      <c r="K34" s="0" t="s">
        <v>1151</v>
      </c>
      <c r="L34" s="0" t="s">
        <v>1220</v>
      </c>
    </row>
    <row r="35" customFormat="false" ht="15" hidden="false" customHeight="false" outlineLevel="0" collapsed="false">
      <c r="A35" s="0" t="s">
        <v>938</v>
      </c>
      <c r="B35" s="0" t="s">
        <v>138</v>
      </c>
      <c r="C35" s="0" t="s">
        <v>1147</v>
      </c>
      <c r="D35" s="0" t="s">
        <v>1221</v>
      </c>
      <c r="E35" s="0" t="s">
        <v>140</v>
      </c>
      <c r="F35" s="0" t="s">
        <v>1222</v>
      </c>
      <c r="G35" s="0" t="n">
        <v>3837665</v>
      </c>
      <c r="H35" s="0" t="s">
        <v>1155</v>
      </c>
      <c r="I35" s="0" t="s">
        <v>1054</v>
      </c>
      <c r="J35" s="0" t="s">
        <v>1151</v>
      </c>
      <c r="K35" s="0" t="s">
        <v>1151</v>
      </c>
    </row>
    <row r="36" customFormat="false" ht="15" hidden="false" customHeight="false" outlineLevel="0" collapsed="false">
      <c r="A36" s="0" t="s">
        <v>1031</v>
      </c>
      <c r="B36" s="0" t="s">
        <v>109</v>
      </c>
      <c r="C36" s="0" t="s">
        <v>1147</v>
      </c>
      <c r="D36" s="0" t="s">
        <v>1167</v>
      </c>
      <c r="E36" s="0" t="s">
        <v>111</v>
      </c>
      <c r="F36" s="0" t="s">
        <v>1223</v>
      </c>
      <c r="G36" s="0" t="n">
        <v>8388567</v>
      </c>
      <c r="H36" s="0" t="s">
        <v>1150</v>
      </c>
      <c r="I36" s="0" t="s">
        <v>1054</v>
      </c>
      <c r="J36" s="0" t="s">
        <v>1151</v>
      </c>
      <c r="K36" s="0" t="s">
        <v>1151</v>
      </c>
    </row>
    <row r="37" customFormat="false" ht="15" hidden="false" customHeight="false" outlineLevel="0" collapsed="false">
      <c r="A37" s="0" t="s">
        <v>1224</v>
      </c>
      <c r="B37" s="0" t="s">
        <v>163</v>
      </c>
      <c r="C37" s="0" t="s">
        <v>1147</v>
      </c>
      <c r="D37" s="0" t="s">
        <v>1190</v>
      </c>
      <c r="E37" s="0" t="s">
        <v>167</v>
      </c>
      <c r="F37" s="0" t="s">
        <v>1225</v>
      </c>
      <c r="G37" s="0" t="n">
        <v>4352915</v>
      </c>
      <c r="H37" s="0" t="s">
        <v>1155</v>
      </c>
      <c r="I37" s="0" t="s">
        <v>1156</v>
      </c>
      <c r="J37" s="0" t="s">
        <v>1157</v>
      </c>
      <c r="K37" s="0" t="s">
        <v>1151</v>
      </c>
    </row>
    <row r="38" customFormat="false" ht="15" hidden="false" customHeight="false" outlineLevel="0" collapsed="false">
      <c r="A38" s="0" t="s">
        <v>1226</v>
      </c>
      <c r="B38" s="0" t="s">
        <v>77</v>
      </c>
      <c r="C38" s="0" t="s">
        <v>1182</v>
      </c>
      <c r="D38" s="0" t="s">
        <v>1183</v>
      </c>
      <c r="E38" s="0" t="s">
        <v>1227</v>
      </c>
      <c r="G38" s="0" t="n">
        <v>0</v>
      </c>
      <c r="H38" s="0" t="s">
        <v>1150</v>
      </c>
      <c r="I38" s="0" t="s">
        <v>1156</v>
      </c>
      <c r="J38" s="0" t="s">
        <v>1157</v>
      </c>
      <c r="K38" s="0" t="s">
        <v>1157</v>
      </c>
    </row>
    <row r="39" customFormat="false" ht="15" hidden="false" customHeight="false" outlineLevel="0" collapsed="false">
      <c r="A39" s="0" t="s">
        <v>1228</v>
      </c>
      <c r="B39" s="0" t="s">
        <v>163</v>
      </c>
      <c r="C39" s="0" t="s">
        <v>1147</v>
      </c>
      <c r="D39" s="0" t="s">
        <v>1190</v>
      </c>
      <c r="E39" s="0" t="s">
        <v>165</v>
      </c>
      <c r="F39" s="0" t="s">
        <v>1229</v>
      </c>
      <c r="G39" s="0" t="n">
        <v>3094891</v>
      </c>
      <c r="H39" s="0" t="s">
        <v>1155</v>
      </c>
      <c r="I39" s="0" t="s">
        <v>1156</v>
      </c>
      <c r="J39" s="0" t="s">
        <v>1157</v>
      </c>
      <c r="K39" s="0" t="s">
        <v>1151</v>
      </c>
    </row>
    <row r="40" customFormat="false" ht="15" hidden="false" customHeight="false" outlineLevel="0" collapsed="false">
      <c r="A40" s="0" t="s">
        <v>1230</v>
      </c>
      <c r="B40" s="0" t="s">
        <v>77</v>
      </c>
      <c r="C40" s="0" t="s">
        <v>1182</v>
      </c>
      <c r="D40" s="0" t="s">
        <v>1183</v>
      </c>
      <c r="E40" s="0" t="s">
        <v>1231</v>
      </c>
      <c r="G40" s="0" t="n">
        <v>0</v>
      </c>
      <c r="H40" s="0" t="s">
        <v>1150</v>
      </c>
      <c r="I40" s="0" t="s">
        <v>1156</v>
      </c>
      <c r="J40" s="0" t="s">
        <v>1157</v>
      </c>
      <c r="K40" s="0" t="s">
        <v>1157</v>
      </c>
    </row>
    <row r="41" customFormat="false" ht="15" hidden="false" customHeight="false" outlineLevel="0" collapsed="false">
      <c r="A41" s="0" t="s">
        <v>1232</v>
      </c>
      <c r="B41" s="0" t="s">
        <v>163</v>
      </c>
      <c r="C41" s="0" t="s">
        <v>1182</v>
      </c>
      <c r="D41" s="0" t="s">
        <v>1233</v>
      </c>
      <c r="E41" s="0" t="s">
        <v>1234</v>
      </c>
      <c r="G41" s="0" t="n">
        <v>0</v>
      </c>
      <c r="H41" s="0" t="s">
        <v>1150</v>
      </c>
      <c r="I41" s="0" t="s">
        <v>1156</v>
      </c>
      <c r="J41" s="0" t="s">
        <v>1157</v>
      </c>
      <c r="K41" s="0" t="s">
        <v>1157</v>
      </c>
    </row>
    <row r="42" customFormat="false" ht="15" hidden="false" customHeight="false" outlineLevel="0" collapsed="false">
      <c r="A42" s="0" t="s">
        <v>1235</v>
      </c>
      <c r="B42" s="0" t="s">
        <v>104</v>
      </c>
      <c r="C42" s="0" t="s">
        <v>1147</v>
      </c>
      <c r="D42" s="0" t="s">
        <v>1200</v>
      </c>
      <c r="E42" s="0" t="s">
        <v>106</v>
      </c>
      <c r="F42" s="0" t="s">
        <v>1236</v>
      </c>
      <c r="G42" s="0" t="n">
        <v>2554566</v>
      </c>
      <c r="H42" s="0" t="s">
        <v>1237</v>
      </c>
      <c r="I42" s="0" t="s">
        <v>1238</v>
      </c>
      <c r="J42" s="0" t="s">
        <v>1239</v>
      </c>
      <c r="K42" s="0" t="s">
        <v>1151</v>
      </c>
      <c r="L42" s="0" t="s">
        <v>1240</v>
      </c>
    </row>
    <row r="43" customFormat="false" ht="15" hidden="false" customHeight="false" outlineLevel="0" collapsed="false">
      <c r="A43" s="0" t="s">
        <v>1241</v>
      </c>
      <c r="B43" s="0" t="s">
        <v>163</v>
      </c>
      <c r="C43" s="0" t="s">
        <v>1147</v>
      </c>
      <c r="D43" s="0" t="s">
        <v>1190</v>
      </c>
      <c r="E43" s="0" t="s">
        <v>169</v>
      </c>
      <c r="F43" s="0" t="s">
        <v>1242</v>
      </c>
      <c r="G43" s="0" t="n">
        <v>56377291</v>
      </c>
      <c r="H43" s="0" t="s">
        <v>1155</v>
      </c>
      <c r="I43" s="0" t="s">
        <v>1156</v>
      </c>
      <c r="J43" s="0" t="s">
        <v>1157</v>
      </c>
      <c r="K43" s="0" t="s">
        <v>1151</v>
      </c>
    </row>
    <row r="44" customFormat="false" ht="15" hidden="false" customHeight="false" outlineLevel="0" collapsed="false">
      <c r="A44" s="0" t="s">
        <v>1044</v>
      </c>
      <c r="B44" s="0" t="s">
        <v>163</v>
      </c>
      <c r="C44" s="0" t="s">
        <v>1147</v>
      </c>
      <c r="D44" s="0" t="s">
        <v>1190</v>
      </c>
      <c r="E44" s="0" t="s">
        <v>173</v>
      </c>
      <c r="F44" s="0" t="s">
        <v>1243</v>
      </c>
      <c r="G44" s="0" t="n">
        <v>22730955</v>
      </c>
      <c r="H44" s="0" t="s">
        <v>1155</v>
      </c>
      <c r="I44" s="0" t="s">
        <v>1054</v>
      </c>
      <c r="J44" s="0" t="s">
        <v>1151</v>
      </c>
      <c r="K44" s="0" t="s">
        <v>1151</v>
      </c>
    </row>
    <row r="45" customFormat="false" ht="15" hidden="false" customHeight="false" outlineLevel="0" collapsed="false">
      <c r="A45" s="0" t="s">
        <v>1036</v>
      </c>
      <c r="B45" s="0" t="s">
        <v>109</v>
      </c>
      <c r="C45" s="0" t="s">
        <v>1147</v>
      </c>
      <c r="D45" s="0" t="s">
        <v>1167</v>
      </c>
      <c r="E45" s="0" t="s">
        <v>114</v>
      </c>
      <c r="F45" s="0" t="s">
        <v>1244</v>
      </c>
      <c r="G45" s="0" t="n">
        <v>4965210</v>
      </c>
      <c r="H45" s="0" t="s">
        <v>1150</v>
      </c>
      <c r="I45" s="0" t="s">
        <v>1054</v>
      </c>
      <c r="J45" s="0" t="s">
        <v>1151</v>
      </c>
      <c r="K45" s="0" t="s">
        <v>1151</v>
      </c>
    </row>
    <row r="46" customFormat="false" ht="15" hidden="false" customHeight="false" outlineLevel="0" collapsed="false">
      <c r="A46" s="0" t="s">
        <v>1245</v>
      </c>
      <c r="B46" s="0" t="s">
        <v>1246</v>
      </c>
      <c r="C46" s="0" t="s">
        <v>1147</v>
      </c>
      <c r="D46" s="0" t="s">
        <v>1247</v>
      </c>
      <c r="E46" s="0" t="s">
        <v>1248</v>
      </c>
      <c r="F46" s="0" t="s">
        <v>1249</v>
      </c>
      <c r="G46" s="0" t="n">
        <v>9034029</v>
      </c>
      <c r="H46" s="0" t="s">
        <v>1250</v>
      </c>
      <c r="I46" s="0" t="s">
        <v>1251</v>
      </c>
      <c r="J46" s="0" t="s">
        <v>1024</v>
      </c>
      <c r="K46" s="0" t="s">
        <v>1157</v>
      </c>
      <c r="L46" s="0" t="s">
        <v>1252</v>
      </c>
    </row>
    <row r="47" customFormat="false" ht="15" hidden="false" customHeight="false" outlineLevel="0" collapsed="false">
      <c r="A47" s="0" t="s">
        <v>1253</v>
      </c>
      <c r="B47" s="0" t="s">
        <v>163</v>
      </c>
      <c r="C47" s="0" t="s">
        <v>1182</v>
      </c>
      <c r="D47" s="0" t="s">
        <v>1233</v>
      </c>
      <c r="E47" s="0" t="s">
        <v>1254</v>
      </c>
      <c r="G47" s="0" t="n">
        <v>0</v>
      </c>
      <c r="H47" s="0" t="s">
        <v>1150</v>
      </c>
      <c r="I47" s="0" t="s">
        <v>1156</v>
      </c>
      <c r="J47" s="0" t="s">
        <v>1157</v>
      </c>
      <c r="K47" s="0" t="s">
        <v>1157</v>
      </c>
    </row>
    <row r="48" customFormat="false" ht="15" hidden="false" customHeight="false" outlineLevel="0" collapsed="false">
      <c r="A48" s="0" t="s">
        <v>1040</v>
      </c>
      <c r="B48" s="0" t="s">
        <v>163</v>
      </c>
      <c r="C48" s="0" t="s">
        <v>1147</v>
      </c>
      <c r="D48" s="0" t="s">
        <v>1190</v>
      </c>
      <c r="E48" s="0" t="s">
        <v>171</v>
      </c>
      <c r="F48" s="0" t="s">
        <v>1255</v>
      </c>
      <c r="G48" s="0" t="n">
        <v>13394533</v>
      </c>
      <c r="H48" s="0" t="s">
        <v>1155</v>
      </c>
      <c r="I48" s="0" t="s">
        <v>1054</v>
      </c>
      <c r="J48" s="0" t="s">
        <v>1151</v>
      </c>
      <c r="K48" s="0" t="s">
        <v>1151</v>
      </c>
    </row>
    <row r="49" customFormat="false" ht="15" hidden="false" customHeight="false" outlineLevel="0" collapsed="false">
      <c r="A49" s="0" t="s">
        <v>1061</v>
      </c>
      <c r="B49" s="0" t="s">
        <v>86</v>
      </c>
      <c r="C49" s="0" t="s">
        <v>1147</v>
      </c>
      <c r="D49" s="0" t="s">
        <v>1190</v>
      </c>
      <c r="E49" s="0" t="s">
        <v>88</v>
      </c>
      <c r="F49" s="0" t="s">
        <v>1256</v>
      </c>
      <c r="G49" s="0" t="n">
        <v>33819879</v>
      </c>
      <c r="H49" s="0" t="s">
        <v>1257</v>
      </c>
      <c r="I49" s="0" t="s">
        <v>1258</v>
      </c>
      <c r="J49" s="0" t="s">
        <v>1151</v>
      </c>
      <c r="K49" s="0" t="s">
        <v>1151</v>
      </c>
      <c r="L49" s="0" t="s">
        <v>1259</v>
      </c>
    </row>
    <row r="50" customFormat="false" ht="15" hidden="false" customHeight="false" outlineLevel="0" collapsed="false">
      <c r="A50" s="0" t="s">
        <v>1072</v>
      </c>
      <c r="B50" s="0" t="s">
        <v>86</v>
      </c>
      <c r="C50" s="0" t="s">
        <v>1147</v>
      </c>
      <c r="D50" s="0" t="s">
        <v>1190</v>
      </c>
      <c r="E50" s="0" t="s">
        <v>91</v>
      </c>
      <c r="F50" s="0" t="s">
        <v>1260</v>
      </c>
      <c r="G50" s="0" t="n">
        <v>10760967</v>
      </c>
      <c r="H50" s="0" t="s">
        <v>1257</v>
      </c>
      <c r="I50" s="0" t="s">
        <v>1261</v>
      </c>
      <c r="J50" s="0" t="s">
        <v>1151</v>
      </c>
      <c r="K50" s="0" t="s">
        <v>1151</v>
      </c>
      <c r="L50" s="0" t="s">
        <v>1262</v>
      </c>
    </row>
    <row r="51" customFormat="false" ht="15" hidden="false" customHeight="false" outlineLevel="0" collapsed="false">
      <c r="A51" s="0" t="s">
        <v>1083</v>
      </c>
      <c r="B51" s="0" t="s">
        <v>86</v>
      </c>
      <c r="C51" s="0" t="s">
        <v>1147</v>
      </c>
      <c r="D51" s="0" t="s">
        <v>1190</v>
      </c>
      <c r="E51" s="0" t="s">
        <v>93</v>
      </c>
      <c r="F51" s="0" t="s">
        <v>1263</v>
      </c>
      <c r="G51" s="0" t="n">
        <v>2259527</v>
      </c>
      <c r="H51" s="0" t="s">
        <v>1257</v>
      </c>
      <c r="I51" s="0" t="s">
        <v>1264</v>
      </c>
      <c r="J51" s="0" t="s">
        <v>1151</v>
      </c>
      <c r="K51" s="0" t="s">
        <v>1151</v>
      </c>
      <c r="L51" s="0" t="s">
        <v>1265</v>
      </c>
    </row>
    <row r="52" customFormat="false" ht="15" hidden="false" customHeight="false" outlineLevel="0" collapsed="false">
      <c r="A52" s="0" t="s">
        <v>1094</v>
      </c>
      <c r="B52" s="0" t="s">
        <v>86</v>
      </c>
      <c r="C52" s="0" t="s">
        <v>1147</v>
      </c>
      <c r="D52" s="0" t="s">
        <v>1190</v>
      </c>
      <c r="E52" s="0" t="s">
        <v>95</v>
      </c>
      <c r="F52" s="0" t="s">
        <v>1266</v>
      </c>
      <c r="G52" s="0" t="n">
        <v>6203042</v>
      </c>
      <c r="H52" s="0" t="s">
        <v>1257</v>
      </c>
      <c r="I52" s="0" t="s">
        <v>1267</v>
      </c>
      <c r="J52" s="0" t="s">
        <v>1151</v>
      </c>
      <c r="K52" s="0" t="s">
        <v>1151</v>
      </c>
      <c r="L52" s="0" t="s">
        <v>1268</v>
      </c>
    </row>
    <row r="53" customFormat="false" ht="15" hidden="false" customHeight="false" outlineLevel="0" collapsed="false">
      <c r="A53" s="0" t="s">
        <v>1105</v>
      </c>
      <c r="B53" s="0" t="s">
        <v>86</v>
      </c>
      <c r="C53" s="0" t="s">
        <v>1147</v>
      </c>
      <c r="D53" s="0" t="s">
        <v>1190</v>
      </c>
      <c r="E53" s="0" t="s">
        <v>99</v>
      </c>
      <c r="F53" s="0" t="s">
        <v>1269</v>
      </c>
      <c r="G53" s="0" t="n">
        <v>5861987</v>
      </c>
      <c r="H53" s="0" t="s">
        <v>1257</v>
      </c>
      <c r="I53" s="0" t="s">
        <v>1270</v>
      </c>
      <c r="J53" s="0" t="s">
        <v>1151</v>
      </c>
      <c r="K53" s="0" t="s">
        <v>1151</v>
      </c>
      <c r="L53" s="0" t="s">
        <v>1271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1272</v>
      </c>
    </row>
    <row r="3" customFormat="false" ht="15" hidden="false" customHeight="false" outlineLevel="0" collapsed="false">
      <c r="A3" s="3" t="s">
        <v>50</v>
      </c>
      <c r="B3" s="3" t="s">
        <v>51</v>
      </c>
      <c r="C3" s="3" t="s">
        <v>59</v>
      </c>
      <c r="D3" s="3" t="s">
        <v>1273</v>
      </c>
      <c r="E3" s="3" t="s">
        <v>1274</v>
      </c>
      <c r="F3" s="3" t="s">
        <v>1275</v>
      </c>
      <c r="G3" s="3" t="s">
        <v>1276</v>
      </c>
      <c r="H3" s="3" t="s">
        <v>1277</v>
      </c>
    </row>
    <row r="4" customFormat="false" ht="15" hidden="false" customHeight="false" outlineLevel="0" collapsed="false">
      <c r="A4" s="0" t="s">
        <v>77</v>
      </c>
      <c r="B4" s="0" t="n">
        <v>2014</v>
      </c>
      <c r="C4" s="0" t="n">
        <v>1704094.012</v>
      </c>
      <c r="D4" s="0" t="n">
        <v>1704094.012</v>
      </c>
      <c r="E4" s="0" t="n">
        <v>0</v>
      </c>
      <c r="F4" s="0" t="s">
        <v>329</v>
      </c>
      <c r="G4" s="0" t="s">
        <v>1278</v>
      </c>
      <c r="H4" s="0" t="s">
        <v>81</v>
      </c>
    </row>
    <row r="5" customFormat="false" ht="15" hidden="false" customHeight="false" outlineLevel="0" collapsed="false">
      <c r="A5" s="0" t="s">
        <v>83</v>
      </c>
      <c r="B5" s="0" t="n">
        <v>2017</v>
      </c>
      <c r="C5" s="0" t="n">
        <v>1808503</v>
      </c>
      <c r="D5" s="0" t="n">
        <v>1808503</v>
      </c>
      <c r="E5" s="0" t="n">
        <v>0</v>
      </c>
      <c r="F5" s="0" t="s">
        <v>329</v>
      </c>
      <c r="G5" s="0" t="s">
        <v>1278</v>
      </c>
      <c r="H5" s="0" t="s">
        <v>81</v>
      </c>
    </row>
    <row r="6" customFormat="false" ht="15" hidden="false" customHeight="false" outlineLevel="0" collapsed="false">
      <c r="A6" s="0" t="s">
        <v>86</v>
      </c>
      <c r="B6" s="0" t="n">
        <v>2014</v>
      </c>
      <c r="C6" s="0" t="n">
        <v>1081217</v>
      </c>
      <c r="D6" s="0" t="n">
        <v>1081217</v>
      </c>
      <c r="E6" s="0" t="n">
        <v>0</v>
      </c>
      <c r="F6" s="0" t="s">
        <v>329</v>
      </c>
      <c r="G6" s="0" t="s">
        <v>89</v>
      </c>
      <c r="H6" s="0" t="s">
        <v>81</v>
      </c>
    </row>
    <row r="7" customFormat="false" ht="15" hidden="false" customHeight="false" outlineLevel="0" collapsed="false">
      <c r="A7" s="0" t="s">
        <v>86</v>
      </c>
      <c r="B7" s="0" t="n">
        <v>2015</v>
      </c>
      <c r="C7" s="0" t="n">
        <v>1187025</v>
      </c>
      <c r="D7" s="0" t="n">
        <v>1187025</v>
      </c>
      <c r="E7" s="0" t="n">
        <v>0</v>
      </c>
      <c r="F7" s="0" t="s">
        <v>329</v>
      </c>
      <c r="G7" s="0" t="s">
        <v>92</v>
      </c>
      <c r="H7" s="0" t="s">
        <v>89</v>
      </c>
    </row>
    <row r="8" customFormat="false" ht="15" hidden="false" customHeight="false" outlineLevel="0" collapsed="false">
      <c r="A8" s="0" t="s">
        <v>86</v>
      </c>
      <c r="B8" s="0" t="n">
        <v>2016</v>
      </c>
      <c r="C8" s="0" t="n">
        <v>1231722</v>
      </c>
      <c r="D8" s="0" t="n">
        <v>1231722</v>
      </c>
      <c r="E8" s="0" t="n">
        <v>0</v>
      </c>
      <c r="F8" s="0" t="s">
        <v>329</v>
      </c>
      <c r="G8" s="0" t="s">
        <v>94</v>
      </c>
      <c r="H8" s="0" t="s">
        <v>92</v>
      </c>
    </row>
    <row r="9" customFormat="false" ht="15" hidden="false" customHeight="false" outlineLevel="0" collapsed="false">
      <c r="A9" s="0" t="s">
        <v>86</v>
      </c>
      <c r="B9" s="0" t="n">
        <v>2017</v>
      </c>
      <c r="C9" s="0" t="n">
        <v>1298141</v>
      </c>
      <c r="D9" s="0" t="n">
        <v>1298141</v>
      </c>
      <c r="E9" s="0" t="n">
        <v>0</v>
      </c>
      <c r="F9" s="0" t="s">
        <v>329</v>
      </c>
      <c r="G9" s="0" t="s">
        <v>96</v>
      </c>
      <c r="H9" s="0" t="s">
        <v>94</v>
      </c>
    </row>
    <row r="10" customFormat="false" ht="15" hidden="false" customHeight="false" outlineLevel="0" collapsed="false">
      <c r="A10" s="0" t="s">
        <v>86</v>
      </c>
      <c r="B10" s="0" t="n">
        <v>2019</v>
      </c>
      <c r="C10" s="0" t="n">
        <v>1719883</v>
      </c>
      <c r="D10" s="0" t="n">
        <v>1719883</v>
      </c>
      <c r="E10" s="0" t="n">
        <v>0</v>
      </c>
      <c r="F10" s="0" t="s">
        <v>329</v>
      </c>
      <c r="G10" s="0" t="s">
        <v>1278</v>
      </c>
      <c r="H10" s="0" t="s">
        <v>81</v>
      </c>
    </row>
    <row r="11" customFormat="false" ht="15" hidden="false" customHeight="false" outlineLevel="0" collapsed="false">
      <c r="A11" s="0" t="s">
        <v>86</v>
      </c>
      <c r="B11" s="0" t="n">
        <v>2020</v>
      </c>
      <c r="C11" s="0" t="n">
        <v>2114037</v>
      </c>
      <c r="D11" s="0" t="n">
        <v>2114037</v>
      </c>
      <c r="E11" s="0" t="n">
        <v>0</v>
      </c>
      <c r="F11" s="0" t="s">
        <v>329</v>
      </c>
      <c r="G11" s="0" t="s">
        <v>100</v>
      </c>
      <c r="H11" s="0" t="s">
        <v>81</v>
      </c>
    </row>
    <row r="12" customFormat="false" ht="15" hidden="false" customHeight="false" outlineLevel="0" collapsed="false">
      <c r="A12" s="0" t="s">
        <v>86</v>
      </c>
      <c r="B12" s="0" t="n">
        <v>2022</v>
      </c>
      <c r="C12" s="0" t="n">
        <v>3280454</v>
      </c>
      <c r="D12" s="0" t="n">
        <v>3280454</v>
      </c>
      <c r="E12" s="0" t="n">
        <v>0</v>
      </c>
      <c r="F12" s="0" t="s">
        <v>329</v>
      </c>
      <c r="G12" s="0" t="s">
        <v>103</v>
      </c>
      <c r="H12" s="0" t="s">
        <v>102</v>
      </c>
    </row>
    <row r="13" customFormat="false" ht="15" hidden="false" customHeight="false" outlineLevel="0" collapsed="false">
      <c r="A13" s="0" t="s">
        <v>104</v>
      </c>
      <c r="B13" s="0" t="n">
        <v>2014</v>
      </c>
      <c r="C13" s="0" t="n">
        <v>3246579</v>
      </c>
      <c r="D13" s="0" t="n">
        <v>3246579</v>
      </c>
      <c r="E13" s="0" t="n">
        <v>0</v>
      </c>
      <c r="F13" s="0" t="s">
        <v>329</v>
      </c>
      <c r="G13" s="0" t="s">
        <v>1278</v>
      </c>
      <c r="H13" s="0" t="s">
        <v>81</v>
      </c>
    </row>
    <row r="14" customFormat="false" ht="15" hidden="false" customHeight="false" outlineLevel="0" collapsed="false">
      <c r="A14" s="0" t="s">
        <v>104</v>
      </c>
      <c r="B14" s="0" t="n">
        <v>2017</v>
      </c>
      <c r="C14" s="0" t="n">
        <v>3557782</v>
      </c>
      <c r="D14" s="0" t="n">
        <v>3557782</v>
      </c>
      <c r="E14" s="0" t="n">
        <v>0</v>
      </c>
      <c r="F14" s="0" t="s">
        <v>329</v>
      </c>
      <c r="G14" s="0" t="s">
        <v>108</v>
      </c>
      <c r="H14" s="0" t="s">
        <v>107</v>
      </c>
    </row>
    <row r="15" customFormat="false" ht="15" hidden="false" customHeight="false" outlineLevel="0" collapsed="false">
      <c r="A15" s="0" t="s">
        <v>109</v>
      </c>
      <c r="B15" s="0" t="n">
        <v>2014</v>
      </c>
      <c r="C15" s="0" t="n">
        <v>1904366</v>
      </c>
      <c r="D15" s="0" t="n">
        <v>1904366</v>
      </c>
      <c r="E15" s="0" t="n">
        <v>0</v>
      </c>
      <c r="F15" s="0" t="s">
        <v>329</v>
      </c>
      <c r="G15" s="0" t="s">
        <v>1278</v>
      </c>
      <c r="H15" s="0" t="s">
        <v>81</v>
      </c>
    </row>
    <row r="16" customFormat="false" ht="15" hidden="false" customHeight="false" outlineLevel="0" collapsed="false">
      <c r="A16" s="0" t="s">
        <v>109</v>
      </c>
      <c r="B16" s="0" t="n">
        <v>2018</v>
      </c>
      <c r="C16" s="0" t="n">
        <v>2824928.985</v>
      </c>
      <c r="D16" s="0" t="n">
        <v>2824928.985</v>
      </c>
      <c r="E16" s="0" t="n">
        <v>0</v>
      </c>
      <c r="F16" s="0" t="s">
        <v>329</v>
      </c>
      <c r="G16" s="0" t="s">
        <v>113</v>
      </c>
      <c r="H16" s="0" t="s">
        <v>112</v>
      </c>
    </row>
    <row r="17" customFormat="false" ht="15" hidden="false" customHeight="false" outlineLevel="0" collapsed="false">
      <c r="A17" s="0" t="s">
        <v>109</v>
      </c>
      <c r="B17" s="0" t="n">
        <v>2019</v>
      </c>
      <c r="C17" s="0" t="n">
        <v>2712521.494</v>
      </c>
      <c r="D17" s="0" t="n">
        <v>2712521.494</v>
      </c>
      <c r="E17" s="0" t="n">
        <v>0</v>
      </c>
      <c r="F17" s="0" t="s">
        <v>329</v>
      </c>
      <c r="G17" s="0" t="s">
        <v>115</v>
      </c>
      <c r="H17" s="0" t="s">
        <v>113</v>
      </c>
    </row>
    <row r="18" customFormat="false" ht="15" hidden="false" customHeight="false" outlineLevel="0" collapsed="false">
      <c r="A18" s="0" t="s">
        <v>116</v>
      </c>
      <c r="B18" s="0" t="n">
        <v>2019</v>
      </c>
      <c r="C18" s="0" t="n">
        <v>1599245</v>
      </c>
      <c r="D18" s="0" t="n">
        <v>1599245</v>
      </c>
      <c r="E18" s="0" t="n">
        <v>0</v>
      </c>
      <c r="F18" s="0" t="s">
        <v>329</v>
      </c>
      <c r="G18" s="0" t="s">
        <v>120</v>
      </c>
      <c r="H18" s="0" t="s">
        <v>118</v>
      </c>
    </row>
    <row r="19" customFormat="false" ht="15" hidden="false" customHeight="false" outlineLevel="0" collapsed="false">
      <c r="A19" s="0" t="s">
        <v>116</v>
      </c>
      <c r="B19" s="0" t="n">
        <v>2021</v>
      </c>
      <c r="C19" s="0" t="n">
        <v>2370347</v>
      </c>
      <c r="D19" s="0" t="n">
        <v>2370347</v>
      </c>
      <c r="E19" s="0" t="n">
        <v>0</v>
      </c>
      <c r="F19" s="0" t="s">
        <v>329</v>
      </c>
      <c r="G19" s="0" t="s">
        <v>123</v>
      </c>
      <c r="H19" s="0" t="s">
        <v>122</v>
      </c>
    </row>
    <row r="20" customFormat="false" ht="15" hidden="false" customHeight="false" outlineLevel="0" collapsed="false">
      <c r="A20" s="0" t="s">
        <v>116</v>
      </c>
      <c r="B20" s="0" t="n">
        <v>2022</v>
      </c>
      <c r="C20" s="0" t="n">
        <v>2614087</v>
      </c>
      <c r="D20" s="0" t="n">
        <v>2614087</v>
      </c>
      <c r="E20" s="0" t="n">
        <v>0</v>
      </c>
      <c r="F20" s="0" t="s">
        <v>329</v>
      </c>
      <c r="G20" s="0" t="s">
        <v>125</v>
      </c>
      <c r="H20" s="0" t="s">
        <v>123</v>
      </c>
    </row>
    <row r="21" customFormat="false" ht="15" hidden="false" customHeight="false" outlineLevel="0" collapsed="false">
      <c r="A21" s="0" t="s">
        <v>126</v>
      </c>
      <c r="B21" s="0" t="n">
        <v>2014</v>
      </c>
      <c r="C21" s="0" t="n">
        <v>707797.181</v>
      </c>
      <c r="D21" s="0" t="n">
        <v>707797.181</v>
      </c>
      <c r="E21" s="0" t="n">
        <v>0</v>
      </c>
      <c r="F21" s="0" t="s">
        <v>329</v>
      </c>
      <c r="G21" s="0" t="s">
        <v>1278</v>
      </c>
      <c r="H21" s="0" t="s">
        <v>81</v>
      </c>
    </row>
    <row r="22" customFormat="false" ht="15" hidden="false" customHeight="false" outlineLevel="0" collapsed="false">
      <c r="A22" s="0" t="s">
        <v>126</v>
      </c>
      <c r="B22" s="0" t="n">
        <v>2019</v>
      </c>
      <c r="C22" s="0" t="n">
        <v>1085876</v>
      </c>
      <c r="D22" s="0" t="n">
        <v>1085876</v>
      </c>
      <c r="E22" s="0" t="n">
        <v>0</v>
      </c>
      <c r="F22" s="0" t="s">
        <v>329</v>
      </c>
      <c r="G22" s="0" t="s">
        <v>1278</v>
      </c>
      <c r="H22" s="0" t="s">
        <v>81</v>
      </c>
    </row>
    <row r="23" customFormat="false" ht="15" hidden="false" customHeight="false" outlineLevel="0" collapsed="false">
      <c r="A23" s="0" t="s">
        <v>129</v>
      </c>
      <c r="B23" s="0" t="n">
        <v>2014</v>
      </c>
      <c r="C23" s="0" t="n">
        <v>2217417</v>
      </c>
      <c r="D23" s="0" t="n">
        <v>2217417</v>
      </c>
      <c r="E23" s="0" t="n">
        <v>0</v>
      </c>
      <c r="F23" s="0" t="s">
        <v>329</v>
      </c>
      <c r="G23" s="0" t="s">
        <v>1278</v>
      </c>
      <c r="H23" s="0" t="s">
        <v>81</v>
      </c>
    </row>
    <row r="24" customFormat="false" ht="15" hidden="false" customHeight="false" outlineLevel="0" collapsed="false">
      <c r="A24" s="0" t="s">
        <v>129</v>
      </c>
      <c r="B24" s="0" t="n">
        <v>2015</v>
      </c>
      <c r="C24" s="0" t="n">
        <v>2338858</v>
      </c>
      <c r="D24" s="0" t="n">
        <v>2338858</v>
      </c>
      <c r="E24" s="0" t="n">
        <v>0</v>
      </c>
      <c r="F24" s="0" t="s">
        <v>329</v>
      </c>
      <c r="G24" s="0" t="s">
        <v>1278</v>
      </c>
      <c r="H24" s="0" t="s">
        <v>81</v>
      </c>
    </row>
    <row r="25" customFormat="false" ht="15" hidden="false" customHeight="false" outlineLevel="0" collapsed="false">
      <c r="A25" s="0" t="s">
        <v>129</v>
      </c>
      <c r="B25" s="0" t="n">
        <v>2016</v>
      </c>
      <c r="C25" s="0" t="n">
        <v>2216337</v>
      </c>
      <c r="D25" s="0" t="n">
        <v>2216337</v>
      </c>
      <c r="E25" s="0" t="n">
        <v>0</v>
      </c>
      <c r="F25" s="0" t="s">
        <v>329</v>
      </c>
      <c r="G25" s="0" t="s">
        <v>1278</v>
      </c>
      <c r="H25" s="0" t="s">
        <v>132</v>
      </c>
    </row>
    <row r="26" customFormat="false" ht="15" hidden="false" customHeight="false" outlineLevel="0" collapsed="false">
      <c r="A26" s="0" t="s">
        <v>129</v>
      </c>
      <c r="B26" s="0" t="n">
        <v>2017</v>
      </c>
      <c r="C26" s="0" t="n">
        <v>2539585</v>
      </c>
      <c r="D26" s="0" t="n">
        <v>2539585</v>
      </c>
      <c r="E26" s="0" t="n">
        <v>0</v>
      </c>
      <c r="F26" s="0" t="s">
        <v>329</v>
      </c>
      <c r="G26" s="0" t="s">
        <v>1278</v>
      </c>
      <c r="H26" s="0" t="s">
        <v>134</v>
      </c>
    </row>
    <row r="27" customFormat="false" ht="15" hidden="false" customHeight="false" outlineLevel="0" collapsed="false">
      <c r="A27" s="0" t="s">
        <v>129</v>
      </c>
      <c r="B27" s="0" t="n">
        <v>2018</v>
      </c>
      <c r="C27" s="0" t="n">
        <v>2931826</v>
      </c>
      <c r="D27" s="0" t="n">
        <v>2931826</v>
      </c>
      <c r="E27" s="0" t="n">
        <v>0</v>
      </c>
      <c r="F27" s="0" t="s">
        <v>329</v>
      </c>
      <c r="G27" s="0" t="s">
        <v>1278</v>
      </c>
      <c r="H27" s="0" t="s">
        <v>81</v>
      </c>
    </row>
    <row r="28" customFormat="false" ht="15" hidden="false" customHeight="false" outlineLevel="0" collapsed="false">
      <c r="A28" s="0" t="s">
        <v>129</v>
      </c>
      <c r="B28" s="0" t="n">
        <v>2019</v>
      </c>
      <c r="C28" s="0" t="n">
        <v>3591305</v>
      </c>
      <c r="D28" s="0" t="n">
        <v>3591305</v>
      </c>
      <c r="E28" s="0" t="n">
        <v>0</v>
      </c>
      <c r="F28" s="0" t="s">
        <v>329</v>
      </c>
      <c r="G28" s="0" t="s">
        <v>1278</v>
      </c>
      <c r="H28" s="0" t="s">
        <v>81</v>
      </c>
    </row>
    <row r="29" customFormat="false" ht="15" hidden="false" customHeight="false" outlineLevel="0" collapsed="false">
      <c r="A29" s="0" t="s">
        <v>129</v>
      </c>
      <c r="B29" s="0" t="n">
        <v>2020</v>
      </c>
      <c r="C29" s="0" t="n">
        <v>4136493</v>
      </c>
      <c r="D29" s="0" t="n">
        <v>4136493</v>
      </c>
      <c r="E29" s="0" t="n">
        <v>0</v>
      </c>
      <c r="F29" s="0" t="s">
        <v>329</v>
      </c>
      <c r="G29" s="0" t="s">
        <v>1278</v>
      </c>
      <c r="H29" s="0" t="s">
        <v>81</v>
      </c>
    </row>
    <row r="30" customFormat="false" ht="15" hidden="false" customHeight="false" outlineLevel="0" collapsed="false">
      <c r="A30" s="0" t="s">
        <v>129</v>
      </c>
      <c r="B30" s="0" t="n">
        <v>2021</v>
      </c>
      <c r="C30" s="0" t="n">
        <v>5207833</v>
      </c>
      <c r="D30" s="0" t="n">
        <v>5207833</v>
      </c>
      <c r="E30" s="0" t="n">
        <v>0</v>
      </c>
      <c r="F30" s="0" t="s">
        <v>329</v>
      </c>
      <c r="G30" s="0" t="s">
        <v>1278</v>
      </c>
      <c r="H30" s="0" t="s">
        <v>81</v>
      </c>
    </row>
    <row r="31" customFormat="false" ht="15" hidden="false" customHeight="false" outlineLevel="0" collapsed="false">
      <c r="A31" s="0" t="s">
        <v>129</v>
      </c>
      <c r="B31" s="0" t="n">
        <v>2022</v>
      </c>
      <c r="C31" s="0" t="n">
        <v>5574976</v>
      </c>
      <c r="D31" s="0" t="n">
        <v>5574976</v>
      </c>
      <c r="E31" s="0" t="n">
        <v>0</v>
      </c>
      <c r="F31" s="0" t="s">
        <v>329</v>
      </c>
      <c r="G31" s="0" t="s">
        <v>1278</v>
      </c>
      <c r="H31" s="0" t="s">
        <v>81</v>
      </c>
    </row>
    <row r="32" customFormat="false" ht="15" hidden="false" customHeight="false" outlineLevel="0" collapsed="false">
      <c r="A32" s="0" t="s">
        <v>138</v>
      </c>
      <c r="B32" s="0" t="n">
        <v>2014</v>
      </c>
      <c r="C32" s="0" t="n">
        <v>882097</v>
      </c>
      <c r="D32" s="0" t="n">
        <v>882097</v>
      </c>
      <c r="E32" s="0" t="n">
        <v>0</v>
      </c>
      <c r="F32" s="0" t="s">
        <v>329</v>
      </c>
      <c r="G32" s="0" t="s">
        <v>1278</v>
      </c>
      <c r="H32" s="0" t="s">
        <v>81</v>
      </c>
    </row>
    <row r="33" customFormat="false" ht="15" hidden="false" customHeight="false" outlineLevel="0" collapsed="false">
      <c r="A33" s="0" t="s">
        <v>138</v>
      </c>
      <c r="B33" s="0" t="n">
        <v>2015</v>
      </c>
      <c r="C33" s="0" t="n">
        <v>922755</v>
      </c>
      <c r="D33" s="0" t="n">
        <v>920936</v>
      </c>
      <c r="E33" s="0" t="n">
        <v>1819</v>
      </c>
      <c r="F33" s="0" t="s">
        <v>335</v>
      </c>
      <c r="G33" s="0" t="s">
        <v>141</v>
      </c>
      <c r="H33" s="0" t="s">
        <v>81</v>
      </c>
    </row>
    <row r="34" customFormat="false" ht="15" hidden="false" customHeight="false" outlineLevel="0" collapsed="false">
      <c r="A34" s="0" t="s">
        <v>138</v>
      </c>
      <c r="B34" s="0" t="n">
        <v>2016</v>
      </c>
      <c r="C34" s="0" t="n">
        <v>1000976</v>
      </c>
      <c r="D34" s="0" t="n">
        <v>1000976</v>
      </c>
      <c r="E34" s="0" t="n">
        <v>0</v>
      </c>
      <c r="F34" s="0" t="s">
        <v>329</v>
      </c>
      <c r="G34" s="0" t="s">
        <v>94</v>
      </c>
      <c r="H34" s="0" t="s">
        <v>141</v>
      </c>
    </row>
    <row r="35" customFormat="false" ht="15" hidden="false" customHeight="false" outlineLevel="0" collapsed="false">
      <c r="A35" s="0" t="s">
        <v>138</v>
      </c>
      <c r="B35" s="0" t="n">
        <v>2017</v>
      </c>
      <c r="C35" s="0" t="n">
        <v>1123483</v>
      </c>
      <c r="D35" s="0" t="n">
        <v>1123483</v>
      </c>
      <c r="E35" s="0" t="n">
        <v>0</v>
      </c>
      <c r="F35" s="0" t="s">
        <v>329</v>
      </c>
      <c r="G35" s="0" t="s">
        <v>1278</v>
      </c>
      <c r="H35" s="0" t="s">
        <v>94</v>
      </c>
    </row>
    <row r="36" customFormat="false" ht="15" hidden="false" customHeight="false" outlineLevel="0" collapsed="false">
      <c r="A36" s="0" t="s">
        <v>138</v>
      </c>
      <c r="B36" s="0" t="n">
        <v>2018</v>
      </c>
      <c r="C36" s="0" t="n">
        <v>1334921</v>
      </c>
      <c r="D36" s="0" t="n">
        <v>1334921</v>
      </c>
      <c r="E36" s="0" t="n">
        <v>0</v>
      </c>
      <c r="F36" s="0" t="s">
        <v>329</v>
      </c>
      <c r="G36" s="0" t="s">
        <v>1278</v>
      </c>
      <c r="H36" s="0" t="s">
        <v>143</v>
      </c>
    </row>
    <row r="37" customFormat="false" ht="15" hidden="false" customHeight="false" outlineLevel="0" collapsed="false">
      <c r="A37" s="0" t="s">
        <v>138</v>
      </c>
      <c r="B37" s="0" t="n">
        <v>2019</v>
      </c>
      <c r="C37" s="0" t="n">
        <v>1324297</v>
      </c>
      <c r="D37" s="0" t="n">
        <v>1324297</v>
      </c>
      <c r="E37" s="0" t="n">
        <v>0</v>
      </c>
      <c r="F37" s="0" t="s">
        <v>329</v>
      </c>
      <c r="G37" s="0" t="s">
        <v>1278</v>
      </c>
      <c r="H37" s="0" t="s">
        <v>145</v>
      </c>
    </row>
    <row r="38" customFormat="false" ht="15" hidden="false" customHeight="false" outlineLevel="0" collapsed="false">
      <c r="A38" s="0" t="s">
        <v>138</v>
      </c>
      <c r="B38" s="0" t="n">
        <v>2020</v>
      </c>
      <c r="C38" s="0" t="n">
        <v>1711739</v>
      </c>
      <c r="D38" s="0" t="n">
        <v>1711739</v>
      </c>
      <c r="E38" s="0" t="n">
        <v>0</v>
      </c>
      <c r="F38" s="0" t="s">
        <v>329</v>
      </c>
      <c r="G38" s="0" t="s">
        <v>1278</v>
      </c>
      <c r="H38" s="0" t="s">
        <v>147</v>
      </c>
    </row>
    <row r="39" customFormat="false" ht="15" hidden="false" customHeight="false" outlineLevel="0" collapsed="false">
      <c r="A39" s="0" t="s">
        <v>138</v>
      </c>
      <c r="B39" s="0" t="n">
        <v>2021</v>
      </c>
      <c r="C39" s="0" t="n">
        <v>2073758</v>
      </c>
      <c r="D39" s="0" t="n">
        <v>2073758</v>
      </c>
      <c r="E39" s="0" t="n">
        <v>0</v>
      </c>
      <c r="F39" s="0" t="s">
        <v>329</v>
      </c>
      <c r="G39" s="0" t="s">
        <v>1278</v>
      </c>
      <c r="H39" s="0" t="s">
        <v>148</v>
      </c>
    </row>
    <row r="40" customFormat="false" ht="15" hidden="false" customHeight="false" outlineLevel="0" collapsed="false">
      <c r="A40" s="0" t="s">
        <v>138</v>
      </c>
      <c r="B40" s="0" t="n">
        <v>2022</v>
      </c>
      <c r="C40" s="0" t="n">
        <v>2567441</v>
      </c>
      <c r="D40" s="0" t="n">
        <v>2567441</v>
      </c>
      <c r="E40" s="0" t="n">
        <v>0</v>
      </c>
      <c r="F40" s="0" t="s">
        <v>329</v>
      </c>
      <c r="G40" s="0" t="s">
        <v>1278</v>
      </c>
      <c r="H40" s="0" t="s">
        <v>150</v>
      </c>
    </row>
    <row r="41" customFormat="false" ht="15" hidden="false" customHeight="false" outlineLevel="0" collapsed="false">
      <c r="A41" s="0" t="s">
        <v>152</v>
      </c>
      <c r="B41" s="0" t="n">
        <v>2019</v>
      </c>
      <c r="C41" s="0" t="n">
        <v>210800.841</v>
      </c>
      <c r="D41" s="0" t="n">
        <v>210800.841</v>
      </c>
      <c r="E41" s="0" t="n">
        <v>0</v>
      </c>
      <c r="F41" s="0" t="s">
        <v>329</v>
      </c>
      <c r="G41" s="0" t="s">
        <v>1278</v>
      </c>
      <c r="H41" s="0" t="s">
        <v>81</v>
      </c>
    </row>
    <row r="42" customFormat="false" ht="15" hidden="false" customHeight="false" outlineLevel="0" collapsed="false">
      <c r="A42" s="0" t="s">
        <v>154</v>
      </c>
      <c r="B42" s="0" t="n">
        <v>2015</v>
      </c>
      <c r="C42" s="0" t="n">
        <v>382562.312</v>
      </c>
      <c r="D42" s="0" t="n">
        <v>382562.312</v>
      </c>
      <c r="E42" s="0" t="n">
        <v>0</v>
      </c>
      <c r="F42" s="0" t="s">
        <v>329</v>
      </c>
      <c r="G42" s="0" t="s">
        <v>1278</v>
      </c>
      <c r="H42" s="0" t="s">
        <v>81</v>
      </c>
    </row>
    <row r="43" customFormat="false" ht="15" hidden="false" customHeight="false" outlineLevel="0" collapsed="false">
      <c r="A43" s="0" t="s">
        <v>154</v>
      </c>
      <c r="B43" s="0" t="n">
        <v>2016</v>
      </c>
      <c r="C43" s="0" t="n">
        <v>396743.314</v>
      </c>
      <c r="D43" s="0" t="n">
        <v>396743.314</v>
      </c>
      <c r="E43" s="0" t="n">
        <v>0</v>
      </c>
      <c r="F43" s="0" t="s">
        <v>329</v>
      </c>
      <c r="G43" s="0" t="s">
        <v>1278</v>
      </c>
      <c r="H43" s="0" t="s">
        <v>81</v>
      </c>
    </row>
    <row r="44" customFormat="false" ht="15" hidden="false" customHeight="false" outlineLevel="0" collapsed="false">
      <c r="A44" s="0" t="s">
        <v>154</v>
      </c>
      <c r="B44" s="0" t="n">
        <v>2017</v>
      </c>
      <c r="C44" s="0" t="n">
        <v>421221.036</v>
      </c>
      <c r="D44" s="0" t="n">
        <v>421221.036</v>
      </c>
      <c r="E44" s="0" t="n">
        <v>0</v>
      </c>
      <c r="F44" s="0" t="s">
        <v>329</v>
      </c>
      <c r="G44" s="0" t="s">
        <v>1278</v>
      </c>
      <c r="H44" s="0" t="s">
        <v>81</v>
      </c>
    </row>
    <row r="45" customFormat="false" ht="15" hidden="false" customHeight="false" outlineLevel="0" collapsed="false">
      <c r="A45" s="0" t="s">
        <v>154</v>
      </c>
      <c r="B45" s="0" t="n">
        <v>2018</v>
      </c>
      <c r="C45" s="0" t="n">
        <v>384779.809</v>
      </c>
      <c r="D45" s="0" t="n">
        <v>384779.809</v>
      </c>
      <c r="E45" s="0" t="n">
        <v>0</v>
      </c>
      <c r="F45" s="0" t="s">
        <v>329</v>
      </c>
      <c r="G45" s="0" t="s">
        <v>1278</v>
      </c>
      <c r="H45" s="0" t="s">
        <v>81</v>
      </c>
    </row>
    <row r="46" customFormat="false" ht="15" hidden="false" customHeight="false" outlineLevel="0" collapsed="false">
      <c r="A46" s="0" t="s">
        <v>154</v>
      </c>
      <c r="B46" s="0" t="n">
        <v>2019</v>
      </c>
      <c r="C46" s="0" t="n">
        <v>477915.742</v>
      </c>
      <c r="D46" s="0" t="n">
        <v>477915.742</v>
      </c>
      <c r="E46" s="0" t="n">
        <v>0</v>
      </c>
      <c r="F46" s="0" t="s">
        <v>329</v>
      </c>
      <c r="G46" s="0" t="s">
        <v>1278</v>
      </c>
      <c r="H46" s="0" t="s">
        <v>81</v>
      </c>
    </row>
    <row r="47" customFormat="false" ht="15" hidden="false" customHeight="false" outlineLevel="0" collapsed="false">
      <c r="A47" s="0" t="s">
        <v>154</v>
      </c>
      <c r="B47" s="0" t="n">
        <v>2020</v>
      </c>
      <c r="C47" s="0" t="n">
        <v>704955.604</v>
      </c>
      <c r="D47" s="0" t="n">
        <v>704955.604</v>
      </c>
      <c r="E47" s="0" t="n">
        <v>0</v>
      </c>
      <c r="F47" s="0" t="s">
        <v>329</v>
      </c>
      <c r="G47" s="0" t="s">
        <v>1278</v>
      </c>
      <c r="H47" s="0" t="s">
        <v>81</v>
      </c>
    </row>
    <row r="48" customFormat="false" ht="15" hidden="false" customHeight="false" outlineLevel="0" collapsed="false">
      <c r="A48" s="0" t="s">
        <v>154</v>
      </c>
      <c r="B48" s="0" t="n">
        <v>2021</v>
      </c>
      <c r="C48" s="0" t="n">
        <v>968582.084</v>
      </c>
      <c r="D48" s="0" t="n">
        <v>968582.084</v>
      </c>
      <c r="E48" s="0" t="n">
        <v>0</v>
      </c>
      <c r="F48" s="0" t="s">
        <v>329</v>
      </c>
      <c r="G48" s="0" t="s">
        <v>100</v>
      </c>
      <c r="H48" s="0" t="s">
        <v>81</v>
      </c>
    </row>
    <row r="49" customFormat="false" ht="15" hidden="false" customHeight="false" outlineLevel="0" collapsed="false">
      <c r="A49" s="0" t="s">
        <v>163</v>
      </c>
      <c r="B49" s="0" t="n">
        <v>2015</v>
      </c>
      <c r="C49" s="0" t="n">
        <v>3423819</v>
      </c>
      <c r="D49" s="0" t="n">
        <v>3423819</v>
      </c>
      <c r="E49" s="0" t="n">
        <v>0</v>
      </c>
      <c r="F49" s="0" t="s">
        <v>329</v>
      </c>
      <c r="G49" s="0" t="s">
        <v>1278</v>
      </c>
      <c r="H49" s="0" t="s">
        <v>81</v>
      </c>
    </row>
    <row r="50" customFormat="false" ht="15" hidden="false" customHeight="false" outlineLevel="0" collapsed="false">
      <c r="A50" s="0" t="s">
        <v>163</v>
      </c>
      <c r="B50" s="0" t="n">
        <v>2016</v>
      </c>
      <c r="C50" s="0" t="n">
        <v>3750327</v>
      </c>
      <c r="D50" s="0" t="n">
        <v>3750327</v>
      </c>
      <c r="E50" s="0" t="n">
        <v>0</v>
      </c>
      <c r="F50" s="0" t="s">
        <v>329</v>
      </c>
      <c r="G50" s="0" t="s">
        <v>166</v>
      </c>
      <c r="H50" s="0" t="s">
        <v>81</v>
      </c>
    </row>
    <row r="51" customFormat="false" ht="15" hidden="false" customHeight="false" outlineLevel="0" collapsed="false">
      <c r="A51" s="0" t="s">
        <v>163</v>
      </c>
      <c r="B51" s="0" t="n">
        <v>2017</v>
      </c>
      <c r="C51" s="0" t="n">
        <v>4283736</v>
      </c>
      <c r="D51" s="0" t="n">
        <v>4283736</v>
      </c>
      <c r="E51" s="0" t="n">
        <v>0</v>
      </c>
      <c r="F51" s="0" t="s">
        <v>329</v>
      </c>
      <c r="G51" s="0" t="s">
        <v>168</v>
      </c>
      <c r="H51" s="0" t="s">
        <v>166</v>
      </c>
    </row>
    <row r="52" customFormat="false" ht="15" hidden="false" customHeight="false" outlineLevel="0" collapsed="false">
      <c r="A52" s="0" t="s">
        <v>163</v>
      </c>
      <c r="B52" s="0" t="n">
        <v>2018</v>
      </c>
      <c r="C52" s="0" t="n">
        <v>4833658</v>
      </c>
      <c r="D52" s="0" t="n">
        <v>4833658</v>
      </c>
      <c r="E52" s="0" t="n">
        <v>0</v>
      </c>
      <c r="F52" s="0" t="s">
        <v>329</v>
      </c>
      <c r="G52" s="0" t="s">
        <v>170</v>
      </c>
      <c r="H52" s="0" t="s">
        <v>168</v>
      </c>
    </row>
    <row r="53" customFormat="false" ht="15" hidden="false" customHeight="false" outlineLevel="0" collapsed="false">
      <c r="A53" s="0" t="s">
        <v>163</v>
      </c>
      <c r="B53" s="0" t="n">
        <v>2019</v>
      </c>
      <c r="C53" s="0" t="n">
        <v>4955445</v>
      </c>
      <c r="D53" s="0" t="n">
        <v>4955445</v>
      </c>
      <c r="E53" s="0" t="n">
        <v>0</v>
      </c>
      <c r="F53" s="0" t="s">
        <v>329</v>
      </c>
      <c r="G53" s="0" t="s">
        <v>172</v>
      </c>
      <c r="H53" s="0" t="s">
        <v>170</v>
      </c>
    </row>
    <row r="54" customFormat="false" ht="15" hidden="false" customHeight="false" outlineLevel="0" collapsed="false">
      <c r="A54" s="0" t="s">
        <v>163</v>
      </c>
      <c r="B54" s="0" t="n">
        <v>2020</v>
      </c>
      <c r="C54" s="0" t="n">
        <v>5435073</v>
      </c>
      <c r="D54" s="0" t="n">
        <v>5435073</v>
      </c>
      <c r="E54" s="0" t="n">
        <v>0</v>
      </c>
      <c r="F54" s="0" t="s">
        <v>329</v>
      </c>
      <c r="G54" s="0" t="s">
        <v>174</v>
      </c>
      <c r="H54" s="0" t="s">
        <v>172</v>
      </c>
    </row>
    <row r="55" customFormat="false" ht="15" hidden="false" customHeight="false" outlineLevel="0" collapsed="false">
      <c r="A55" s="0" t="s">
        <v>163</v>
      </c>
      <c r="B55" s="0" t="n">
        <v>2022</v>
      </c>
      <c r="C55" s="0" t="n">
        <v>7872292</v>
      </c>
      <c r="D55" s="0" t="n">
        <v>7872292</v>
      </c>
      <c r="E55" s="0" t="n">
        <v>0</v>
      </c>
      <c r="F55" s="0" t="s">
        <v>329</v>
      </c>
      <c r="G55" s="0" t="s">
        <v>1278</v>
      </c>
      <c r="H5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1279</v>
      </c>
    </row>
    <row r="3" customFormat="false" ht="15" hidden="false" customHeight="false" outlineLevel="0" collapsed="false">
      <c r="A3" s="3" t="s">
        <v>1280</v>
      </c>
      <c r="B3" s="3" t="s">
        <v>50</v>
      </c>
      <c r="C3" s="3" t="s">
        <v>51</v>
      </c>
      <c r="D3" s="3" t="s">
        <v>241</v>
      </c>
      <c r="E3" s="3" t="s">
        <v>1281</v>
      </c>
      <c r="F3" s="3" t="s">
        <v>1282</v>
      </c>
      <c r="G3" s="3" t="s">
        <v>325</v>
      </c>
      <c r="H3" s="3" t="s">
        <v>1283</v>
      </c>
    </row>
    <row r="4" customFormat="false" ht="15" hidden="false" customHeight="false" outlineLevel="0" collapsed="false">
      <c r="A4" s="0" t="s">
        <v>1284</v>
      </c>
      <c r="B4" s="0" t="s">
        <v>129</v>
      </c>
      <c r="C4" s="0" t="n">
        <v>2015</v>
      </c>
      <c r="D4" s="0" t="s">
        <v>61</v>
      </c>
      <c r="E4" s="0" t="n">
        <v>13043</v>
      </c>
      <c r="F4" s="0" t="n">
        <v>13043</v>
      </c>
      <c r="G4" s="0" t="s">
        <v>1285</v>
      </c>
      <c r="H4" s="0" t="s">
        <v>1286</v>
      </c>
    </row>
    <row r="5" customFormat="false" ht="15" hidden="false" customHeight="false" outlineLevel="0" collapsed="false">
      <c r="A5" s="0" t="s">
        <v>1287</v>
      </c>
      <c r="B5" s="0" t="s">
        <v>129</v>
      </c>
      <c r="C5" s="0" t="n">
        <v>2016</v>
      </c>
      <c r="D5" s="0" t="s">
        <v>61</v>
      </c>
      <c r="E5" s="0" t="n">
        <v>29741</v>
      </c>
      <c r="F5" s="0" t="n">
        <v>29741</v>
      </c>
      <c r="G5" s="0" t="s">
        <v>1285</v>
      </c>
      <c r="H5" s="0" t="s">
        <v>1288</v>
      </c>
    </row>
    <row r="6" customFormat="false" ht="15" hidden="false" customHeight="false" outlineLevel="0" collapsed="false">
      <c r="A6" s="0" t="s">
        <v>1289</v>
      </c>
      <c r="B6" s="0" t="s">
        <v>129</v>
      </c>
      <c r="C6" s="0" t="n">
        <v>2022</v>
      </c>
      <c r="D6" s="0" t="s">
        <v>72</v>
      </c>
      <c r="E6" s="0" t="n">
        <v>0</v>
      </c>
      <c r="F6" s="0" t="n">
        <v>0</v>
      </c>
      <c r="G6" s="0" t="s">
        <v>1285</v>
      </c>
      <c r="H6" s="0" t="s">
        <v>1290</v>
      </c>
    </row>
    <row r="7" customFormat="false" ht="15" hidden="false" customHeight="false" outlineLevel="0" collapsed="false">
      <c r="A7" s="0" t="s">
        <v>1291</v>
      </c>
      <c r="B7" s="0" t="s">
        <v>138</v>
      </c>
      <c r="C7" s="0" t="n">
        <v>2017</v>
      </c>
      <c r="D7" s="0" t="s">
        <v>54</v>
      </c>
      <c r="E7" s="0" t="n">
        <v>11239</v>
      </c>
      <c r="F7" s="0" t="n">
        <v>11239</v>
      </c>
      <c r="G7" s="0" t="s">
        <v>1285</v>
      </c>
      <c r="H7" s="0" t="s">
        <v>1292</v>
      </c>
    </row>
    <row r="8" customFormat="false" ht="15" hidden="false" customHeight="false" outlineLevel="0" collapsed="false">
      <c r="A8" s="0" t="s">
        <v>1293</v>
      </c>
      <c r="B8" s="0" t="s">
        <v>138</v>
      </c>
      <c r="C8" s="0" t="n">
        <v>2018</v>
      </c>
      <c r="D8" s="0" t="s">
        <v>61</v>
      </c>
      <c r="E8" s="0" t="n">
        <v>45359</v>
      </c>
      <c r="F8" s="0" t="n">
        <v>45359</v>
      </c>
      <c r="G8" s="0" t="s">
        <v>1285</v>
      </c>
      <c r="H8" s="0" t="s">
        <v>1294</v>
      </c>
    </row>
    <row r="9" customFormat="false" ht="15" hidden="false" customHeight="false" outlineLevel="0" collapsed="false">
      <c r="A9" s="0" t="s">
        <v>1295</v>
      </c>
      <c r="B9" s="0" t="s">
        <v>138</v>
      </c>
      <c r="C9" s="0" t="n">
        <v>2022</v>
      </c>
      <c r="D9" s="0" t="s">
        <v>45</v>
      </c>
      <c r="G9" s="0" t="s">
        <v>1296</v>
      </c>
      <c r="H9" s="0" t="s">
        <v>1297</v>
      </c>
    </row>
    <row r="10" customFormat="false" ht="15" hidden="false" customHeight="false" outlineLevel="0" collapsed="false">
      <c r="A10" s="0" t="s">
        <v>1298</v>
      </c>
      <c r="B10" s="0" t="s">
        <v>126</v>
      </c>
      <c r="C10" s="0" t="n">
        <v>2018</v>
      </c>
      <c r="D10" s="0" t="s">
        <v>1299</v>
      </c>
      <c r="G10" s="0" t="s">
        <v>1296</v>
      </c>
      <c r="H10" s="0" t="s">
        <v>1300</v>
      </c>
    </row>
    <row r="11" customFormat="false" ht="15" hidden="false" customHeight="false" outlineLevel="0" collapsed="false">
      <c r="A11" s="0" t="s">
        <v>1301</v>
      </c>
      <c r="B11" s="0" t="s">
        <v>154</v>
      </c>
      <c r="C11" s="0" t="n">
        <v>2015</v>
      </c>
      <c r="D11" s="0" t="s">
        <v>54</v>
      </c>
      <c r="F11" s="0" t="n">
        <v>2273.205</v>
      </c>
      <c r="G11" s="0" t="s">
        <v>1296</v>
      </c>
      <c r="H11" s="0" t="s">
        <v>1302</v>
      </c>
    </row>
    <row r="12" customFormat="false" ht="15" hidden="false" customHeight="false" outlineLevel="0" collapsed="false">
      <c r="A12" s="0" t="s">
        <v>1303</v>
      </c>
      <c r="B12" s="0" t="s">
        <v>138</v>
      </c>
      <c r="C12" s="0" t="s">
        <v>1304</v>
      </c>
      <c r="D12" s="0" t="s">
        <v>1305</v>
      </c>
      <c r="G12" s="0" t="s">
        <v>1306</v>
      </c>
      <c r="H12" s="0" t="s">
        <v>1307</v>
      </c>
    </row>
    <row r="13" customFormat="false" ht="15" hidden="false" customHeight="false" outlineLevel="0" collapsed="false">
      <c r="A13" s="0" t="s">
        <v>1308</v>
      </c>
      <c r="B13" s="0" t="s">
        <v>138</v>
      </c>
      <c r="C13" s="0" t="s">
        <v>1309</v>
      </c>
      <c r="D13" s="0" t="s">
        <v>1310</v>
      </c>
      <c r="G13" s="0" t="s">
        <v>1311</v>
      </c>
      <c r="H13" s="0" t="s">
        <v>1312</v>
      </c>
    </row>
    <row r="14" customFormat="false" ht="15" hidden="false" customHeight="false" outlineLevel="0" collapsed="false">
      <c r="A14" s="0" t="s">
        <v>1313</v>
      </c>
      <c r="B14" s="0" t="s">
        <v>138</v>
      </c>
      <c r="C14" s="0" t="s">
        <v>1314</v>
      </c>
      <c r="D14" s="0" t="s">
        <v>1315</v>
      </c>
      <c r="G14" s="0" t="s">
        <v>1316</v>
      </c>
      <c r="H14" s="0" t="s">
        <v>1317</v>
      </c>
    </row>
    <row r="15" customFormat="false" ht="15" hidden="false" customHeight="false" outlineLevel="0" collapsed="false">
      <c r="A15" s="0" t="s">
        <v>1318</v>
      </c>
      <c r="B15" s="0" t="s">
        <v>138</v>
      </c>
      <c r="C15" s="0" t="s">
        <v>1319</v>
      </c>
      <c r="D15" s="0" t="s">
        <v>1320</v>
      </c>
      <c r="G15" s="0" t="s">
        <v>1321</v>
      </c>
      <c r="H15" s="0" t="s">
        <v>1322</v>
      </c>
    </row>
    <row r="16" customFormat="false" ht="15" hidden="false" customHeight="false" outlineLevel="0" collapsed="false">
      <c r="A16" s="0" t="s">
        <v>1323</v>
      </c>
      <c r="B16" s="0" t="s">
        <v>138</v>
      </c>
      <c r="C16" s="0" t="s">
        <v>1324</v>
      </c>
      <c r="D16" s="0" t="s">
        <v>1325</v>
      </c>
      <c r="G16" s="0" t="s">
        <v>1326</v>
      </c>
      <c r="H16" s="0" t="s">
        <v>1327</v>
      </c>
    </row>
    <row r="17" customFormat="false" ht="15" hidden="false" customHeight="false" outlineLevel="0" collapsed="false">
      <c r="A17" s="0" t="s">
        <v>1328</v>
      </c>
      <c r="B17" s="0" t="s">
        <v>138</v>
      </c>
      <c r="C17" s="0" t="s">
        <v>1329</v>
      </c>
      <c r="D17" s="0" t="s">
        <v>1330</v>
      </c>
      <c r="G17" s="0" t="s">
        <v>1326</v>
      </c>
      <c r="H17" s="0" t="s">
        <v>1331</v>
      </c>
    </row>
    <row r="18" customFormat="false" ht="15" hidden="false" customHeight="false" outlineLevel="0" collapsed="false">
      <c r="A18" s="0" t="s">
        <v>1332</v>
      </c>
      <c r="B18" s="0" t="s">
        <v>138</v>
      </c>
      <c r="C18" s="0" t="s">
        <v>1333</v>
      </c>
      <c r="D18" s="0" t="s">
        <v>1334</v>
      </c>
      <c r="G18" s="0" t="s">
        <v>1335</v>
      </c>
      <c r="H18" s="0" t="s">
        <v>1336</v>
      </c>
    </row>
    <row r="19" customFormat="false" ht="15" hidden="false" customHeight="false" outlineLevel="0" collapsed="false">
      <c r="A19" s="0" t="s">
        <v>1337</v>
      </c>
      <c r="B19" s="0" t="s">
        <v>138</v>
      </c>
      <c r="C19" s="0" t="s">
        <v>1338</v>
      </c>
      <c r="D19" s="0" t="s">
        <v>1339</v>
      </c>
      <c r="G19" s="0" t="s">
        <v>1340</v>
      </c>
      <c r="H19" s="0" t="s">
        <v>1341</v>
      </c>
    </row>
    <row r="20" customFormat="false" ht="15" hidden="false" customHeight="false" outlineLevel="0" collapsed="false">
      <c r="A20" s="0" t="s">
        <v>1342</v>
      </c>
      <c r="B20" s="0" t="s">
        <v>138</v>
      </c>
      <c r="C20" s="0" t="s">
        <v>1343</v>
      </c>
      <c r="D20" s="0" t="s">
        <v>1344</v>
      </c>
      <c r="G20" s="0" t="s">
        <v>1326</v>
      </c>
      <c r="H20" s="0" t="s">
        <v>1345</v>
      </c>
    </row>
    <row r="21" customFormat="false" ht="15" hidden="false" customHeight="false" outlineLevel="0" collapsed="false">
      <c r="A21" s="0" t="s">
        <v>1346</v>
      </c>
      <c r="B21" s="0" t="s">
        <v>138</v>
      </c>
      <c r="C21" s="0" t="s">
        <v>1347</v>
      </c>
      <c r="D21" s="0" t="s">
        <v>1348</v>
      </c>
      <c r="G21" s="0" t="s">
        <v>1349</v>
      </c>
      <c r="H21" s="0" t="s">
        <v>1350</v>
      </c>
    </row>
    <row r="22" customFormat="false" ht="15" hidden="false" customHeight="false" outlineLevel="0" collapsed="false">
      <c r="A22" s="0" t="s">
        <v>1351</v>
      </c>
      <c r="B22" s="0" t="s">
        <v>138</v>
      </c>
      <c r="C22" s="0" t="s">
        <v>1352</v>
      </c>
      <c r="D22" s="0" t="s">
        <v>1353</v>
      </c>
      <c r="G22" s="0" t="s">
        <v>1326</v>
      </c>
      <c r="H22" s="0" t="s">
        <v>1354</v>
      </c>
    </row>
    <row r="23" customFormat="false" ht="15" hidden="false" customHeight="false" outlineLevel="0" collapsed="false">
      <c r="A23" s="0" t="s">
        <v>1355</v>
      </c>
      <c r="B23" s="0" t="s">
        <v>138</v>
      </c>
      <c r="C23" s="0" t="s">
        <v>1356</v>
      </c>
      <c r="D23" s="0" t="s">
        <v>1357</v>
      </c>
      <c r="G23" s="0" t="s">
        <v>1335</v>
      </c>
      <c r="H23" s="0" t="s">
        <v>1358</v>
      </c>
    </row>
    <row r="24" customFormat="false" ht="15" hidden="false" customHeight="false" outlineLevel="0" collapsed="false">
      <c r="A24" s="0" t="s">
        <v>1359</v>
      </c>
      <c r="B24" s="0" t="s">
        <v>138</v>
      </c>
      <c r="C24" s="0" t="s">
        <v>1356</v>
      </c>
      <c r="D24" s="0" t="s">
        <v>1360</v>
      </c>
      <c r="G24" s="0" t="s">
        <v>1335</v>
      </c>
      <c r="H24" s="0" t="s">
        <v>1361</v>
      </c>
    </row>
    <row r="25" customFormat="false" ht="15" hidden="false" customHeight="false" outlineLevel="0" collapsed="false">
      <c r="A25" s="0" t="s">
        <v>1362</v>
      </c>
      <c r="B25" s="0" t="s">
        <v>138</v>
      </c>
      <c r="C25" s="0" t="s">
        <v>1363</v>
      </c>
      <c r="D25" s="0" t="s">
        <v>1364</v>
      </c>
      <c r="G25" s="0" t="s">
        <v>1365</v>
      </c>
      <c r="H25" s="0" t="s">
        <v>1366</v>
      </c>
    </row>
    <row r="26" customFormat="false" ht="15" hidden="false" customHeight="false" outlineLevel="0" collapsed="false">
      <c r="A26" s="0" t="s">
        <v>1367</v>
      </c>
      <c r="B26" s="0" t="s">
        <v>138</v>
      </c>
      <c r="C26" s="0" t="s">
        <v>1368</v>
      </c>
      <c r="D26" s="0" t="s">
        <v>1369</v>
      </c>
      <c r="G26" s="0" t="s">
        <v>1370</v>
      </c>
      <c r="H26" s="0" t="s">
        <v>1371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1372</v>
      </c>
    </row>
    <row r="3" customFormat="false" ht="15" hidden="false" customHeight="false" outlineLevel="0" collapsed="false">
      <c r="A3" s="3" t="s">
        <v>1373</v>
      </c>
      <c r="B3" s="3" t="s">
        <v>50</v>
      </c>
      <c r="C3" s="3" t="s">
        <v>51</v>
      </c>
      <c r="D3" s="3" t="s">
        <v>241</v>
      </c>
      <c r="E3" s="3" t="s">
        <v>1374</v>
      </c>
      <c r="F3" s="3" t="s">
        <v>1375</v>
      </c>
      <c r="G3" s="3" t="s">
        <v>1376</v>
      </c>
    </row>
    <row r="4" customFormat="false" ht="15" hidden="false" customHeight="false" outlineLevel="0" collapsed="false">
      <c r="A4" s="0" t="s">
        <v>564</v>
      </c>
      <c r="B4" s="0" t="s">
        <v>116</v>
      </c>
      <c r="C4" s="0" t="n">
        <v>2021</v>
      </c>
      <c r="D4" s="0" t="s">
        <v>65</v>
      </c>
      <c r="E4" s="0" t="n">
        <v>226940</v>
      </c>
      <c r="F4" s="0" t="n">
        <v>228300</v>
      </c>
      <c r="G4" s="0" t="s">
        <v>1377</v>
      </c>
    </row>
    <row r="5" customFormat="false" ht="15" hidden="false" customHeight="false" outlineLevel="0" collapsed="false">
      <c r="A5" s="0" t="s">
        <v>437</v>
      </c>
      <c r="B5" s="0" t="s">
        <v>154</v>
      </c>
      <c r="C5" s="0" t="n">
        <v>2021</v>
      </c>
      <c r="D5" s="0" t="s">
        <v>69</v>
      </c>
      <c r="E5" s="0" t="n">
        <v>11.71</v>
      </c>
      <c r="F5" s="0" t="n">
        <v>11.56</v>
      </c>
      <c r="G5" s="0" t="s">
        <v>367</v>
      </c>
    </row>
    <row r="6" customFormat="false" ht="15" hidden="false" customHeight="false" outlineLevel="0" collapsed="false">
      <c r="A6" s="0" t="s">
        <v>726</v>
      </c>
      <c r="B6" s="0" t="s">
        <v>154</v>
      </c>
      <c r="C6" s="0" t="n">
        <v>2021</v>
      </c>
      <c r="D6" s="0" t="s">
        <v>64</v>
      </c>
      <c r="E6" s="0" t="n">
        <v>21263.336</v>
      </c>
      <c r="G6" s="0" t="s">
        <v>1378</v>
      </c>
    </row>
    <row r="7" customFormat="false" ht="15" hidden="false" customHeight="false" outlineLevel="0" collapsed="false">
      <c r="A7" s="0" t="s">
        <v>564</v>
      </c>
      <c r="B7" s="0" t="s">
        <v>138</v>
      </c>
      <c r="C7" s="0" t="n">
        <v>2015</v>
      </c>
      <c r="D7" s="0" t="s">
        <v>54</v>
      </c>
      <c r="E7" s="0" t="n">
        <v>18035</v>
      </c>
      <c r="F7" s="0" t="n">
        <v>17721</v>
      </c>
      <c r="G7" s="0" t="s">
        <v>1379</v>
      </c>
    </row>
    <row r="8" customFormat="false" ht="15" hidden="false" customHeight="false" outlineLevel="0" collapsed="false">
      <c r="A8" s="0" t="s">
        <v>732</v>
      </c>
      <c r="B8" s="0" t="s">
        <v>154</v>
      </c>
      <c r="C8" s="0" t="n">
        <v>2022</v>
      </c>
      <c r="D8" s="0" t="s">
        <v>63</v>
      </c>
      <c r="E8" s="0" t="n">
        <v>4762.274</v>
      </c>
      <c r="F8" s="0" t="n">
        <v>4808.387</v>
      </c>
      <c r="G8" s="0" t="s">
        <v>1380</v>
      </c>
    </row>
    <row r="9" customFormat="false" ht="15" hidden="false" customHeight="false" outlineLevel="0" collapsed="false">
      <c r="A9" s="0" t="s">
        <v>437</v>
      </c>
      <c r="B9" s="0" t="s">
        <v>116</v>
      </c>
      <c r="C9" s="0" t="n">
        <v>2020</v>
      </c>
      <c r="D9" s="0" t="s">
        <v>65</v>
      </c>
      <c r="E9" s="0" t="n">
        <v>176542</v>
      </c>
      <c r="F9" s="0" t="n">
        <v>221408</v>
      </c>
      <c r="G9" s="0" t="s">
        <v>1381</v>
      </c>
    </row>
    <row r="10" customFormat="false" ht="15" hidden="false" customHeight="false" outlineLevel="0" collapsed="false">
      <c r="A10" s="0" t="s">
        <v>564</v>
      </c>
      <c r="B10" s="0" t="s">
        <v>163</v>
      </c>
      <c r="C10" s="0" t="n">
        <v>2017</v>
      </c>
      <c r="D10" s="0" t="s">
        <v>56</v>
      </c>
      <c r="E10" s="0" t="n">
        <v>4126133</v>
      </c>
      <c r="F10" s="0" t="n">
        <v>4135675</v>
      </c>
      <c r="G10" s="0" t="s">
        <v>1382</v>
      </c>
    </row>
    <row r="11" customFormat="false" ht="15" hidden="false" customHeight="false" outlineLevel="0" collapsed="false">
      <c r="A11" s="0" t="s">
        <v>564</v>
      </c>
      <c r="B11" s="0" t="s">
        <v>109</v>
      </c>
      <c r="C11" s="0" t="n">
        <v>2018</v>
      </c>
      <c r="D11" s="0" t="s">
        <v>57</v>
      </c>
      <c r="E11" s="0" t="n">
        <v>511842.259</v>
      </c>
      <c r="F11" s="0" t="n">
        <v>510185.839</v>
      </c>
      <c r="G11" s="0" t="s">
        <v>1383</v>
      </c>
    </row>
    <row r="12" customFormat="false" ht="15" hidden="false" customHeight="false" outlineLevel="0" collapsed="false">
      <c r="A12" s="0" t="s">
        <v>437</v>
      </c>
      <c r="B12" s="0" t="s">
        <v>86</v>
      </c>
      <c r="C12" s="0" t="n">
        <v>2016</v>
      </c>
      <c r="D12" s="0" t="s">
        <v>69</v>
      </c>
      <c r="E12" s="0" t="n">
        <v>17.22</v>
      </c>
      <c r="F12" s="0" t="n">
        <v>17.3</v>
      </c>
      <c r="G12" s="0" t="s">
        <v>1384</v>
      </c>
    </row>
    <row r="13" customFormat="false" ht="15" hidden="false" customHeight="false" outlineLevel="0" collapsed="false">
      <c r="A13" s="0" t="s">
        <v>1385</v>
      </c>
      <c r="B13" s="0" t="s">
        <v>86</v>
      </c>
      <c r="C13" s="0" t="n">
        <v>2017</v>
      </c>
      <c r="D13" s="0" t="s">
        <v>54</v>
      </c>
      <c r="E13" s="0" t="n">
        <v>18857</v>
      </c>
      <c r="F13" s="0" t="n">
        <v>17768</v>
      </c>
      <c r="G13" s="0" t="s">
        <v>1386</v>
      </c>
    </row>
    <row r="14" customFormat="false" ht="15" hidden="false" customHeight="false" outlineLevel="0" collapsed="false">
      <c r="A14" s="0" t="s">
        <v>1385</v>
      </c>
      <c r="B14" s="0" t="s">
        <v>86</v>
      </c>
      <c r="C14" s="0" t="n">
        <v>2017</v>
      </c>
      <c r="D14" s="0" t="s">
        <v>54</v>
      </c>
      <c r="E14" s="0" t="n">
        <v>18857</v>
      </c>
      <c r="F14" s="0" t="n">
        <v>17768</v>
      </c>
      <c r="G14" s="0" t="s">
        <v>1387</v>
      </c>
    </row>
    <row r="15" customFormat="false" ht="15" hidden="false" customHeight="false" outlineLevel="0" collapsed="false">
      <c r="A15" s="0" t="s">
        <v>1385</v>
      </c>
      <c r="B15" s="0" t="s">
        <v>104</v>
      </c>
      <c r="C15" s="0" t="n">
        <v>2016</v>
      </c>
      <c r="D15" s="0" t="s">
        <v>55</v>
      </c>
      <c r="E15" s="0" t="n">
        <v>3557782</v>
      </c>
      <c r="F15" s="0" t="n">
        <v>4514792</v>
      </c>
      <c r="G15" s="0" t="s">
        <v>1386</v>
      </c>
    </row>
    <row r="16" customFormat="false" ht="15" hidden="false" customHeight="false" outlineLevel="0" collapsed="false">
      <c r="A16" s="0" t="s">
        <v>1385</v>
      </c>
      <c r="B16" s="0" t="s">
        <v>104</v>
      </c>
      <c r="C16" s="0" t="n">
        <v>2016</v>
      </c>
      <c r="D16" s="0" t="s">
        <v>55</v>
      </c>
      <c r="E16" s="0" t="n">
        <v>3557782</v>
      </c>
      <c r="F16" s="0" t="n">
        <v>4514792</v>
      </c>
      <c r="G16" s="0" t="s">
        <v>1387</v>
      </c>
    </row>
    <row r="17" customFormat="false" ht="15" hidden="false" customHeight="false" outlineLevel="0" collapsed="false">
      <c r="A17" s="0" t="s">
        <v>1385</v>
      </c>
      <c r="B17" s="0" t="s">
        <v>104</v>
      </c>
      <c r="C17" s="0" t="n">
        <v>2016</v>
      </c>
      <c r="D17" s="0" t="s">
        <v>60</v>
      </c>
      <c r="E17" s="0" t="n">
        <v>1933407</v>
      </c>
      <c r="F17" s="0" t="n">
        <v>2086740</v>
      </c>
      <c r="G17" s="0" t="s">
        <v>1386</v>
      </c>
    </row>
    <row r="18" customFormat="false" ht="15" hidden="false" customHeight="false" outlineLevel="0" collapsed="false">
      <c r="A18" s="0" t="s">
        <v>1385</v>
      </c>
      <c r="B18" s="0" t="s">
        <v>104</v>
      </c>
      <c r="C18" s="0" t="n">
        <v>2016</v>
      </c>
      <c r="D18" s="0" t="s">
        <v>60</v>
      </c>
      <c r="E18" s="0" t="n">
        <v>1933407</v>
      </c>
      <c r="F18" s="0" t="n">
        <v>2086740</v>
      </c>
      <c r="G18" s="0" t="s">
        <v>1387</v>
      </c>
    </row>
    <row r="19" customFormat="false" ht="15" hidden="false" customHeight="false" outlineLevel="0" collapsed="false">
      <c r="A19" s="0" t="s">
        <v>1385</v>
      </c>
      <c r="B19" s="0" t="s">
        <v>104</v>
      </c>
      <c r="C19" s="0" t="n">
        <v>2016</v>
      </c>
      <c r="D19" s="0" t="s">
        <v>54</v>
      </c>
      <c r="E19" s="0" t="n">
        <v>50072</v>
      </c>
      <c r="F19" s="0" t="n">
        <v>11768</v>
      </c>
      <c r="G19" s="0" t="s">
        <v>1386</v>
      </c>
    </row>
    <row r="20" customFormat="false" ht="15" hidden="false" customHeight="false" outlineLevel="0" collapsed="false">
      <c r="A20" s="0" t="s">
        <v>1385</v>
      </c>
      <c r="B20" s="0" t="s">
        <v>104</v>
      </c>
      <c r="C20" s="0" t="n">
        <v>2016</v>
      </c>
      <c r="D20" s="0" t="s">
        <v>54</v>
      </c>
      <c r="E20" s="0" t="n">
        <v>50072</v>
      </c>
      <c r="F20" s="0" t="n">
        <v>11768</v>
      </c>
      <c r="G20" s="0" t="s">
        <v>1387</v>
      </c>
    </row>
    <row r="21" customFormat="false" ht="15" hidden="false" customHeight="false" outlineLevel="0" collapsed="false">
      <c r="A21" s="0" t="s">
        <v>1385</v>
      </c>
      <c r="B21" s="0" t="s">
        <v>104</v>
      </c>
      <c r="C21" s="0" t="n">
        <v>2017</v>
      </c>
      <c r="D21" s="0" t="s">
        <v>55</v>
      </c>
      <c r="E21" s="0" t="n">
        <v>3777039</v>
      </c>
      <c r="F21" s="0" t="n">
        <v>5014248</v>
      </c>
      <c r="G21" s="0" t="s">
        <v>1386</v>
      </c>
    </row>
    <row r="22" customFormat="false" ht="15" hidden="false" customHeight="false" outlineLevel="0" collapsed="false">
      <c r="A22" s="0" t="s">
        <v>1385</v>
      </c>
      <c r="B22" s="0" t="s">
        <v>104</v>
      </c>
      <c r="C22" s="0" t="n">
        <v>2017</v>
      </c>
      <c r="D22" s="0" t="s">
        <v>55</v>
      </c>
      <c r="E22" s="0" t="n">
        <v>3777039</v>
      </c>
      <c r="F22" s="0" t="n">
        <v>5014248</v>
      </c>
      <c r="G22" s="0" t="s">
        <v>1387</v>
      </c>
    </row>
    <row r="23" customFormat="false" ht="15" hidden="false" customHeight="false" outlineLevel="0" collapsed="false">
      <c r="A23" s="0" t="s">
        <v>1385</v>
      </c>
      <c r="B23" s="0" t="s">
        <v>104</v>
      </c>
      <c r="C23" s="0" t="n">
        <v>2017</v>
      </c>
      <c r="D23" s="0" t="s">
        <v>60</v>
      </c>
      <c r="E23" s="0" t="n">
        <v>1837515</v>
      </c>
      <c r="F23" s="0" t="n">
        <v>2026038</v>
      </c>
      <c r="G23" s="0" t="s">
        <v>1386</v>
      </c>
    </row>
    <row r="24" customFormat="false" ht="15" hidden="false" customHeight="false" outlineLevel="0" collapsed="false">
      <c r="A24" s="0" t="s">
        <v>1385</v>
      </c>
      <c r="B24" s="0" t="s">
        <v>104</v>
      </c>
      <c r="C24" s="0" t="n">
        <v>2017</v>
      </c>
      <c r="D24" s="0" t="s">
        <v>60</v>
      </c>
      <c r="E24" s="0" t="n">
        <v>1837515</v>
      </c>
      <c r="F24" s="0" t="n">
        <v>2026038</v>
      </c>
      <c r="G24" s="0" t="s">
        <v>1387</v>
      </c>
    </row>
    <row r="25" customFormat="false" ht="15" hidden="false" customHeight="false" outlineLevel="0" collapsed="false">
      <c r="A25" s="0" t="s">
        <v>1385</v>
      </c>
      <c r="B25" s="0" t="s">
        <v>104</v>
      </c>
      <c r="C25" s="0" t="n">
        <v>2017</v>
      </c>
      <c r="D25" s="0" t="s">
        <v>54</v>
      </c>
      <c r="E25" s="0" t="n">
        <v>46918</v>
      </c>
      <c r="F25" s="0" t="n">
        <v>51475</v>
      </c>
      <c r="G25" s="0" t="s">
        <v>1386</v>
      </c>
    </row>
    <row r="26" customFormat="false" ht="15" hidden="false" customHeight="false" outlineLevel="0" collapsed="false">
      <c r="A26" s="0" t="s">
        <v>1385</v>
      </c>
      <c r="B26" s="0" t="s">
        <v>104</v>
      </c>
      <c r="C26" s="0" t="n">
        <v>2017</v>
      </c>
      <c r="D26" s="0" t="s">
        <v>54</v>
      </c>
      <c r="E26" s="0" t="n">
        <v>46918</v>
      </c>
      <c r="F26" s="0" t="n">
        <v>51475</v>
      </c>
      <c r="G26" s="0" t="s">
        <v>1387</v>
      </c>
    </row>
    <row r="27" customFormat="false" ht="15" hidden="false" customHeight="false" outlineLevel="0" collapsed="false">
      <c r="A27" s="0" t="s">
        <v>1385</v>
      </c>
      <c r="B27" s="0" t="s">
        <v>109</v>
      </c>
      <c r="C27" s="0" t="n">
        <v>2017</v>
      </c>
      <c r="D27" s="0" t="s">
        <v>60</v>
      </c>
      <c r="E27" s="0" t="n">
        <v>1326250.395</v>
      </c>
      <c r="F27" s="0" t="n">
        <v>1163273</v>
      </c>
      <c r="G27" s="0" t="s">
        <v>1386</v>
      </c>
    </row>
    <row r="28" customFormat="false" ht="15" hidden="false" customHeight="false" outlineLevel="0" collapsed="false">
      <c r="A28" s="0" t="s">
        <v>1385</v>
      </c>
      <c r="B28" s="0" t="s">
        <v>109</v>
      </c>
      <c r="C28" s="0" t="n">
        <v>2017</v>
      </c>
      <c r="D28" s="0" t="s">
        <v>60</v>
      </c>
      <c r="E28" s="0" t="n">
        <v>1326250.395</v>
      </c>
      <c r="F28" s="0" t="n">
        <v>1163273</v>
      </c>
      <c r="G28" s="0" t="s">
        <v>1387</v>
      </c>
    </row>
    <row r="29" customFormat="false" ht="15" hidden="false" customHeight="false" outlineLevel="0" collapsed="false">
      <c r="A29" s="0" t="s">
        <v>1385</v>
      </c>
      <c r="B29" s="0" t="s">
        <v>109</v>
      </c>
      <c r="C29" s="0" t="n">
        <v>2017</v>
      </c>
      <c r="D29" s="0" t="s">
        <v>61</v>
      </c>
      <c r="E29" s="0" t="n">
        <v>60278.707</v>
      </c>
      <c r="F29" s="0" t="n">
        <v>57658</v>
      </c>
      <c r="G29" s="0" t="s">
        <v>1386</v>
      </c>
    </row>
    <row r="30" customFormat="false" ht="15" hidden="false" customHeight="false" outlineLevel="0" collapsed="false">
      <c r="A30" s="0" t="s">
        <v>1385</v>
      </c>
      <c r="B30" s="0" t="s">
        <v>109</v>
      </c>
      <c r="C30" s="0" t="n">
        <v>2017</v>
      </c>
      <c r="D30" s="0" t="s">
        <v>61</v>
      </c>
      <c r="E30" s="0" t="n">
        <v>60278.707</v>
      </c>
      <c r="F30" s="0" t="n">
        <v>57658</v>
      </c>
      <c r="G30" s="0" t="s">
        <v>1387</v>
      </c>
    </row>
    <row r="31" customFormat="false" ht="15" hidden="false" customHeight="false" outlineLevel="0" collapsed="false">
      <c r="A31" s="0" t="s">
        <v>1385</v>
      </c>
      <c r="B31" s="0" t="s">
        <v>109</v>
      </c>
      <c r="C31" s="0" t="n">
        <v>2017</v>
      </c>
      <c r="D31" s="0" t="s">
        <v>54</v>
      </c>
      <c r="E31" s="0" t="n">
        <v>158727.705</v>
      </c>
      <c r="F31" s="0" t="n">
        <v>161285</v>
      </c>
      <c r="G31" s="0" t="s">
        <v>1386</v>
      </c>
    </row>
    <row r="32" customFormat="false" ht="15" hidden="false" customHeight="false" outlineLevel="0" collapsed="false">
      <c r="A32" s="0" t="s">
        <v>1385</v>
      </c>
      <c r="B32" s="0" t="s">
        <v>109</v>
      </c>
      <c r="C32" s="0" t="n">
        <v>2017</v>
      </c>
      <c r="D32" s="0" t="s">
        <v>54</v>
      </c>
      <c r="E32" s="0" t="n">
        <v>158727.705</v>
      </c>
      <c r="F32" s="0" t="n">
        <v>161285</v>
      </c>
      <c r="G32" s="0" t="s">
        <v>1387</v>
      </c>
    </row>
    <row r="33" customFormat="false" ht="15" hidden="false" customHeight="false" outlineLevel="0" collapsed="false">
      <c r="A33" s="0" t="s">
        <v>1385</v>
      </c>
      <c r="B33" s="0" t="s">
        <v>109</v>
      </c>
      <c r="C33" s="0" t="n">
        <v>2017</v>
      </c>
      <c r="D33" s="0" t="s">
        <v>63</v>
      </c>
      <c r="E33" s="0" t="n">
        <v>11531.292</v>
      </c>
      <c r="F33" s="0" t="n">
        <v>10835</v>
      </c>
      <c r="G33" s="0" t="s">
        <v>1386</v>
      </c>
    </row>
    <row r="34" customFormat="false" ht="15" hidden="false" customHeight="false" outlineLevel="0" collapsed="false">
      <c r="A34" s="0" t="s">
        <v>1385</v>
      </c>
      <c r="B34" s="0" t="s">
        <v>109</v>
      </c>
      <c r="C34" s="0" t="n">
        <v>2017</v>
      </c>
      <c r="D34" s="0" t="s">
        <v>63</v>
      </c>
      <c r="E34" s="0" t="n">
        <v>11531.292</v>
      </c>
      <c r="F34" s="0" t="n">
        <v>10835</v>
      </c>
      <c r="G34" s="0" t="s">
        <v>1387</v>
      </c>
    </row>
    <row r="35" customFormat="false" ht="15" hidden="false" customHeight="false" outlineLevel="0" collapsed="false">
      <c r="A35" s="0" t="s">
        <v>1385</v>
      </c>
      <c r="B35" s="0" t="s">
        <v>109</v>
      </c>
      <c r="C35" s="0" t="n">
        <v>2018</v>
      </c>
      <c r="D35" s="0" t="s">
        <v>60</v>
      </c>
      <c r="E35" s="0" t="n">
        <v>1158980.803</v>
      </c>
      <c r="F35" s="0" t="n">
        <v>1159030</v>
      </c>
      <c r="G35" s="0" t="s">
        <v>1386</v>
      </c>
    </row>
    <row r="36" customFormat="false" ht="15" hidden="false" customHeight="false" outlineLevel="0" collapsed="false">
      <c r="A36" s="0" t="s">
        <v>1385</v>
      </c>
      <c r="B36" s="0" t="s">
        <v>109</v>
      </c>
      <c r="C36" s="0" t="n">
        <v>2018</v>
      </c>
      <c r="D36" s="0" t="s">
        <v>60</v>
      </c>
      <c r="E36" s="0" t="n">
        <v>1158980.803</v>
      </c>
      <c r="F36" s="0" t="n">
        <v>1159030</v>
      </c>
      <c r="G36" s="0" t="s">
        <v>1387</v>
      </c>
    </row>
    <row r="37" customFormat="false" ht="15" hidden="false" customHeight="false" outlineLevel="0" collapsed="false">
      <c r="A37" s="0" t="s">
        <v>1385</v>
      </c>
      <c r="B37" s="0" t="s">
        <v>109</v>
      </c>
      <c r="C37" s="0" t="n">
        <v>2018</v>
      </c>
      <c r="D37" s="0" t="s">
        <v>61</v>
      </c>
      <c r="E37" s="0" t="n">
        <v>90981.784</v>
      </c>
      <c r="F37" s="0" t="n">
        <v>90984</v>
      </c>
      <c r="G37" s="0" t="s">
        <v>1386</v>
      </c>
    </row>
    <row r="38" customFormat="false" ht="15" hidden="false" customHeight="false" outlineLevel="0" collapsed="false">
      <c r="A38" s="0" t="s">
        <v>1385</v>
      </c>
      <c r="B38" s="0" t="s">
        <v>109</v>
      </c>
      <c r="C38" s="0" t="n">
        <v>2018</v>
      </c>
      <c r="D38" s="0" t="s">
        <v>61</v>
      </c>
      <c r="E38" s="0" t="n">
        <v>90981.784</v>
      </c>
      <c r="F38" s="0" t="n">
        <v>90984</v>
      </c>
      <c r="G38" s="0" t="s">
        <v>1387</v>
      </c>
    </row>
    <row r="39" customFormat="false" ht="15" hidden="false" customHeight="false" outlineLevel="0" collapsed="false">
      <c r="A39" s="0" t="s">
        <v>1385</v>
      </c>
      <c r="B39" s="0" t="s">
        <v>109</v>
      </c>
      <c r="C39" s="0" t="n">
        <v>2018</v>
      </c>
      <c r="D39" s="0" t="s">
        <v>54</v>
      </c>
      <c r="E39" s="0" t="n">
        <v>166919.765</v>
      </c>
      <c r="F39" s="0" t="n">
        <v>166753</v>
      </c>
      <c r="G39" s="0" t="s">
        <v>1386</v>
      </c>
    </row>
    <row r="40" customFormat="false" ht="15" hidden="false" customHeight="false" outlineLevel="0" collapsed="false">
      <c r="A40" s="0" t="s">
        <v>1385</v>
      </c>
      <c r="B40" s="0" t="s">
        <v>109</v>
      </c>
      <c r="C40" s="0" t="n">
        <v>2018</v>
      </c>
      <c r="D40" s="0" t="s">
        <v>54</v>
      </c>
      <c r="E40" s="0" t="n">
        <v>166919.765</v>
      </c>
      <c r="F40" s="0" t="n">
        <v>166753</v>
      </c>
      <c r="G40" s="0" t="s">
        <v>1387</v>
      </c>
    </row>
    <row r="41" customFormat="false" ht="15" hidden="false" customHeight="false" outlineLevel="0" collapsed="false">
      <c r="A41" s="0" t="s">
        <v>1385</v>
      </c>
      <c r="B41" s="0" t="s">
        <v>109</v>
      </c>
      <c r="C41" s="0" t="n">
        <v>2018</v>
      </c>
      <c r="D41" s="0" t="s">
        <v>63</v>
      </c>
      <c r="E41" s="0" t="n">
        <v>1384.004</v>
      </c>
      <c r="F41" s="0" t="n">
        <v>1504</v>
      </c>
      <c r="G41" s="0" t="s">
        <v>1386</v>
      </c>
    </row>
    <row r="42" customFormat="false" ht="15" hidden="false" customHeight="false" outlineLevel="0" collapsed="false">
      <c r="A42" s="0" t="s">
        <v>1385</v>
      </c>
      <c r="B42" s="0" t="s">
        <v>109</v>
      </c>
      <c r="C42" s="0" t="n">
        <v>2018</v>
      </c>
      <c r="D42" s="0" t="s">
        <v>63</v>
      </c>
      <c r="E42" s="0" t="n">
        <v>1384.004</v>
      </c>
      <c r="F42" s="0" t="n">
        <v>1504</v>
      </c>
      <c r="G42" s="0" t="s">
        <v>1387</v>
      </c>
    </row>
    <row r="43" customFormat="false" ht="15" hidden="false" customHeight="false" outlineLevel="0" collapsed="false">
      <c r="A43" s="0" t="s">
        <v>1385</v>
      </c>
      <c r="B43" s="0" t="s">
        <v>109</v>
      </c>
      <c r="C43" s="0" t="n">
        <v>2019</v>
      </c>
      <c r="D43" s="0" t="s">
        <v>60</v>
      </c>
      <c r="E43" s="0" t="n">
        <v>1357066.246</v>
      </c>
      <c r="F43" s="0" t="n">
        <v>1357147</v>
      </c>
      <c r="G43" s="0" t="s">
        <v>1386</v>
      </c>
    </row>
    <row r="44" customFormat="false" ht="15" hidden="false" customHeight="false" outlineLevel="0" collapsed="false">
      <c r="A44" s="0" t="s">
        <v>1385</v>
      </c>
      <c r="B44" s="0" t="s">
        <v>109</v>
      </c>
      <c r="C44" s="0" t="n">
        <v>2019</v>
      </c>
      <c r="D44" s="0" t="s">
        <v>60</v>
      </c>
      <c r="E44" s="0" t="n">
        <v>1357066.246</v>
      </c>
      <c r="F44" s="0" t="n">
        <v>1357147</v>
      </c>
      <c r="G44" s="0" t="s">
        <v>1387</v>
      </c>
    </row>
    <row r="45" customFormat="false" ht="15" hidden="false" customHeight="false" outlineLevel="0" collapsed="false">
      <c r="A45" s="0" t="s">
        <v>1385</v>
      </c>
      <c r="B45" s="0" t="s">
        <v>109</v>
      </c>
      <c r="C45" s="0" t="n">
        <v>2019</v>
      </c>
      <c r="D45" s="0" t="s">
        <v>61</v>
      </c>
      <c r="E45" s="0" t="n">
        <v>56245.599</v>
      </c>
      <c r="F45" s="0" t="n">
        <v>56254</v>
      </c>
      <c r="G45" s="0" t="s">
        <v>1386</v>
      </c>
    </row>
    <row r="46" customFormat="false" ht="15" hidden="false" customHeight="false" outlineLevel="0" collapsed="false">
      <c r="A46" s="0" t="s">
        <v>1385</v>
      </c>
      <c r="B46" s="0" t="s">
        <v>109</v>
      </c>
      <c r="C46" s="0" t="n">
        <v>2019</v>
      </c>
      <c r="D46" s="0" t="s">
        <v>61</v>
      </c>
      <c r="E46" s="0" t="n">
        <v>56245.599</v>
      </c>
      <c r="F46" s="0" t="n">
        <v>56254</v>
      </c>
      <c r="G46" s="0" t="s">
        <v>1387</v>
      </c>
    </row>
    <row r="47" customFormat="false" ht="15" hidden="false" customHeight="false" outlineLevel="0" collapsed="false">
      <c r="A47" s="0" t="s">
        <v>1385</v>
      </c>
      <c r="B47" s="0" t="s">
        <v>109</v>
      </c>
      <c r="C47" s="0" t="n">
        <v>2019</v>
      </c>
      <c r="D47" s="0" t="s">
        <v>63</v>
      </c>
      <c r="E47" s="0" t="n">
        <v>1859.247</v>
      </c>
      <c r="F47" s="0" t="n">
        <v>2222</v>
      </c>
      <c r="G47" s="0" t="s">
        <v>1386</v>
      </c>
    </row>
    <row r="48" customFormat="false" ht="15" hidden="false" customHeight="false" outlineLevel="0" collapsed="false">
      <c r="A48" s="0" t="s">
        <v>1385</v>
      </c>
      <c r="B48" s="0" t="s">
        <v>109</v>
      </c>
      <c r="C48" s="0" t="n">
        <v>2019</v>
      </c>
      <c r="D48" s="0" t="s">
        <v>63</v>
      </c>
      <c r="E48" s="0" t="n">
        <v>1859.247</v>
      </c>
      <c r="F48" s="0" t="n">
        <v>2222</v>
      </c>
      <c r="G48" s="0" t="s">
        <v>1387</v>
      </c>
    </row>
    <row r="49" customFormat="false" ht="15" hidden="false" customHeight="false" outlineLevel="0" collapsed="false">
      <c r="A49" s="0" t="s">
        <v>1385</v>
      </c>
      <c r="B49" s="0" t="s">
        <v>116</v>
      </c>
      <c r="C49" s="0" t="n">
        <v>2018</v>
      </c>
      <c r="D49" s="0" t="s">
        <v>55</v>
      </c>
      <c r="E49" s="0" t="n">
        <v>1599245</v>
      </c>
      <c r="F49" s="0" t="n">
        <v>1613500</v>
      </c>
      <c r="G49" s="0" t="s">
        <v>1386</v>
      </c>
    </row>
    <row r="50" customFormat="false" ht="15" hidden="false" customHeight="false" outlineLevel="0" collapsed="false">
      <c r="A50" s="0" t="s">
        <v>1385</v>
      </c>
      <c r="B50" s="0" t="s">
        <v>116</v>
      </c>
      <c r="C50" s="0" t="n">
        <v>2018</v>
      </c>
      <c r="D50" s="0" t="s">
        <v>55</v>
      </c>
      <c r="E50" s="0" t="n">
        <v>1599245</v>
      </c>
      <c r="F50" s="0" t="n">
        <v>1613500</v>
      </c>
      <c r="G50" s="0" t="s">
        <v>1387</v>
      </c>
    </row>
    <row r="51" customFormat="false" ht="15" hidden="false" customHeight="false" outlineLevel="0" collapsed="false">
      <c r="A51" s="0" t="s">
        <v>1385</v>
      </c>
      <c r="B51" s="0" t="s">
        <v>116</v>
      </c>
      <c r="C51" s="0" t="n">
        <v>2018</v>
      </c>
      <c r="D51" s="0" t="s">
        <v>63</v>
      </c>
      <c r="E51" s="0" t="n">
        <v>-2988</v>
      </c>
      <c r="F51" s="0" t="n">
        <v>2988</v>
      </c>
      <c r="G51" s="0" t="s">
        <v>1386</v>
      </c>
    </row>
    <row r="52" customFormat="false" ht="15" hidden="false" customHeight="false" outlineLevel="0" collapsed="false">
      <c r="A52" s="0" t="s">
        <v>1385</v>
      </c>
      <c r="B52" s="0" t="s">
        <v>116</v>
      </c>
      <c r="C52" s="0" t="n">
        <v>2018</v>
      </c>
      <c r="D52" s="0" t="s">
        <v>63</v>
      </c>
      <c r="E52" s="0" t="n">
        <v>-2988</v>
      </c>
      <c r="F52" s="0" t="n">
        <v>2988</v>
      </c>
      <c r="G52" s="0" t="s">
        <v>1387</v>
      </c>
    </row>
    <row r="53" customFormat="false" ht="15" hidden="false" customHeight="false" outlineLevel="0" collapsed="false">
      <c r="A53" s="0" t="s">
        <v>1385</v>
      </c>
      <c r="B53" s="0" t="s">
        <v>116</v>
      </c>
      <c r="C53" s="0" t="n">
        <v>2019</v>
      </c>
      <c r="D53" s="0" t="s">
        <v>55</v>
      </c>
      <c r="E53" s="0" t="n">
        <v>1792320</v>
      </c>
      <c r="F53" s="0" t="n">
        <v>1850000</v>
      </c>
      <c r="G53" s="0" t="s">
        <v>1386</v>
      </c>
    </row>
    <row r="54" customFormat="false" ht="15" hidden="false" customHeight="false" outlineLevel="0" collapsed="false">
      <c r="A54" s="0" t="s">
        <v>1385</v>
      </c>
      <c r="B54" s="0" t="s">
        <v>116</v>
      </c>
      <c r="C54" s="0" t="n">
        <v>2019</v>
      </c>
      <c r="D54" s="0" t="s">
        <v>55</v>
      </c>
      <c r="E54" s="0" t="n">
        <v>1792320</v>
      </c>
      <c r="F54" s="0" t="n">
        <v>1850000</v>
      </c>
      <c r="G54" s="0" t="s">
        <v>1387</v>
      </c>
    </row>
    <row r="55" customFormat="false" ht="15" hidden="false" customHeight="false" outlineLevel="0" collapsed="false">
      <c r="A55" s="0" t="s">
        <v>1385</v>
      </c>
      <c r="B55" s="0" t="s">
        <v>116</v>
      </c>
      <c r="C55" s="0" t="n">
        <v>2019</v>
      </c>
      <c r="D55" s="0" t="s">
        <v>63</v>
      </c>
      <c r="E55" s="0" t="n">
        <v>1664</v>
      </c>
      <c r="F55" s="0" t="n">
        <v>-1664</v>
      </c>
      <c r="G55" s="0" t="s">
        <v>1386</v>
      </c>
    </row>
    <row r="56" customFormat="false" ht="15" hidden="false" customHeight="false" outlineLevel="0" collapsed="false">
      <c r="A56" s="0" t="s">
        <v>1385</v>
      </c>
      <c r="B56" s="0" t="s">
        <v>116</v>
      </c>
      <c r="C56" s="0" t="n">
        <v>2019</v>
      </c>
      <c r="D56" s="0" t="s">
        <v>63</v>
      </c>
      <c r="E56" s="0" t="n">
        <v>1664</v>
      </c>
      <c r="F56" s="0" t="n">
        <v>-1664</v>
      </c>
      <c r="G56" s="0" t="s">
        <v>1387</v>
      </c>
    </row>
    <row r="57" customFormat="false" ht="15" hidden="false" customHeight="false" outlineLevel="0" collapsed="false">
      <c r="A57" s="0" t="s">
        <v>1385</v>
      </c>
      <c r="B57" s="0" t="s">
        <v>116</v>
      </c>
      <c r="C57" s="0" t="n">
        <v>2020</v>
      </c>
      <c r="D57" s="0" t="s">
        <v>63</v>
      </c>
      <c r="E57" s="0" t="n">
        <v>10170</v>
      </c>
      <c r="F57" s="0" t="n">
        <v>-10170</v>
      </c>
      <c r="G57" s="0" t="s">
        <v>1386</v>
      </c>
    </row>
    <row r="58" customFormat="false" ht="15" hidden="false" customHeight="false" outlineLevel="0" collapsed="false">
      <c r="A58" s="0" t="s">
        <v>1385</v>
      </c>
      <c r="B58" s="0" t="s">
        <v>116</v>
      </c>
      <c r="C58" s="0" t="n">
        <v>2020</v>
      </c>
      <c r="D58" s="0" t="s">
        <v>63</v>
      </c>
      <c r="E58" s="0" t="n">
        <v>10170</v>
      </c>
      <c r="F58" s="0" t="n">
        <v>-10170</v>
      </c>
      <c r="G58" s="0" t="s">
        <v>1387</v>
      </c>
    </row>
    <row r="59" customFormat="false" ht="15" hidden="false" customHeight="false" outlineLevel="0" collapsed="false">
      <c r="A59" s="0" t="s">
        <v>1385</v>
      </c>
      <c r="B59" s="0" t="s">
        <v>116</v>
      </c>
      <c r="C59" s="0" t="n">
        <v>2021</v>
      </c>
      <c r="D59" s="0" t="s">
        <v>63</v>
      </c>
      <c r="E59" s="0" t="n">
        <v>-1208</v>
      </c>
      <c r="F59" s="0" t="n">
        <v>1208</v>
      </c>
      <c r="G59" s="0" t="s">
        <v>1386</v>
      </c>
    </row>
    <row r="60" customFormat="false" ht="15" hidden="false" customHeight="false" outlineLevel="0" collapsed="false">
      <c r="A60" s="0" t="s">
        <v>1385</v>
      </c>
      <c r="B60" s="0" t="s">
        <v>116</v>
      </c>
      <c r="C60" s="0" t="n">
        <v>2021</v>
      </c>
      <c r="D60" s="0" t="s">
        <v>63</v>
      </c>
      <c r="E60" s="0" t="n">
        <v>-1208</v>
      </c>
      <c r="F60" s="0" t="n">
        <v>1208</v>
      </c>
      <c r="G60" s="0" t="s">
        <v>1387</v>
      </c>
    </row>
    <row r="61" customFormat="false" ht="15" hidden="false" customHeight="false" outlineLevel="0" collapsed="false">
      <c r="A61" s="0" t="s">
        <v>1385</v>
      </c>
      <c r="B61" s="0" t="s">
        <v>116</v>
      </c>
      <c r="C61" s="0" t="n">
        <v>2022</v>
      </c>
      <c r="D61" s="0" t="s">
        <v>60</v>
      </c>
      <c r="E61" s="0" t="n">
        <v>1238195</v>
      </c>
      <c r="F61" s="0" t="n">
        <v>1241603</v>
      </c>
      <c r="G61" s="0" t="s">
        <v>1386</v>
      </c>
    </row>
    <row r="62" customFormat="false" ht="15" hidden="false" customHeight="false" outlineLevel="0" collapsed="false">
      <c r="A62" s="0" t="s">
        <v>1385</v>
      </c>
      <c r="B62" s="0" t="s">
        <v>116</v>
      </c>
      <c r="C62" s="0" t="n">
        <v>2022</v>
      </c>
      <c r="D62" s="0" t="s">
        <v>60</v>
      </c>
      <c r="E62" s="0" t="n">
        <v>1238195</v>
      </c>
      <c r="F62" s="0" t="n">
        <v>1241603</v>
      </c>
      <c r="G62" s="0" t="s">
        <v>1387</v>
      </c>
    </row>
    <row r="63" customFormat="false" ht="15" hidden="false" customHeight="false" outlineLevel="0" collapsed="false">
      <c r="A63" s="0" t="s">
        <v>1385</v>
      </c>
      <c r="B63" s="0" t="s">
        <v>116</v>
      </c>
      <c r="C63" s="0" t="n">
        <v>2022</v>
      </c>
      <c r="D63" s="0" t="s">
        <v>61</v>
      </c>
      <c r="E63" s="0" t="n">
        <v>33410</v>
      </c>
      <c r="F63" s="0" t="n">
        <v>33414</v>
      </c>
      <c r="G63" s="0" t="s">
        <v>1386</v>
      </c>
    </row>
    <row r="64" customFormat="false" ht="15" hidden="false" customHeight="false" outlineLevel="0" collapsed="false">
      <c r="A64" s="0" t="s">
        <v>1385</v>
      </c>
      <c r="B64" s="0" t="s">
        <v>116</v>
      </c>
      <c r="C64" s="0" t="n">
        <v>2022</v>
      </c>
      <c r="D64" s="0" t="s">
        <v>61</v>
      </c>
      <c r="E64" s="0" t="n">
        <v>33410</v>
      </c>
      <c r="F64" s="0" t="n">
        <v>33414</v>
      </c>
      <c r="G64" s="0" t="s">
        <v>1387</v>
      </c>
    </row>
    <row r="65" customFormat="false" ht="15" hidden="false" customHeight="false" outlineLevel="0" collapsed="false">
      <c r="A65" s="0" t="s">
        <v>1385</v>
      </c>
      <c r="B65" s="0" t="s">
        <v>126</v>
      </c>
      <c r="C65" s="0" t="n">
        <v>2018</v>
      </c>
      <c r="D65" s="0" t="s">
        <v>55</v>
      </c>
      <c r="E65" s="0" t="n">
        <v>1085876</v>
      </c>
      <c r="F65" s="0" t="n">
        <v>1102921</v>
      </c>
      <c r="G65" s="0" t="s">
        <v>1386</v>
      </c>
    </row>
    <row r="66" customFormat="false" ht="15" hidden="false" customHeight="false" outlineLevel="0" collapsed="false">
      <c r="A66" s="0" t="s">
        <v>1385</v>
      </c>
      <c r="B66" s="0" t="s">
        <v>126</v>
      </c>
      <c r="C66" s="0" t="n">
        <v>2018</v>
      </c>
      <c r="D66" s="0" t="s">
        <v>55</v>
      </c>
      <c r="E66" s="0" t="n">
        <v>1085876</v>
      </c>
      <c r="F66" s="0" t="n">
        <v>1102921</v>
      </c>
      <c r="G66" s="0" t="s">
        <v>1387</v>
      </c>
    </row>
    <row r="67" customFormat="false" ht="15" hidden="false" customHeight="false" outlineLevel="0" collapsed="false">
      <c r="A67" s="0" t="s">
        <v>1385</v>
      </c>
      <c r="B67" s="0" t="s">
        <v>126</v>
      </c>
      <c r="C67" s="0" t="n">
        <v>2018</v>
      </c>
      <c r="D67" s="0" t="s">
        <v>69</v>
      </c>
      <c r="E67" s="0" t="n">
        <v>12.86</v>
      </c>
      <c r="F67" s="0" t="n">
        <v>13.4</v>
      </c>
      <c r="G67" s="0" t="s">
        <v>1386</v>
      </c>
    </row>
    <row r="68" customFormat="false" ht="15" hidden="false" customHeight="false" outlineLevel="0" collapsed="false">
      <c r="A68" s="0" t="s">
        <v>1385</v>
      </c>
      <c r="B68" s="0" t="s">
        <v>126</v>
      </c>
      <c r="C68" s="0" t="n">
        <v>2018</v>
      </c>
      <c r="D68" s="0" t="s">
        <v>69</v>
      </c>
      <c r="E68" s="0" t="n">
        <v>12.86</v>
      </c>
      <c r="F68" s="0" t="n">
        <v>13.4</v>
      </c>
      <c r="G68" s="0" t="s">
        <v>1387</v>
      </c>
    </row>
    <row r="69" customFormat="false" ht="15" hidden="false" customHeight="false" outlineLevel="0" collapsed="false">
      <c r="A69" s="0" t="s">
        <v>1385</v>
      </c>
      <c r="B69" s="0" t="s">
        <v>126</v>
      </c>
      <c r="C69" s="0" t="n">
        <v>2018</v>
      </c>
      <c r="D69" s="0" t="s">
        <v>60</v>
      </c>
      <c r="E69" s="0" t="n">
        <v>640678</v>
      </c>
      <c r="F69" s="0" t="n">
        <v>646734</v>
      </c>
      <c r="G69" s="0" t="s">
        <v>1386</v>
      </c>
    </row>
    <row r="70" customFormat="false" ht="15" hidden="false" customHeight="false" outlineLevel="0" collapsed="false">
      <c r="A70" s="0" t="s">
        <v>1385</v>
      </c>
      <c r="B70" s="0" t="s">
        <v>126</v>
      </c>
      <c r="C70" s="0" t="n">
        <v>2018</v>
      </c>
      <c r="D70" s="0" t="s">
        <v>60</v>
      </c>
      <c r="E70" s="0" t="n">
        <v>640678</v>
      </c>
      <c r="F70" s="0" t="n">
        <v>646734</v>
      </c>
      <c r="G70" s="0" t="s">
        <v>1387</v>
      </c>
    </row>
    <row r="71" customFormat="false" ht="15" hidden="false" customHeight="false" outlineLevel="0" collapsed="false">
      <c r="A71" s="0" t="s">
        <v>1385</v>
      </c>
      <c r="B71" s="0" t="s">
        <v>126</v>
      </c>
      <c r="C71" s="0" t="n">
        <v>2018</v>
      </c>
      <c r="D71" s="0" t="s">
        <v>61</v>
      </c>
      <c r="E71" s="0" t="n">
        <v>19661</v>
      </c>
      <c r="F71" s="0" t="n">
        <v>25717</v>
      </c>
      <c r="G71" s="0" t="s">
        <v>1386</v>
      </c>
    </row>
    <row r="72" customFormat="false" ht="15" hidden="false" customHeight="false" outlineLevel="0" collapsed="false">
      <c r="A72" s="0" t="s">
        <v>1385</v>
      </c>
      <c r="B72" s="0" t="s">
        <v>126</v>
      </c>
      <c r="C72" s="0" t="n">
        <v>2018</v>
      </c>
      <c r="D72" s="0" t="s">
        <v>61</v>
      </c>
      <c r="E72" s="0" t="n">
        <v>19661</v>
      </c>
      <c r="F72" s="0" t="n">
        <v>25717</v>
      </c>
      <c r="G72" s="0" t="s">
        <v>1387</v>
      </c>
    </row>
    <row r="73" customFormat="false" ht="15" hidden="false" customHeight="false" outlineLevel="0" collapsed="false">
      <c r="A73" s="0" t="s">
        <v>1385</v>
      </c>
      <c r="B73" s="0" t="s">
        <v>126</v>
      </c>
      <c r="C73" s="0" t="n">
        <v>2018</v>
      </c>
      <c r="D73" s="0" t="s">
        <v>54</v>
      </c>
      <c r="E73" s="0" t="n">
        <v>9468</v>
      </c>
      <c r="F73" s="0" t="n">
        <v>9218</v>
      </c>
      <c r="G73" s="0" t="s">
        <v>1386</v>
      </c>
    </row>
    <row r="74" customFormat="false" ht="15" hidden="false" customHeight="false" outlineLevel="0" collapsed="false">
      <c r="A74" s="0" t="s">
        <v>1385</v>
      </c>
      <c r="B74" s="0" t="s">
        <v>126</v>
      </c>
      <c r="C74" s="0" t="n">
        <v>2018</v>
      </c>
      <c r="D74" s="0" t="s">
        <v>54</v>
      </c>
      <c r="E74" s="0" t="n">
        <v>9468</v>
      </c>
      <c r="F74" s="0" t="n">
        <v>9218</v>
      </c>
      <c r="G74" s="0" t="s">
        <v>1387</v>
      </c>
    </row>
    <row r="75" customFormat="false" ht="15" hidden="false" customHeight="false" outlineLevel="0" collapsed="false">
      <c r="A75" s="0" t="s">
        <v>1385</v>
      </c>
      <c r="B75" s="0" t="s">
        <v>126</v>
      </c>
      <c r="C75" s="0" t="n">
        <v>2018</v>
      </c>
      <c r="D75" s="0" t="s">
        <v>63</v>
      </c>
      <c r="E75" s="0" t="n">
        <v>5832</v>
      </c>
      <c r="F75" s="0" t="n">
        <v>-5843</v>
      </c>
      <c r="G75" s="0" t="s">
        <v>1386</v>
      </c>
    </row>
    <row r="76" customFormat="false" ht="15" hidden="false" customHeight="false" outlineLevel="0" collapsed="false">
      <c r="A76" s="0" t="s">
        <v>1385</v>
      </c>
      <c r="B76" s="0" t="s">
        <v>129</v>
      </c>
      <c r="C76" s="0" t="n">
        <v>2015</v>
      </c>
      <c r="D76" s="0" t="s">
        <v>61</v>
      </c>
      <c r="E76" s="0" t="n">
        <v>13043</v>
      </c>
      <c r="F76" s="0" t="n">
        <v>14104</v>
      </c>
      <c r="G76" s="0" t="s">
        <v>1386</v>
      </c>
    </row>
    <row r="77" customFormat="false" ht="15" hidden="false" customHeight="false" outlineLevel="0" collapsed="false">
      <c r="A77" s="0" t="s">
        <v>1385</v>
      </c>
      <c r="B77" s="0" t="s">
        <v>129</v>
      </c>
      <c r="C77" s="0" t="n">
        <v>2015</v>
      </c>
      <c r="D77" s="0" t="s">
        <v>61</v>
      </c>
      <c r="E77" s="0" t="n">
        <v>13043</v>
      </c>
      <c r="F77" s="0" t="n">
        <v>14104</v>
      </c>
      <c r="G77" s="0" t="s">
        <v>1387</v>
      </c>
    </row>
    <row r="78" customFormat="false" ht="15" hidden="false" customHeight="false" outlineLevel="0" collapsed="false">
      <c r="A78" s="0" t="s">
        <v>1385</v>
      </c>
      <c r="B78" s="0" t="s">
        <v>129</v>
      </c>
      <c r="C78" s="0" t="n">
        <v>2016</v>
      </c>
      <c r="D78" s="0" t="s">
        <v>61</v>
      </c>
      <c r="E78" s="0" t="n">
        <v>29741</v>
      </c>
      <c r="F78" s="0" t="n">
        <v>32295</v>
      </c>
      <c r="G78" s="0" t="s">
        <v>1386</v>
      </c>
    </row>
    <row r="79" customFormat="false" ht="15" hidden="false" customHeight="false" outlineLevel="0" collapsed="false">
      <c r="A79" s="0" t="s">
        <v>1385</v>
      </c>
      <c r="B79" s="0" t="s">
        <v>129</v>
      </c>
      <c r="C79" s="0" t="n">
        <v>2016</v>
      </c>
      <c r="D79" s="0" t="s">
        <v>61</v>
      </c>
      <c r="E79" s="0" t="n">
        <v>29741</v>
      </c>
      <c r="F79" s="0" t="n">
        <v>32295</v>
      </c>
      <c r="G79" s="0" t="s">
        <v>1387</v>
      </c>
    </row>
    <row r="80" customFormat="false" ht="15" hidden="false" customHeight="false" outlineLevel="0" collapsed="false">
      <c r="A80" s="0" t="s">
        <v>1385</v>
      </c>
      <c r="B80" s="0" t="s">
        <v>129</v>
      </c>
      <c r="C80" s="0" t="n">
        <v>2019</v>
      </c>
      <c r="D80" s="0" t="s">
        <v>69</v>
      </c>
      <c r="E80" s="0" t="n">
        <v>22</v>
      </c>
      <c r="F80" s="0" t="n">
        <v>20.39</v>
      </c>
      <c r="G80" s="0" t="s">
        <v>1386</v>
      </c>
    </row>
    <row r="81" customFormat="false" ht="15" hidden="false" customHeight="false" outlineLevel="0" collapsed="false">
      <c r="A81" s="0" t="s">
        <v>1385</v>
      </c>
      <c r="B81" s="0" t="s">
        <v>129</v>
      </c>
      <c r="C81" s="0" t="n">
        <v>2019</v>
      </c>
      <c r="D81" s="0" t="s">
        <v>69</v>
      </c>
      <c r="E81" s="0" t="n">
        <v>22</v>
      </c>
      <c r="F81" s="0" t="n">
        <v>20.39</v>
      </c>
      <c r="G81" s="0" t="s">
        <v>1387</v>
      </c>
    </row>
    <row r="82" customFormat="false" ht="15" hidden="false" customHeight="false" outlineLevel="0" collapsed="false">
      <c r="A82" s="0" t="s">
        <v>1385</v>
      </c>
      <c r="B82" s="0" t="s">
        <v>129</v>
      </c>
      <c r="C82" s="0" t="n">
        <v>2020</v>
      </c>
      <c r="D82" s="0" t="s">
        <v>69</v>
      </c>
      <c r="E82" s="0" t="n">
        <v>20</v>
      </c>
      <c r="F82" s="0" t="n">
        <v>19.7</v>
      </c>
      <c r="G82" s="0" t="s">
        <v>1386</v>
      </c>
    </row>
    <row r="83" customFormat="false" ht="15" hidden="false" customHeight="false" outlineLevel="0" collapsed="false">
      <c r="A83" s="0" t="s">
        <v>1385</v>
      </c>
      <c r="B83" s="0" t="s">
        <v>129</v>
      </c>
      <c r="C83" s="0" t="n">
        <v>2020</v>
      </c>
      <c r="D83" s="0" t="s">
        <v>69</v>
      </c>
      <c r="E83" s="0" t="n">
        <v>20</v>
      </c>
      <c r="F83" s="0" t="n">
        <v>19.7</v>
      </c>
      <c r="G83" s="0" t="s">
        <v>1387</v>
      </c>
    </row>
    <row r="84" customFormat="false" ht="15" hidden="false" customHeight="false" outlineLevel="0" collapsed="false">
      <c r="A84" s="0" t="s">
        <v>1385</v>
      </c>
      <c r="B84" s="0" t="s">
        <v>138</v>
      </c>
      <c r="C84" s="0" t="n">
        <v>2015</v>
      </c>
      <c r="D84" s="0" t="s">
        <v>55</v>
      </c>
      <c r="E84" s="0" t="n">
        <v>1000976</v>
      </c>
      <c r="F84" s="0" t="n">
        <v>998137</v>
      </c>
      <c r="G84" s="0" t="s">
        <v>1387</v>
      </c>
    </row>
    <row r="85" customFormat="false" ht="15" hidden="false" customHeight="false" outlineLevel="0" collapsed="false">
      <c r="A85" s="0" t="s">
        <v>1385</v>
      </c>
      <c r="B85" s="0" t="s">
        <v>138</v>
      </c>
      <c r="C85" s="0" t="n">
        <v>2015</v>
      </c>
      <c r="D85" s="0" t="s">
        <v>69</v>
      </c>
      <c r="E85" s="0" t="n">
        <v>15.9</v>
      </c>
      <c r="F85" s="0" t="n">
        <v>15.3</v>
      </c>
      <c r="G85" s="0" t="s">
        <v>1387</v>
      </c>
    </row>
    <row r="86" customFormat="false" ht="15" hidden="false" customHeight="false" outlineLevel="0" collapsed="false">
      <c r="A86" s="0" t="s">
        <v>1385</v>
      </c>
      <c r="B86" s="0" t="s">
        <v>138</v>
      </c>
      <c r="C86" s="0" t="n">
        <v>2015</v>
      </c>
      <c r="D86" s="0" t="s">
        <v>60</v>
      </c>
      <c r="E86" s="0" t="n">
        <v>370949</v>
      </c>
      <c r="F86" s="0" t="n">
        <v>370919</v>
      </c>
      <c r="G86" s="0" t="s">
        <v>1387</v>
      </c>
    </row>
    <row r="87" customFormat="false" ht="15" hidden="false" customHeight="false" outlineLevel="0" collapsed="false">
      <c r="A87" s="0" t="s">
        <v>1385</v>
      </c>
      <c r="B87" s="0" t="s">
        <v>138</v>
      </c>
      <c r="C87" s="0" t="n">
        <v>2015</v>
      </c>
      <c r="D87" s="0" t="s">
        <v>54</v>
      </c>
      <c r="E87" s="0" t="n">
        <v>18035</v>
      </c>
      <c r="F87" s="0" t="n">
        <v>17721</v>
      </c>
      <c r="G87" s="0" t="s">
        <v>1387</v>
      </c>
    </row>
    <row r="88" customFormat="false" ht="15" hidden="false" customHeight="false" outlineLevel="0" collapsed="false">
      <c r="A88" s="0" t="s">
        <v>1385</v>
      </c>
      <c r="B88" s="0" t="s">
        <v>138</v>
      </c>
      <c r="C88" s="0" t="n">
        <v>2015</v>
      </c>
      <c r="D88" s="0" t="s">
        <v>63</v>
      </c>
      <c r="E88" s="0" t="n">
        <v>9177</v>
      </c>
      <c r="F88" s="0" t="n">
        <v>9176</v>
      </c>
      <c r="G88" s="0" t="s">
        <v>1387</v>
      </c>
    </row>
    <row r="89" customFormat="false" ht="15" hidden="false" customHeight="false" outlineLevel="0" collapsed="false">
      <c r="A89" s="0" t="s">
        <v>1385</v>
      </c>
      <c r="B89" s="0" t="s">
        <v>138</v>
      </c>
      <c r="C89" s="0" t="n">
        <v>2017</v>
      </c>
      <c r="D89" s="0" t="s">
        <v>54</v>
      </c>
      <c r="E89" s="0" t="n">
        <v>11239</v>
      </c>
      <c r="F89" s="0" t="n">
        <v>12839</v>
      </c>
      <c r="G89" s="0" t="s">
        <v>1387</v>
      </c>
    </row>
    <row r="90" customFormat="false" ht="15" hidden="false" customHeight="false" outlineLevel="0" collapsed="false">
      <c r="A90" s="0" t="s">
        <v>1385</v>
      </c>
      <c r="B90" s="0" t="s">
        <v>138</v>
      </c>
      <c r="C90" s="0" t="n">
        <v>2018</v>
      </c>
      <c r="D90" s="0" t="s">
        <v>69</v>
      </c>
      <c r="E90" s="0" t="n">
        <v>11.5</v>
      </c>
      <c r="F90" s="0" t="n">
        <v>16.4</v>
      </c>
      <c r="G90" s="0" t="s">
        <v>1387</v>
      </c>
    </row>
    <row r="91" customFormat="false" ht="15" hidden="false" customHeight="false" outlineLevel="0" collapsed="false">
      <c r="A91" s="0" t="s">
        <v>1385</v>
      </c>
      <c r="B91" s="0" t="s">
        <v>138</v>
      </c>
      <c r="C91" s="0" t="n">
        <v>2019</v>
      </c>
      <c r="D91" s="0" t="s">
        <v>69</v>
      </c>
      <c r="E91" s="0" t="n">
        <v>15.91</v>
      </c>
      <c r="F91" s="0" t="n">
        <v>19.73</v>
      </c>
      <c r="G91" s="0" t="s">
        <v>1387</v>
      </c>
    </row>
    <row r="92" customFormat="false" ht="15" hidden="false" customHeight="false" outlineLevel="0" collapsed="false">
      <c r="A92" s="0" t="s">
        <v>1385</v>
      </c>
      <c r="B92" s="0" t="s">
        <v>138</v>
      </c>
      <c r="C92" s="0" t="n">
        <v>2019</v>
      </c>
      <c r="D92" s="0" t="s">
        <v>63</v>
      </c>
      <c r="E92" s="0" t="n">
        <v>-504</v>
      </c>
      <c r="F92" s="0" t="n">
        <v>504</v>
      </c>
      <c r="G92" s="0" t="s">
        <v>1387</v>
      </c>
    </row>
    <row r="93" customFormat="false" ht="15" hidden="false" customHeight="false" outlineLevel="0" collapsed="false">
      <c r="A93" s="0" t="s">
        <v>1385</v>
      </c>
      <c r="B93" s="0" t="s">
        <v>138</v>
      </c>
      <c r="C93" s="0" t="n">
        <v>2020</v>
      </c>
      <c r="D93" s="0" t="s">
        <v>69</v>
      </c>
      <c r="E93" s="0" t="n">
        <v>15.76</v>
      </c>
      <c r="F93" s="0" t="n">
        <v>17.46</v>
      </c>
      <c r="G93" s="0" t="s">
        <v>1387</v>
      </c>
    </row>
    <row r="94" customFormat="false" ht="15" hidden="false" customHeight="false" outlineLevel="0" collapsed="false">
      <c r="A94" s="0" t="s">
        <v>1385</v>
      </c>
      <c r="B94" s="0" t="s">
        <v>138</v>
      </c>
      <c r="C94" s="0" t="n">
        <v>2021</v>
      </c>
      <c r="D94" s="0" t="s">
        <v>60</v>
      </c>
      <c r="E94" s="0" t="n">
        <v>899106</v>
      </c>
      <c r="F94" s="0" t="n">
        <v>868840</v>
      </c>
      <c r="G94" s="0" t="s">
        <v>1387</v>
      </c>
    </row>
    <row r="95" customFormat="false" ht="15" hidden="false" customHeight="false" outlineLevel="0" collapsed="false">
      <c r="A95" s="0" t="s">
        <v>1385</v>
      </c>
      <c r="B95" s="0" t="s">
        <v>138</v>
      </c>
      <c r="C95" s="0" t="n">
        <v>2021</v>
      </c>
      <c r="D95" s="0" t="s">
        <v>61</v>
      </c>
      <c r="E95" s="0" t="n">
        <v>30266</v>
      </c>
      <c r="F95" s="0" t="n">
        <v>41537</v>
      </c>
      <c r="G95" s="0" t="s">
        <v>1387</v>
      </c>
    </row>
    <row r="96" customFormat="false" ht="15" hidden="false" customHeight="false" outlineLevel="0" collapsed="false">
      <c r="A96" s="0" t="s">
        <v>1385</v>
      </c>
      <c r="B96" s="0" t="s">
        <v>138</v>
      </c>
      <c r="C96" s="0" t="n">
        <v>2021</v>
      </c>
      <c r="D96" s="0" t="s">
        <v>63</v>
      </c>
      <c r="E96" s="0" t="n">
        <v>286</v>
      </c>
      <c r="F96" s="0" t="n">
        <v>34</v>
      </c>
      <c r="G96" s="0" t="s">
        <v>1387</v>
      </c>
    </row>
    <row r="97" customFormat="false" ht="15" hidden="false" customHeight="false" outlineLevel="0" collapsed="false">
      <c r="A97" s="0" t="s">
        <v>1385</v>
      </c>
      <c r="B97" s="0" t="s">
        <v>138</v>
      </c>
      <c r="C97" s="0" t="n">
        <v>2022</v>
      </c>
      <c r="D97" s="0" t="s">
        <v>61</v>
      </c>
      <c r="E97" s="0" t="n">
        <v>32015</v>
      </c>
      <c r="F97" s="0" t="n">
        <v>46628</v>
      </c>
      <c r="G97" s="0" t="s">
        <v>1387</v>
      </c>
    </row>
    <row r="98" customFormat="false" ht="15" hidden="false" customHeight="false" outlineLevel="0" collapsed="false">
      <c r="A98" s="0" t="s">
        <v>1385</v>
      </c>
      <c r="B98" s="0" t="s">
        <v>138</v>
      </c>
      <c r="C98" s="0" t="n">
        <v>2022</v>
      </c>
      <c r="D98" s="0" t="s">
        <v>63</v>
      </c>
      <c r="E98" s="0" t="n">
        <v>4475</v>
      </c>
      <c r="F98" s="0" t="n">
        <v>1749</v>
      </c>
      <c r="G98" s="0" t="s">
        <v>1387</v>
      </c>
    </row>
    <row r="99" customFormat="false" ht="15" hidden="false" customHeight="false" outlineLevel="0" collapsed="false">
      <c r="A99" s="0" t="s">
        <v>1385</v>
      </c>
      <c r="B99" s="0" t="s">
        <v>152</v>
      </c>
      <c r="C99" s="0" t="n">
        <v>2018</v>
      </c>
      <c r="D99" s="0" t="s">
        <v>55</v>
      </c>
      <c r="E99" s="0" t="n">
        <v>210800.841</v>
      </c>
      <c r="F99" s="0" t="n">
        <v>235976</v>
      </c>
      <c r="G99" s="0" t="s">
        <v>1386</v>
      </c>
    </row>
    <row r="100" customFormat="false" ht="15" hidden="false" customHeight="false" outlineLevel="0" collapsed="false">
      <c r="A100" s="0" t="s">
        <v>1385</v>
      </c>
      <c r="B100" s="0" t="s">
        <v>152</v>
      </c>
      <c r="C100" s="0" t="n">
        <v>2018</v>
      </c>
      <c r="D100" s="0" t="s">
        <v>55</v>
      </c>
      <c r="E100" s="0" t="n">
        <v>210800.841</v>
      </c>
      <c r="F100" s="0" t="n">
        <v>235976</v>
      </c>
      <c r="G100" s="0" t="s">
        <v>1387</v>
      </c>
    </row>
    <row r="101" customFormat="false" ht="15" hidden="false" customHeight="false" outlineLevel="0" collapsed="false">
      <c r="A101" s="0" t="s">
        <v>1385</v>
      </c>
      <c r="B101" s="0" t="s">
        <v>152</v>
      </c>
      <c r="C101" s="0" t="n">
        <v>2018</v>
      </c>
      <c r="D101" s="0" t="s">
        <v>69</v>
      </c>
      <c r="E101" s="0" t="n">
        <v>-214.8</v>
      </c>
      <c r="F101" s="0" t="n">
        <v>-198.56</v>
      </c>
      <c r="G101" s="0" t="s">
        <v>1386</v>
      </c>
    </row>
    <row r="102" customFormat="false" ht="15" hidden="false" customHeight="false" outlineLevel="0" collapsed="false">
      <c r="A102" s="0" t="s">
        <v>1385</v>
      </c>
      <c r="B102" s="0" t="s">
        <v>152</v>
      </c>
      <c r="C102" s="0" t="n">
        <v>2018</v>
      </c>
      <c r="D102" s="0" t="s">
        <v>69</v>
      </c>
      <c r="E102" s="0" t="n">
        <v>-214.8</v>
      </c>
      <c r="F102" s="0" t="n">
        <v>-198.56</v>
      </c>
      <c r="G102" s="0" t="s">
        <v>1387</v>
      </c>
    </row>
    <row r="103" customFormat="false" ht="15" hidden="false" customHeight="false" outlineLevel="0" collapsed="false">
      <c r="A103" s="0" t="s">
        <v>1385</v>
      </c>
      <c r="B103" s="0" t="s">
        <v>152</v>
      </c>
      <c r="C103" s="0" t="n">
        <v>2018</v>
      </c>
      <c r="D103" s="0" t="s">
        <v>60</v>
      </c>
      <c r="E103" s="0" t="n">
        <v>44841.156</v>
      </c>
      <c r="F103" s="0" t="n">
        <v>44402</v>
      </c>
      <c r="G103" s="0" t="s">
        <v>1386</v>
      </c>
    </row>
    <row r="104" customFormat="false" ht="15" hidden="false" customHeight="false" outlineLevel="0" collapsed="false">
      <c r="A104" s="0" t="s">
        <v>1385</v>
      </c>
      <c r="B104" s="0" t="s">
        <v>152</v>
      </c>
      <c r="C104" s="0" t="n">
        <v>2018</v>
      </c>
      <c r="D104" s="0" t="s">
        <v>60</v>
      </c>
      <c r="E104" s="0" t="n">
        <v>44841.156</v>
      </c>
      <c r="F104" s="0" t="n">
        <v>44402</v>
      </c>
      <c r="G104" s="0" t="s">
        <v>1387</v>
      </c>
    </row>
    <row r="105" customFormat="false" ht="15" hidden="false" customHeight="false" outlineLevel="0" collapsed="false">
      <c r="A105" s="0" t="s">
        <v>1385</v>
      </c>
      <c r="B105" s="0" t="s">
        <v>152</v>
      </c>
      <c r="C105" s="0" t="n">
        <v>2018</v>
      </c>
      <c r="D105" s="0" t="s">
        <v>54</v>
      </c>
      <c r="E105" s="0" t="n">
        <v>-7695.32</v>
      </c>
      <c r="F105" s="0" t="n">
        <v>1269</v>
      </c>
      <c r="G105" s="0" t="s">
        <v>1386</v>
      </c>
    </row>
    <row r="106" customFormat="false" ht="15" hidden="false" customHeight="false" outlineLevel="0" collapsed="false">
      <c r="A106" s="0" t="s">
        <v>1385</v>
      </c>
      <c r="B106" s="0" t="s">
        <v>152</v>
      </c>
      <c r="C106" s="0" t="n">
        <v>2018</v>
      </c>
      <c r="D106" s="0" t="s">
        <v>54</v>
      </c>
      <c r="E106" s="0" t="n">
        <v>-7695.32</v>
      </c>
      <c r="F106" s="0" t="n">
        <v>1269</v>
      </c>
      <c r="G106" s="0" t="s">
        <v>1387</v>
      </c>
    </row>
    <row r="107" customFormat="false" ht="15" hidden="false" customHeight="false" outlineLevel="0" collapsed="false">
      <c r="A107" s="0" t="s">
        <v>1385</v>
      </c>
      <c r="B107" s="0" t="s">
        <v>152</v>
      </c>
      <c r="C107" s="0" t="n">
        <v>2018</v>
      </c>
      <c r="D107" s="0" t="s">
        <v>63</v>
      </c>
      <c r="E107" s="0" t="n">
        <v>5958.492</v>
      </c>
      <c r="F107" s="0" t="n">
        <v>161</v>
      </c>
      <c r="G107" s="0" t="s">
        <v>1386</v>
      </c>
    </row>
    <row r="108" customFormat="false" ht="15" hidden="false" customHeight="false" outlineLevel="0" collapsed="false">
      <c r="A108" s="0" t="s">
        <v>1385</v>
      </c>
      <c r="B108" s="0" t="s">
        <v>152</v>
      </c>
      <c r="C108" s="0" t="n">
        <v>2018</v>
      </c>
      <c r="D108" s="0" t="s">
        <v>63</v>
      </c>
      <c r="E108" s="0" t="n">
        <v>5958.492</v>
      </c>
      <c r="F108" s="0" t="n">
        <v>161</v>
      </c>
      <c r="G108" s="0" t="s">
        <v>1387</v>
      </c>
    </row>
    <row r="109" customFormat="false" ht="15" hidden="false" customHeight="false" outlineLevel="0" collapsed="false">
      <c r="A109" s="0" t="s">
        <v>1385</v>
      </c>
      <c r="B109" s="0" t="s">
        <v>152</v>
      </c>
      <c r="C109" s="0" t="n">
        <v>2019</v>
      </c>
      <c r="D109" s="0" t="s">
        <v>61</v>
      </c>
      <c r="E109" s="0" t="n">
        <v>2896.088</v>
      </c>
      <c r="F109" s="0" t="n">
        <v>14841</v>
      </c>
      <c r="G109" s="0" t="s">
        <v>1386</v>
      </c>
    </row>
    <row r="110" customFormat="false" ht="15" hidden="false" customHeight="false" outlineLevel="0" collapsed="false">
      <c r="A110" s="0" t="s">
        <v>1385</v>
      </c>
      <c r="B110" s="0" t="s">
        <v>152</v>
      </c>
      <c r="C110" s="0" t="n">
        <v>2019</v>
      </c>
      <c r="D110" s="0" t="s">
        <v>61</v>
      </c>
      <c r="E110" s="0" t="n">
        <v>2896.088</v>
      </c>
      <c r="F110" s="0" t="n">
        <v>14841</v>
      </c>
      <c r="G110" s="0" t="s">
        <v>1387</v>
      </c>
    </row>
    <row r="111" customFormat="false" ht="15" hidden="false" customHeight="false" outlineLevel="0" collapsed="false">
      <c r="A111" s="0" t="s">
        <v>1385</v>
      </c>
      <c r="B111" s="0" t="s">
        <v>152</v>
      </c>
      <c r="C111" s="0" t="n">
        <v>2019</v>
      </c>
      <c r="D111" s="0" t="s">
        <v>63</v>
      </c>
      <c r="E111" s="0" t="n">
        <v>1921.923</v>
      </c>
      <c r="F111" s="0" t="n">
        <v>-1922</v>
      </c>
      <c r="G111" s="0" t="s">
        <v>1386</v>
      </c>
    </row>
    <row r="112" customFormat="false" ht="15" hidden="false" customHeight="false" outlineLevel="0" collapsed="false">
      <c r="A112" s="0" t="s">
        <v>1385</v>
      </c>
      <c r="B112" s="0" t="s">
        <v>154</v>
      </c>
      <c r="C112" s="0" t="n">
        <v>2017</v>
      </c>
      <c r="D112" s="0" t="s">
        <v>55</v>
      </c>
      <c r="E112" s="0" t="n">
        <v>384779.809</v>
      </c>
      <c r="F112" s="0" t="n">
        <v>385388.3</v>
      </c>
      <c r="G112" s="0" t="s">
        <v>1386</v>
      </c>
    </row>
    <row r="113" customFormat="false" ht="15" hidden="false" customHeight="false" outlineLevel="0" collapsed="false">
      <c r="A113" s="0" t="s">
        <v>1385</v>
      </c>
      <c r="B113" s="0" t="s">
        <v>154</v>
      </c>
      <c r="C113" s="0" t="n">
        <v>2017</v>
      </c>
      <c r="D113" s="0" t="s">
        <v>55</v>
      </c>
      <c r="E113" s="0" t="n">
        <v>384779.809</v>
      </c>
      <c r="F113" s="0" t="n">
        <v>385388</v>
      </c>
      <c r="G113" s="0" t="s">
        <v>1387</v>
      </c>
    </row>
    <row r="114" customFormat="false" ht="15" hidden="false" customHeight="false" outlineLevel="0" collapsed="false">
      <c r="A114" s="0" t="s">
        <v>1385</v>
      </c>
      <c r="B114" s="0" t="s">
        <v>154</v>
      </c>
      <c r="C114" s="0" t="n">
        <v>2022</v>
      </c>
      <c r="D114" s="0" t="s">
        <v>63</v>
      </c>
      <c r="E114" s="0" t="n">
        <v>4762.274</v>
      </c>
      <c r="F114" s="0" t="n">
        <v>4808</v>
      </c>
      <c r="G114" s="0" t="s">
        <v>1386</v>
      </c>
    </row>
    <row r="115" customFormat="false" ht="15" hidden="false" customHeight="false" outlineLevel="0" collapsed="false">
      <c r="A115" s="0" t="s">
        <v>1385</v>
      </c>
      <c r="B115" s="0" t="s">
        <v>154</v>
      </c>
      <c r="C115" s="0" t="n">
        <v>2022</v>
      </c>
      <c r="D115" s="0" t="s">
        <v>63</v>
      </c>
      <c r="E115" s="0" t="n">
        <v>4762.274</v>
      </c>
      <c r="F115" s="0" t="n">
        <v>4808</v>
      </c>
      <c r="G115" s="0" t="s">
        <v>1387</v>
      </c>
    </row>
    <row r="116" customFormat="false" ht="15" hidden="false" customHeight="false" outlineLevel="0" collapsed="false">
      <c r="A116" s="0" t="s">
        <v>1385</v>
      </c>
      <c r="B116" s="0" t="s">
        <v>163</v>
      </c>
      <c r="C116" s="0" t="n">
        <v>2015</v>
      </c>
      <c r="D116" s="0" t="s">
        <v>69</v>
      </c>
      <c r="E116" s="0" t="n">
        <v>20</v>
      </c>
      <c r="F116" s="0" t="n">
        <v>21</v>
      </c>
      <c r="G116" s="0" t="s">
        <v>1386</v>
      </c>
    </row>
    <row r="117" customFormat="false" ht="15" hidden="false" customHeight="false" outlineLevel="0" collapsed="false">
      <c r="A117" s="0" t="s">
        <v>1385</v>
      </c>
      <c r="B117" s="0" t="s">
        <v>163</v>
      </c>
      <c r="C117" s="0" t="n">
        <v>2015</v>
      </c>
      <c r="D117" s="0" t="s">
        <v>69</v>
      </c>
      <c r="E117" s="0" t="n">
        <v>20</v>
      </c>
      <c r="F117" s="0" t="n">
        <v>21</v>
      </c>
      <c r="G117" s="0" t="s">
        <v>1387</v>
      </c>
    </row>
    <row r="118" customFormat="false" ht="15" hidden="false" customHeight="false" outlineLevel="0" collapsed="false">
      <c r="A118" s="0" t="s">
        <v>1385</v>
      </c>
      <c r="B118" s="0" t="s">
        <v>163</v>
      </c>
      <c r="C118" s="0" t="n">
        <v>2015</v>
      </c>
      <c r="D118" s="0" t="s">
        <v>60</v>
      </c>
      <c r="E118" s="0" t="n">
        <v>1884941</v>
      </c>
      <c r="F118" s="0" t="n">
        <v>1849225</v>
      </c>
      <c r="G118" s="0" t="s">
        <v>1386</v>
      </c>
    </row>
    <row r="119" customFormat="false" ht="15" hidden="false" customHeight="false" outlineLevel="0" collapsed="false">
      <c r="A119" s="0" t="s">
        <v>1385</v>
      </c>
      <c r="B119" s="0" t="s">
        <v>163</v>
      </c>
      <c r="C119" s="0" t="n">
        <v>2015</v>
      </c>
      <c r="D119" s="0" t="s">
        <v>60</v>
      </c>
      <c r="E119" s="0" t="n">
        <v>1884941</v>
      </c>
      <c r="F119" s="0" t="n">
        <v>1849225</v>
      </c>
      <c r="G119" s="0" t="s">
        <v>1387</v>
      </c>
    </row>
    <row r="120" customFormat="false" ht="15" hidden="false" customHeight="false" outlineLevel="0" collapsed="false">
      <c r="A120" s="0" t="s">
        <v>1385</v>
      </c>
      <c r="B120" s="0" t="s">
        <v>163</v>
      </c>
      <c r="C120" s="0" t="n">
        <v>2015</v>
      </c>
      <c r="D120" s="0" t="s">
        <v>61</v>
      </c>
      <c r="E120" s="0" t="n">
        <v>35716</v>
      </c>
      <c r="F120" s="0" t="n">
        <v>49433</v>
      </c>
      <c r="G120" s="0" t="s">
        <v>1386</v>
      </c>
    </row>
    <row r="121" customFormat="false" ht="15" hidden="false" customHeight="false" outlineLevel="0" collapsed="false">
      <c r="A121" s="0" t="s">
        <v>1385</v>
      </c>
      <c r="B121" s="0" t="s">
        <v>163</v>
      </c>
      <c r="C121" s="0" t="n">
        <v>2015</v>
      </c>
      <c r="D121" s="0" t="s">
        <v>61</v>
      </c>
      <c r="E121" s="0" t="n">
        <v>35716</v>
      </c>
      <c r="F121" s="0" t="n">
        <v>49433</v>
      </c>
      <c r="G121" s="0" t="s">
        <v>1387</v>
      </c>
    </row>
    <row r="122" customFormat="false" ht="15" hidden="false" customHeight="false" outlineLevel="0" collapsed="false">
      <c r="A122" s="0" t="s">
        <v>1385</v>
      </c>
      <c r="B122" s="0" t="s">
        <v>163</v>
      </c>
      <c r="C122" s="0" t="n">
        <v>2018</v>
      </c>
      <c r="D122" s="0" t="s">
        <v>55</v>
      </c>
      <c r="E122" s="0" t="n">
        <v>4955445</v>
      </c>
      <c r="F122" s="0" t="n">
        <v>4981855</v>
      </c>
      <c r="G122" s="0" t="s">
        <v>1386</v>
      </c>
    </row>
    <row r="123" customFormat="false" ht="15" hidden="false" customHeight="false" outlineLevel="0" collapsed="false">
      <c r="A123" s="0" t="s">
        <v>1385</v>
      </c>
      <c r="B123" s="0" t="s">
        <v>163</v>
      </c>
      <c r="C123" s="0" t="n">
        <v>2018</v>
      </c>
      <c r="D123" s="0" t="s">
        <v>55</v>
      </c>
      <c r="E123" s="0" t="n">
        <v>4955445</v>
      </c>
      <c r="F123" s="0" t="n">
        <v>4981855</v>
      </c>
      <c r="G123" s="0" t="s">
        <v>1387</v>
      </c>
    </row>
    <row r="124" customFormat="false" ht="15" hidden="false" customHeight="false" outlineLevel="0" collapsed="false">
      <c r="A124" s="0" t="s">
        <v>1385</v>
      </c>
      <c r="B124" s="0" t="s">
        <v>163</v>
      </c>
      <c r="C124" s="0" t="n">
        <v>2018</v>
      </c>
      <c r="D124" s="0" t="s">
        <v>69</v>
      </c>
      <c r="E124" s="0" t="n">
        <v>24</v>
      </c>
      <c r="F124" s="0" t="n">
        <v>25</v>
      </c>
      <c r="G124" s="0" t="s">
        <v>1386</v>
      </c>
    </row>
    <row r="125" customFormat="false" ht="15" hidden="false" customHeight="false" outlineLevel="0" collapsed="false">
      <c r="A125" s="0" t="s">
        <v>1385</v>
      </c>
      <c r="B125" s="0" t="s">
        <v>163</v>
      </c>
      <c r="C125" s="0" t="n">
        <v>2018</v>
      </c>
      <c r="D125" s="0" t="s">
        <v>69</v>
      </c>
      <c r="E125" s="0" t="n">
        <v>24</v>
      </c>
      <c r="F125" s="0" t="n">
        <v>25</v>
      </c>
      <c r="G125" s="0" t="s">
        <v>1387</v>
      </c>
    </row>
    <row r="126" customFormat="false" ht="15" hidden="false" customHeight="false" outlineLevel="0" collapsed="false">
      <c r="A126" s="0" t="s">
        <v>1385</v>
      </c>
      <c r="B126" s="0" t="s">
        <v>163</v>
      </c>
      <c r="C126" s="0" t="n">
        <v>2018</v>
      </c>
      <c r="D126" s="0" t="s">
        <v>60</v>
      </c>
      <c r="E126" s="0" t="n">
        <v>1921064</v>
      </c>
      <c r="F126" s="0" t="n">
        <v>1823126</v>
      </c>
      <c r="G126" s="0" t="s">
        <v>1386</v>
      </c>
    </row>
    <row r="127" customFormat="false" ht="15" hidden="false" customHeight="false" outlineLevel="0" collapsed="false">
      <c r="A127" s="0" t="s">
        <v>1385</v>
      </c>
      <c r="B127" s="0" t="s">
        <v>163</v>
      </c>
      <c r="C127" s="0" t="n">
        <v>2018</v>
      </c>
      <c r="D127" s="0" t="s">
        <v>60</v>
      </c>
      <c r="E127" s="0" t="n">
        <v>1921064</v>
      </c>
      <c r="F127" s="0" t="n">
        <v>1823126</v>
      </c>
      <c r="G127" s="0" t="s">
        <v>1387</v>
      </c>
    </row>
    <row r="128" customFormat="false" ht="15" hidden="false" customHeight="false" outlineLevel="0" collapsed="false">
      <c r="A128" s="0" t="s">
        <v>1385</v>
      </c>
      <c r="B128" s="0" t="s">
        <v>163</v>
      </c>
      <c r="C128" s="0" t="n">
        <v>2018</v>
      </c>
      <c r="D128" s="0" t="s">
        <v>61</v>
      </c>
      <c r="E128" s="0" t="n">
        <v>184998</v>
      </c>
      <c r="F128" s="0" t="n">
        <v>144502</v>
      </c>
      <c r="G128" s="0" t="s">
        <v>1386</v>
      </c>
    </row>
    <row r="129" customFormat="false" ht="15" hidden="false" customHeight="false" outlineLevel="0" collapsed="false">
      <c r="A129" s="0" t="s">
        <v>1385</v>
      </c>
      <c r="B129" s="0" t="s">
        <v>163</v>
      </c>
      <c r="C129" s="0" t="n">
        <v>2018</v>
      </c>
      <c r="D129" s="0" t="s">
        <v>61</v>
      </c>
      <c r="E129" s="0" t="n">
        <v>184998</v>
      </c>
      <c r="F129" s="0" t="n">
        <v>144502</v>
      </c>
      <c r="G129" s="0" t="s">
        <v>1387</v>
      </c>
    </row>
    <row r="130" customFormat="false" ht="15" hidden="false" customHeight="false" outlineLevel="0" collapsed="false">
      <c r="A130" s="0" t="s">
        <v>1385</v>
      </c>
      <c r="B130" s="0" t="s">
        <v>163</v>
      </c>
      <c r="C130" s="0" t="n">
        <v>2018</v>
      </c>
      <c r="D130" s="0" t="s">
        <v>54</v>
      </c>
      <c r="E130" s="0" t="n">
        <v>165480</v>
      </c>
      <c r="F130" s="0" t="n">
        <v>160454</v>
      </c>
      <c r="G130" s="0" t="s">
        <v>1386</v>
      </c>
    </row>
    <row r="131" customFormat="false" ht="15" hidden="false" customHeight="false" outlineLevel="0" collapsed="false">
      <c r="A131" s="0" t="s">
        <v>1385</v>
      </c>
      <c r="B131" s="0" t="s">
        <v>163</v>
      </c>
      <c r="C131" s="0" t="n">
        <v>2018</v>
      </c>
      <c r="D131" s="0" t="s">
        <v>54</v>
      </c>
      <c r="E131" s="0" t="n">
        <v>165480</v>
      </c>
      <c r="F131" s="0" t="n">
        <v>160454</v>
      </c>
      <c r="G131" s="0" t="s">
        <v>1387</v>
      </c>
    </row>
    <row r="132" customFormat="false" ht="15" hidden="false" customHeight="false" outlineLevel="0" collapsed="false">
      <c r="A132" s="0" t="s">
        <v>1385</v>
      </c>
      <c r="B132" s="0" t="s">
        <v>163</v>
      </c>
      <c r="C132" s="0" t="n">
        <v>2018</v>
      </c>
      <c r="D132" s="0" t="s">
        <v>63</v>
      </c>
      <c r="E132" s="0" t="n">
        <v>15313</v>
      </c>
      <c r="F132" s="0" t="n">
        <v>15705</v>
      </c>
      <c r="G132" s="0" t="s">
        <v>1386</v>
      </c>
    </row>
    <row r="133" customFormat="false" ht="15" hidden="false" customHeight="false" outlineLevel="0" collapsed="false">
      <c r="A133" s="0" t="s">
        <v>1385</v>
      </c>
      <c r="B133" s="0" t="s">
        <v>163</v>
      </c>
      <c r="C133" s="0" t="n">
        <v>2018</v>
      </c>
      <c r="D133" s="0" t="s">
        <v>63</v>
      </c>
      <c r="E133" s="0" t="n">
        <v>15313</v>
      </c>
      <c r="F133" s="0" t="n">
        <v>15705</v>
      </c>
      <c r="G133" s="0" t="s">
        <v>1387</v>
      </c>
    </row>
    <row r="134" customFormat="false" ht="15" hidden="false" customHeight="false" outlineLevel="0" collapsed="false">
      <c r="A134" s="0" t="s">
        <v>1385</v>
      </c>
      <c r="B134" s="0" t="s">
        <v>163</v>
      </c>
      <c r="C134" s="0" t="n">
        <v>2019</v>
      </c>
      <c r="D134" s="0" t="s">
        <v>69</v>
      </c>
      <c r="E134" s="0" t="n">
        <v>20</v>
      </c>
      <c r="F134" s="0" t="n">
        <v>22</v>
      </c>
      <c r="G134" s="0" t="s">
        <v>1386</v>
      </c>
    </row>
    <row r="135" customFormat="false" ht="15" hidden="false" customHeight="false" outlineLevel="0" collapsed="false">
      <c r="A135" s="0" t="s">
        <v>1385</v>
      </c>
      <c r="B135" s="0" t="s">
        <v>163</v>
      </c>
      <c r="C135" s="0" t="n">
        <v>2019</v>
      </c>
      <c r="D135" s="0" t="s">
        <v>69</v>
      </c>
      <c r="E135" s="0" t="n">
        <v>20</v>
      </c>
      <c r="F135" s="0" t="n">
        <v>22</v>
      </c>
      <c r="G135" s="0" t="s">
        <v>1387</v>
      </c>
    </row>
    <row r="136" customFormat="false" ht="15" hidden="false" customHeight="false" outlineLevel="0" collapsed="false">
      <c r="A136" s="0" t="s">
        <v>1385</v>
      </c>
      <c r="B136" s="0" t="s">
        <v>163</v>
      </c>
      <c r="C136" s="0" t="n">
        <v>2019</v>
      </c>
      <c r="D136" s="0" t="s">
        <v>60</v>
      </c>
      <c r="E136" s="0" t="n">
        <v>2390651</v>
      </c>
      <c r="F136" s="0" t="n">
        <v>2239472</v>
      </c>
      <c r="G136" s="0" t="s">
        <v>1386</v>
      </c>
    </row>
    <row r="137" customFormat="false" ht="15" hidden="false" customHeight="false" outlineLevel="0" collapsed="false">
      <c r="A137" s="0" t="s">
        <v>1385</v>
      </c>
      <c r="B137" s="0" t="s">
        <v>163</v>
      </c>
      <c r="C137" s="0" t="n">
        <v>2019</v>
      </c>
      <c r="D137" s="0" t="s">
        <v>60</v>
      </c>
      <c r="E137" s="0" t="n">
        <v>2390651</v>
      </c>
      <c r="F137" s="0" t="n">
        <v>2239472</v>
      </c>
      <c r="G137" s="0" t="s">
        <v>1387</v>
      </c>
    </row>
    <row r="138" customFormat="false" ht="15" hidden="false" customHeight="false" outlineLevel="0" collapsed="false">
      <c r="A138" s="0" t="s">
        <v>1385</v>
      </c>
      <c r="B138" s="0" t="s">
        <v>163</v>
      </c>
      <c r="C138" s="0" t="n">
        <v>2019</v>
      </c>
      <c r="D138" s="0" t="s">
        <v>61</v>
      </c>
      <c r="E138" s="0" t="n">
        <v>151179</v>
      </c>
      <c r="F138" s="0" t="n">
        <v>137745</v>
      </c>
      <c r="G138" s="0" t="s">
        <v>1386</v>
      </c>
    </row>
    <row r="139" customFormat="false" ht="15" hidden="false" customHeight="false" outlineLevel="0" collapsed="false">
      <c r="A139" s="0" t="s">
        <v>1385</v>
      </c>
      <c r="B139" s="0" t="s">
        <v>163</v>
      </c>
      <c r="C139" s="0" t="n">
        <v>2019</v>
      </c>
      <c r="D139" s="0" t="s">
        <v>61</v>
      </c>
      <c r="E139" s="0" t="n">
        <v>151179</v>
      </c>
      <c r="F139" s="0" t="n">
        <v>137745</v>
      </c>
      <c r="G139" s="0" t="s">
        <v>1387</v>
      </c>
    </row>
    <row r="140" customFormat="false" ht="15" hidden="false" customHeight="false" outlineLevel="0" collapsed="false">
      <c r="A140" s="0" t="s">
        <v>1385</v>
      </c>
      <c r="B140" s="0" t="s">
        <v>163</v>
      </c>
      <c r="C140" s="0" t="n">
        <v>2020</v>
      </c>
      <c r="D140" s="0" t="s">
        <v>60</v>
      </c>
      <c r="E140" s="0" t="n">
        <v>2772663</v>
      </c>
      <c r="F140" s="0" t="n">
        <v>2639797</v>
      </c>
      <c r="G140" s="0" t="s">
        <v>1386</v>
      </c>
    </row>
    <row r="141" customFormat="false" ht="15" hidden="false" customHeight="false" outlineLevel="0" collapsed="false">
      <c r="A141" s="0" t="s">
        <v>1385</v>
      </c>
      <c r="B141" s="0" t="s">
        <v>163</v>
      </c>
      <c r="C141" s="0" t="n">
        <v>2020</v>
      </c>
      <c r="D141" s="0" t="s">
        <v>60</v>
      </c>
      <c r="E141" s="0" t="n">
        <v>2772663</v>
      </c>
      <c r="F141" s="0" t="n">
        <v>2639797</v>
      </c>
      <c r="G141" s="0" t="s">
        <v>1387</v>
      </c>
    </row>
    <row r="142" customFormat="false" ht="15" hidden="false" customHeight="false" outlineLevel="0" collapsed="false">
      <c r="A142" s="0" t="s">
        <v>1385</v>
      </c>
      <c r="B142" s="0" t="s">
        <v>163</v>
      </c>
      <c r="C142" s="0" t="n">
        <v>2020</v>
      </c>
      <c r="D142" s="0" t="s">
        <v>61</v>
      </c>
      <c r="E142" s="0" t="n">
        <v>132866</v>
      </c>
      <c r="F142" s="0" t="n">
        <v>161585</v>
      </c>
      <c r="G142" s="0" t="s">
        <v>1386</v>
      </c>
    </row>
    <row r="143" customFormat="false" ht="15" hidden="false" customHeight="false" outlineLevel="0" collapsed="false">
      <c r="A143" s="0" t="s">
        <v>1385</v>
      </c>
      <c r="B143" s="0" t="s">
        <v>163</v>
      </c>
      <c r="C143" s="0" t="n">
        <v>2020</v>
      </c>
      <c r="D143" s="0" t="s">
        <v>61</v>
      </c>
      <c r="E143" s="0" t="n">
        <v>132866</v>
      </c>
      <c r="F143" s="0" t="n">
        <v>161585</v>
      </c>
      <c r="G143" s="0" t="s">
        <v>1387</v>
      </c>
    </row>
    <row r="144" customFormat="false" ht="15" hidden="false" customHeight="false" outlineLevel="0" collapsed="false">
      <c r="A144" s="0" t="s">
        <v>1385</v>
      </c>
      <c r="B144" s="0" t="s">
        <v>163</v>
      </c>
      <c r="C144" s="0" t="n">
        <v>2021</v>
      </c>
      <c r="D144" s="0" t="s">
        <v>69</v>
      </c>
      <c r="E144" s="0" t="n">
        <v>20</v>
      </c>
      <c r="F144" s="0" t="n">
        <v>19.8</v>
      </c>
      <c r="G144" s="0" t="s">
        <v>1386</v>
      </c>
    </row>
    <row r="145" customFormat="false" ht="15" hidden="false" customHeight="false" outlineLevel="0" collapsed="false">
      <c r="A145" s="0" t="s">
        <v>1385</v>
      </c>
      <c r="B145" s="0" t="s">
        <v>163</v>
      </c>
      <c r="C145" s="0" t="n">
        <v>2021</v>
      </c>
      <c r="D145" s="0" t="s">
        <v>69</v>
      </c>
      <c r="E145" s="0" t="n">
        <v>20</v>
      </c>
      <c r="F145" s="0" t="n">
        <v>19.8</v>
      </c>
      <c r="G145" s="0" t="s">
        <v>1387</v>
      </c>
    </row>
    <row r="146" customFormat="false" ht="15" hidden="false" customHeight="false" outlineLevel="0" collapsed="false">
      <c r="A146" s="0" t="s">
        <v>1385</v>
      </c>
      <c r="B146" s="0" t="s">
        <v>163</v>
      </c>
      <c r="C146" s="0" t="n">
        <v>2021</v>
      </c>
      <c r="D146" s="0" t="s">
        <v>60</v>
      </c>
      <c r="E146" s="0" t="n">
        <v>3237973</v>
      </c>
      <c r="F146" s="0" t="n">
        <v>3099452</v>
      </c>
      <c r="G146" s="0" t="s">
        <v>1386</v>
      </c>
    </row>
    <row r="147" customFormat="false" ht="15" hidden="false" customHeight="false" outlineLevel="0" collapsed="false">
      <c r="A147" s="0" t="s">
        <v>1385</v>
      </c>
      <c r="B147" s="0" t="s">
        <v>163</v>
      </c>
      <c r="C147" s="0" t="n">
        <v>2021</v>
      </c>
      <c r="D147" s="0" t="s">
        <v>60</v>
      </c>
      <c r="E147" s="0" t="n">
        <v>3237973</v>
      </c>
      <c r="F147" s="0" t="n">
        <v>3099452</v>
      </c>
      <c r="G147" s="0" t="s">
        <v>1387</v>
      </c>
    </row>
    <row r="148" customFormat="false" ht="15" hidden="false" customHeight="false" outlineLevel="0" collapsed="false">
      <c r="A148" s="0" t="s">
        <v>1385</v>
      </c>
      <c r="B148" s="0" t="s">
        <v>163</v>
      </c>
      <c r="C148" s="0" t="n">
        <v>2021</v>
      </c>
      <c r="D148" s="0" t="s">
        <v>61</v>
      </c>
      <c r="E148" s="0" t="n">
        <v>138521</v>
      </c>
      <c r="F148" s="0" t="n">
        <v>184456</v>
      </c>
      <c r="G148" s="0" t="s">
        <v>1386</v>
      </c>
    </row>
    <row r="149" customFormat="false" ht="15" hidden="false" customHeight="false" outlineLevel="0" collapsed="false">
      <c r="A149" s="0" t="s">
        <v>1385</v>
      </c>
      <c r="B149" s="0" t="s">
        <v>163</v>
      </c>
      <c r="C149" s="0" t="n">
        <v>2021</v>
      </c>
      <c r="D149" s="0" t="s">
        <v>61</v>
      </c>
      <c r="E149" s="0" t="n">
        <v>138521</v>
      </c>
      <c r="F149" s="0" t="n">
        <v>184456</v>
      </c>
      <c r="G149" s="0" t="s">
        <v>1387</v>
      </c>
    </row>
    <row r="150" customFormat="false" ht="15" hidden="false" customHeight="false" outlineLevel="0" collapsed="false">
      <c r="A150" s="0" t="s">
        <v>1385</v>
      </c>
      <c r="B150" s="0" t="s">
        <v>163</v>
      </c>
      <c r="C150" s="0" t="n">
        <v>2022</v>
      </c>
      <c r="D150" s="0" t="s">
        <v>69</v>
      </c>
      <c r="E150" s="0" t="n">
        <v>19</v>
      </c>
      <c r="F150" s="0" t="n">
        <v>19.3</v>
      </c>
      <c r="G150" s="0" t="s">
        <v>1386</v>
      </c>
    </row>
    <row r="151" customFormat="false" ht="15" hidden="false" customHeight="false" outlineLevel="0" collapsed="false">
      <c r="A151" s="0" t="s">
        <v>1385</v>
      </c>
      <c r="B151" s="0" t="s">
        <v>163</v>
      </c>
      <c r="C151" s="0" t="n">
        <v>2022</v>
      </c>
      <c r="D151" s="0" t="s">
        <v>69</v>
      </c>
      <c r="E151" s="0" t="n">
        <v>19</v>
      </c>
      <c r="F151" s="0" t="n">
        <v>19.3</v>
      </c>
      <c r="G151" s="0" t="s">
        <v>1387</v>
      </c>
    </row>
    <row r="152" customFormat="false" ht="15" hidden="false" customHeight="false" outlineLevel="0" collapsed="false">
      <c r="A152" s="0" t="s">
        <v>1385</v>
      </c>
      <c r="B152" s="0" t="s">
        <v>163</v>
      </c>
      <c r="C152" s="0" t="n">
        <v>2022</v>
      </c>
      <c r="D152" s="0" t="s">
        <v>61</v>
      </c>
      <c r="E152" s="0" t="n">
        <v>103129</v>
      </c>
      <c r="F152" s="0" t="n">
        <v>231245</v>
      </c>
      <c r="G152" s="0" t="s">
        <v>1386</v>
      </c>
    </row>
    <row r="153" customFormat="false" ht="15" hidden="false" customHeight="false" outlineLevel="0" collapsed="false">
      <c r="A153" s="0" t="s">
        <v>1385</v>
      </c>
      <c r="B153" s="0" t="s">
        <v>163</v>
      </c>
      <c r="C153" s="0" t="n">
        <v>2022</v>
      </c>
      <c r="D153" s="0" t="s">
        <v>61</v>
      </c>
      <c r="E153" s="0" t="n">
        <v>103129</v>
      </c>
      <c r="F153" s="0" t="n">
        <v>231245</v>
      </c>
      <c r="G153" s="0" t="s">
        <v>1387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1388</v>
      </c>
    </row>
    <row r="3" customFormat="false" ht="15" hidden="false" customHeight="false" outlineLevel="0" collapsed="false">
      <c r="A3" s="3" t="s">
        <v>1389</v>
      </c>
      <c r="B3" s="3" t="s">
        <v>50</v>
      </c>
      <c r="C3" s="3" t="s">
        <v>51</v>
      </c>
      <c r="D3" s="3" t="s">
        <v>241</v>
      </c>
      <c r="E3" s="3" t="s">
        <v>1390</v>
      </c>
      <c r="F3" s="3" t="s">
        <v>1391</v>
      </c>
      <c r="G3" s="3" t="s">
        <v>1392</v>
      </c>
      <c r="H3" s="3" t="s">
        <v>1393</v>
      </c>
      <c r="I3" s="3" t="s">
        <v>1394</v>
      </c>
    </row>
    <row r="4" customFormat="false" ht="15" hidden="false" customHeight="false" outlineLevel="0" collapsed="false">
      <c r="A4" s="0" t="s">
        <v>1395</v>
      </c>
      <c r="B4" s="0" t="s">
        <v>154</v>
      </c>
      <c r="C4" s="0" t="n">
        <v>2013</v>
      </c>
      <c r="D4" s="0" t="s">
        <v>1396</v>
      </c>
      <c r="E4" s="0" t="n">
        <v>1</v>
      </c>
      <c r="F4" s="0" t="s">
        <v>1397</v>
      </c>
      <c r="G4" s="0" t="s">
        <v>1398</v>
      </c>
      <c r="H4" s="0" t="s">
        <v>1399</v>
      </c>
      <c r="I4" s="0" t="s">
        <v>1400</v>
      </c>
    </row>
    <row r="5" customFormat="false" ht="15" hidden="false" customHeight="false" outlineLevel="0" collapsed="false">
      <c r="A5" s="0" t="s">
        <v>1395</v>
      </c>
      <c r="B5" s="0" t="s">
        <v>77</v>
      </c>
      <c r="C5" s="0" t="n">
        <v>2017</v>
      </c>
      <c r="D5" s="0" t="s">
        <v>1396</v>
      </c>
      <c r="E5" s="0" t="n">
        <v>3</v>
      </c>
      <c r="F5" s="0" t="s">
        <v>1401</v>
      </c>
      <c r="G5" s="0" t="s">
        <v>1398</v>
      </c>
      <c r="H5" s="0" t="s">
        <v>1402</v>
      </c>
      <c r="I5" s="0" t="s">
        <v>1403</v>
      </c>
    </row>
    <row r="6" customFormat="false" ht="15" hidden="false" customHeight="false" outlineLevel="0" collapsed="false">
      <c r="A6" s="0" t="s">
        <v>1395</v>
      </c>
      <c r="B6" s="0" t="s">
        <v>77</v>
      </c>
      <c r="C6" s="0" t="n">
        <v>2018</v>
      </c>
      <c r="D6" s="0" t="s">
        <v>1396</v>
      </c>
      <c r="E6" s="0" t="n">
        <v>3</v>
      </c>
      <c r="F6" s="0" t="s">
        <v>1401</v>
      </c>
      <c r="G6" s="0" t="s">
        <v>1398</v>
      </c>
      <c r="H6" s="0" t="s">
        <v>1404</v>
      </c>
      <c r="I6" s="0" t="s">
        <v>1403</v>
      </c>
    </row>
    <row r="7" customFormat="false" ht="15" hidden="false" customHeight="false" outlineLevel="0" collapsed="false">
      <c r="A7" s="0" t="s">
        <v>1395</v>
      </c>
      <c r="B7" s="0" t="s">
        <v>77</v>
      </c>
      <c r="C7" s="0" t="n">
        <v>2019</v>
      </c>
      <c r="D7" s="0" t="s">
        <v>1396</v>
      </c>
      <c r="E7" s="0" t="n">
        <v>3</v>
      </c>
      <c r="F7" s="0" t="s">
        <v>1401</v>
      </c>
      <c r="G7" s="0" t="s">
        <v>1398</v>
      </c>
      <c r="H7" s="0" t="s">
        <v>1405</v>
      </c>
      <c r="I7" s="0" t="s">
        <v>1403</v>
      </c>
    </row>
    <row r="8" customFormat="false" ht="15" hidden="false" customHeight="false" outlineLevel="0" collapsed="false">
      <c r="A8" s="0" t="s">
        <v>1395</v>
      </c>
      <c r="B8" s="0" t="s">
        <v>104</v>
      </c>
      <c r="C8" s="0" t="n">
        <v>2018</v>
      </c>
      <c r="D8" s="0" t="s">
        <v>1396</v>
      </c>
      <c r="E8" s="0" t="n">
        <v>3</v>
      </c>
      <c r="F8" s="0" t="s">
        <v>1401</v>
      </c>
      <c r="G8" s="0" t="s">
        <v>1398</v>
      </c>
      <c r="H8" s="0" t="s">
        <v>1406</v>
      </c>
      <c r="I8" s="0" t="s">
        <v>1403</v>
      </c>
    </row>
    <row r="9" customFormat="false" ht="15" hidden="false" customHeight="false" outlineLevel="0" collapsed="false">
      <c r="A9" s="0" t="s">
        <v>1395</v>
      </c>
      <c r="B9" s="0" t="s">
        <v>104</v>
      </c>
      <c r="C9" s="0" t="n">
        <v>2019</v>
      </c>
      <c r="D9" s="0" t="s">
        <v>1396</v>
      </c>
      <c r="E9" s="0" t="n">
        <v>3</v>
      </c>
      <c r="F9" s="0" t="s">
        <v>1401</v>
      </c>
      <c r="G9" s="0" t="s">
        <v>1398</v>
      </c>
      <c r="H9" s="0" t="s">
        <v>1407</v>
      </c>
      <c r="I9" s="0" t="s">
        <v>1403</v>
      </c>
    </row>
    <row r="10" customFormat="false" ht="15" hidden="false" customHeight="false" outlineLevel="0" collapsed="false">
      <c r="A10" s="0" t="s">
        <v>1395</v>
      </c>
      <c r="B10" s="0" t="s">
        <v>1246</v>
      </c>
      <c r="C10" s="0" t="n">
        <v>2013</v>
      </c>
      <c r="D10" s="0" t="s">
        <v>1396</v>
      </c>
      <c r="E10" s="0" t="n">
        <v>4</v>
      </c>
      <c r="F10" s="0" t="s">
        <v>1397</v>
      </c>
      <c r="G10" s="0" t="s">
        <v>1398</v>
      </c>
      <c r="H10" s="0" t="s">
        <v>1408</v>
      </c>
      <c r="I10" s="0" t="s">
        <v>1400</v>
      </c>
    </row>
    <row r="11" customFormat="false" ht="15" hidden="false" customHeight="false" outlineLevel="0" collapsed="false">
      <c r="A11" s="0" t="s">
        <v>1395</v>
      </c>
      <c r="B11" s="0" t="s">
        <v>1246</v>
      </c>
      <c r="C11" s="0" t="n">
        <v>2014</v>
      </c>
      <c r="D11" s="0" t="s">
        <v>1396</v>
      </c>
      <c r="E11" s="0" t="n">
        <v>4</v>
      </c>
      <c r="F11" s="0" t="s">
        <v>1397</v>
      </c>
      <c r="G11" s="0" t="s">
        <v>1398</v>
      </c>
      <c r="H11" s="0" t="s">
        <v>1409</v>
      </c>
      <c r="I11" s="0" t="s">
        <v>1400</v>
      </c>
    </row>
    <row r="12" customFormat="false" ht="15" hidden="false" customHeight="false" outlineLevel="0" collapsed="false">
      <c r="A12" s="0" t="s">
        <v>1395</v>
      </c>
      <c r="B12" s="0" t="s">
        <v>1246</v>
      </c>
      <c r="C12" s="0" t="n">
        <v>2015</v>
      </c>
      <c r="D12" s="0" t="s">
        <v>1396</v>
      </c>
      <c r="E12" s="0" t="n">
        <v>4</v>
      </c>
      <c r="F12" s="0" t="s">
        <v>1401</v>
      </c>
      <c r="G12" s="0" t="s">
        <v>1398</v>
      </c>
      <c r="H12" s="0" t="s">
        <v>1410</v>
      </c>
      <c r="I12" s="0" t="s">
        <v>1403</v>
      </c>
    </row>
    <row r="13" customFormat="false" ht="15" hidden="false" customHeight="false" outlineLevel="0" collapsed="false">
      <c r="A13" s="0" t="s">
        <v>1395</v>
      </c>
      <c r="B13" s="0" t="s">
        <v>1246</v>
      </c>
      <c r="C13" s="0" t="n">
        <v>2016</v>
      </c>
      <c r="D13" s="0" t="s">
        <v>1396</v>
      </c>
      <c r="E13" s="0" t="n">
        <v>4</v>
      </c>
      <c r="F13" s="0" t="s">
        <v>1401</v>
      </c>
      <c r="G13" s="0" t="s">
        <v>1398</v>
      </c>
      <c r="H13" s="0" t="s">
        <v>1411</v>
      </c>
      <c r="I13" s="0" t="s">
        <v>1403</v>
      </c>
    </row>
    <row r="14" customFormat="false" ht="15" hidden="false" customHeight="false" outlineLevel="0" collapsed="false">
      <c r="A14" s="0" t="s">
        <v>1395</v>
      </c>
      <c r="B14" s="0" t="s">
        <v>1246</v>
      </c>
      <c r="C14" s="0" t="n">
        <v>2017</v>
      </c>
      <c r="D14" s="0" t="s">
        <v>1396</v>
      </c>
      <c r="E14" s="0" t="n">
        <v>4</v>
      </c>
      <c r="F14" s="0" t="s">
        <v>1401</v>
      </c>
      <c r="G14" s="0" t="s">
        <v>1398</v>
      </c>
      <c r="H14" s="0" t="s">
        <v>1412</v>
      </c>
      <c r="I14" s="0" t="s">
        <v>1403</v>
      </c>
    </row>
    <row r="15" customFormat="false" ht="15" hidden="false" customHeight="false" outlineLevel="0" collapsed="false">
      <c r="A15" s="0" t="s">
        <v>1395</v>
      </c>
      <c r="B15" s="0" t="s">
        <v>1246</v>
      </c>
      <c r="C15" s="0" t="n">
        <v>2018</v>
      </c>
      <c r="D15" s="0" t="s">
        <v>1396</v>
      </c>
      <c r="E15" s="0" t="n">
        <v>4</v>
      </c>
      <c r="F15" s="0" t="s">
        <v>1401</v>
      </c>
      <c r="G15" s="0" t="s">
        <v>1398</v>
      </c>
      <c r="H15" s="0" t="s">
        <v>1413</v>
      </c>
      <c r="I15" s="0" t="s">
        <v>1403</v>
      </c>
    </row>
    <row r="16" customFormat="false" ht="15" hidden="false" customHeight="false" outlineLevel="0" collapsed="false">
      <c r="A16" s="0" t="s">
        <v>1395</v>
      </c>
      <c r="B16" s="0" t="s">
        <v>1246</v>
      </c>
      <c r="C16" s="0" t="n">
        <v>2019</v>
      </c>
      <c r="D16" s="0" t="s">
        <v>1396</v>
      </c>
      <c r="E16" s="0" t="n">
        <v>4</v>
      </c>
      <c r="F16" s="0" t="s">
        <v>1401</v>
      </c>
      <c r="G16" s="0" t="s">
        <v>1398</v>
      </c>
      <c r="H16" s="0" t="s">
        <v>1414</v>
      </c>
      <c r="I16" s="0" t="s">
        <v>1403</v>
      </c>
    </row>
    <row r="17" customFormat="false" ht="15" hidden="false" customHeight="false" outlineLevel="0" collapsed="false">
      <c r="A17" s="0" t="s">
        <v>1395</v>
      </c>
      <c r="B17" s="0" t="s">
        <v>1246</v>
      </c>
      <c r="C17" s="0" t="n">
        <v>2020</v>
      </c>
      <c r="D17" s="0" t="s">
        <v>1396</v>
      </c>
      <c r="E17" s="0" t="n">
        <v>4</v>
      </c>
      <c r="F17" s="0" t="s">
        <v>1401</v>
      </c>
      <c r="G17" s="0" t="s">
        <v>1398</v>
      </c>
      <c r="H17" s="0" t="s">
        <v>1415</v>
      </c>
      <c r="I17" s="0" t="s">
        <v>1403</v>
      </c>
    </row>
    <row r="18" customFormat="false" ht="15" hidden="false" customHeight="false" outlineLevel="0" collapsed="false">
      <c r="A18" s="0" t="s">
        <v>1395</v>
      </c>
      <c r="B18" s="0" t="s">
        <v>1246</v>
      </c>
      <c r="C18" s="0" t="n">
        <v>2021</v>
      </c>
      <c r="D18" s="0" t="s">
        <v>1396</v>
      </c>
      <c r="E18" s="0" t="n">
        <v>4</v>
      </c>
      <c r="F18" s="0" t="s">
        <v>1401</v>
      </c>
      <c r="G18" s="0" t="s">
        <v>1398</v>
      </c>
      <c r="H18" s="0" t="s">
        <v>1416</v>
      </c>
      <c r="I18" s="0" t="s">
        <v>1403</v>
      </c>
    </row>
    <row r="19" customFormat="false" ht="15" hidden="false" customHeight="false" outlineLevel="0" collapsed="false">
      <c r="A19" s="0" t="s">
        <v>1395</v>
      </c>
      <c r="B19" s="0" t="s">
        <v>1246</v>
      </c>
      <c r="C19" s="0" t="n">
        <v>2022</v>
      </c>
      <c r="D19" s="0" t="s">
        <v>1396</v>
      </c>
      <c r="E19" s="0" t="n">
        <v>4</v>
      </c>
      <c r="F19" s="0" t="s">
        <v>1401</v>
      </c>
      <c r="G19" s="0" t="s">
        <v>1398</v>
      </c>
      <c r="H19" s="0" t="s">
        <v>1417</v>
      </c>
      <c r="I19" s="0" t="s">
        <v>1403</v>
      </c>
    </row>
    <row r="20" customFormat="false" ht="15" hidden="false" customHeight="false" outlineLevel="0" collapsed="false">
      <c r="A20" s="0" t="s">
        <v>1395</v>
      </c>
      <c r="B20" s="0" t="s">
        <v>116</v>
      </c>
      <c r="C20" s="0" t="n">
        <v>2013</v>
      </c>
      <c r="D20" s="0" t="s">
        <v>1396</v>
      </c>
      <c r="E20" s="0" t="n">
        <v>4</v>
      </c>
      <c r="F20" s="0" t="s">
        <v>1397</v>
      </c>
      <c r="G20" s="0" t="s">
        <v>1398</v>
      </c>
      <c r="H20" s="0" t="s">
        <v>1418</v>
      </c>
      <c r="I20" s="0" t="s">
        <v>1400</v>
      </c>
    </row>
    <row r="21" customFormat="false" ht="15" hidden="false" customHeight="false" outlineLevel="0" collapsed="false">
      <c r="A21" s="0" t="s">
        <v>1395</v>
      </c>
      <c r="B21" s="0" t="s">
        <v>116</v>
      </c>
      <c r="C21" s="0" t="n">
        <v>2014</v>
      </c>
      <c r="D21" s="0" t="s">
        <v>1396</v>
      </c>
      <c r="E21" s="0" t="n">
        <v>4</v>
      </c>
      <c r="F21" s="0" t="s">
        <v>1397</v>
      </c>
      <c r="G21" s="0" t="s">
        <v>1398</v>
      </c>
      <c r="H21" s="0" t="s">
        <v>1419</v>
      </c>
      <c r="I21" s="0" t="s">
        <v>1400</v>
      </c>
    </row>
    <row r="22" customFormat="false" ht="15" hidden="false" customHeight="false" outlineLevel="0" collapsed="false">
      <c r="A22" s="0" t="s">
        <v>1395</v>
      </c>
      <c r="B22" s="0" t="s">
        <v>116</v>
      </c>
      <c r="C22" s="0" t="n">
        <v>2015</v>
      </c>
      <c r="D22" s="0" t="s">
        <v>1396</v>
      </c>
      <c r="E22" s="0" t="n">
        <v>4</v>
      </c>
      <c r="F22" s="0" t="s">
        <v>1401</v>
      </c>
      <c r="G22" s="0" t="s">
        <v>1398</v>
      </c>
      <c r="H22" s="0" t="s">
        <v>1420</v>
      </c>
      <c r="I22" s="0" t="s">
        <v>1403</v>
      </c>
    </row>
    <row r="23" customFormat="false" ht="15" hidden="false" customHeight="false" outlineLevel="0" collapsed="false">
      <c r="A23" s="0" t="s">
        <v>1395</v>
      </c>
      <c r="B23" s="0" t="s">
        <v>116</v>
      </c>
      <c r="C23" s="0" t="n">
        <v>2016</v>
      </c>
      <c r="D23" s="0" t="s">
        <v>1396</v>
      </c>
      <c r="E23" s="0" t="n">
        <v>4</v>
      </c>
      <c r="F23" s="0" t="s">
        <v>1401</v>
      </c>
      <c r="G23" s="0" t="s">
        <v>1398</v>
      </c>
      <c r="H23" s="0" t="s">
        <v>1421</v>
      </c>
      <c r="I23" s="0" t="s">
        <v>1403</v>
      </c>
    </row>
    <row r="24" customFormat="false" ht="15" hidden="false" customHeight="false" outlineLevel="0" collapsed="false">
      <c r="A24" s="0" t="s">
        <v>1395</v>
      </c>
      <c r="B24" s="0" t="s">
        <v>116</v>
      </c>
      <c r="C24" s="0" t="n">
        <v>2017</v>
      </c>
      <c r="D24" s="0" t="s">
        <v>1396</v>
      </c>
      <c r="E24" s="0" t="n">
        <v>4</v>
      </c>
      <c r="F24" s="0" t="s">
        <v>1401</v>
      </c>
      <c r="G24" s="0" t="s">
        <v>1398</v>
      </c>
      <c r="H24" s="0" t="s">
        <v>1422</v>
      </c>
      <c r="I24" s="0" t="s">
        <v>1403</v>
      </c>
    </row>
    <row r="25" customFormat="false" ht="15" hidden="false" customHeight="false" outlineLevel="0" collapsed="false">
      <c r="A25" s="0" t="s">
        <v>1395</v>
      </c>
      <c r="B25" s="0" t="s">
        <v>77</v>
      </c>
      <c r="C25" s="0" t="n">
        <v>2015</v>
      </c>
      <c r="D25" s="0" t="s">
        <v>1396</v>
      </c>
      <c r="E25" s="0" t="n">
        <v>5</v>
      </c>
      <c r="F25" s="0" t="s">
        <v>1401</v>
      </c>
      <c r="G25" s="0" t="s">
        <v>1398</v>
      </c>
      <c r="H25" s="0" t="s">
        <v>1423</v>
      </c>
      <c r="I25" s="0" t="s">
        <v>1403</v>
      </c>
    </row>
    <row r="26" customFormat="false" ht="15" hidden="false" customHeight="false" outlineLevel="0" collapsed="false">
      <c r="A26" s="0" t="s">
        <v>1395</v>
      </c>
      <c r="B26" s="0" t="s">
        <v>77</v>
      </c>
      <c r="C26" s="0" t="n">
        <v>2016</v>
      </c>
      <c r="D26" s="0" t="s">
        <v>1396</v>
      </c>
      <c r="E26" s="0" t="n">
        <v>5</v>
      </c>
      <c r="F26" s="0" t="s">
        <v>1401</v>
      </c>
      <c r="G26" s="0" t="s">
        <v>1398</v>
      </c>
      <c r="H26" s="0" t="s">
        <v>1424</v>
      </c>
      <c r="I26" s="0" t="s">
        <v>1403</v>
      </c>
    </row>
    <row r="27" customFormat="false" ht="15" hidden="false" customHeight="false" outlineLevel="0" collapsed="false">
      <c r="A27" s="0" t="s">
        <v>1395</v>
      </c>
      <c r="B27" s="0" t="s">
        <v>77</v>
      </c>
      <c r="C27" s="0" t="n">
        <v>2020</v>
      </c>
      <c r="D27" s="0" t="s">
        <v>1396</v>
      </c>
      <c r="E27" s="0" t="n">
        <v>5</v>
      </c>
      <c r="F27" s="0" t="s">
        <v>1401</v>
      </c>
      <c r="G27" s="0" t="s">
        <v>1398</v>
      </c>
      <c r="H27" s="0" t="s">
        <v>1425</v>
      </c>
      <c r="I27" s="0" t="s">
        <v>1403</v>
      </c>
    </row>
    <row r="28" customFormat="false" ht="15" hidden="false" customHeight="false" outlineLevel="0" collapsed="false">
      <c r="A28" s="0" t="s">
        <v>1395</v>
      </c>
      <c r="B28" s="0" t="s">
        <v>77</v>
      </c>
      <c r="C28" s="0" t="n">
        <v>2021</v>
      </c>
      <c r="D28" s="0" t="s">
        <v>1396</v>
      </c>
      <c r="E28" s="0" t="n">
        <v>5</v>
      </c>
      <c r="F28" s="0" t="s">
        <v>1401</v>
      </c>
      <c r="G28" s="0" t="s">
        <v>1398</v>
      </c>
      <c r="H28" s="0" t="s">
        <v>1426</v>
      </c>
      <c r="I28" s="0" t="s">
        <v>1403</v>
      </c>
    </row>
    <row r="29" customFormat="false" ht="15" hidden="false" customHeight="false" outlineLevel="0" collapsed="false">
      <c r="A29" s="0" t="s">
        <v>1395</v>
      </c>
      <c r="B29" s="0" t="s">
        <v>77</v>
      </c>
      <c r="C29" s="0" t="n">
        <v>2022</v>
      </c>
      <c r="D29" s="0" t="s">
        <v>1396</v>
      </c>
      <c r="E29" s="0" t="n">
        <v>5</v>
      </c>
      <c r="F29" s="0" t="s">
        <v>1401</v>
      </c>
      <c r="G29" s="0" t="s">
        <v>1398</v>
      </c>
      <c r="H29" s="0" t="s">
        <v>1427</v>
      </c>
      <c r="I29" s="0" t="s">
        <v>1403</v>
      </c>
    </row>
    <row r="30" customFormat="false" ht="15" hidden="false" customHeight="false" outlineLevel="0" collapsed="false">
      <c r="A30" s="0" t="s">
        <v>1395</v>
      </c>
      <c r="B30" s="0" t="s">
        <v>104</v>
      </c>
      <c r="C30" s="0" t="n">
        <v>2015</v>
      </c>
      <c r="D30" s="0" t="s">
        <v>1396</v>
      </c>
      <c r="E30" s="0" t="n">
        <v>5</v>
      </c>
      <c r="F30" s="0" t="s">
        <v>1401</v>
      </c>
      <c r="G30" s="0" t="s">
        <v>1398</v>
      </c>
      <c r="H30" s="0" t="s">
        <v>1428</v>
      </c>
      <c r="I30" s="0" t="s">
        <v>1403</v>
      </c>
    </row>
    <row r="31" customFormat="false" ht="15" hidden="false" customHeight="false" outlineLevel="0" collapsed="false">
      <c r="A31" s="0" t="s">
        <v>1395</v>
      </c>
      <c r="B31" s="0" t="s">
        <v>104</v>
      </c>
      <c r="C31" s="0" t="n">
        <v>2020</v>
      </c>
      <c r="D31" s="0" t="s">
        <v>1396</v>
      </c>
      <c r="E31" s="0" t="n">
        <v>5</v>
      </c>
      <c r="F31" s="0" t="s">
        <v>1401</v>
      </c>
      <c r="G31" s="0" t="s">
        <v>1398</v>
      </c>
      <c r="H31" s="0" t="s">
        <v>1429</v>
      </c>
      <c r="I31" s="0" t="s">
        <v>1403</v>
      </c>
    </row>
    <row r="32" customFormat="false" ht="15" hidden="false" customHeight="false" outlineLevel="0" collapsed="false">
      <c r="A32" s="0" t="s">
        <v>1395</v>
      </c>
      <c r="B32" s="0" t="s">
        <v>104</v>
      </c>
      <c r="C32" s="0" t="n">
        <v>2021</v>
      </c>
      <c r="D32" s="0" t="s">
        <v>1396</v>
      </c>
      <c r="E32" s="0" t="n">
        <v>5</v>
      </c>
      <c r="F32" s="0" t="s">
        <v>1401</v>
      </c>
      <c r="G32" s="0" t="s">
        <v>1398</v>
      </c>
      <c r="H32" s="0" t="s">
        <v>1430</v>
      </c>
      <c r="I32" s="0" t="s">
        <v>1403</v>
      </c>
    </row>
    <row r="33" customFormat="false" ht="15" hidden="false" customHeight="false" outlineLevel="0" collapsed="false">
      <c r="A33" s="0" t="s">
        <v>1395</v>
      </c>
      <c r="B33" s="0" t="s">
        <v>104</v>
      </c>
      <c r="C33" s="0" t="n">
        <v>2022</v>
      </c>
      <c r="D33" s="0" t="s">
        <v>1396</v>
      </c>
      <c r="E33" s="0" t="n">
        <v>5</v>
      </c>
      <c r="F33" s="0" t="s">
        <v>1401</v>
      </c>
      <c r="G33" s="0" t="s">
        <v>1398</v>
      </c>
      <c r="H33" s="0" t="s">
        <v>1431</v>
      </c>
      <c r="I33" s="0" t="s">
        <v>1403</v>
      </c>
    </row>
    <row r="34" customFormat="false" ht="15" hidden="false" customHeight="false" outlineLevel="0" collapsed="false">
      <c r="A34" s="0" t="s">
        <v>1395</v>
      </c>
      <c r="B34" s="0" t="s">
        <v>109</v>
      </c>
      <c r="C34" s="0" t="n">
        <v>2015</v>
      </c>
      <c r="D34" s="0" t="s">
        <v>1396</v>
      </c>
      <c r="E34" s="0" t="n">
        <v>5</v>
      </c>
      <c r="F34" s="0" t="s">
        <v>1401</v>
      </c>
      <c r="G34" s="0" t="s">
        <v>1398</v>
      </c>
      <c r="H34" s="0" t="s">
        <v>1432</v>
      </c>
      <c r="I34" s="0" t="s">
        <v>1403</v>
      </c>
    </row>
    <row r="35" customFormat="false" ht="15" hidden="false" customHeight="false" outlineLevel="0" collapsed="false">
      <c r="A35" s="0" t="s">
        <v>1395</v>
      </c>
      <c r="B35" s="0" t="s">
        <v>109</v>
      </c>
      <c r="C35" s="0" t="n">
        <v>2016</v>
      </c>
      <c r="D35" s="0" t="s">
        <v>1396</v>
      </c>
      <c r="E35" s="0" t="n">
        <v>5</v>
      </c>
      <c r="F35" s="0" t="s">
        <v>1401</v>
      </c>
      <c r="G35" s="0" t="s">
        <v>1398</v>
      </c>
      <c r="H35" s="0" t="s">
        <v>1433</v>
      </c>
      <c r="I35" s="0" t="s">
        <v>1403</v>
      </c>
    </row>
    <row r="36" customFormat="false" ht="15" hidden="false" customHeight="false" outlineLevel="0" collapsed="false">
      <c r="A36" s="0" t="s">
        <v>1395</v>
      </c>
      <c r="B36" s="0" t="s">
        <v>109</v>
      </c>
      <c r="C36" s="0" t="n">
        <v>2020</v>
      </c>
      <c r="D36" s="0" t="s">
        <v>1396</v>
      </c>
      <c r="E36" s="0" t="n">
        <v>5</v>
      </c>
      <c r="F36" s="0" t="s">
        <v>1401</v>
      </c>
      <c r="G36" s="0" t="s">
        <v>1398</v>
      </c>
      <c r="H36" s="0" t="s">
        <v>1434</v>
      </c>
      <c r="I36" s="0" t="s">
        <v>1403</v>
      </c>
    </row>
    <row r="37" customFormat="false" ht="15" hidden="false" customHeight="false" outlineLevel="0" collapsed="false">
      <c r="A37" s="0" t="s">
        <v>1395</v>
      </c>
      <c r="B37" s="0" t="s">
        <v>109</v>
      </c>
      <c r="C37" s="0" t="n">
        <v>2021</v>
      </c>
      <c r="D37" s="0" t="s">
        <v>1396</v>
      </c>
      <c r="E37" s="0" t="n">
        <v>5</v>
      </c>
      <c r="F37" s="0" t="s">
        <v>1401</v>
      </c>
      <c r="G37" s="0" t="s">
        <v>1398</v>
      </c>
      <c r="H37" s="0" t="s">
        <v>1435</v>
      </c>
      <c r="I37" s="0" t="s">
        <v>1403</v>
      </c>
    </row>
    <row r="38" customFormat="false" ht="15" hidden="false" customHeight="false" outlineLevel="0" collapsed="false">
      <c r="A38" s="0" t="s">
        <v>1395</v>
      </c>
      <c r="B38" s="0" t="s">
        <v>109</v>
      </c>
      <c r="C38" s="0" t="n">
        <v>2022</v>
      </c>
      <c r="D38" s="0" t="s">
        <v>1396</v>
      </c>
      <c r="E38" s="0" t="n">
        <v>5</v>
      </c>
      <c r="F38" s="0" t="s">
        <v>1401</v>
      </c>
      <c r="G38" s="0" t="s">
        <v>1398</v>
      </c>
      <c r="H38" s="0" t="s">
        <v>1436</v>
      </c>
      <c r="I38" s="0" t="s">
        <v>1403</v>
      </c>
    </row>
    <row r="39" customFormat="false" ht="15" hidden="false" customHeight="false" outlineLevel="0" collapsed="false">
      <c r="A39" s="0" t="s">
        <v>1395</v>
      </c>
      <c r="B39" s="0" t="s">
        <v>163</v>
      </c>
      <c r="C39" s="0" t="n">
        <v>2013</v>
      </c>
      <c r="D39" s="0" t="s">
        <v>1396</v>
      </c>
      <c r="E39" s="0" t="n">
        <v>5</v>
      </c>
      <c r="F39" s="0" t="s">
        <v>1397</v>
      </c>
      <c r="G39" s="0" t="s">
        <v>1398</v>
      </c>
      <c r="H39" s="0" t="s">
        <v>1437</v>
      </c>
      <c r="I39" s="0" t="s">
        <v>1400</v>
      </c>
    </row>
    <row r="40" customFormat="false" ht="15" hidden="false" customHeight="false" outlineLevel="0" collapsed="false">
      <c r="A40" s="0" t="s">
        <v>1395</v>
      </c>
      <c r="B40" s="0" t="s">
        <v>83</v>
      </c>
      <c r="C40" s="0" t="n">
        <v>2013</v>
      </c>
      <c r="D40" s="0" t="s">
        <v>1396</v>
      </c>
      <c r="E40" s="0" t="n">
        <v>6</v>
      </c>
      <c r="F40" s="0" t="s">
        <v>1397</v>
      </c>
      <c r="G40" s="0" t="s">
        <v>1398</v>
      </c>
      <c r="H40" s="0" t="s">
        <v>1438</v>
      </c>
      <c r="I40" s="0" t="s">
        <v>1400</v>
      </c>
    </row>
    <row r="41" customFormat="false" ht="15" hidden="false" customHeight="false" outlineLevel="0" collapsed="false">
      <c r="A41" s="0" t="s">
        <v>1395</v>
      </c>
      <c r="B41" s="0" t="s">
        <v>83</v>
      </c>
      <c r="C41" s="0" t="n">
        <v>2014</v>
      </c>
      <c r="D41" s="0" t="s">
        <v>1396</v>
      </c>
      <c r="E41" s="0" t="n">
        <v>6</v>
      </c>
      <c r="F41" s="0" t="s">
        <v>1397</v>
      </c>
      <c r="G41" s="0" t="s">
        <v>1398</v>
      </c>
      <c r="H41" s="0" t="s">
        <v>1439</v>
      </c>
      <c r="I41" s="0" t="s">
        <v>1400</v>
      </c>
    </row>
    <row r="42" customFormat="false" ht="15" hidden="false" customHeight="false" outlineLevel="0" collapsed="false">
      <c r="A42" s="0" t="s">
        <v>1395</v>
      </c>
      <c r="B42" s="0" t="s">
        <v>83</v>
      </c>
      <c r="C42" s="0" t="n">
        <v>2015</v>
      </c>
      <c r="D42" s="0" t="s">
        <v>1396</v>
      </c>
      <c r="E42" s="0" t="n">
        <v>6</v>
      </c>
      <c r="F42" s="0" t="s">
        <v>1401</v>
      </c>
      <c r="G42" s="0" t="s">
        <v>1398</v>
      </c>
      <c r="H42" s="0" t="s">
        <v>1440</v>
      </c>
      <c r="I42" s="0" t="s">
        <v>1403</v>
      </c>
    </row>
    <row r="43" customFormat="false" ht="15" hidden="false" customHeight="false" outlineLevel="0" collapsed="false">
      <c r="A43" s="0" t="s">
        <v>1395</v>
      </c>
      <c r="B43" s="0" t="s">
        <v>83</v>
      </c>
      <c r="C43" s="0" t="n">
        <v>2018</v>
      </c>
      <c r="D43" s="0" t="s">
        <v>1396</v>
      </c>
      <c r="E43" s="0" t="n">
        <v>6</v>
      </c>
      <c r="F43" s="0" t="s">
        <v>1401</v>
      </c>
      <c r="G43" s="0" t="s">
        <v>1398</v>
      </c>
      <c r="H43" s="0" t="s">
        <v>1441</v>
      </c>
      <c r="I43" s="0" t="s">
        <v>1403</v>
      </c>
    </row>
    <row r="44" customFormat="false" ht="15" hidden="false" customHeight="false" outlineLevel="0" collapsed="false">
      <c r="A44" s="0" t="s">
        <v>1395</v>
      </c>
      <c r="B44" s="0" t="s">
        <v>83</v>
      </c>
      <c r="C44" s="0" t="n">
        <v>2019</v>
      </c>
      <c r="D44" s="0" t="s">
        <v>1396</v>
      </c>
      <c r="E44" s="0" t="n">
        <v>6</v>
      </c>
      <c r="F44" s="0" t="s">
        <v>1401</v>
      </c>
      <c r="G44" s="0" t="s">
        <v>1398</v>
      </c>
      <c r="H44" s="0" t="s">
        <v>1442</v>
      </c>
      <c r="I44" s="0" t="s">
        <v>1403</v>
      </c>
    </row>
    <row r="45" customFormat="false" ht="15" hidden="false" customHeight="false" outlineLevel="0" collapsed="false">
      <c r="A45" s="0" t="s">
        <v>1395</v>
      </c>
      <c r="B45" s="0" t="s">
        <v>83</v>
      </c>
      <c r="C45" s="0" t="n">
        <v>2020</v>
      </c>
      <c r="D45" s="0" t="s">
        <v>1396</v>
      </c>
      <c r="E45" s="0" t="n">
        <v>6</v>
      </c>
      <c r="F45" s="0" t="s">
        <v>1401</v>
      </c>
      <c r="G45" s="0" t="s">
        <v>1398</v>
      </c>
      <c r="H45" s="0" t="s">
        <v>1443</v>
      </c>
      <c r="I45" s="0" t="s">
        <v>1403</v>
      </c>
    </row>
    <row r="46" customFormat="false" ht="15" hidden="false" customHeight="false" outlineLevel="0" collapsed="false">
      <c r="A46" s="0" t="s">
        <v>1395</v>
      </c>
      <c r="B46" s="0" t="s">
        <v>83</v>
      </c>
      <c r="C46" s="0" t="n">
        <v>2021</v>
      </c>
      <c r="D46" s="0" t="s">
        <v>1396</v>
      </c>
      <c r="E46" s="0" t="n">
        <v>6</v>
      </c>
      <c r="F46" s="0" t="s">
        <v>1401</v>
      </c>
      <c r="G46" s="0" t="s">
        <v>1398</v>
      </c>
      <c r="H46" s="0" t="s">
        <v>1444</v>
      </c>
      <c r="I46" s="0" t="s">
        <v>1403</v>
      </c>
    </row>
    <row r="47" customFormat="false" ht="15" hidden="false" customHeight="false" outlineLevel="0" collapsed="false">
      <c r="A47" s="0" t="s">
        <v>1395</v>
      </c>
      <c r="B47" s="0" t="s">
        <v>83</v>
      </c>
      <c r="C47" s="0" t="n">
        <v>2022</v>
      </c>
      <c r="D47" s="0" t="s">
        <v>1396</v>
      </c>
      <c r="E47" s="0" t="n">
        <v>6</v>
      </c>
      <c r="F47" s="0" t="s">
        <v>1401</v>
      </c>
      <c r="G47" s="0" t="s">
        <v>1398</v>
      </c>
      <c r="H47" s="0" t="s">
        <v>1445</v>
      </c>
      <c r="I47" s="0" t="s">
        <v>1403</v>
      </c>
    </row>
    <row r="48" customFormat="false" ht="15" hidden="false" customHeight="false" outlineLevel="0" collapsed="false">
      <c r="A48" s="0" t="s">
        <v>1395</v>
      </c>
      <c r="B48" s="0" t="s">
        <v>126</v>
      </c>
      <c r="C48" s="0" t="n">
        <v>2015</v>
      </c>
      <c r="D48" s="0" t="s">
        <v>1396</v>
      </c>
      <c r="E48" s="0" t="n">
        <v>6</v>
      </c>
      <c r="F48" s="0" t="s">
        <v>1401</v>
      </c>
      <c r="G48" s="0" t="s">
        <v>1398</v>
      </c>
      <c r="H48" s="0" t="s">
        <v>1446</v>
      </c>
      <c r="I48" s="0" t="s">
        <v>1403</v>
      </c>
    </row>
    <row r="49" customFormat="false" ht="15" hidden="false" customHeight="false" outlineLevel="0" collapsed="false">
      <c r="A49" s="0" t="s">
        <v>1395</v>
      </c>
      <c r="B49" s="0" t="s">
        <v>126</v>
      </c>
      <c r="C49" s="0" t="n">
        <v>2016</v>
      </c>
      <c r="D49" s="0" t="s">
        <v>1396</v>
      </c>
      <c r="E49" s="0" t="n">
        <v>6</v>
      </c>
      <c r="F49" s="0" t="s">
        <v>1401</v>
      </c>
      <c r="G49" s="0" t="s">
        <v>1398</v>
      </c>
      <c r="H49" s="0" t="s">
        <v>1447</v>
      </c>
      <c r="I49" s="0" t="s">
        <v>1403</v>
      </c>
    </row>
    <row r="50" customFormat="false" ht="15" hidden="false" customHeight="false" outlineLevel="0" collapsed="false">
      <c r="A50" s="0" t="s">
        <v>1395</v>
      </c>
      <c r="B50" s="0" t="s">
        <v>126</v>
      </c>
      <c r="C50" s="0" t="n">
        <v>2017</v>
      </c>
      <c r="D50" s="0" t="s">
        <v>1396</v>
      </c>
      <c r="E50" s="0" t="n">
        <v>6</v>
      </c>
      <c r="F50" s="0" t="s">
        <v>1401</v>
      </c>
      <c r="G50" s="0" t="s">
        <v>1398</v>
      </c>
      <c r="H50" s="0" t="s">
        <v>1448</v>
      </c>
      <c r="I50" s="0" t="s">
        <v>1403</v>
      </c>
    </row>
    <row r="51" customFormat="false" ht="15" hidden="false" customHeight="false" outlineLevel="0" collapsed="false">
      <c r="A51" s="0" t="s">
        <v>1395</v>
      </c>
      <c r="B51" s="0" t="s">
        <v>126</v>
      </c>
      <c r="C51" s="0" t="n">
        <v>2020</v>
      </c>
      <c r="D51" s="0" t="s">
        <v>1396</v>
      </c>
      <c r="E51" s="0" t="n">
        <v>6</v>
      </c>
      <c r="F51" s="0" t="s">
        <v>1401</v>
      </c>
      <c r="G51" s="0" t="s">
        <v>1398</v>
      </c>
      <c r="H51" s="0" t="s">
        <v>1449</v>
      </c>
      <c r="I51" s="0" t="s">
        <v>1403</v>
      </c>
    </row>
    <row r="52" customFormat="false" ht="15" hidden="false" customHeight="false" outlineLevel="0" collapsed="false">
      <c r="A52" s="0" t="s">
        <v>1395</v>
      </c>
      <c r="B52" s="0" t="s">
        <v>126</v>
      </c>
      <c r="C52" s="0" t="n">
        <v>2021</v>
      </c>
      <c r="D52" s="0" t="s">
        <v>1396</v>
      </c>
      <c r="E52" s="0" t="n">
        <v>6</v>
      </c>
      <c r="F52" s="0" t="s">
        <v>1401</v>
      </c>
      <c r="G52" s="0" t="s">
        <v>1398</v>
      </c>
      <c r="H52" s="0" t="s">
        <v>1450</v>
      </c>
      <c r="I52" s="0" t="s">
        <v>1403</v>
      </c>
    </row>
    <row r="53" customFormat="false" ht="15" hidden="false" customHeight="false" outlineLevel="0" collapsed="false">
      <c r="A53" s="0" t="s">
        <v>1395</v>
      </c>
      <c r="B53" s="0" t="s">
        <v>126</v>
      </c>
      <c r="C53" s="0" t="n">
        <v>2022</v>
      </c>
      <c r="D53" s="0" t="s">
        <v>1396</v>
      </c>
      <c r="E53" s="0" t="n">
        <v>6</v>
      </c>
      <c r="F53" s="0" t="s">
        <v>1401</v>
      </c>
      <c r="G53" s="0" t="s">
        <v>1398</v>
      </c>
      <c r="H53" s="0" t="s">
        <v>1451</v>
      </c>
      <c r="I53" s="0" t="s">
        <v>1403</v>
      </c>
    </row>
    <row r="54" customFormat="false" ht="15" hidden="false" customHeight="false" outlineLevel="0" collapsed="false">
      <c r="A54" s="0" t="s">
        <v>1395</v>
      </c>
      <c r="B54" s="0" t="s">
        <v>152</v>
      </c>
      <c r="C54" s="0" t="n">
        <v>2013</v>
      </c>
      <c r="D54" s="0" t="s">
        <v>1396</v>
      </c>
      <c r="E54" s="0" t="n">
        <v>6</v>
      </c>
      <c r="F54" s="0" t="s">
        <v>1397</v>
      </c>
      <c r="G54" s="0" t="s">
        <v>1398</v>
      </c>
      <c r="H54" s="0" t="s">
        <v>1452</v>
      </c>
      <c r="I54" s="0" t="s">
        <v>1400</v>
      </c>
    </row>
    <row r="55" customFormat="false" ht="15" hidden="false" customHeight="false" outlineLevel="0" collapsed="false">
      <c r="A55" s="0" t="s">
        <v>1395</v>
      </c>
      <c r="B55" s="0" t="s">
        <v>152</v>
      </c>
      <c r="C55" s="0" t="n">
        <v>2014</v>
      </c>
      <c r="D55" s="0" t="s">
        <v>1396</v>
      </c>
      <c r="E55" s="0" t="n">
        <v>6</v>
      </c>
      <c r="F55" s="0" t="s">
        <v>1397</v>
      </c>
      <c r="G55" s="0" t="s">
        <v>1398</v>
      </c>
      <c r="H55" s="0" t="s">
        <v>1453</v>
      </c>
      <c r="I55" s="0" t="s">
        <v>1400</v>
      </c>
    </row>
    <row r="56" customFormat="false" ht="15" hidden="false" customHeight="false" outlineLevel="0" collapsed="false">
      <c r="A56" s="0" t="s">
        <v>1395</v>
      </c>
      <c r="B56" s="0" t="s">
        <v>152</v>
      </c>
      <c r="C56" s="0" t="n">
        <v>2015</v>
      </c>
      <c r="D56" s="0" t="s">
        <v>1396</v>
      </c>
      <c r="E56" s="0" t="n">
        <v>6</v>
      </c>
      <c r="F56" s="0" t="s">
        <v>1401</v>
      </c>
      <c r="G56" s="0" t="s">
        <v>1398</v>
      </c>
      <c r="H56" s="0" t="s">
        <v>1454</v>
      </c>
      <c r="I56" s="0" t="s">
        <v>1403</v>
      </c>
    </row>
    <row r="57" customFormat="false" ht="15" hidden="false" customHeight="false" outlineLevel="0" collapsed="false">
      <c r="A57" s="0" t="s">
        <v>1395</v>
      </c>
      <c r="B57" s="0" t="s">
        <v>152</v>
      </c>
      <c r="C57" s="0" t="n">
        <v>2016</v>
      </c>
      <c r="D57" s="0" t="s">
        <v>1396</v>
      </c>
      <c r="E57" s="0" t="n">
        <v>6</v>
      </c>
      <c r="F57" s="0" t="s">
        <v>1401</v>
      </c>
      <c r="G57" s="0" t="s">
        <v>1398</v>
      </c>
      <c r="H57" s="0" t="s">
        <v>1455</v>
      </c>
      <c r="I57" s="0" t="s">
        <v>1403</v>
      </c>
    </row>
    <row r="58" customFormat="false" ht="15" hidden="false" customHeight="false" outlineLevel="0" collapsed="false">
      <c r="A58" s="0" t="s">
        <v>1395</v>
      </c>
      <c r="B58" s="0" t="s">
        <v>152</v>
      </c>
      <c r="C58" s="0" t="n">
        <v>2017</v>
      </c>
      <c r="D58" s="0" t="s">
        <v>1396</v>
      </c>
      <c r="E58" s="0" t="n">
        <v>6</v>
      </c>
      <c r="F58" s="0" t="s">
        <v>1401</v>
      </c>
      <c r="G58" s="0" t="s">
        <v>1398</v>
      </c>
      <c r="H58" s="0" t="s">
        <v>1456</v>
      </c>
      <c r="I58" s="0" t="s">
        <v>1403</v>
      </c>
    </row>
    <row r="59" customFormat="false" ht="15" hidden="false" customHeight="false" outlineLevel="0" collapsed="false">
      <c r="A59" s="0" t="s">
        <v>1395</v>
      </c>
      <c r="B59" s="0" t="s">
        <v>152</v>
      </c>
      <c r="C59" s="0" t="n">
        <v>2020</v>
      </c>
      <c r="D59" s="0" t="s">
        <v>1396</v>
      </c>
      <c r="E59" s="0" t="n">
        <v>6</v>
      </c>
      <c r="F59" s="0" t="s">
        <v>1401</v>
      </c>
      <c r="G59" s="0" t="s">
        <v>1398</v>
      </c>
      <c r="H59" s="0" t="s">
        <v>1457</v>
      </c>
      <c r="I59" s="0" t="s">
        <v>1403</v>
      </c>
    </row>
    <row r="60" customFormat="false" ht="15" hidden="false" customHeight="false" outlineLevel="0" collapsed="false">
      <c r="A60" s="0" t="s">
        <v>1395</v>
      </c>
      <c r="B60" s="0" t="s">
        <v>152</v>
      </c>
      <c r="C60" s="0" t="n">
        <v>2021</v>
      </c>
      <c r="D60" s="0" t="s">
        <v>1396</v>
      </c>
      <c r="E60" s="0" t="n">
        <v>6</v>
      </c>
      <c r="F60" s="0" t="s">
        <v>1401</v>
      </c>
      <c r="G60" s="0" t="s">
        <v>1398</v>
      </c>
      <c r="H60" s="0" t="s">
        <v>1458</v>
      </c>
      <c r="I60" s="0" t="s">
        <v>1403</v>
      </c>
    </row>
    <row r="61" customFormat="false" ht="15" hidden="false" customHeight="false" outlineLevel="0" collapsed="false">
      <c r="A61" s="0" t="s">
        <v>1395</v>
      </c>
      <c r="B61" s="0" t="s">
        <v>152</v>
      </c>
      <c r="C61" s="0" t="n">
        <v>2022</v>
      </c>
      <c r="D61" s="0" t="s">
        <v>1396</v>
      </c>
      <c r="E61" s="0" t="n">
        <v>6</v>
      </c>
      <c r="F61" s="0" t="s">
        <v>1401</v>
      </c>
      <c r="G61" s="0" t="s">
        <v>1398</v>
      </c>
      <c r="H61" s="0" t="s">
        <v>1459</v>
      </c>
      <c r="I61" s="0" t="s">
        <v>1403</v>
      </c>
    </row>
    <row r="62" customFormat="false" ht="15" hidden="false" customHeight="false" outlineLevel="0" collapsed="false">
      <c r="A62" s="0" t="s">
        <v>1460</v>
      </c>
      <c r="B62" s="0" t="s">
        <v>77</v>
      </c>
      <c r="C62" s="0" t="n">
        <v>2013</v>
      </c>
      <c r="D62" s="0" t="s">
        <v>58</v>
      </c>
      <c r="E62" s="0" t="n">
        <v>6</v>
      </c>
      <c r="F62" s="0" t="s">
        <v>1461</v>
      </c>
      <c r="G62" s="0" t="s">
        <v>1462</v>
      </c>
      <c r="H62" s="0" t="s">
        <v>1463</v>
      </c>
      <c r="I62" s="0" t="s">
        <v>1464</v>
      </c>
    </row>
    <row r="63" customFormat="false" ht="15" hidden="false" customHeight="false" outlineLevel="0" collapsed="false">
      <c r="A63" s="0" t="s">
        <v>1460</v>
      </c>
      <c r="B63" s="0" t="s">
        <v>77</v>
      </c>
      <c r="C63" s="0" t="n">
        <v>2013</v>
      </c>
      <c r="D63" s="0" t="s">
        <v>59</v>
      </c>
      <c r="E63" s="0" t="n">
        <v>6</v>
      </c>
      <c r="F63" s="0" t="s">
        <v>1461</v>
      </c>
      <c r="G63" s="0" t="s">
        <v>1462</v>
      </c>
      <c r="H63" s="0" t="s">
        <v>1463</v>
      </c>
      <c r="I63" s="0" t="s">
        <v>1465</v>
      </c>
    </row>
    <row r="64" customFormat="false" ht="15" hidden="false" customHeight="false" outlineLevel="0" collapsed="false">
      <c r="A64" s="0" t="s">
        <v>1460</v>
      </c>
      <c r="B64" s="0" t="s">
        <v>77</v>
      </c>
      <c r="C64" s="0" t="n">
        <v>2013</v>
      </c>
      <c r="D64" s="0" t="s">
        <v>60</v>
      </c>
      <c r="E64" s="0" t="n">
        <v>6</v>
      </c>
      <c r="F64" s="0" t="s">
        <v>1461</v>
      </c>
      <c r="G64" s="0" t="s">
        <v>1462</v>
      </c>
      <c r="H64" s="0" t="s">
        <v>1463</v>
      </c>
      <c r="I64" s="0" t="s">
        <v>1464</v>
      </c>
    </row>
    <row r="65" customFormat="false" ht="15" hidden="false" customHeight="false" outlineLevel="0" collapsed="false">
      <c r="A65" s="0" t="s">
        <v>1460</v>
      </c>
      <c r="B65" s="0" t="s">
        <v>77</v>
      </c>
      <c r="C65" s="0" t="n">
        <v>2013</v>
      </c>
      <c r="D65" s="0" t="s">
        <v>62</v>
      </c>
      <c r="E65" s="0" t="n">
        <v>6</v>
      </c>
      <c r="F65" s="0" t="s">
        <v>1461</v>
      </c>
      <c r="G65" s="0" t="s">
        <v>1462</v>
      </c>
      <c r="H65" s="0" t="s">
        <v>1463</v>
      </c>
      <c r="I65" s="0" t="s">
        <v>1464</v>
      </c>
    </row>
    <row r="66" customFormat="false" ht="15" hidden="false" customHeight="false" outlineLevel="0" collapsed="false">
      <c r="A66" s="0" t="s">
        <v>1460</v>
      </c>
      <c r="B66" s="0" t="s">
        <v>77</v>
      </c>
      <c r="C66" s="0" t="n">
        <v>2013</v>
      </c>
      <c r="D66" s="0" t="s">
        <v>61</v>
      </c>
      <c r="E66" s="0" t="n">
        <v>6</v>
      </c>
      <c r="F66" s="0" t="s">
        <v>1461</v>
      </c>
      <c r="G66" s="0" t="s">
        <v>1462</v>
      </c>
      <c r="H66" s="0" t="s">
        <v>1463</v>
      </c>
      <c r="I66" s="0" t="s">
        <v>1464</v>
      </c>
    </row>
    <row r="67" customFormat="false" ht="15" hidden="false" customHeight="false" outlineLevel="0" collapsed="false">
      <c r="A67" s="0" t="s">
        <v>1460</v>
      </c>
      <c r="B67" s="0" t="s">
        <v>77</v>
      </c>
      <c r="C67" s="0" t="n">
        <v>2013</v>
      </c>
      <c r="D67" s="0" t="s">
        <v>247</v>
      </c>
      <c r="E67" s="0" t="n">
        <v>6</v>
      </c>
      <c r="F67" s="0" t="s">
        <v>1461</v>
      </c>
      <c r="G67" s="0" t="s">
        <v>1462</v>
      </c>
      <c r="H67" s="0" t="s">
        <v>1463</v>
      </c>
      <c r="I67" s="0" t="s">
        <v>1464</v>
      </c>
    </row>
    <row r="68" customFormat="false" ht="15" hidden="false" customHeight="false" outlineLevel="0" collapsed="false">
      <c r="A68" s="0" t="s">
        <v>1460</v>
      </c>
      <c r="B68" s="0" t="s">
        <v>77</v>
      </c>
      <c r="C68" s="0" t="n">
        <v>2013</v>
      </c>
      <c r="D68" s="0" t="s">
        <v>69</v>
      </c>
      <c r="E68" s="0" t="n">
        <v>6</v>
      </c>
      <c r="F68" s="0" t="s">
        <v>1461</v>
      </c>
      <c r="G68" s="0" t="s">
        <v>1462</v>
      </c>
      <c r="H68" s="0" t="s">
        <v>1463</v>
      </c>
      <c r="I68" s="0" t="s">
        <v>1464</v>
      </c>
    </row>
    <row r="69" customFormat="false" ht="15" hidden="false" customHeight="false" outlineLevel="0" collapsed="false">
      <c r="A69" s="0" t="s">
        <v>1460</v>
      </c>
      <c r="B69" s="0" t="s">
        <v>77</v>
      </c>
      <c r="C69" s="0" t="n">
        <v>2013</v>
      </c>
      <c r="D69" s="0" t="s">
        <v>65</v>
      </c>
      <c r="E69" s="0" t="n">
        <v>6</v>
      </c>
      <c r="F69" s="0" t="s">
        <v>1461</v>
      </c>
      <c r="G69" s="0" t="s">
        <v>1462</v>
      </c>
      <c r="H69" s="0" t="s">
        <v>1463</v>
      </c>
      <c r="I69" s="0" t="s">
        <v>1464</v>
      </c>
    </row>
    <row r="70" customFormat="false" ht="15" hidden="false" customHeight="false" outlineLevel="0" collapsed="false">
      <c r="A70" s="0" t="s">
        <v>1460</v>
      </c>
      <c r="B70" s="0" t="s">
        <v>77</v>
      </c>
      <c r="C70" s="0" t="n">
        <v>2013</v>
      </c>
      <c r="D70" s="0" t="s">
        <v>66</v>
      </c>
      <c r="E70" s="0" t="n">
        <v>6</v>
      </c>
      <c r="F70" s="0" t="s">
        <v>1461</v>
      </c>
      <c r="G70" s="0" t="s">
        <v>1462</v>
      </c>
      <c r="H70" s="0" t="s">
        <v>1463</v>
      </c>
      <c r="I70" s="0" t="s">
        <v>1464</v>
      </c>
    </row>
    <row r="71" customFormat="false" ht="15" hidden="false" customHeight="false" outlineLevel="0" collapsed="false">
      <c r="A71" s="0" t="s">
        <v>1460</v>
      </c>
      <c r="B71" s="0" t="s">
        <v>77</v>
      </c>
      <c r="C71" s="0" t="n">
        <v>2013</v>
      </c>
      <c r="D71" s="0" t="s">
        <v>70</v>
      </c>
      <c r="E71" s="0" t="n">
        <v>6</v>
      </c>
      <c r="F71" s="0" t="s">
        <v>1461</v>
      </c>
      <c r="G71" s="0" t="s">
        <v>1462</v>
      </c>
      <c r="H71" s="0" t="s">
        <v>1463</v>
      </c>
      <c r="I71" s="0" t="s">
        <v>1464</v>
      </c>
    </row>
    <row r="72" customFormat="false" ht="15" hidden="false" customHeight="false" outlineLevel="0" collapsed="false">
      <c r="A72" s="0" t="s">
        <v>1460</v>
      </c>
      <c r="B72" s="0" t="s">
        <v>77</v>
      </c>
      <c r="C72" s="0" t="n">
        <v>2013</v>
      </c>
      <c r="D72" s="0" t="s">
        <v>71</v>
      </c>
      <c r="E72" s="0" t="n">
        <v>6</v>
      </c>
      <c r="F72" s="0" t="s">
        <v>1461</v>
      </c>
      <c r="G72" s="0" t="s">
        <v>1462</v>
      </c>
      <c r="H72" s="0" t="s">
        <v>1463</v>
      </c>
      <c r="I72" s="0" t="s">
        <v>1464</v>
      </c>
    </row>
    <row r="73" customFormat="false" ht="15" hidden="false" customHeight="false" outlineLevel="0" collapsed="false">
      <c r="A73" s="0" t="s">
        <v>1460</v>
      </c>
      <c r="B73" s="0" t="s">
        <v>77</v>
      </c>
      <c r="C73" s="0" t="n">
        <v>2013</v>
      </c>
      <c r="D73" s="0" t="s">
        <v>73</v>
      </c>
      <c r="E73" s="0" t="n">
        <v>6</v>
      </c>
      <c r="F73" s="0" t="s">
        <v>1461</v>
      </c>
      <c r="G73" s="0" t="s">
        <v>1462</v>
      </c>
      <c r="H73" s="0" t="s">
        <v>1463</v>
      </c>
      <c r="I73" s="0" t="s">
        <v>1466</v>
      </c>
    </row>
    <row r="74" customFormat="false" ht="15" hidden="false" customHeight="false" outlineLevel="0" collapsed="false">
      <c r="A74" s="0" t="s">
        <v>1460</v>
      </c>
      <c r="B74" s="0" t="s">
        <v>77</v>
      </c>
      <c r="C74" s="0" t="n">
        <v>2014</v>
      </c>
      <c r="D74" s="0" t="s">
        <v>58</v>
      </c>
      <c r="E74" s="0" t="n">
        <v>6</v>
      </c>
      <c r="F74" s="0" t="s">
        <v>1461</v>
      </c>
      <c r="G74" s="0" t="s">
        <v>1462</v>
      </c>
      <c r="H74" s="0" t="s">
        <v>1463</v>
      </c>
      <c r="I74" s="0" t="s">
        <v>1464</v>
      </c>
    </row>
    <row r="75" customFormat="false" ht="15" hidden="false" customHeight="false" outlineLevel="0" collapsed="false">
      <c r="A75" s="0" t="s">
        <v>1460</v>
      </c>
      <c r="B75" s="0" t="s">
        <v>77</v>
      </c>
      <c r="C75" s="0" t="n">
        <v>2014</v>
      </c>
      <c r="D75" s="0" t="s">
        <v>60</v>
      </c>
      <c r="E75" s="0" t="n">
        <v>6</v>
      </c>
      <c r="F75" s="0" t="s">
        <v>1461</v>
      </c>
      <c r="G75" s="0" t="s">
        <v>1462</v>
      </c>
      <c r="H75" s="0" t="s">
        <v>1463</v>
      </c>
      <c r="I75" s="0" t="s">
        <v>1464</v>
      </c>
    </row>
    <row r="76" customFormat="false" ht="15" hidden="false" customHeight="false" outlineLevel="0" collapsed="false">
      <c r="A76" s="0" t="s">
        <v>1460</v>
      </c>
      <c r="B76" s="0" t="s">
        <v>77</v>
      </c>
      <c r="C76" s="0" t="n">
        <v>2014</v>
      </c>
      <c r="D76" s="0" t="s">
        <v>62</v>
      </c>
      <c r="E76" s="0" t="n">
        <v>6</v>
      </c>
      <c r="F76" s="0" t="s">
        <v>1461</v>
      </c>
      <c r="G76" s="0" t="s">
        <v>1462</v>
      </c>
      <c r="H76" s="0" t="s">
        <v>1463</v>
      </c>
      <c r="I76" s="0" t="s">
        <v>1464</v>
      </c>
    </row>
    <row r="77" customFormat="false" ht="15" hidden="false" customHeight="false" outlineLevel="0" collapsed="false">
      <c r="A77" s="0" t="s">
        <v>1460</v>
      </c>
      <c r="B77" s="0" t="s">
        <v>77</v>
      </c>
      <c r="C77" s="0" t="n">
        <v>2014</v>
      </c>
      <c r="D77" s="0" t="s">
        <v>61</v>
      </c>
      <c r="E77" s="0" t="n">
        <v>6</v>
      </c>
      <c r="F77" s="0" t="s">
        <v>1461</v>
      </c>
      <c r="G77" s="0" t="s">
        <v>1462</v>
      </c>
      <c r="H77" s="0" t="s">
        <v>1463</v>
      </c>
      <c r="I77" s="0" t="s">
        <v>1464</v>
      </c>
    </row>
    <row r="78" customFormat="false" ht="15" hidden="false" customHeight="false" outlineLevel="0" collapsed="false">
      <c r="A78" s="0" t="s">
        <v>1460</v>
      </c>
      <c r="B78" s="0" t="s">
        <v>77</v>
      </c>
      <c r="C78" s="0" t="n">
        <v>2014</v>
      </c>
      <c r="D78" s="0" t="s">
        <v>247</v>
      </c>
      <c r="E78" s="0" t="n">
        <v>6</v>
      </c>
      <c r="F78" s="0" t="s">
        <v>1461</v>
      </c>
      <c r="G78" s="0" t="s">
        <v>1462</v>
      </c>
      <c r="H78" s="0" t="s">
        <v>1463</v>
      </c>
      <c r="I78" s="0" t="s">
        <v>1464</v>
      </c>
    </row>
    <row r="79" customFormat="false" ht="15" hidden="false" customHeight="false" outlineLevel="0" collapsed="false">
      <c r="A79" s="0" t="s">
        <v>1460</v>
      </c>
      <c r="B79" s="0" t="s">
        <v>77</v>
      </c>
      <c r="C79" s="0" t="n">
        <v>2014</v>
      </c>
      <c r="D79" s="0" t="s">
        <v>69</v>
      </c>
      <c r="E79" s="0" t="n">
        <v>6</v>
      </c>
      <c r="F79" s="0" t="s">
        <v>1461</v>
      </c>
      <c r="G79" s="0" t="s">
        <v>1462</v>
      </c>
      <c r="H79" s="0" t="s">
        <v>1463</v>
      </c>
      <c r="I79" s="0" t="s">
        <v>1464</v>
      </c>
    </row>
    <row r="80" customFormat="false" ht="15" hidden="false" customHeight="false" outlineLevel="0" collapsed="false">
      <c r="A80" s="0" t="s">
        <v>1460</v>
      </c>
      <c r="B80" s="0" t="s">
        <v>77</v>
      </c>
      <c r="C80" s="0" t="n">
        <v>2014</v>
      </c>
      <c r="D80" s="0" t="s">
        <v>65</v>
      </c>
      <c r="E80" s="0" t="n">
        <v>6</v>
      </c>
      <c r="F80" s="0" t="s">
        <v>1461</v>
      </c>
      <c r="G80" s="0" t="s">
        <v>1462</v>
      </c>
      <c r="H80" s="0" t="s">
        <v>1463</v>
      </c>
      <c r="I80" s="0" t="s">
        <v>1464</v>
      </c>
    </row>
    <row r="81" customFormat="false" ht="15" hidden="false" customHeight="false" outlineLevel="0" collapsed="false">
      <c r="A81" s="0" t="s">
        <v>1460</v>
      </c>
      <c r="B81" s="0" t="s">
        <v>77</v>
      </c>
      <c r="C81" s="0" t="n">
        <v>2014</v>
      </c>
      <c r="D81" s="0" t="s">
        <v>66</v>
      </c>
      <c r="E81" s="0" t="n">
        <v>6</v>
      </c>
      <c r="F81" s="0" t="s">
        <v>1461</v>
      </c>
      <c r="G81" s="0" t="s">
        <v>1462</v>
      </c>
      <c r="H81" s="0" t="s">
        <v>1463</v>
      </c>
      <c r="I81" s="0" t="s">
        <v>1464</v>
      </c>
    </row>
    <row r="82" customFormat="false" ht="15" hidden="false" customHeight="false" outlineLevel="0" collapsed="false">
      <c r="A82" s="0" t="s">
        <v>1460</v>
      </c>
      <c r="B82" s="0" t="s">
        <v>77</v>
      </c>
      <c r="C82" s="0" t="n">
        <v>2014</v>
      </c>
      <c r="D82" s="0" t="s">
        <v>70</v>
      </c>
      <c r="E82" s="0" t="n">
        <v>6</v>
      </c>
      <c r="F82" s="0" t="s">
        <v>1461</v>
      </c>
      <c r="G82" s="0" t="s">
        <v>1462</v>
      </c>
      <c r="H82" s="0" t="s">
        <v>1463</v>
      </c>
      <c r="I82" s="0" t="s">
        <v>1464</v>
      </c>
    </row>
    <row r="83" customFormat="false" ht="15" hidden="false" customHeight="false" outlineLevel="0" collapsed="false">
      <c r="A83" s="0" t="s">
        <v>1460</v>
      </c>
      <c r="B83" s="0" t="s">
        <v>77</v>
      </c>
      <c r="C83" s="0" t="n">
        <v>2014</v>
      </c>
      <c r="D83" s="0" t="s">
        <v>71</v>
      </c>
      <c r="E83" s="0" t="n">
        <v>6</v>
      </c>
      <c r="F83" s="0" t="s">
        <v>1461</v>
      </c>
      <c r="G83" s="0" t="s">
        <v>1462</v>
      </c>
      <c r="H83" s="0" t="s">
        <v>1463</v>
      </c>
      <c r="I83" s="0" t="s">
        <v>1464</v>
      </c>
    </row>
    <row r="84" customFormat="false" ht="15" hidden="false" customHeight="false" outlineLevel="0" collapsed="false">
      <c r="A84" s="0" t="s">
        <v>1460</v>
      </c>
      <c r="B84" s="0" t="s">
        <v>77</v>
      </c>
      <c r="C84" s="0" t="n">
        <v>2014</v>
      </c>
      <c r="D84" s="0" t="s">
        <v>73</v>
      </c>
      <c r="E84" s="0" t="n">
        <v>6</v>
      </c>
      <c r="F84" s="0" t="s">
        <v>1461</v>
      </c>
      <c r="G84" s="0" t="s">
        <v>1462</v>
      </c>
      <c r="H84" s="0" t="s">
        <v>1463</v>
      </c>
      <c r="I84" s="0" t="s">
        <v>1466</v>
      </c>
    </row>
    <row r="85" customFormat="false" ht="15" hidden="false" customHeight="false" outlineLevel="0" collapsed="false">
      <c r="A85" s="0" t="s">
        <v>1460</v>
      </c>
      <c r="B85" s="0" t="s">
        <v>83</v>
      </c>
      <c r="C85" s="0" t="n">
        <v>2016</v>
      </c>
      <c r="D85" s="0" t="s">
        <v>58</v>
      </c>
      <c r="E85" s="0" t="n">
        <v>6</v>
      </c>
      <c r="F85" s="0" t="s">
        <v>1461</v>
      </c>
      <c r="G85" s="0" t="s">
        <v>1467</v>
      </c>
      <c r="H85" s="0" t="s">
        <v>1468</v>
      </c>
      <c r="I85" s="0" t="s">
        <v>1464</v>
      </c>
    </row>
    <row r="86" customFormat="false" ht="15" hidden="false" customHeight="false" outlineLevel="0" collapsed="false">
      <c r="A86" s="0" t="s">
        <v>1460</v>
      </c>
      <c r="B86" s="0" t="s">
        <v>83</v>
      </c>
      <c r="C86" s="0" t="n">
        <v>2016</v>
      </c>
      <c r="D86" s="0" t="s">
        <v>59</v>
      </c>
      <c r="E86" s="0" t="n">
        <v>6</v>
      </c>
      <c r="F86" s="0" t="s">
        <v>1461</v>
      </c>
      <c r="G86" s="0" t="s">
        <v>1467</v>
      </c>
      <c r="H86" s="0" t="s">
        <v>1468</v>
      </c>
      <c r="I86" s="0" t="s">
        <v>1465</v>
      </c>
    </row>
    <row r="87" customFormat="false" ht="15" hidden="false" customHeight="false" outlineLevel="0" collapsed="false">
      <c r="A87" s="0" t="s">
        <v>1460</v>
      </c>
      <c r="B87" s="0" t="s">
        <v>83</v>
      </c>
      <c r="C87" s="0" t="n">
        <v>2016</v>
      </c>
      <c r="D87" s="0" t="s">
        <v>60</v>
      </c>
      <c r="E87" s="0" t="n">
        <v>6</v>
      </c>
      <c r="F87" s="0" t="s">
        <v>1461</v>
      </c>
      <c r="G87" s="0" t="s">
        <v>1467</v>
      </c>
      <c r="H87" s="0" t="s">
        <v>1468</v>
      </c>
      <c r="I87" s="0" t="s">
        <v>1464</v>
      </c>
    </row>
    <row r="88" customFormat="false" ht="15" hidden="false" customHeight="false" outlineLevel="0" collapsed="false">
      <c r="A88" s="0" t="s">
        <v>1460</v>
      </c>
      <c r="B88" s="0" t="s">
        <v>83</v>
      </c>
      <c r="C88" s="0" t="n">
        <v>2016</v>
      </c>
      <c r="D88" s="0" t="s">
        <v>62</v>
      </c>
      <c r="E88" s="0" t="n">
        <v>6</v>
      </c>
      <c r="F88" s="0" t="s">
        <v>1461</v>
      </c>
      <c r="G88" s="0" t="s">
        <v>1467</v>
      </c>
      <c r="H88" s="0" t="s">
        <v>1468</v>
      </c>
      <c r="I88" s="0" t="s">
        <v>1464</v>
      </c>
    </row>
    <row r="89" customFormat="false" ht="15" hidden="false" customHeight="false" outlineLevel="0" collapsed="false">
      <c r="A89" s="0" t="s">
        <v>1460</v>
      </c>
      <c r="B89" s="0" t="s">
        <v>83</v>
      </c>
      <c r="C89" s="0" t="n">
        <v>2016</v>
      </c>
      <c r="D89" s="0" t="s">
        <v>61</v>
      </c>
      <c r="E89" s="0" t="n">
        <v>6</v>
      </c>
      <c r="F89" s="0" t="s">
        <v>1461</v>
      </c>
      <c r="G89" s="0" t="s">
        <v>1467</v>
      </c>
      <c r="H89" s="0" t="s">
        <v>1468</v>
      </c>
      <c r="I89" s="0" t="s">
        <v>1464</v>
      </c>
    </row>
    <row r="90" customFormat="false" ht="15" hidden="false" customHeight="false" outlineLevel="0" collapsed="false">
      <c r="A90" s="0" t="s">
        <v>1460</v>
      </c>
      <c r="B90" s="0" t="s">
        <v>83</v>
      </c>
      <c r="C90" s="0" t="n">
        <v>2016</v>
      </c>
      <c r="D90" s="0" t="s">
        <v>247</v>
      </c>
      <c r="E90" s="0" t="n">
        <v>6</v>
      </c>
      <c r="F90" s="0" t="s">
        <v>1461</v>
      </c>
      <c r="G90" s="0" t="s">
        <v>1467</v>
      </c>
      <c r="H90" s="0" t="s">
        <v>1468</v>
      </c>
      <c r="I90" s="0" t="s">
        <v>1464</v>
      </c>
    </row>
    <row r="91" customFormat="false" ht="15" hidden="false" customHeight="false" outlineLevel="0" collapsed="false">
      <c r="A91" s="0" t="s">
        <v>1460</v>
      </c>
      <c r="B91" s="0" t="s">
        <v>83</v>
      </c>
      <c r="C91" s="0" t="n">
        <v>2016</v>
      </c>
      <c r="D91" s="0" t="s">
        <v>64</v>
      </c>
      <c r="E91" s="0" t="n">
        <v>6</v>
      </c>
      <c r="F91" s="0" t="s">
        <v>1461</v>
      </c>
      <c r="G91" s="0" t="s">
        <v>1467</v>
      </c>
      <c r="H91" s="0" t="s">
        <v>1468</v>
      </c>
      <c r="I91" s="0" t="s">
        <v>1464</v>
      </c>
    </row>
    <row r="92" customFormat="false" ht="15" hidden="false" customHeight="false" outlineLevel="0" collapsed="false">
      <c r="A92" s="0" t="s">
        <v>1460</v>
      </c>
      <c r="B92" s="0" t="s">
        <v>83</v>
      </c>
      <c r="C92" s="0" t="n">
        <v>2016</v>
      </c>
      <c r="D92" s="0" t="s">
        <v>69</v>
      </c>
      <c r="E92" s="0" t="n">
        <v>6</v>
      </c>
      <c r="F92" s="0" t="s">
        <v>1461</v>
      </c>
      <c r="G92" s="0" t="s">
        <v>1467</v>
      </c>
      <c r="H92" s="0" t="s">
        <v>1468</v>
      </c>
      <c r="I92" s="0" t="s">
        <v>1464</v>
      </c>
    </row>
    <row r="93" customFormat="false" ht="15" hidden="false" customHeight="false" outlineLevel="0" collapsed="false">
      <c r="A93" s="0" t="s">
        <v>1460</v>
      </c>
      <c r="B93" s="0" t="s">
        <v>83</v>
      </c>
      <c r="C93" s="0" t="n">
        <v>2016</v>
      </c>
      <c r="D93" s="0" t="s">
        <v>65</v>
      </c>
      <c r="E93" s="0" t="n">
        <v>6</v>
      </c>
      <c r="F93" s="0" t="s">
        <v>1461</v>
      </c>
      <c r="G93" s="0" t="s">
        <v>1467</v>
      </c>
      <c r="H93" s="0" t="s">
        <v>1468</v>
      </c>
      <c r="I93" s="0" t="s">
        <v>1464</v>
      </c>
    </row>
    <row r="94" customFormat="false" ht="15" hidden="false" customHeight="false" outlineLevel="0" collapsed="false">
      <c r="A94" s="0" t="s">
        <v>1460</v>
      </c>
      <c r="B94" s="0" t="s">
        <v>83</v>
      </c>
      <c r="C94" s="0" t="n">
        <v>2016</v>
      </c>
      <c r="D94" s="0" t="s">
        <v>66</v>
      </c>
      <c r="E94" s="0" t="n">
        <v>6</v>
      </c>
      <c r="F94" s="0" t="s">
        <v>1461</v>
      </c>
      <c r="G94" s="0" t="s">
        <v>1467</v>
      </c>
      <c r="H94" s="0" t="s">
        <v>1468</v>
      </c>
      <c r="I94" s="0" t="s">
        <v>1464</v>
      </c>
    </row>
    <row r="95" customFormat="false" ht="15" hidden="false" customHeight="false" outlineLevel="0" collapsed="false">
      <c r="A95" s="0" t="s">
        <v>1460</v>
      </c>
      <c r="B95" s="0" t="s">
        <v>83</v>
      </c>
      <c r="C95" s="0" t="n">
        <v>2016</v>
      </c>
      <c r="D95" s="0" t="s">
        <v>70</v>
      </c>
      <c r="E95" s="0" t="n">
        <v>6</v>
      </c>
      <c r="F95" s="0" t="s">
        <v>1461</v>
      </c>
      <c r="G95" s="0" t="s">
        <v>1467</v>
      </c>
      <c r="H95" s="0" t="s">
        <v>1468</v>
      </c>
      <c r="I95" s="0" t="s">
        <v>1464</v>
      </c>
    </row>
    <row r="96" customFormat="false" ht="15" hidden="false" customHeight="false" outlineLevel="0" collapsed="false">
      <c r="A96" s="0" t="s">
        <v>1460</v>
      </c>
      <c r="B96" s="0" t="s">
        <v>83</v>
      </c>
      <c r="C96" s="0" t="n">
        <v>2016</v>
      </c>
      <c r="D96" s="0" t="s">
        <v>71</v>
      </c>
      <c r="E96" s="0" t="n">
        <v>6</v>
      </c>
      <c r="F96" s="0" t="s">
        <v>1461</v>
      </c>
      <c r="G96" s="0" t="s">
        <v>1467</v>
      </c>
      <c r="H96" s="0" t="s">
        <v>1468</v>
      </c>
      <c r="I96" s="0" t="s">
        <v>1464</v>
      </c>
    </row>
    <row r="97" customFormat="false" ht="15" hidden="false" customHeight="false" outlineLevel="0" collapsed="false">
      <c r="A97" s="0" t="s">
        <v>1460</v>
      </c>
      <c r="B97" s="0" t="s">
        <v>83</v>
      </c>
      <c r="C97" s="0" t="n">
        <v>2016</v>
      </c>
      <c r="D97" s="0" t="s">
        <v>73</v>
      </c>
      <c r="E97" s="0" t="n">
        <v>6</v>
      </c>
      <c r="F97" s="0" t="s">
        <v>1461</v>
      </c>
      <c r="G97" s="0" t="s">
        <v>1467</v>
      </c>
      <c r="H97" s="0" t="s">
        <v>1468</v>
      </c>
      <c r="I97" s="0" t="s">
        <v>1466</v>
      </c>
    </row>
    <row r="98" customFormat="false" ht="15" hidden="false" customHeight="false" outlineLevel="0" collapsed="false">
      <c r="A98" s="0" t="s">
        <v>1460</v>
      </c>
      <c r="B98" s="0" t="s">
        <v>83</v>
      </c>
      <c r="C98" s="0" t="n">
        <v>2017</v>
      </c>
      <c r="D98" s="0" t="s">
        <v>58</v>
      </c>
      <c r="E98" s="0" t="n">
        <v>6</v>
      </c>
      <c r="F98" s="0" t="s">
        <v>1461</v>
      </c>
      <c r="G98" s="0" t="s">
        <v>1467</v>
      </c>
      <c r="H98" s="0" t="s">
        <v>1468</v>
      </c>
      <c r="I98" s="0" t="s">
        <v>1464</v>
      </c>
    </row>
    <row r="99" customFormat="false" ht="15" hidden="false" customHeight="false" outlineLevel="0" collapsed="false">
      <c r="A99" s="0" t="s">
        <v>1460</v>
      </c>
      <c r="B99" s="0" t="s">
        <v>83</v>
      </c>
      <c r="C99" s="0" t="n">
        <v>2017</v>
      </c>
      <c r="D99" s="0" t="s">
        <v>60</v>
      </c>
      <c r="E99" s="0" t="n">
        <v>6</v>
      </c>
      <c r="F99" s="0" t="s">
        <v>1461</v>
      </c>
      <c r="G99" s="0" t="s">
        <v>1467</v>
      </c>
      <c r="H99" s="0" t="s">
        <v>1468</v>
      </c>
      <c r="I99" s="0" t="s">
        <v>1464</v>
      </c>
    </row>
    <row r="100" customFormat="false" ht="15" hidden="false" customHeight="false" outlineLevel="0" collapsed="false">
      <c r="A100" s="0" t="s">
        <v>1460</v>
      </c>
      <c r="B100" s="0" t="s">
        <v>83</v>
      </c>
      <c r="C100" s="0" t="n">
        <v>2017</v>
      </c>
      <c r="D100" s="0" t="s">
        <v>62</v>
      </c>
      <c r="E100" s="0" t="n">
        <v>6</v>
      </c>
      <c r="F100" s="0" t="s">
        <v>1461</v>
      </c>
      <c r="G100" s="0" t="s">
        <v>1467</v>
      </c>
      <c r="H100" s="0" t="s">
        <v>1468</v>
      </c>
      <c r="I100" s="0" t="s">
        <v>1464</v>
      </c>
    </row>
    <row r="101" customFormat="false" ht="15" hidden="false" customHeight="false" outlineLevel="0" collapsed="false">
      <c r="A101" s="0" t="s">
        <v>1460</v>
      </c>
      <c r="B101" s="0" t="s">
        <v>83</v>
      </c>
      <c r="C101" s="0" t="n">
        <v>2017</v>
      </c>
      <c r="D101" s="0" t="s">
        <v>61</v>
      </c>
      <c r="E101" s="0" t="n">
        <v>6</v>
      </c>
      <c r="F101" s="0" t="s">
        <v>1461</v>
      </c>
      <c r="G101" s="0" t="s">
        <v>1467</v>
      </c>
      <c r="H101" s="0" t="s">
        <v>1468</v>
      </c>
      <c r="I101" s="0" t="s">
        <v>1464</v>
      </c>
    </row>
    <row r="102" customFormat="false" ht="15" hidden="false" customHeight="false" outlineLevel="0" collapsed="false">
      <c r="A102" s="0" t="s">
        <v>1460</v>
      </c>
      <c r="B102" s="0" t="s">
        <v>83</v>
      </c>
      <c r="C102" s="0" t="n">
        <v>2017</v>
      </c>
      <c r="D102" s="0" t="s">
        <v>247</v>
      </c>
      <c r="E102" s="0" t="n">
        <v>6</v>
      </c>
      <c r="F102" s="0" t="s">
        <v>1461</v>
      </c>
      <c r="G102" s="0" t="s">
        <v>1467</v>
      </c>
      <c r="H102" s="0" t="s">
        <v>1468</v>
      </c>
      <c r="I102" s="0" t="s">
        <v>1464</v>
      </c>
    </row>
    <row r="103" customFormat="false" ht="15" hidden="false" customHeight="false" outlineLevel="0" collapsed="false">
      <c r="A103" s="0" t="s">
        <v>1460</v>
      </c>
      <c r="B103" s="0" t="s">
        <v>83</v>
      </c>
      <c r="C103" s="0" t="n">
        <v>2017</v>
      </c>
      <c r="D103" s="0" t="s">
        <v>64</v>
      </c>
      <c r="E103" s="0" t="n">
        <v>6</v>
      </c>
      <c r="F103" s="0" t="s">
        <v>1461</v>
      </c>
      <c r="G103" s="0" t="s">
        <v>1467</v>
      </c>
      <c r="H103" s="0" t="s">
        <v>1468</v>
      </c>
      <c r="I103" s="0" t="s">
        <v>1464</v>
      </c>
    </row>
    <row r="104" customFormat="false" ht="15" hidden="false" customHeight="false" outlineLevel="0" collapsed="false">
      <c r="A104" s="0" t="s">
        <v>1460</v>
      </c>
      <c r="B104" s="0" t="s">
        <v>83</v>
      </c>
      <c r="C104" s="0" t="n">
        <v>2017</v>
      </c>
      <c r="D104" s="0" t="s">
        <v>69</v>
      </c>
      <c r="E104" s="0" t="n">
        <v>6</v>
      </c>
      <c r="F104" s="0" t="s">
        <v>1461</v>
      </c>
      <c r="G104" s="0" t="s">
        <v>1467</v>
      </c>
      <c r="H104" s="0" t="s">
        <v>1468</v>
      </c>
      <c r="I104" s="0" t="s">
        <v>1464</v>
      </c>
    </row>
    <row r="105" customFormat="false" ht="15" hidden="false" customHeight="false" outlineLevel="0" collapsed="false">
      <c r="A105" s="0" t="s">
        <v>1460</v>
      </c>
      <c r="B105" s="0" t="s">
        <v>83</v>
      </c>
      <c r="C105" s="0" t="n">
        <v>2017</v>
      </c>
      <c r="D105" s="0" t="s">
        <v>65</v>
      </c>
      <c r="E105" s="0" t="n">
        <v>6</v>
      </c>
      <c r="F105" s="0" t="s">
        <v>1461</v>
      </c>
      <c r="G105" s="0" t="s">
        <v>1467</v>
      </c>
      <c r="H105" s="0" t="s">
        <v>1468</v>
      </c>
      <c r="I105" s="0" t="s">
        <v>1464</v>
      </c>
    </row>
    <row r="106" customFormat="false" ht="15" hidden="false" customHeight="false" outlineLevel="0" collapsed="false">
      <c r="A106" s="0" t="s">
        <v>1460</v>
      </c>
      <c r="B106" s="0" t="s">
        <v>83</v>
      </c>
      <c r="C106" s="0" t="n">
        <v>2017</v>
      </c>
      <c r="D106" s="0" t="s">
        <v>66</v>
      </c>
      <c r="E106" s="0" t="n">
        <v>6</v>
      </c>
      <c r="F106" s="0" t="s">
        <v>1461</v>
      </c>
      <c r="G106" s="0" t="s">
        <v>1467</v>
      </c>
      <c r="H106" s="0" t="s">
        <v>1468</v>
      </c>
      <c r="I106" s="0" t="s">
        <v>1464</v>
      </c>
    </row>
    <row r="107" customFormat="false" ht="15" hidden="false" customHeight="false" outlineLevel="0" collapsed="false">
      <c r="A107" s="0" t="s">
        <v>1460</v>
      </c>
      <c r="B107" s="0" t="s">
        <v>83</v>
      </c>
      <c r="C107" s="0" t="n">
        <v>2017</v>
      </c>
      <c r="D107" s="0" t="s">
        <v>70</v>
      </c>
      <c r="E107" s="0" t="n">
        <v>6</v>
      </c>
      <c r="F107" s="0" t="s">
        <v>1461</v>
      </c>
      <c r="G107" s="0" t="s">
        <v>1467</v>
      </c>
      <c r="H107" s="0" t="s">
        <v>1468</v>
      </c>
      <c r="I107" s="0" t="s">
        <v>1464</v>
      </c>
    </row>
    <row r="108" customFormat="false" ht="15" hidden="false" customHeight="false" outlineLevel="0" collapsed="false">
      <c r="A108" s="0" t="s">
        <v>1460</v>
      </c>
      <c r="B108" s="0" t="s">
        <v>83</v>
      </c>
      <c r="C108" s="0" t="n">
        <v>2017</v>
      </c>
      <c r="D108" s="0" t="s">
        <v>71</v>
      </c>
      <c r="E108" s="0" t="n">
        <v>6</v>
      </c>
      <c r="F108" s="0" t="s">
        <v>1461</v>
      </c>
      <c r="G108" s="0" t="s">
        <v>1467</v>
      </c>
      <c r="H108" s="0" t="s">
        <v>1468</v>
      </c>
      <c r="I108" s="0" t="s">
        <v>1464</v>
      </c>
    </row>
    <row r="109" customFormat="false" ht="15" hidden="false" customHeight="false" outlineLevel="0" collapsed="false">
      <c r="A109" s="0" t="s">
        <v>1460</v>
      </c>
      <c r="B109" s="0" t="s">
        <v>83</v>
      </c>
      <c r="C109" s="0" t="n">
        <v>2017</v>
      </c>
      <c r="D109" s="0" t="s">
        <v>73</v>
      </c>
      <c r="E109" s="0" t="n">
        <v>6</v>
      </c>
      <c r="F109" s="0" t="s">
        <v>1461</v>
      </c>
      <c r="G109" s="0" t="s">
        <v>1467</v>
      </c>
      <c r="H109" s="0" t="s">
        <v>1468</v>
      </c>
      <c r="I109" s="0" t="s">
        <v>1466</v>
      </c>
    </row>
    <row r="110" customFormat="false" ht="15" hidden="false" customHeight="false" outlineLevel="0" collapsed="false">
      <c r="A110" s="0" t="s">
        <v>1460</v>
      </c>
      <c r="B110" s="0" t="s">
        <v>86</v>
      </c>
      <c r="C110" s="0" t="n">
        <v>2013</v>
      </c>
      <c r="D110" s="0" t="s">
        <v>62</v>
      </c>
      <c r="E110" s="0" t="n">
        <v>6</v>
      </c>
      <c r="F110" s="0" t="s">
        <v>1461</v>
      </c>
      <c r="G110" s="0" t="s">
        <v>1467</v>
      </c>
      <c r="H110" s="0" t="s">
        <v>1469</v>
      </c>
      <c r="I110" s="0" t="s">
        <v>1464</v>
      </c>
    </row>
    <row r="111" customFormat="false" ht="15" hidden="false" customHeight="false" outlineLevel="0" collapsed="false">
      <c r="A111" s="0" t="s">
        <v>1460</v>
      </c>
      <c r="B111" s="0" t="s">
        <v>86</v>
      </c>
      <c r="C111" s="0" t="n">
        <v>2013</v>
      </c>
      <c r="D111" s="0" t="s">
        <v>64</v>
      </c>
      <c r="E111" s="0" t="n">
        <v>6</v>
      </c>
      <c r="F111" s="0" t="s">
        <v>1461</v>
      </c>
      <c r="G111" s="0" t="s">
        <v>1467</v>
      </c>
      <c r="H111" s="0" t="s">
        <v>1469</v>
      </c>
      <c r="I111" s="0" t="s">
        <v>1464</v>
      </c>
    </row>
    <row r="112" customFormat="false" ht="15" hidden="false" customHeight="false" outlineLevel="0" collapsed="false">
      <c r="A112" s="0" t="s">
        <v>1460</v>
      </c>
      <c r="B112" s="0" t="s">
        <v>86</v>
      </c>
      <c r="C112" s="0" t="n">
        <v>2013</v>
      </c>
      <c r="D112" s="0" t="s">
        <v>65</v>
      </c>
      <c r="E112" s="0" t="n">
        <v>6</v>
      </c>
      <c r="F112" s="0" t="s">
        <v>1461</v>
      </c>
      <c r="G112" s="0" t="s">
        <v>1467</v>
      </c>
      <c r="H112" s="0" t="s">
        <v>1469</v>
      </c>
      <c r="I112" s="0" t="s">
        <v>1464</v>
      </c>
    </row>
    <row r="113" customFormat="false" ht="15" hidden="false" customHeight="false" outlineLevel="0" collapsed="false">
      <c r="A113" s="0" t="s">
        <v>1460</v>
      </c>
      <c r="B113" s="0" t="s">
        <v>86</v>
      </c>
      <c r="C113" s="0" t="n">
        <v>2013</v>
      </c>
      <c r="D113" s="0" t="s">
        <v>66</v>
      </c>
      <c r="E113" s="0" t="n">
        <v>6</v>
      </c>
      <c r="F113" s="0" t="s">
        <v>1461</v>
      </c>
      <c r="G113" s="0" t="s">
        <v>1467</v>
      </c>
      <c r="H113" s="0" t="s">
        <v>1469</v>
      </c>
      <c r="I113" s="0" t="s">
        <v>1464</v>
      </c>
    </row>
    <row r="114" customFormat="false" ht="15" hidden="false" customHeight="false" outlineLevel="0" collapsed="false">
      <c r="A114" s="0" t="s">
        <v>1460</v>
      </c>
      <c r="B114" s="0" t="s">
        <v>86</v>
      </c>
      <c r="C114" s="0" t="n">
        <v>2013</v>
      </c>
      <c r="D114" s="0" t="s">
        <v>70</v>
      </c>
      <c r="E114" s="0" t="n">
        <v>6</v>
      </c>
      <c r="F114" s="0" t="s">
        <v>1461</v>
      </c>
      <c r="G114" s="0" t="s">
        <v>1467</v>
      </c>
      <c r="H114" s="0" t="s">
        <v>1469</v>
      </c>
      <c r="I114" s="0" t="s">
        <v>1464</v>
      </c>
    </row>
    <row r="115" customFormat="false" ht="15" hidden="false" customHeight="false" outlineLevel="0" collapsed="false">
      <c r="A115" s="0" t="s">
        <v>1460</v>
      </c>
      <c r="B115" s="0" t="s">
        <v>86</v>
      </c>
      <c r="C115" s="0" t="n">
        <v>2013</v>
      </c>
      <c r="D115" s="0" t="s">
        <v>71</v>
      </c>
      <c r="E115" s="0" t="n">
        <v>6</v>
      </c>
      <c r="F115" s="0" t="s">
        <v>1461</v>
      </c>
      <c r="G115" s="0" t="s">
        <v>1467</v>
      </c>
      <c r="H115" s="0" t="s">
        <v>1469</v>
      </c>
      <c r="I115" s="0" t="s">
        <v>1464</v>
      </c>
    </row>
    <row r="116" customFormat="false" ht="15" hidden="false" customHeight="false" outlineLevel="0" collapsed="false">
      <c r="A116" s="0" t="s">
        <v>1460</v>
      </c>
      <c r="B116" s="0" t="s">
        <v>86</v>
      </c>
      <c r="C116" s="0" t="n">
        <v>2013</v>
      </c>
      <c r="D116" s="0" t="s">
        <v>73</v>
      </c>
      <c r="E116" s="0" t="n">
        <v>6</v>
      </c>
      <c r="F116" s="0" t="s">
        <v>1461</v>
      </c>
      <c r="G116" s="0" t="s">
        <v>1467</v>
      </c>
      <c r="H116" s="0" t="s">
        <v>1469</v>
      </c>
      <c r="I116" s="0" t="s">
        <v>1466</v>
      </c>
    </row>
    <row r="117" customFormat="false" ht="15" hidden="false" customHeight="false" outlineLevel="0" collapsed="false">
      <c r="A117" s="0" t="s">
        <v>1460</v>
      </c>
      <c r="B117" s="0" t="s">
        <v>86</v>
      </c>
      <c r="C117" s="0" t="n">
        <v>2018</v>
      </c>
      <c r="D117" s="0" t="s">
        <v>58</v>
      </c>
      <c r="E117" s="0" t="n">
        <v>6</v>
      </c>
      <c r="F117" s="0" t="s">
        <v>1461</v>
      </c>
      <c r="G117" s="0" t="s">
        <v>1467</v>
      </c>
      <c r="H117" s="0" t="s">
        <v>1470</v>
      </c>
      <c r="I117" s="0" t="s">
        <v>1464</v>
      </c>
    </row>
    <row r="118" customFormat="false" ht="15" hidden="false" customHeight="false" outlineLevel="0" collapsed="false">
      <c r="A118" s="0" t="s">
        <v>1460</v>
      </c>
      <c r="B118" s="0" t="s">
        <v>86</v>
      </c>
      <c r="C118" s="0" t="n">
        <v>2018</v>
      </c>
      <c r="D118" s="0" t="s">
        <v>59</v>
      </c>
      <c r="E118" s="0" t="n">
        <v>6</v>
      </c>
      <c r="F118" s="0" t="s">
        <v>1461</v>
      </c>
      <c r="G118" s="0" t="s">
        <v>1467</v>
      </c>
      <c r="H118" s="0" t="s">
        <v>1470</v>
      </c>
      <c r="I118" s="0" t="s">
        <v>1465</v>
      </c>
    </row>
    <row r="119" customFormat="false" ht="15" hidden="false" customHeight="false" outlineLevel="0" collapsed="false">
      <c r="A119" s="0" t="s">
        <v>1460</v>
      </c>
      <c r="B119" s="0" t="s">
        <v>86</v>
      </c>
      <c r="C119" s="0" t="n">
        <v>2018</v>
      </c>
      <c r="D119" s="0" t="s">
        <v>60</v>
      </c>
      <c r="E119" s="0" t="n">
        <v>6</v>
      </c>
      <c r="F119" s="0" t="s">
        <v>1461</v>
      </c>
      <c r="G119" s="0" t="s">
        <v>1467</v>
      </c>
      <c r="H119" s="0" t="s">
        <v>1470</v>
      </c>
      <c r="I119" s="0" t="s">
        <v>1464</v>
      </c>
    </row>
    <row r="120" customFormat="false" ht="15" hidden="false" customHeight="false" outlineLevel="0" collapsed="false">
      <c r="A120" s="0" t="s">
        <v>1460</v>
      </c>
      <c r="B120" s="0" t="s">
        <v>86</v>
      </c>
      <c r="C120" s="0" t="n">
        <v>2018</v>
      </c>
      <c r="D120" s="0" t="s">
        <v>62</v>
      </c>
      <c r="E120" s="0" t="n">
        <v>6</v>
      </c>
      <c r="F120" s="0" t="s">
        <v>1461</v>
      </c>
      <c r="G120" s="0" t="s">
        <v>1467</v>
      </c>
      <c r="H120" s="0" t="s">
        <v>1470</v>
      </c>
      <c r="I120" s="0" t="s">
        <v>1464</v>
      </c>
    </row>
    <row r="121" customFormat="false" ht="15" hidden="false" customHeight="false" outlineLevel="0" collapsed="false">
      <c r="A121" s="0" t="s">
        <v>1460</v>
      </c>
      <c r="B121" s="0" t="s">
        <v>86</v>
      </c>
      <c r="C121" s="0" t="n">
        <v>2018</v>
      </c>
      <c r="D121" s="0" t="s">
        <v>61</v>
      </c>
      <c r="E121" s="0" t="n">
        <v>6</v>
      </c>
      <c r="F121" s="0" t="s">
        <v>1461</v>
      </c>
      <c r="G121" s="0" t="s">
        <v>1467</v>
      </c>
      <c r="H121" s="0" t="s">
        <v>1470</v>
      </c>
      <c r="I121" s="0" t="s">
        <v>1464</v>
      </c>
    </row>
    <row r="122" customFormat="false" ht="15" hidden="false" customHeight="false" outlineLevel="0" collapsed="false">
      <c r="A122" s="0" t="s">
        <v>1460</v>
      </c>
      <c r="B122" s="0" t="s">
        <v>86</v>
      </c>
      <c r="C122" s="0" t="n">
        <v>2018</v>
      </c>
      <c r="D122" s="0" t="s">
        <v>247</v>
      </c>
      <c r="E122" s="0" t="n">
        <v>6</v>
      </c>
      <c r="F122" s="0" t="s">
        <v>1461</v>
      </c>
      <c r="G122" s="0" t="s">
        <v>1467</v>
      </c>
      <c r="H122" s="0" t="s">
        <v>1470</v>
      </c>
      <c r="I122" s="0" t="s">
        <v>1464</v>
      </c>
    </row>
    <row r="123" customFormat="false" ht="15" hidden="false" customHeight="false" outlineLevel="0" collapsed="false">
      <c r="A123" s="0" t="s">
        <v>1460</v>
      </c>
      <c r="B123" s="0" t="s">
        <v>86</v>
      </c>
      <c r="C123" s="0" t="n">
        <v>2018</v>
      </c>
      <c r="D123" s="0" t="s">
        <v>64</v>
      </c>
      <c r="E123" s="0" t="n">
        <v>6</v>
      </c>
      <c r="F123" s="0" t="s">
        <v>1461</v>
      </c>
      <c r="G123" s="0" t="s">
        <v>1467</v>
      </c>
      <c r="H123" s="0" t="s">
        <v>1470</v>
      </c>
      <c r="I123" s="0" t="s">
        <v>1464</v>
      </c>
    </row>
    <row r="124" customFormat="false" ht="15" hidden="false" customHeight="false" outlineLevel="0" collapsed="false">
      <c r="A124" s="0" t="s">
        <v>1460</v>
      </c>
      <c r="B124" s="0" t="s">
        <v>86</v>
      </c>
      <c r="C124" s="0" t="n">
        <v>2018</v>
      </c>
      <c r="D124" s="0" t="s">
        <v>69</v>
      </c>
      <c r="E124" s="0" t="n">
        <v>6</v>
      </c>
      <c r="F124" s="0" t="s">
        <v>1461</v>
      </c>
      <c r="G124" s="0" t="s">
        <v>1467</v>
      </c>
      <c r="H124" s="0" t="s">
        <v>1470</v>
      </c>
      <c r="I124" s="0" t="s">
        <v>1464</v>
      </c>
    </row>
    <row r="125" customFormat="false" ht="15" hidden="false" customHeight="false" outlineLevel="0" collapsed="false">
      <c r="A125" s="0" t="s">
        <v>1460</v>
      </c>
      <c r="B125" s="0" t="s">
        <v>86</v>
      </c>
      <c r="C125" s="0" t="n">
        <v>2018</v>
      </c>
      <c r="D125" s="0" t="s">
        <v>65</v>
      </c>
      <c r="E125" s="0" t="n">
        <v>6</v>
      </c>
      <c r="F125" s="0" t="s">
        <v>1461</v>
      </c>
      <c r="G125" s="0" t="s">
        <v>1467</v>
      </c>
      <c r="H125" s="0" t="s">
        <v>1470</v>
      </c>
      <c r="I125" s="0" t="s">
        <v>1464</v>
      </c>
    </row>
    <row r="126" customFormat="false" ht="15" hidden="false" customHeight="false" outlineLevel="0" collapsed="false">
      <c r="A126" s="0" t="s">
        <v>1460</v>
      </c>
      <c r="B126" s="0" t="s">
        <v>86</v>
      </c>
      <c r="C126" s="0" t="n">
        <v>2018</v>
      </c>
      <c r="D126" s="0" t="s">
        <v>66</v>
      </c>
      <c r="E126" s="0" t="n">
        <v>6</v>
      </c>
      <c r="F126" s="0" t="s">
        <v>1461</v>
      </c>
      <c r="G126" s="0" t="s">
        <v>1467</v>
      </c>
      <c r="H126" s="0" t="s">
        <v>1470</v>
      </c>
      <c r="I126" s="0" t="s">
        <v>1464</v>
      </c>
    </row>
    <row r="127" customFormat="false" ht="15" hidden="false" customHeight="false" outlineLevel="0" collapsed="false">
      <c r="A127" s="0" t="s">
        <v>1460</v>
      </c>
      <c r="B127" s="0" t="s">
        <v>86</v>
      </c>
      <c r="C127" s="0" t="n">
        <v>2018</v>
      </c>
      <c r="D127" s="0" t="s">
        <v>70</v>
      </c>
      <c r="E127" s="0" t="n">
        <v>6</v>
      </c>
      <c r="F127" s="0" t="s">
        <v>1461</v>
      </c>
      <c r="G127" s="0" t="s">
        <v>1467</v>
      </c>
      <c r="H127" s="0" t="s">
        <v>1470</v>
      </c>
      <c r="I127" s="0" t="s">
        <v>1464</v>
      </c>
    </row>
    <row r="128" customFormat="false" ht="15" hidden="false" customHeight="false" outlineLevel="0" collapsed="false">
      <c r="A128" s="0" t="s">
        <v>1460</v>
      </c>
      <c r="B128" s="0" t="s">
        <v>86</v>
      </c>
      <c r="C128" s="0" t="n">
        <v>2018</v>
      </c>
      <c r="D128" s="0" t="s">
        <v>71</v>
      </c>
      <c r="E128" s="0" t="n">
        <v>6</v>
      </c>
      <c r="F128" s="0" t="s">
        <v>1461</v>
      </c>
      <c r="G128" s="0" t="s">
        <v>1467</v>
      </c>
      <c r="H128" s="0" t="s">
        <v>1470</v>
      </c>
      <c r="I128" s="0" t="s">
        <v>1464</v>
      </c>
    </row>
    <row r="129" customFormat="false" ht="15" hidden="false" customHeight="false" outlineLevel="0" collapsed="false">
      <c r="A129" s="0" t="s">
        <v>1460</v>
      </c>
      <c r="B129" s="0" t="s">
        <v>86</v>
      </c>
      <c r="C129" s="0" t="n">
        <v>2018</v>
      </c>
      <c r="D129" s="0" t="s">
        <v>73</v>
      </c>
      <c r="E129" s="0" t="n">
        <v>6</v>
      </c>
      <c r="F129" s="0" t="s">
        <v>1461</v>
      </c>
      <c r="G129" s="0" t="s">
        <v>1467</v>
      </c>
      <c r="H129" s="0" t="s">
        <v>1470</v>
      </c>
      <c r="I129" s="0" t="s">
        <v>1466</v>
      </c>
    </row>
    <row r="130" customFormat="false" ht="15" hidden="false" customHeight="false" outlineLevel="0" collapsed="false">
      <c r="A130" s="0" t="s">
        <v>1460</v>
      </c>
      <c r="B130" s="0" t="s">
        <v>86</v>
      </c>
      <c r="C130" s="0" t="n">
        <v>2018</v>
      </c>
      <c r="D130" s="0" t="s">
        <v>67</v>
      </c>
      <c r="E130" s="0" t="n">
        <v>6</v>
      </c>
      <c r="F130" s="0" t="s">
        <v>1461</v>
      </c>
      <c r="G130" s="0" t="s">
        <v>1467</v>
      </c>
      <c r="H130" s="0" t="s">
        <v>1470</v>
      </c>
      <c r="I130" s="0" t="s">
        <v>1471</v>
      </c>
    </row>
    <row r="131" customFormat="false" ht="15" hidden="false" customHeight="false" outlineLevel="0" collapsed="false">
      <c r="A131" s="0" t="s">
        <v>1460</v>
      </c>
      <c r="B131" s="0" t="s">
        <v>86</v>
      </c>
      <c r="C131" s="0" t="n">
        <v>2018</v>
      </c>
      <c r="D131" s="0" t="s">
        <v>68</v>
      </c>
      <c r="E131" s="0" t="n">
        <v>6</v>
      </c>
      <c r="F131" s="0" t="s">
        <v>1461</v>
      </c>
      <c r="G131" s="0" t="s">
        <v>1467</v>
      </c>
      <c r="H131" s="0" t="s">
        <v>1470</v>
      </c>
      <c r="I131" s="0" t="s">
        <v>1471</v>
      </c>
    </row>
    <row r="132" customFormat="false" ht="15" hidden="false" customHeight="false" outlineLevel="0" collapsed="false">
      <c r="A132" s="0" t="s">
        <v>1460</v>
      </c>
      <c r="B132" s="0" t="s">
        <v>86</v>
      </c>
      <c r="C132" s="0" t="n">
        <v>2019</v>
      </c>
      <c r="D132" s="0" t="s">
        <v>58</v>
      </c>
      <c r="E132" s="0" t="n">
        <v>6</v>
      </c>
      <c r="F132" s="0" t="s">
        <v>1461</v>
      </c>
      <c r="G132" s="0" t="s">
        <v>1467</v>
      </c>
      <c r="H132" s="0" t="s">
        <v>1470</v>
      </c>
      <c r="I132" s="0" t="s">
        <v>1464</v>
      </c>
    </row>
    <row r="133" customFormat="false" ht="15" hidden="false" customHeight="false" outlineLevel="0" collapsed="false">
      <c r="A133" s="0" t="s">
        <v>1460</v>
      </c>
      <c r="B133" s="0" t="s">
        <v>86</v>
      </c>
      <c r="C133" s="0" t="n">
        <v>2019</v>
      </c>
      <c r="D133" s="0" t="s">
        <v>60</v>
      </c>
      <c r="E133" s="0" t="n">
        <v>6</v>
      </c>
      <c r="F133" s="0" t="s">
        <v>1461</v>
      </c>
      <c r="G133" s="0" t="s">
        <v>1467</v>
      </c>
      <c r="H133" s="0" t="s">
        <v>1470</v>
      </c>
      <c r="I133" s="0" t="s">
        <v>1464</v>
      </c>
    </row>
    <row r="134" customFormat="false" ht="15" hidden="false" customHeight="false" outlineLevel="0" collapsed="false">
      <c r="A134" s="0" t="s">
        <v>1460</v>
      </c>
      <c r="B134" s="0" t="s">
        <v>86</v>
      </c>
      <c r="C134" s="0" t="n">
        <v>2019</v>
      </c>
      <c r="D134" s="0" t="s">
        <v>62</v>
      </c>
      <c r="E134" s="0" t="n">
        <v>6</v>
      </c>
      <c r="F134" s="0" t="s">
        <v>1461</v>
      </c>
      <c r="G134" s="0" t="s">
        <v>1467</v>
      </c>
      <c r="H134" s="0" t="s">
        <v>1470</v>
      </c>
      <c r="I134" s="0" t="s">
        <v>1464</v>
      </c>
    </row>
    <row r="135" customFormat="false" ht="15" hidden="false" customHeight="false" outlineLevel="0" collapsed="false">
      <c r="A135" s="0" t="s">
        <v>1460</v>
      </c>
      <c r="B135" s="0" t="s">
        <v>86</v>
      </c>
      <c r="C135" s="0" t="n">
        <v>2019</v>
      </c>
      <c r="D135" s="0" t="s">
        <v>61</v>
      </c>
      <c r="E135" s="0" t="n">
        <v>6</v>
      </c>
      <c r="F135" s="0" t="s">
        <v>1461</v>
      </c>
      <c r="G135" s="0" t="s">
        <v>1467</v>
      </c>
      <c r="H135" s="0" t="s">
        <v>1470</v>
      </c>
      <c r="I135" s="0" t="s">
        <v>1464</v>
      </c>
    </row>
    <row r="136" customFormat="false" ht="15" hidden="false" customHeight="false" outlineLevel="0" collapsed="false">
      <c r="A136" s="0" t="s">
        <v>1460</v>
      </c>
      <c r="B136" s="0" t="s">
        <v>86</v>
      </c>
      <c r="C136" s="0" t="n">
        <v>2019</v>
      </c>
      <c r="D136" s="0" t="s">
        <v>247</v>
      </c>
      <c r="E136" s="0" t="n">
        <v>6</v>
      </c>
      <c r="F136" s="0" t="s">
        <v>1461</v>
      </c>
      <c r="G136" s="0" t="s">
        <v>1467</v>
      </c>
      <c r="H136" s="0" t="s">
        <v>1470</v>
      </c>
      <c r="I136" s="0" t="s">
        <v>1464</v>
      </c>
    </row>
    <row r="137" customFormat="false" ht="15" hidden="false" customHeight="false" outlineLevel="0" collapsed="false">
      <c r="A137" s="0" t="s">
        <v>1460</v>
      </c>
      <c r="B137" s="0" t="s">
        <v>86</v>
      </c>
      <c r="C137" s="0" t="n">
        <v>2019</v>
      </c>
      <c r="D137" s="0" t="s">
        <v>64</v>
      </c>
      <c r="E137" s="0" t="n">
        <v>6</v>
      </c>
      <c r="F137" s="0" t="s">
        <v>1461</v>
      </c>
      <c r="G137" s="0" t="s">
        <v>1467</v>
      </c>
      <c r="H137" s="0" t="s">
        <v>1470</v>
      </c>
      <c r="I137" s="0" t="s">
        <v>1464</v>
      </c>
    </row>
    <row r="138" customFormat="false" ht="15" hidden="false" customHeight="false" outlineLevel="0" collapsed="false">
      <c r="A138" s="0" t="s">
        <v>1460</v>
      </c>
      <c r="B138" s="0" t="s">
        <v>86</v>
      </c>
      <c r="C138" s="0" t="n">
        <v>2019</v>
      </c>
      <c r="D138" s="0" t="s">
        <v>69</v>
      </c>
      <c r="E138" s="0" t="n">
        <v>6</v>
      </c>
      <c r="F138" s="0" t="s">
        <v>1461</v>
      </c>
      <c r="G138" s="0" t="s">
        <v>1467</v>
      </c>
      <c r="H138" s="0" t="s">
        <v>1470</v>
      </c>
      <c r="I138" s="0" t="s">
        <v>1464</v>
      </c>
    </row>
    <row r="139" customFormat="false" ht="15" hidden="false" customHeight="false" outlineLevel="0" collapsed="false">
      <c r="A139" s="0" t="s">
        <v>1460</v>
      </c>
      <c r="B139" s="0" t="s">
        <v>86</v>
      </c>
      <c r="C139" s="0" t="n">
        <v>2019</v>
      </c>
      <c r="D139" s="0" t="s">
        <v>65</v>
      </c>
      <c r="E139" s="0" t="n">
        <v>6</v>
      </c>
      <c r="F139" s="0" t="s">
        <v>1461</v>
      </c>
      <c r="G139" s="0" t="s">
        <v>1467</v>
      </c>
      <c r="H139" s="0" t="s">
        <v>1470</v>
      </c>
      <c r="I139" s="0" t="s">
        <v>1464</v>
      </c>
    </row>
    <row r="140" customFormat="false" ht="15" hidden="false" customHeight="false" outlineLevel="0" collapsed="false">
      <c r="A140" s="0" t="s">
        <v>1460</v>
      </c>
      <c r="B140" s="0" t="s">
        <v>86</v>
      </c>
      <c r="C140" s="0" t="n">
        <v>2019</v>
      </c>
      <c r="D140" s="0" t="s">
        <v>66</v>
      </c>
      <c r="E140" s="0" t="n">
        <v>6</v>
      </c>
      <c r="F140" s="0" t="s">
        <v>1461</v>
      </c>
      <c r="G140" s="0" t="s">
        <v>1467</v>
      </c>
      <c r="H140" s="0" t="s">
        <v>1470</v>
      </c>
      <c r="I140" s="0" t="s">
        <v>1464</v>
      </c>
    </row>
    <row r="141" customFormat="false" ht="15" hidden="false" customHeight="false" outlineLevel="0" collapsed="false">
      <c r="A141" s="0" t="s">
        <v>1460</v>
      </c>
      <c r="B141" s="0" t="s">
        <v>86</v>
      </c>
      <c r="C141" s="0" t="n">
        <v>2019</v>
      </c>
      <c r="D141" s="0" t="s">
        <v>70</v>
      </c>
      <c r="E141" s="0" t="n">
        <v>6</v>
      </c>
      <c r="F141" s="0" t="s">
        <v>1461</v>
      </c>
      <c r="G141" s="0" t="s">
        <v>1467</v>
      </c>
      <c r="H141" s="0" t="s">
        <v>1470</v>
      </c>
      <c r="I141" s="0" t="s">
        <v>1464</v>
      </c>
    </row>
    <row r="142" customFormat="false" ht="15" hidden="false" customHeight="false" outlineLevel="0" collapsed="false">
      <c r="A142" s="0" t="s">
        <v>1460</v>
      </c>
      <c r="B142" s="0" t="s">
        <v>86</v>
      </c>
      <c r="C142" s="0" t="n">
        <v>2019</v>
      </c>
      <c r="D142" s="0" t="s">
        <v>71</v>
      </c>
      <c r="E142" s="0" t="n">
        <v>6</v>
      </c>
      <c r="F142" s="0" t="s">
        <v>1461</v>
      </c>
      <c r="G142" s="0" t="s">
        <v>1467</v>
      </c>
      <c r="H142" s="0" t="s">
        <v>1470</v>
      </c>
      <c r="I142" s="0" t="s">
        <v>1464</v>
      </c>
    </row>
    <row r="143" customFormat="false" ht="15" hidden="false" customHeight="false" outlineLevel="0" collapsed="false">
      <c r="A143" s="0" t="s">
        <v>1460</v>
      </c>
      <c r="B143" s="0" t="s">
        <v>86</v>
      </c>
      <c r="C143" s="0" t="n">
        <v>2019</v>
      </c>
      <c r="D143" s="0" t="s">
        <v>67</v>
      </c>
      <c r="E143" s="0" t="n">
        <v>6</v>
      </c>
      <c r="F143" s="0" t="s">
        <v>1461</v>
      </c>
      <c r="G143" s="0" t="s">
        <v>1467</v>
      </c>
      <c r="H143" s="0" t="s">
        <v>1470</v>
      </c>
      <c r="I143" s="0" t="s">
        <v>1471</v>
      </c>
    </row>
    <row r="144" customFormat="false" ht="15" hidden="false" customHeight="false" outlineLevel="0" collapsed="false">
      <c r="A144" s="0" t="s">
        <v>1460</v>
      </c>
      <c r="B144" s="0" t="s">
        <v>86</v>
      </c>
      <c r="C144" s="0" t="n">
        <v>2019</v>
      </c>
      <c r="D144" s="0" t="s">
        <v>68</v>
      </c>
      <c r="E144" s="0" t="n">
        <v>6</v>
      </c>
      <c r="F144" s="0" t="s">
        <v>1461</v>
      </c>
      <c r="G144" s="0" t="s">
        <v>1467</v>
      </c>
      <c r="H144" s="0" t="s">
        <v>1470</v>
      </c>
      <c r="I144" s="0" t="s">
        <v>1471</v>
      </c>
    </row>
    <row r="145" customFormat="false" ht="15" hidden="false" customHeight="false" outlineLevel="0" collapsed="false">
      <c r="A145" s="0" t="s">
        <v>1460</v>
      </c>
      <c r="B145" s="0" t="s">
        <v>104</v>
      </c>
      <c r="C145" s="0" t="n">
        <v>2013</v>
      </c>
      <c r="D145" s="0" t="s">
        <v>59</v>
      </c>
      <c r="E145" s="0" t="n">
        <v>6</v>
      </c>
      <c r="F145" s="0" t="s">
        <v>1461</v>
      </c>
      <c r="G145" s="0" t="s">
        <v>1467</v>
      </c>
      <c r="H145" s="0" t="s">
        <v>1472</v>
      </c>
      <c r="I145" s="0" t="s">
        <v>1465</v>
      </c>
    </row>
    <row r="146" customFormat="false" ht="15" hidden="false" customHeight="false" outlineLevel="0" collapsed="false">
      <c r="A146" s="0" t="s">
        <v>1460</v>
      </c>
      <c r="B146" s="0" t="s">
        <v>104</v>
      </c>
      <c r="C146" s="0" t="n">
        <v>2013</v>
      </c>
      <c r="D146" s="0" t="s">
        <v>62</v>
      </c>
      <c r="E146" s="0" t="n">
        <v>6</v>
      </c>
      <c r="F146" s="0" t="s">
        <v>1461</v>
      </c>
      <c r="G146" s="0" t="s">
        <v>1467</v>
      </c>
      <c r="H146" s="0" t="s">
        <v>1472</v>
      </c>
      <c r="I146" s="0" t="s">
        <v>1464</v>
      </c>
    </row>
    <row r="147" customFormat="false" ht="15" hidden="false" customHeight="false" outlineLevel="0" collapsed="false">
      <c r="A147" s="0" t="s">
        <v>1460</v>
      </c>
      <c r="B147" s="0" t="s">
        <v>104</v>
      </c>
      <c r="C147" s="0" t="n">
        <v>2013</v>
      </c>
      <c r="D147" s="0" t="s">
        <v>247</v>
      </c>
      <c r="E147" s="0" t="n">
        <v>6</v>
      </c>
      <c r="F147" s="0" t="s">
        <v>1461</v>
      </c>
      <c r="G147" s="0" t="s">
        <v>1467</v>
      </c>
      <c r="H147" s="0" t="s">
        <v>1472</v>
      </c>
      <c r="I147" s="0" t="s">
        <v>1464</v>
      </c>
    </row>
    <row r="148" customFormat="false" ht="15" hidden="false" customHeight="false" outlineLevel="0" collapsed="false">
      <c r="A148" s="0" t="s">
        <v>1460</v>
      </c>
      <c r="B148" s="0" t="s">
        <v>104</v>
      </c>
      <c r="C148" s="0" t="n">
        <v>2013</v>
      </c>
      <c r="D148" s="0" t="s">
        <v>64</v>
      </c>
      <c r="E148" s="0" t="n">
        <v>6</v>
      </c>
      <c r="F148" s="0" t="s">
        <v>1461</v>
      </c>
      <c r="G148" s="0" t="s">
        <v>1467</v>
      </c>
      <c r="H148" s="0" t="s">
        <v>1472</v>
      </c>
      <c r="I148" s="0" t="s">
        <v>1464</v>
      </c>
    </row>
    <row r="149" customFormat="false" ht="15" hidden="false" customHeight="false" outlineLevel="0" collapsed="false">
      <c r="A149" s="0" t="s">
        <v>1460</v>
      </c>
      <c r="B149" s="0" t="s">
        <v>104</v>
      </c>
      <c r="C149" s="0" t="n">
        <v>2013</v>
      </c>
      <c r="D149" s="0" t="s">
        <v>65</v>
      </c>
      <c r="E149" s="0" t="n">
        <v>6</v>
      </c>
      <c r="F149" s="0" t="s">
        <v>1461</v>
      </c>
      <c r="G149" s="0" t="s">
        <v>1467</v>
      </c>
      <c r="H149" s="0" t="s">
        <v>1472</v>
      </c>
      <c r="I149" s="0" t="s">
        <v>1464</v>
      </c>
    </row>
    <row r="150" customFormat="false" ht="15" hidden="false" customHeight="false" outlineLevel="0" collapsed="false">
      <c r="A150" s="0" t="s">
        <v>1460</v>
      </c>
      <c r="B150" s="0" t="s">
        <v>104</v>
      </c>
      <c r="C150" s="0" t="n">
        <v>2013</v>
      </c>
      <c r="D150" s="0" t="s">
        <v>66</v>
      </c>
      <c r="E150" s="0" t="n">
        <v>6</v>
      </c>
      <c r="F150" s="0" t="s">
        <v>1461</v>
      </c>
      <c r="G150" s="0" t="s">
        <v>1467</v>
      </c>
      <c r="H150" s="0" t="s">
        <v>1472</v>
      </c>
      <c r="I150" s="0" t="s">
        <v>1464</v>
      </c>
    </row>
    <row r="151" customFormat="false" ht="15" hidden="false" customHeight="false" outlineLevel="0" collapsed="false">
      <c r="A151" s="0" t="s">
        <v>1460</v>
      </c>
      <c r="B151" s="0" t="s">
        <v>104</v>
      </c>
      <c r="C151" s="0" t="n">
        <v>2013</v>
      </c>
      <c r="D151" s="0" t="s">
        <v>70</v>
      </c>
      <c r="E151" s="0" t="n">
        <v>6</v>
      </c>
      <c r="F151" s="0" t="s">
        <v>1461</v>
      </c>
      <c r="G151" s="0" t="s">
        <v>1467</v>
      </c>
      <c r="H151" s="0" t="s">
        <v>1472</v>
      </c>
      <c r="I151" s="0" t="s">
        <v>1464</v>
      </c>
    </row>
    <row r="152" customFormat="false" ht="15" hidden="false" customHeight="false" outlineLevel="0" collapsed="false">
      <c r="A152" s="0" t="s">
        <v>1460</v>
      </c>
      <c r="B152" s="0" t="s">
        <v>104</v>
      </c>
      <c r="C152" s="0" t="n">
        <v>2013</v>
      </c>
      <c r="D152" s="0" t="s">
        <v>71</v>
      </c>
      <c r="E152" s="0" t="n">
        <v>6</v>
      </c>
      <c r="F152" s="0" t="s">
        <v>1461</v>
      </c>
      <c r="G152" s="0" t="s">
        <v>1467</v>
      </c>
      <c r="H152" s="0" t="s">
        <v>1472</v>
      </c>
      <c r="I152" s="0" t="s">
        <v>1464</v>
      </c>
    </row>
    <row r="153" customFormat="false" ht="15" hidden="false" customHeight="false" outlineLevel="0" collapsed="false">
      <c r="A153" s="0" t="s">
        <v>1460</v>
      </c>
      <c r="B153" s="0" t="s">
        <v>104</v>
      </c>
      <c r="C153" s="0" t="n">
        <v>2013</v>
      </c>
      <c r="D153" s="0" t="s">
        <v>73</v>
      </c>
      <c r="E153" s="0" t="n">
        <v>6</v>
      </c>
      <c r="F153" s="0" t="s">
        <v>1461</v>
      </c>
      <c r="G153" s="0" t="s">
        <v>1467</v>
      </c>
      <c r="H153" s="0" t="s">
        <v>1472</v>
      </c>
      <c r="I153" s="0" t="s">
        <v>1466</v>
      </c>
    </row>
    <row r="154" customFormat="false" ht="15" hidden="false" customHeight="false" outlineLevel="0" collapsed="false">
      <c r="A154" s="0" t="s">
        <v>1460</v>
      </c>
      <c r="B154" s="0" t="s">
        <v>104</v>
      </c>
      <c r="C154" s="0" t="n">
        <v>2014</v>
      </c>
      <c r="D154" s="0" t="s">
        <v>62</v>
      </c>
      <c r="E154" s="0" t="n">
        <v>6</v>
      </c>
      <c r="F154" s="0" t="s">
        <v>1461</v>
      </c>
      <c r="G154" s="0" t="s">
        <v>1467</v>
      </c>
      <c r="H154" s="0" t="s">
        <v>1472</v>
      </c>
      <c r="I154" s="0" t="s">
        <v>1464</v>
      </c>
    </row>
    <row r="155" customFormat="false" ht="15" hidden="false" customHeight="false" outlineLevel="0" collapsed="false">
      <c r="A155" s="0" t="s">
        <v>1460</v>
      </c>
      <c r="B155" s="0" t="s">
        <v>104</v>
      </c>
      <c r="C155" s="0" t="n">
        <v>2014</v>
      </c>
      <c r="D155" s="0" t="s">
        <v>247</v>
      </c>
      <c r="E155" s="0" t="n">
        <v>6</v>
      </c>
      <c r="F155" s="0" t="s">
        <v>1461</v>
      </c>
      <c r="G155" s="0" t="s">
        <v>1467</v>
      </c>
      <c r="H155" s="0" t="s">
        <v>1472</v>
      </c>
      <c r="I155" s="0" t="s">
        <v>1464</v>
      </c>
    </row>
    <row r="156" customFormat="false" ht="15" hidden="false" customHeight="false" outlineLevel="0" collapsed="false">
      <c r="A156" s="0" t="s">
        <v>1460</v>
      </c>
      <c r="B156" s="0" t="s">
        <v>104</v>
      </c>
      <c r="C156" s="0" t="n">
        <v>2014</v>
      </c>
      <c r="D156" s="0" t="s">
        <v>64</v>
      </c>
      <c r="E156" s="0" t="n">
        <v>6</v>
      </c>
      <c r="F156" s="0" t="s">
        <v>1461</v>
      </c>
      <c r="G156" s="0" t="s">
        <v>1467</v>
      </c>
      <c r="H156" s="0" t="s">
        <v>1472</v>
      </c>
      <c r="I156" s="0" t="s">
        <v>1464</v>
      </c>
    </row>
    <row r="157" customFormat="false" ht="15" hidden="false" customHeight="false" outlineLevel="0" collapsed="false">
      <c r="A157" s="0" t="s">
        <v>1460</v>
      </c>
      <c r="B157" s="0" t="s">
        <v>104</v>
      </c>
      <c r="C157" s="0" t="n">
        <v>2014</v>
      </c>
      <c r="D157" s="0" t="s">
        <v>65</v>
      </c>
      <c r="E157" s="0" t="n">
        <v>6</v>
      </c>
      <c r="F157" s="0" t="s">
        <v>1461</v>
      </c>
      <c r="G157" s="0" t="s">
        <v>1467</v>
      </c>
      <c r="H157" s="0" t="s">
        <v>1472</v>
      </c>
      <c r="I157" s="0" t="s">
        <v>1464</v>
      </c>
    </row>
    <row r="158" customFormat="false" ht="15" hidden="false" customHeight="false" outlineLevel="0" collapsed="false">
      <c r="A158" s="0" t="s">
        <v>1460</v>
      </c>
      <c r="B158" s="0" t="s">
        <v>104</v>
      </c>
      <c r="C158" s="0" t="n">
        <v>2014</v>
      </c>
      <c r="D158" s="0" t="s">
        <v>66</v>
      </c>
      <c r="E158" s="0" t="n">
        <v>6</v>
      </c>
      <c r="F158" s="0" t="s">
        <v>1461</v>
      </c>
      <c r="G158" s="0" t="s">
        <v>1467</v>
      </c>
      <c r="H158" s="0" t="s">
        <v>1472</v>
      </c>
      <c r="I158" s="0" t="s">
        <v>1464</v>
      </c>
    </row>
    <row r="159" customFormat="false" ht="15" hidden="false" customHeight="false" outlineLevel="0" collapsed="false">
      <c r="A159" s="0" t="s">
        <v>1460</v>
      </c>
      <c r="B159" s="0" t="s">
        <v>104</v>
      </c>
      <c r="C159" s="0" t="n">
        <v>2014</v>
      </c>
      <c r="D159" s="0" t="s">
        <v>70</v>
      </c>
      <c r="E159" s="0" t="n">
        <v>6</v>
      </c>
      <c r="F159" s="0" t="s">
        <v>1461</v>
      </c>
      <c r="G159" s="0" t="s">
        <v>1467</v>
      </c>
      <c r="H159" s="0" t="s">
        <v>1472</v>
      </c>
      <c r="I159" s="0" t="s">
        <v>1464</v>
      </c>
    </row>
    <row r="160" customFormat="false" ht="15" hidden="false" customHeight="false" outlineLevel="0" collapsed="false">
      <c r="A160" s="0" t="s">
        <v>1460</v>
      </c>
      <c r="B160" s="0" t="s">
        <v>104</v>
      </c>
      <c r="C160" s="0" t="n">
        <v>2014</v>
      </c>
      <c r="D160" s="0" t="s">
        <v>71</v>
      </c>
      <c r="E160" s="0" t="n">
        <v>6</v>
      </c>
      <c r="F160" s="0" t="s">
        <v>1461</v>
      </c>
      <c r="G160" s="0" t="s">
        <v>1467</v>
      </c>
      <c r="H160" s="0" t="s">
        <v>1472</v>
      </c>
      <c r="I160" s="0" t="s">
        <v>1464</v>
      </c>
    </row>
    <row r="161" customFormat="false" ht="15" hidden="false" customHeight="false" outlineLevel="0" collapsed="false">
      <c r="A161" s="0" t="s">
        <v>1460</v>
      </c>
      <c r="B161" s="0" t="s">
        <v>104</v>
      </c>
      <c r="C161" s="0" t="n">
        <v>2014</v>
      </c>
      <c r="D161" s="0" t="s">
        <v>73</v>
      </c>
      <c r="E161" s="0" t="n">
        <v>6</v>
      </c>
      <c r="F161" s="0" t="s">
        <v>1461</v>
      </c>
      <c r="G161" s="0" t="s">
        <v>1467</v>
      </c>
      <c r="H161" s="0" t="s">
        <v>1472</v>
      </c>
      <c r="I161" s="0" t="s">
        <v>1466</v>
      </c>
    </row>
    <row r="162" customFormat="false" ht="15" hidden="false" customHeight="false" outlineLevel="0" collapsed="false">
      <c r="A162" s="0" t="s">
        <v>1460</v>
      </c>
      <c r="B162" s="0" t="s">
        <v>109</v>
      </c>
      <c r="C162" s="0" t="n">
        <v>2013</v>
      </c>
      <c r="D162" s="0" t="s">
        <v>58</v>
      </c>
      <c r="E162" s="0" t="n">
        <v>6</v>
      </c>
      <c r="F162" s="0" t="s">
        <v>1461</v>
      </c>
      <c r="G162" s="0" t="s">
        <v>1467</v>
      </c>
      <c r="H162" s="0" t="s">
        <v>1473</v>
      </c>
      <c r="I162" s="0" t="s">
        <v>1464</v>
      </c>
    </row>
    <row r="163" customFormat="false" ht="15" hidden="false" customHeight="false" outlineLevel="0" collapsed="false">
      <c r="A163" s="0" t="s">
        <v>1460</v>
      </c>
      <c r="B163" s="0" t="s">
        <v>109</v>
      </c>
      <c r="C163" s="0" t="n">
        <v>2013</v>
      </c>
      <c r="D163" s="0" t="s">
        <v>59</v>
      </c>
      <c r="E163" s="0" t="n">
        <v>6</v>
      </c>
      <c r="F163" s="0" t="s">
        <v>1461</v>
      </c>
      <c r="G163" s="0" t="s">
        <v>1467</v>
      </c>
      <c r="H163" s="0" t="s">
        <v>1473</v>
      </c>
      <c r="I163" s="0" t="s">
        <v>1465</v>
      </c>
    </row>
    <row r="164" customFormat="false" ht="15" hidden="false" customHeight="false" outlineLevel="0" collapsed="false">
      <c r="A164" s="0" t="s">
        <v>1460</v>
      </c>
      <c r="B164" s="0" t="s">
        <v>109</v>
      </c>
      <c r="C164" s="0" t="n">
        <v>2013</v>
      </c>
      <c r="D164" s="0" t="s">
        <v>60</v>
      </c>
      <c r="E164" s="0" t="n">
        <v>6</v>
      </c>
      <c r="F164" s="0" t="s">
        <v>1461</v>
      </c>
      <c r="G164" s="0" t="s">
        <v>1467</v>
      </c>
      <c r="H164" s="0" t="s">
        <v>1473</v>
      </c>
      <c r="I164" s="0" t="s">
        <v>1464</v>
      </c>
    </row>
    <row r="165" customFormat="false" ht="15" hidden="false" customHeight="false" outlineLevel="0" collapsed="false">
      <c r="A165" s="0" t="s">
        <v>1460</v>
      </c>
      <c r="B165" s="0" t="s">
        <v>109</v>
      </c>
      <c r="C165" s="0" t="n">
        <v>2013</v>
      </c>
      <c r="D165" s="0" t="s">
        <v>62</v>
      </c>
      <c r="E165" s="0" t="n">
        <v>6</v>
      </c>
      <c r="F165" s="0" t="s">
        <v>1461</v>
      </c>
      <c r="G165" s="0" t="s">
        <v>1467</v>
      </c>
      <c r="H165" s="0" t="s">
        <v>1473</v>
      </c>
      <c r="I165" s="0" t="s">
        <v>1464</v>
      </c>
    </row>
    <row r="166" customFormat="false" ht="15" hidden="false" customHeight="false" outlineLevel="0" collapsed="false">
      <c r="A166" s="0" t="s">
        <v>1460</v>
      </c>
      <c r="B166" s="0" t="s">
        <v>109</v>
      </c>
      <c r="C166" s="0" t="n">
        <v>2013</v>
      </c>
      <c r="D166" s="0" t="s">
        <v>61</v>
      </c>
      <c r="E166" s="0" t="n">
        <v>6</v>
      </c>
      <c r="F166" s="0" t="s">
        <v>1461</v>
      </c>
      <c r="G166" s="0" t="s">
        <v>1467</v>
      </c>
      <c r="H166" s="0" t="s">
        <v>1473</v>
      </c>
      <c r="I166" s="0" t="s">
        <v>1464</v>
      </c>
    </row>
    <row r="167" customFormat="false" ht="15" hidden="false" customHeight="false" outlineLevel="0" collapsed="false">
      <c r="A167" s="0" t="s">
        <v>1460</v>
      </c>
      <c r="B167" s="0" t="s">
        <v>109</v>
      </c>
      <c r="C167" s="0" t="n">
        <v>2013</v>
      </c>
      <c r="D167" s="0" t="s">
        <v>63</v>
      </c>
      <c r="E167" s="0" t="n">
        <v>6</v>
      </c>
      <c r="F167" s="0" t="s">
        <v>1461</v>
      </c>
      <c r="G167" s="0" t="s">
        <v>1467</v>
      </c>
      <c r="H167" s="0" t="s">
        <v>1473</v>
      </c>
      <c r="I167" s="0" t="s">
        <v>1464</v>
      </c>
    </row>
    <row r="168" customFormat="false" ht="15" hidden="false" customHeight="false" outlineLevel="0" collapsed="false">
      <c r="A168" s="0" t="s">
        <v>1460</v>
      </c>
      <c r="B168" s="0" t="s">
        <v>109</v>
      </c>
      <c r="C168" s="0" t="n">
        <v>2013</v>
      </c>
      <c r="D168" s="0" t="s">
        <v>69</v>
      </c>
      <c r="E168" s="0" t="n">
        <v>6</v>
      </c>
      <c r="F168" s="0" t="s">
        <v>1461</v>
      </c>
      <c r="G168" s="0" t="s">
        <v>1467</v>
      </c>
      <c r="H168" s="0" t="s">
        <v>1473</v>
      </c>
      <c r="I168" s="0" t="s">
        <v>1464</v>
      </c>
    </row>
    <row r="169" customFormat="false" ht="15" hidden="false" customHeight="false" outlineLevel="0" collapsed="false">
      <c r="A169" s="0" t="s">
        <v>1460</v>
      </c>
      <c r="B169" s="0" t="s">
        <v>109</v>
      </c>
      <c r="C169" s="0" t="n">
        <v>2013</v>
      </c>
      <c r="D169" s="0" t="s">
        <v>65</v>
      </c>
      <c r="E169" s="0" t="n">
        <v>6</v>
      </c>
      <c r="F169" s="0" t="s">
        <v>1461</v>
      </c>
      <c r="G169" s="0" t="s">
        <v>1467</v>
      </c>
      <c r="H169" s="0" t="s">
        <v>1473</v>
      </c>
      <c r="I169" s="0" t="s">
        <v>1464</v>
      </c>
    </row>
    <row r="170" customFormat="false" ht="15" hidden="false" customHeight="false" outlineLevel="0" collapsed="false">
      <c r="A170" s="0" t="s">
        <v>1460</v>
      </c>
      <c r="B170" s="0" t="s">
        <v>109</v>
      </c>
      <c r="C170" s="0" t="n">
        <v>2013</v>
      </c>
      <c r="D170" s="0" t="s">
        <v>66</v>
      </c>
      <c r="E170" s="0" t="n">
        <v>6</v>
      </c>
      <c r="F170" s="0" t="s">
        <v>1461</v>
      </c>
      <c r="G170" s="0" t="s">
        <v>1467</v>
      </c>
      <c r="H170" s="0" t="s">
        <v>1473</v>
      </c>
      <c r="I170" s="0" t="s">
        <v>1464</v>
      </c>
    </row>
    <row r="171" customFormat="false" ht="15" hidden="false" customHeight="false" outlineLevel="0" collapsed="false">
      <c r="A171" s="0" t="s">
        <v>1460</v>
      </c>
      <c r="B171" s="0" t="s">
        <v>109</v>
      </c>
      <c r="C171" s="0" t="n">
        <v>2013</v>
      </c>
      <c r="D171" s="0" t="s">
        <v>70</v>
      </c>
      <c r="E171" s="0" t="n">
        <v>6</v>
      </c>
      <c r="F171" s="0" t="s">
        <v>1461</v>
      </c>
      <c r="G171" s="0" t="s">
        <v>1467</v>
      </c>
      <c r="H171" s="0" t="s">
        <v>1473</v>
      </c>
      <c r="I171" s="0" t="s">
        <v>1464</v>
      </c>
    </row>
    <row r="172" customFormat="false" ht="15" hidden="false" customHeight="false" outlineLevel="0" collapsed="false">
      <c r="A172" s="0" t="s">
        <v>1460</v>
      </c>
      <c r="B172" s="0" t="s">
        <v>109</v>
      </c>
      <c r="C172" s="0" t="n">
        <v>2013</v>
      </c>
      <c r="D172" s="0" t="s">
        <v>71</v>
      </c>
      <c r="E172" s="0" t="n">
        <v>6</v>
      </c>
      <c r="F172" s="0" t="s">
        <v>1461</v>
      </c>
      <c r="G172" s="0" t="s">
        <v>1467</v>
      </c>
      <c r="H172" s="0" t="s">
        <v>1473</v>
      </c>
      <c r="I172" s="0" t="s">
        <v>1464</v>
      </c>
    </row>
    <row r="173" customFormat="false" ht="15" hidden="false" customHeight="false" outlineLevel="0" collapsed="false">
      <c r="A173" s="0" t="s">
        <v>1460</v>
      </c>
      <c r="B173" s="0" t="s">
        <v>109</v>
      </c>
      <c r="C173" s="0" t="n">
        <v>2013</v>
      </c>
      <c r="D173" s="0" t="s">
        <v>73</v>
      </c>
      <c r="E173" s="0" t="n">
        <v>6</v>
      </c>
      <c r="F173" s="0" t="s">
        <v>1461</v>
      </c>
      <c r="G173" s="0" t="s">
        <v>1467</v>
      </c>
      <c r="H173" s="0" t="s">
        <v>1473</v>
      </c>
      <c r="I173" s="0" t="s">
        <v>1466</v>
      </c>
    </row>
    <row r="174" customFormat="false" ht="15" hidden="false" customHeight="false" outlineLevel="0" collapsed="false">
      <c r="A174" s="0" t="s">
        <v>1460</v>
      </c>
      <c r="B174" s="0" t="s">
        <v>109</v>
      </c>
      <c r="C174" s="0" t="n">
        <v>2014</v>
      </c>
      <c r="D174" s="0" t="s">
        <v>58</v>
      </c>
      <c r="E174" s="0" t="n">
        <v>6</v>
      </c>
      <c r="F174" s="0" t="s">
        <v>1461</v>
      </c>
      <c r="G174" s="0" t="s">
        <v>1467</v>
      </c>
      <c r="H174" s="0" t="s">
        <v>1473</v>
      </c>
      <c r="I174" s="0" t="s">
        <v>1464</v>
      </c>
    </row>
    <row r="175" customFormat="false" ht="15" hidden="false" customHeight="false" outlineLevel="0" collapsed="false">
      <c r="A175" s="0" t="s">
        <v>1460</v>
      </c>
      <c r="B175" s="0" t="s">
        <v>109</v>
      </c>
      <c r="C175" s="0" t="n">
        <v>2014</v>
      </c>
      <c r="D175" s="0" t="s">
        <v>60</v>
      </c>
      <c r="E175" s="0" t="n">
        <v>6</v>
      </c>
      <c r="F175" s="0" t="s">
        <v>1461</v>
      </c>
      <c r="G175" s="0" t="s">
        <v>1467</v>
      </c>
      <c r="H175" s="0" t="s">
        <v>1473</v>
      </c>
      <c r="I175" s="0" t="s">
        <v>1464</v>
      </c>
    </row>
    <row r="176" customFormat="false" ht="15" hidden="false" customHeight="false" outlineLevel="0" collapsed="false">
      <c r="A176" s="0" t="s">
        <v>1460</v>
      </c>
      <c r="B176" s="0" t="s">
        <v>109</v>
      </c>
      <c r="C176" s="0" t="n">
        <v>2014</v>
      </c>
      <c r="D176" s="0" t="s">
        <v>62</v>
      </c>
      <c r="E176" s="0" t="n">
        <v>6</v>
      </c>
      <c r="F176" s="0" t="s">
        <v>1461</v>
      </c>
      <c r="G176" s="0" t="s">
        <v>1467</v>
      </c>
      <c r="H176" s="0" t="s">
        <v>1473</v>
      </c>
      <c r="I176" s="0" t="s">
        <v>1464</v>
      </c>
    </row>
    <row r="177" customFormat="false" ht="15" hidden="false" customHeight="false" outlineLevel="0" collapsed="false">
      <c r="A177" s="0" t="s">
        <v>1460</v>
      </c>
      <c r="B177" s="0" t="s">
        <v>109</v>
      </c>
      <c r="C177" s="0" t="n">
        <v>2014</v>
      </c>
      <c r="D177" s="0" t="s">
        <v>61</v>
      </c>
      <c r="E177" s="0" t="n">
        <v>6</v>
      </c>
      <c r="F177" s="0" t="s">
        <v>1461</v>
      </c>
      <c r="G177" s="0" t="s">
        <v>1467</v>
      </c>
      <c r="H177" s="0" t="s">
        <v>1473</v>
      </c>
      <c r="I177" s="0" t="s">
        <v>1464</v>
      </c>
    </row>
    <row r="178" customFormat="false" ht="15" hidden="false" customHeight="false" outlineLevel="0" collapsed="false">
      <c r="A178" s="0" t="s">
        <v>1460</v>
      </c>
      <c r="B178" s="0" t="s">
        <v>109</v>
      </c>
      <c r="C178" s="0" t="n">
        <v>2014</v>
      </c>
      <c r="D178" s="0" t="s">
        <v>63</v>
      </c>
      <c r="E178" s="0" t="n">
        <v>6</v>
      </c>
      <c r="F178" s="0" t="s">
        <v>1461</v>
      </c>
      <c r="G178" s="0" t="s">
        <v>1467</v>
      </c>
      <c r="H178" s="0" t="s">
        <v>1473</v>
      </c>
      <c r="I178" s="0" t="s">
        <v>1464</v>
      </c>
    </row>
    <row r="179" customFormat="false" ht="15" hidden="false" customHeight="false" outlineLevel="0" collapsed="false">
      <c r="A179" s="0" t="s">
        <v>1460</v>
      </c>
      <c r="B179" s="0" t="s">
        <v>109</v>
      </c>
      <c r="C179" s="0" t="n">
        <v>2014</v>
      </c>
      <c r="D179" s="0" t="s">
        <v>69</v>
      </c>
      <c r="E179" s="0" t="n">
        <v>6</v>
      </c>
      <c r="F179" s="0" t="s">
        <v>1461</v>
      </c>
      <c r="G179" s="0" t="s">
        <v>1467</v>
      </c>
      <c r="H179" s="0" t="s">
        <v>1473</v>
      </c>
      <c r="I179" s="0" t="s">
        <v>1464</v>
      </c>
    </row>
    <row r="180" customFormat="false" ht="15" hidden="false" customHeight="false" outlineLevel="0" collapsed="false">
      <c r="A180" s="0" t="s">
        <v>1460</v>
      </c>
      <c r="B180" s="0" t="s">
        <v>109</v>
      </c>
      <c r="C180" s="0" t="n">
        <v>2014</v>
      </c>
      <c r="D180" s="0" t="s">
        <v>65</v>
      </c>
      <c r="E180" s="0" t="n">
        <v>6</v>
      </c>
      <c r="F180" s="0" t="s">
        <v>1461</v>
      </c>
      <c r="G180" s="0" t="s">
        <v>1467</v>
      </c>
      <c r="H180" s="0" t="s">
        <v>1473</v>
      </c>
      <c r="I180" s="0" t="s">
        <v>1464</v>
      </c>
    </row>
    <row r="181" customFormat="false" ht="15" hidden="false" customHeight="false" outlineLevel="0" collapsed="false">
      <c r="A181" s="0" t="s">
        <v>1460</v>
      </c>
      <c r="B181" s="0" t="s">
        <v>109</v>
      </c>
      <c r="C181" s="0" t="n">
        <v>2014</v>
      </c>
      <c r="D181" s="0" t="s">
        <v>66</v>
      </c>
      <c r="E181" s="0" t="n">
        <v>6</v>
      </c>
      <c r="F181" s="0" t="s">
        <v>1461</v>
      </c>
      <c r="G181" s="0" t="s">
        <v>1467</v>
      </c>
      <c r="H181" s="0" t="s">
        <v>1473</v>
      </c>
      <c r="I181" s="0" t="s">
        <v>1464</v>
      </c>
    </row>
    <row r="182" customFormat="false" ht="15" hidden="false" customHeight="false" outlineLevel="0" collapsed="false">
      <c r="A182" s="0" t="s">
        <v>1460</v>
      </c>
      <c r="B182" s="0" t="s">
        <v>109</v>
      </c>
      <c r="C182" s="0" t="n">
        <v>2014</v>
      </c>
      <c r="D182" s="0" t="s">
        <v>70</v>
      </c>
      <c r="E182" s="0" t="n">
        <v>6</v>
      </c>
      <c r="F182" s="0" t="s">
        <v>1461</v>
      </c>
      <c r="G182" s="0" t="s">
        <v>1467</v>
      </c>
      <c r="H182" s="0" t="s">
        <v>1473</v>
      </c>
      <c r="I182" s="0" t="s">
        <v>1464</v>
      </c>
    </row>
    <row r="183" customFormat="false" ht="15" hidden="false" customHeight="false" outlineLevel="0" collapsed="false">
      <c r="A183" s="0" t="s">
        <v>1460</v>
      </c>
      <c r="B183" s="0" t="s">
        <v>109</v>
      </c>
      <c r="C183" s="0" t="n">
        <v>2014</v>
      </c>
      <c r="D183" s="0" t="s">
        <v>71</v>
      </c>
      <c r="E183" s="0" t="n">
        <v>6</v>
      </c>
      <c r="F183" s="0" t="s">
        <v>1461</v>
      </c>
      <c r="G183" s="0" t="s">
        <v>1467</v>
      </c>
      <c r="H183" s="0" t="s">
        <v>1473</v>
      </c>
      <c r="I183" s="0" t="s">
        <v>1464</v>
      </c>
    </row>
    <row r="184" customFormat="false" ht="15" hidden="false" customHeight="false" outlineLevel="0" collapsed="false">
      <c r="A184" s="0" t="s">
        <v>1460</v>
      </c>
      <c r="B184" s="0" t="s">
        <v>109</v>
      </c>
      <c r="C184" s="0" t="n">
        <v>2014</v>
      </c>
      <c r="D184" s="0" t="s">
        <v>73</v>
      </c>
      <c r="E184" s="0" t="n">
        <v>6</v>
      </c>
      <c r="F184" s="0" t="s">
        <v>1461</v>
      </c>
      <c r="G184" s="0" t="s">
        <v>1467</v>
      </c>
      <c r="H184" s="0" t="s">
        <v>1473</v>
      </c>
      <c r="I184" s="0" t="s">
        <v>1466</v>
      </c>
    </row>
    <row r="185" customFormat="false" ht="15" hidden="false" customHeight="false" outlineLevel="0" collapsed="false">
      <c r="A185" s="0" t="s">
        <v>1460</v>
      </c>
      <c r="B185" s="0" t="s">
        <v>126</v>
      </c>
      <c r="C185" s="0" t="n">
        <v>2013</v>
      </c>
      <c r="D185" s="0" t="s">
        <v>59</v>
      </c>
      <c r="E185" s="0" t="n">
        <v>6</v>
      </c>
      <c r="F185" s="0" t="s">
        <v>1461</v>
      </c>
      <c r="G185" s="0" t="s">
        <v>1467</v>
      </c>
      <c r="H185" s="0" t="s">
        <v>1474</v>
      </c>
      <c r="I185" s="0" t="s">
        <v>1465</v>
      </c>
    </row>
    <row r="186" customFormat="false" ht="15" hidden="false" customHeight="false" outlineLevel="0" collapsed="false">
      <c r="A186" s="0" t="s">
        <v>1460</v>
      </c>
      <c r="B186" s="0" t="s">
        <v>126</v>
      </c>
      <c r="C186" s="0" t="n">
        <v>2013</v>
      </c>
      <c r="D186" s="0" t="s">
        <v>62</v>
      </c>
      <c r="E186" s="0" t="n">
        <v>6</v>
      </c>
      <c r="F186" s="0" t="s">
        <v>1461</v>
      </c>
      <c r="G186" s="0" t="s">
        <v>1467</v>
      </c>
      <c r="H186" s="0" t="s">
        <v>1474</v>
      </c>
      <c r="I186" s="0" t="s">
        <v>1464</v>
      </c>
    </row>
    <row r="187" customFormat="false" ht="15" hidden="false" customHeight="false" outlineLevel="0" collapsed="false">
      <c r="A187" s="0" t="s">
        <v>1460</v>
      </c>
      <c r="B187" s="0" t="s">
        <v>126</v>
      </c>
      <c r="C187" s="0" t="n">
        <v>2013</v>
      </c>
      <c r="D187" s="0" t="s">
        <v>247</v>
      </c>
      <c r="E187" s="0" t="n">
        <v>6</v>
      </c>
      <c r="F187" s="0" t="s">
        <v>1461</v>
      </c>
      <c r="G187" s="0" t="s">
        <v>1467</v>
      </c>
      <c r="H187" s="0" t="s">
        <v>1474</v>
      </c>
      <c r="I187" s="0" t="s">
        <v>1464</v>
      </c>
    </row>
    <row r="188" customFormat="false" ht="15" hidden="false" customHeight="false" outlineLevel="0" collapsed="false">
      <c r="A188" s="0" t="s">
        <v>1460</v>
      </c>
      <c r="B188" s="0" t="s">
        <v>126</v>
      </c>
      <c r="C188" s="0" t="n">
        <v>2013</v>
      </c>
      <c r="D188" s="0" t="s">
        <v>64</v>
      </c>
      <c r="E188" s="0" t="n">
        <v>6</v>
      </c>
      <c r="F188" s="0" t="s">
        <v>1461</v>
      </c>
      <c r="G188" s="0" t="s">
        <v>1467</v>
      </c>
      <c r="H188" s="0" t="s">
        <v>1474</v>
      </c>
      <c r="I188" s="0" t="s">
        <v>1464</v>
      </c>
    </row>
    <row r="189" customFormat="false" ht="15" hidden="false" customHeight="false" outlineLevel="0" collapsed="false">
      <c r="A189" s="0" t="s">
        <v>1460</v>
      </c>
      <c r="B189" s="0" t="s">
        <v>126</v>
      </c>
      <c r="C189" s="0" t="n">
        <v>2013</v>
      </c>
      <c r="D189" s="0" t="s">
        <v>65</v>
      </c>
      <c r="E189" s="0" t="n">
        <v>6</v>
      </c>
      <c r="F189" s="0" t="s">
        <v>1461</v>
      </c>
      <c r="G189" s="0" t="s">
        <v>1467</v>
      </c>
      <c r="H189" s="0" t="s">
        <v>1474</v>
      </c>
      <c r="I189" s="0" t="s">
        <v>1464</v>
      </c>
    </row>
    <row r="190" customFormat="false" ht="15" hidden="false" customHeight="false" outlineLevel="0" collapsed="false">
      <c r="A190" s="0" t="s">
        <v>1460</v>
      </c>
      <c r="B190" s="0" t="s">
        <v>126</v>
      </c>
      <c r="C190" s="0" t="n">
        <v>2013</v>
      </c>
      <c r="D190" s="0" t="s">
        <v>66</v>
      </c>
      <c r="E190" s="0" t="n">
        <v>6</v>
      </c>
      <c r="F190" s="0" t="s">
        <v>1461</v>
      </c>
      <c r="G190" s="0" t="s">
        <v>1467</v>
      </c>
      <c r="H190" s="0" t="s">
        <v>1474</v>
      </c>
      <c r="I190" s="0" t="s">
        <v>1464</v>
      </c>
    </row>
    <row r="191" customFormat="false" ht="15" hidden="false" customHeight="false" outlineLevel="0" collapsed="false">
      <c r="A191" s="0" t="s">
        <v>1460</v>
      </c>
      <c r="B191" s="0" t="s">
        <v>126</v>
      </c>
      <c r="C191" s="0" t="n">
        <v>2013</v>
      </c>
      <c r="D191" s="0" t="s">
        <v>70</v>
      </c>
      <c r="E191" s="0" t="n">
        <v>6</v>
      </c>
      <c r="F191" s="0" t="s">
        <v>1461</v>
      </c>
      <c r="G191" s="0" t="s">
        <v>1467</v>
      </c>
      <c r="H191" s="0" t="s">
        <v>1474</v>
      </c>
      <c r="I191" s="0" t="s">
        <v>1464</v>
      </c>
    </row>
    <row r="192" customFormat="false" ht="15" hidden="false" customHeight="false" outlineLevel="0" collapsed="false">
      <c r="A192" s="0" t="s">
        <v>1460</v>
      </c>
      <c r="B192" s="0" t="s">
        <v>126</v>
      </c>
      <c r="C192" s="0" t="n">
        <v>2013</v>
      </c>
      <c r="D192" s="0" t="s">
        <v>71</v>
      </c>
      <c r="E192" s="0" t="n">
        <v>6</v>
      </c>
      <c r="F192" s="0" t="s">
        <v>1461</v>
      </c>
      <c r="G192" s="0" t="s">
        <v>1467</v>
      </c>
      <c r="H192" s="0" t="s">
        <v>1474</v>
      </c>
      <c r="I192" s="0" t="s">
        <v>1464</v>
      </c>
    </row>
    <row r="193" customFormat="false" ht="15" hidden="false" customHeight="false" outlineLevel="0" collapsed="false">
      <c r="A193" s="0" t="s">
        <v>1460</v>
      </c>
      <c r="B193" s="0" t="s">
        <v>126</v>
      </c>
      <c r="C193" s="0" t="n">
        <v>2013</v>
      </c>
      <c r="D193" s="0" t="s">
        <v>73</v>
      </c>
      <c r="E193" s="0" t="n">
        <v>6</v>
      </c>
      <c r="F193" s="0" t="s">
        <v>1461</v>
      </c>
      <c r="G193" s="0" t="s">
        <v>1467</v>
      </c>
      <c r="H193" s="0" t="s">
        <v>1474</v>
      </c>
      <c r="I193" s="0" t="s">
        <v>1466</v>
      </c>
    </row>
    <row r="194" customFormat="false" ht="15" hidden="false" customHeight="false" outlineLevel="0" collapsed="false">
      <c r="A194" s="0" t="s">
        <v>1460</v>
      </c>
      <c r="B194" s="0" t="s">
        <v>126</v>
      </c>
      <c r="C194" s="0" t="n">
        <v>2014</v>
      </c>
      <c r="D194" s="0" t="s">
        <v>62</v>
      </c>
      <c r="E194" s="0" t="n">
        <v>6</v>
      </c>
      <c r="F194" s="0" t="s">
        <v>1461</v>
      </c>
      <c r="G194" s="0" t="s">
        <v>1467</v>
      </c>
      <c r="H194" s="0" t="s">
        <v>1474</v>
      </c>
      <c r="I194" s="0" t="s">
        <v>1464</v>
      </c>
    </row>
    <row r="195" customFormat="false" ht="15" hidden="false" customHeight="false" outlineLevel="0" collapsed="false">
      <c r="A195" s="0" t="s">
        <v>1460</v>
      </c>
      <c r="B195" s="0" t="s">
        <v>126</v>
      </c>
      <c r="C195" s="0" t="n">
        <v>2014</v>
      </c>
      <c r="D195" s="0" t="s">
        <v>247</v>
      </c>
      <c r="E195" s="0" t="n">
        <v>6</v>
      </c>
      <c r="F195" s="0" t="s">
        <v>1461</v>
      </c>
      <c r="G195" s="0" t="s">
        <v>1467</v>
      </c>
      <c r="H195" s="0" t="s">
        <v>1474</v>
      </c>
      <c r="I195" s="0" t="s">
        <v>1464</v>
      </c>
    </row>
    <row r="196" customFormat="false" ht="15" hidden="false" customHeight="false" outlineLevel="0" collapsed="false">
      <c r="A196" s="0" t="s">
        <v>1460</v>
      </c>
      <c r="B196" s="0" t="s">
        <v>126</v>
      </c>
      <c r="C196" s="0" t="n">
        <v>2014</v>
      </c>
      <c r="D196" s="0" t="s">
        <v>64</v>
      </c>
      <c r="E196" s="0" t="n">
        <v>6</v>
      </c>
      <c r="F196" s="0" t="s">
        <v>1461</v>
      </c>
      <c r="G196" s="0" t="s">
        <v>1467</v>
      </c>
      <c r="H196" s="0" t="s">
        <v>1474</v>
      </c>
      <c r="I196" s="0" t="s">
        <v>1464</v>
      </c>
    </row>
    <row r="197" customFormat="false" ht="15" hidden="false" customHeight="false" outlineLevel="0" collapsed="false">
      <c r="A197" s="0" t="s">
        <v>1460</v>
      </c>
      <c r="B197" s="0" t="s">
        <v>126</v>
      </c>
      <c r="C197" s="0" t="n">
        <v>2014</v>
      </c>
      <c r="D197" s="0" t="s">
        <v>65</v>
      </c>
      <c r="E197" s="0" t="n">
        <v>6</v>
      </c>
      <c r="F197" s="0" t="s">
        <v>1461</v>
      </c>
      <c r="G197" s="0" t="s">
        <v>1467</v>
      </c>
      <c r="H197" s="0" t="s">
        <v>1474</v>
      </c>
      <c r="I197" s="0" t="s">
        <v>1464</v>
      </c>
    </row>
    <row r="198" customFormat="false" ht="15" hidden="false" customHeight="false" outlineLevel="0" collapsed="false">
      <c r="A198" s="0" t="s">
        <v>1460</v>
      </c>
      <c r="B198" s="0" t="s">
        <v>126</v>
      </c>
      <c r="C198" s="0" t="n">
        <v>2014</v>
      </c>
      <c r="D198" s="0" t="s">
        <v>66</v>
      </c>
      <c r="E198" s="0" t="n">
        <v>6</v>
      </c>
      <c r="F198" s="0" t="s">
        <v>1461</v>
      </c>
      <c r="G198" s="0" t="s">
        <v>1467</v>
      </c>
      <c r="H198" s="0" t="s">
        <v>1474</v>
      </c>
      <c r="I198" s="0" t="s">
        <v>1464</v>
      </c>
    </row>
    <row r="199" customFormat="false" ht="15" hidden="false" customHeight="false" outlineLevel="0" collapsed="false">
      <c r="A199" s="0" t="s">
        <v>1460</v>
      </c>
      <c r="B199" s="0" t="s">
        <v>126</v>
      </c>
      <c r="C199" s="0" t="n">
        <v>2014</v>
      </c>
      <c r="D199" s="0" t="s">
        <v>70</v>
      </c>
      <c r="E199" s="0" t="n">
        <v>6</v>
      </c>
      <c r="F199" s="0" t="s">
        <v>1461</v>
      </c>
      <c r="G199" s="0" t="s">
        <v>1467</v>
      </c>
      <c r="H199" s="0" t="s">
        <v>1474</v>
      </c>
      <c r="I199" s="0" t="s">
        <v>1464</v>
      </c>
    </row>
    <row r="200" customFormat="false" ht="15" hidden="false" customHeight="false" outlineLevel="0" collapsed="false">
      <c r="A200" s="0" t="s">
        <v>1460</v>
      </c>
      <c r="B200" s="0" t="s">
        <v>126</v>
      </c>
      <c r="C200" s="0" t="n">
        <v>2018</v>
      </c>
      <c r="D200" s="0" t="s">
        <v>59</v>
      </c>
      <c r="E200" s="0" t="n">
        <v>6</v>
      </c>
      <c r="F200" s="0" t="s">
        <v>1461</v>
      </c>
      <c r="G200" s="0" t="s">
        <v>1467</v>
      </c>
      <c r="H200" s="0" t="s">
        <v>1475</v>
      </c>
      <c r="I200" s="0" t="s">
        <v>1465</v>
      </c>
    </row>
    <row r="201" customFormat="false" ht="15" hidden="false" customHeight="false" outlineLevel="0" collapsed="false">
      <c r="A201" s="0" t="s">
        <v>1460</v>
      </c>
      <c r="B201" s="0" t="s">
        <v>126</v>
      </c>
      <c r="C201" s="0" t="n">
        <v>2018</v>
      </c>
      <c r="D201" s="0" t="s">
        <v>62</v>
      </c>
      <c r="E201" s="0" t="n">
        <v>6</v>
      </c>
      <c r="F201" s="0" t="s">
        <v>1461</v>
      </c>
      <c r="G201" s="0" t="s">
        <v>1467</v>
      </c>
      <c r="H201" s="0" t="s">
        <v>1475</v>
      </c>
      <c r="I201" s="0" t="s">
        <v>1464</v>
      </c>
    </row>
    <row r="202" customFormat="false" ht="15" hidden="false" customHeight="false" outlineLevel="0" collapsed="false">
      <c r="A202" s="0" t="s">
        <v>1460</v>
      </c>
      <c r="B202" s="0" t="s">
        <v>126</v>
      </c>
      <c r="C202" s="0" t="n">
        <v>2018</v>
      </c>
      <c r="D202" s="0" t="s">
        <v>247</v>
      </c>
      <c r="E202" s="0" t="n">
        <v>6</v>
      </c>
      <c r="F202" s="0" t="s">
        <v>1461</v>
      </c>
      <c r="G202" s="0" t="s">
        <v>1467</v>
      </c>
      <c r="H202" s="0" t="s">
        <v>1475</v>
      </c>
      <c r="I202" s="0" t="s">
        <v>1464</v>
      </c>
    </row>
    <row r="203" customFormat="false" ht="15" hidden="false" customHeight="false" outlineLevel="0" collapsed="false">
      <c r="A203" s="0" t="s">
        <v>1460</v>
      </c>
      <c r="B203" s="0" t="s">
        <v>126</v>
      </c>
      <c r="C203" s="0" t="n">
        <v>2018</v>
      </c>
      <c r="D203" s="0" t="s">
        <v>64</v>
      </c>
      <c r="E203" s="0" t="n">
        <v>6</v>
      </c>
      <c r="F203" s="0" t="s">
        <v>1461</v>
      </c>
      <c r="G203" s="0" t="s">
        <v>1467</v>
      </c>
      <c r="H203" s="0" t="s">
        <v>1475</v>
      </c>
      <c r="I203" s="0" t="s">
        <v>1464</v>
      </c>
    </row>
    <row r="204" customFormat="false" ht="15" hidden="false" customHeight="false" outlineLevel="0" collapsed="false">
      <c r="A204" s="0" t="s">
        <v>1460</v>
      </c>
      <c r="B204" s="0" t="s">
        <v>126</v>
      </c>
      <c r="C204" s="0" t="n">
        <v>2018</v>
      </c>
      <c r="D204" s="0" t="s">
        <v>65</v>
      </c>
      <c r="E204" s="0" t="n">
        <v>6</v>
      </c>
      <c r="F204" s="0" t="s">
        <v>1461</v>
      </c>
      <c r="G204" s="0" t="s">
        <v>1467</v>
      </c>
      <c r="H204" s="0" t="s">
        <v>1475</v>
      </c>
      <c r="I204" s="0" t="s">
        <v>1464</v>
      </c>
    </row>
    <row r="205" customFormat="false" ht="15" hidden="false" customHeight="false" outlineLevel="0" collapsed="false">
      <c r="A205" s="0" t="s">
        <v>1460</v>
      </c>
      <c r="B205" s="0" t="s">
        <v>126</v>
      </c>
      <c r="C205" s="0" t="n">
        <v>2018</v>
      </c>
      <c r="D205" s="0" t="s">
        <v>66</v>
      </c>
      <c r="E205" s="0" t="n">
        <v>6</v>
      </c>
      <c r="F205" s="0" t="s">
        <v>1461</v>
      </c>
      <c r="G205" s="0" t="s">
        <v>1467</v>
      </c>
      <c r="H205" s="0" t="s">
        <v>1475</v>
      </c>
      <c r="I205" s="0" t="s">
        <v>1464</v>
      </c>
    </row>
    <row r="206" customFormat="false" ht="15" hidden="false" customHeight="false" outlineLevel="0" collapsed="false">
      <c r="A206" s="0" t="s">
        <v>1460</v>
      </c>
      <c r="B206" s="0" t="s">
        <v>126</v>
      </c>
      <c r="C206" s="0" t="n">
        <v>2018</v>
      </c>
      <c r="D206" s="0" t="s">
        <v>71</v>
      </c>
      <c r="E206" s="0" t="n">
        <v>6</v>
      </c>
      <c r="F206" s="0" t="s">
        <v>1461</v>
      </c>
      <c r="G206" s="0" t="s">
        <v>1467</v>
      </c>
      <c r="H206" s="0" t="s">
        <v>1475</v>
      </c>
      <c r="I206" s="0" t="s">
        <v>1464</v>
      </c>
    </row>
    <row r="207" customFormat="false" ht="15" hidden="false" customHeight="false" outlineLevel="0" collapsed="false">
      <c r="A207" s="0" t="s">
        <v>1460</v>
      </c>
      <c r="B207" s="0" t="s">
        <v>126</v>
      </c>
      <c r="C207" s="0" t="n">
        <v>2018</v>
      </c>
      <c r="D207" s="0" t="s">
        <v>73</v>
      </c>
      <c r="E207" s="0" t="n">
        <v>6</v>
      </c>
      <c r="F207" s="0" t="s">
        <v>1461</v>
      </c>
      <c r="G207" s="0" t="s">
        <v>1467</v>
      </c>
      <c r="H207" s="0" t="s">
        <v>1475</v>
      </c>
      <c r="I207" s="0" t="s">
        <v>1466</v>
      </c>
    </row>
    <row r="208" customFormat="false" ht="15" hidden="false" customHeight="false" outlineLevel="0" collapsed="false">
      <c r="A208" s="0" t="s">
        <v>1460</v>
      </c>
      <c r="B208" s="0" t="s">
        <v>126</v>
      </c>
      <c r="C208" s="0" t="n">
        <v>2018</v>
      </c>
      <c r="D208" s="0" t="s">
        <v>67</v>
      </c>
      <c r="E208" s="0" t="n">
        <v>6</v>
      </c>
      <c r="F208" s="0" t="s">
        <v>1461</v>
      </c>
      <c r="G208" s="0" t="s">
        <v>1467</v>
      </c>
      <c r="H208" s="0" t="s">
        <v>1475</v>
      </c>
      <c r="I208" s="0" t="s">
        <v>1471</v>
      </c>
    </row>
    <row r="209" customFormat="false" ht="15" hidden="false" customHeight="false" outlineLevel="0" collapsed="false">
      <c r="A209" s="0" t="s">
        <v>1460</v>
      </c>
      <c r="B209" s="0" t="s">
        <v>126</v>
      </c>
      <c r="C209" s="0" t="n">
        <v>2018</v>
      </c>
      <c r="D209" s="0" t="s">
        <v>68</v>
      </c>
      <c r="E209" s="0" t="n">
        <v>6</v>
      </c>
      <c r="F209" s="0" t="s">
        <v>1461</v>
      </c>
      <c r="G209" s="0" t="s">
        <v>1467</v>
      </c>
      <c r="H209" s="0" t="s">
        <v>1475</v>
      </c>
      <c r="I209" s="0" t="s">
        <v>1471</v>
      </c>
    </row>
    <row r="210" customFormat="false" ht="15" hidden="false" customHeight="false" outlineLevel="0" collapsed="false">
      <c r="A210" s="0" t="s">
        <v>1460</v>
      </c>
      <c r="B210" s="0" t="s">
        <v>126</v>
      </c>
      <c r="C210" s="0" t="n">
        <v>2019</v>
      </c>
      <c r="D210" s="0" t="s">
        <v>62</v>
      </c>
      <c r="E210" s="0" t="n">
        <v>6</v>
      </c>
      <c r="F210" s="0" t="s">
        <v>1461</v>
      </c>
      <c r="G210" s="0" t="s">
        <v>1467</v>
      </c>
      <c r="H210" s="0" t="s">
        <v>1475</v>
      </c>
      <c r="I210" s="0" t="s">
        <v>1464</v>
      </c>
    </row>
    <row r="211" customFormat="false" ht="15" hidden="false" customHeight="false" outlineLevel="0" collapsed="false">
      <c r="A211" s="0" t="s">
        <v>1460</v>
      </c>
      <c r="B211" s="0" t="s">
        <v>126</v>
      </c>
      <c r="C211" s="0" t="n">
        <v>2019</v>
      </c>
      <c r="D211" s="0" t="s">
        <v>247</v>
      </c>
      <c r="E211" s="0" t="n">
        <v>6</v>
      </c>
      <c r="F211" s="0" t="s">
        <v>1461</v>
      </c>
      <c r="G211" s="0" t="s">
        <v>1467</v>
      </c>
      <c r="H211" s="0" t="s">
        <v>1475</v>
      </c>
      <c r="I211" s="0" t="s">
        <v>1464</v>
      </c>
    </row>
    <row r="212" customFormat="false" ht="15" hidden="false" customHeight="false" outlineLevel="0" collapsed="false">
      <c r="A212" s="0" t="s">
        <v>1460</v>
      </c>
      <c r="B212" s="0" t="s">
        <v>126</v>
      </c>
      <c r="C212" s="0" t="n">
        <v>2019</v>
      </c>
      <c r="D212" s="0" t="s">
        <v>64</v>
      </c>
      <c r="E212" s="0" t="n">
        <v>6</v>
      </c>
      <c r="F212" s="0" t="s">
        <v>1461</v>
      </c>
      <c r="G212" s="0" t="s">
        <v>1467</v>
      </c>
      <c r="H212" s="0" t="s">
        <v>1475</v>
      </c>
      <c r="I212" s="0" t="s">
        <v>1464</v>
      </c>
    </row>
    <row r="213" customFormat="false" ht="15" hidden="false" customHeight="false" outlineLevel="0" collapsed="false">
      <c r="A213" s="0" t="s">
        <v>1460</v>
      </c>
      <c r="B213" s="0" t="s">
        <v>126</v>
      </c>
      <c r="C213" s="0" t="n">
        <v>2019</v>
      </c>
      <c r="D213" s="0" t="s">
        <v>65</v>
      </c>
      <c r="E213" s="0" t="n">
        <v>6</v>
      </c>
      <c r="F213" s="0" t="s">
        <v>1461</v>
      </c>
      <c r="G213" s="0" t="s">
        <v>1467</v>
      </c>
      <c r="H213" s="0" t="s">
        <v>1475</v>
      </c>
      <c r="I213" s="0" t="s">
        <v>1464</v>
      </c>
    </row>
    <row r="214" customFormat="false" ht="15" hidden="false" customHeight="false" outlineLevel="0" collapsed="false">
      <c r="A214" s="0" t="s">
        <v>1460</v>
      </c>
      <c r="B214" s="0" t="s">
        <v>126</v>
      </c>
      <c r="C214" s="0" t="n">
        <v>2019</v>
      </c>
      <c r="D214" s="0" t="s">
        <v>66</v>
      </c>
      <c r="E214" s="0" t="n">
        <v>6</v>
      </c>
      <c r="F214" s="0" t="s">
        <v>1461</v>
      </c>
      <c r="G214" s="0" t="s">
        <v>1467</v>
      </c>
      <c r="H214" s="0" t="s">
        <v>1475</v>
      </c>
      <c r="I214" s="0" t="s">
        <v>1464</v>
      </c>
    </row>
    <row r="215" customFormat="false" ht="15" hidden="false" customHeight="false" outlineLevel="0" collapsed="false">
      <c r="A215" s="0" t="s">
        <v>1460</v>
      </c>
      <c r="B215" s="0" t="s">
        <v>126</v>
      </c>
      <c r="C215" s="0" t="n">
        <v>2019</v>
      </c>
      <c r="D215" s="0" t="s">
        <v>71</v>
      </c>
      <c r="E215" s="0" t="n">
        <v>6</v>
      </c>
      <c r="F215" s="0" t="s">
        <v>1461</v>
      </c>
      <c r="G215" s="0" t="s">
        <v>1467</v>
      </c>
      <c r="H215" s="0" t="s">
        <v>1475</v>
      </c>
      <c r="I215" s="0" t="s">
        <v>1464</v>
      </c>
    </row>
    <row r="216" customFormat="false" ht="15" hidden="false" customHeight="false" outlineLevel="0" collapsed="false">
      <c r="A216" s="0" t="s">
        <v>1460</v>
      </c>
      <c r="B216" s="0" t="s">
        <v>126</v>
      </c>
      <c r="C216" s="0" t="n">
        <v>2019</v>
      </c>
      <c r="D216" s="0" t="s">
        <v>67</v>
      </c>
      <c r="E216" s="0" t="n">
        <v>6</v>
      </c>
      <c r="F216" s="0" t="s">
        <v>1461</v>
      </c>
      <c r="G216" s="0" t="s">
        <v>1467</v>
      </c>
      <c r="H216" s="0" t="s">
        <v>1475</v>
      </c>
      <c r="I216" s="0" t="s">
        <v>1471</v>
      </c>
    </row>
    <row r="217" customFormat="false" ht="15" hidden="false" customHeight="false" outlineLevel="0" collapsed="false">
      <c r="A217" s="0" t="s">
        <v>1460</v>
      </c>
      <c r="B217" s="0" t="s">
        <v>126</v>
      </c>
      <c r="C217" s="0" t="n">
        <v>2019</v>
      </c>
      <c r="D217" s="0" t="s">
        <v>68</v>
      </c>
      <c r="E217" s="0" t="n">
        <v>6</v>
      </c>
      <c r="F217" s="0" t="s">
        <v>1461</v>
      </c>
      <c r="G217" s="0" t="s">
        <v>1467</v>
      </c>
      <c r="H217" s="0" t="s">
        <v>1475</v>
      </c>
      <c r="I217" s="0" t="s">
        <v>1471</v>
      </c>
    </row>
    <row r="218" customFormat="false" ht="15" hidden="false" customHeight="false" outlineLevel="0" collapsed="false">
      <c r="A218" s="0" t="s">
        <v>1460</v>
      </c>
      <c r="B218" s="0" t="s">
        <v>129</v>
      </c>
      <c r="C218" s="0" t="n">
        <v>2013</v>
      </c>
      <c r="D218" s="0" t="s">
        <v>59</v>
      </c>
      <c r="E218" s="0" t="n">
        <v>6</v>
      </c>
      <c r="F218" s="0" t="s">
        <v>1461</v>
      </c>
      <c r="G218" s="0" t="s">
        <v>1467</v>
      </c>
      <c r="H218" s="0" t="s">
        <v>1476</v>
      </c>
      <c r="I218" s="0" t="s">
        <v>1465</v>
      </c>
    </row>
    <row r="219" customFormat="false" ht="15" hidden="false" customHeight="false" outlineLevel="0" collapsed="false">
      <c r="A219" s="0" t="s">
        <v>1460</v>
      </c>
      <c r="B219" s="0" t="s">
        <v>129</v>
      </c>
      <c r="C219" s="0" t="n">
        <v>2013</v>
      </c>
      <c r="D219" s="0" t="s">
        <v>62</v>
      </c>
      <c r="E219" s="0" t="n">
        <v>6</v>
      </c>
      <c r="F219" s="0" t="s">
        <v>1461</v>
      </c>
      <c r="G219" s="0" t="s">
        <v>1467</v>
      </c>
      <c r="H219" s="0" t="s">
        <v>1476</v>
      </c>
      <c r="I219" s="0" t="s">
        <v>1464</v>
      </c>
    </row>
    <row r="220" customFormat="false" ht="15" hidden="false" customHeight="false" outlineLevel="0" collapsed="false">
      <c r="A220" s="0" t="s">
        <v>1460</v>
      </c>
      <c r="B220" s="0" t="s">
        <v>129</v>
      </c>
      <c r="C220" s="0" t="n">
        <v>2013</v>
      </c>
      <c r="D220" s="0" t="s">
        <v>247</v>
      </c>
      <c r="E220" s="0" t="n">
        <v>6</v>
      </c>
      <c r="F220" s="0" t="s">
        <v>1461</v>
      </c>
      <c r="G220" s="0" t="s">
        <v>1467</v>
      </c>
      <c r="H220" s="0" t="s">
        <v>1476</v>
      </c>
      <c r="I220" s="0" t="s">
        <v>1464</v>
      </c>
    </row>
    <row r="221" customFormat="false" ht="15" hidden="false" customHeight="false" outlineLevel="0" collapsed="false">
      <c r="A221" s="0" t="s">
        <v>1460</v>
      </c>
      <c r="B221" s="0" t="s">
        <v>129</v>
      </c>
      <c r="C221" s="0" t="n">
        <v>2013</v>
      </c>
      <c r="D221" s="0" t="s">
        <v>64</v>
      </c>
      <c r="E221" s="0" t="n">
        <v>6</v>
      </c>
      <c r="F221" s="0" t="s">
        <v>1461</v>
      </c>
      <c r="G221" s="0" t="s">
        <v>1467</v>
      </c>
      <c r="H221" s="0" t="s">
        <v>1476</v>
      </c>
      <c r="I221" s="0" t="s">
        <v>1464</v>
      </c>
    </row>
    <row r="222" customFormat="false" ht="15" hidden="false" customHeight="false" outlineLevel="0" collapsed="false">
      <c r="A222" s="0" t="s">
        <v>1460</v>
      </c>
      <c r="B222" s="0" t="s">
        <v>129</v>
      </c>
      <c r="C222" s="0" t="n">
        <v>2013</v>
      </c>
      <c r="D222" s="0" t="s">
        <v>65</v>
      </c>
      <c r="E222" s="0" t="n">
        <v>6</v>
      </c>
      <c r="F222" s="0" t="s">
        <v>1461</v>
      </c>
      <c r="G222" s="0" t="s">
        <v>1467</v>
      </c>
      <c r="H222" s="0" t="s">
        <v>1476</v>
      </c>
      <c r="I222" s="0" t="s">
        <v>1464</v>
      </c>
    </row>
    <row r="223" customFormat="false" ht="15" hidden="false" customHeight="false" outlineLevel="0" collapsed="false">
      <c r="A223" s="0" t="s">
        <v>1460</v>
      </c>
      <c r="B223" s="0" t="s">
        <v>129</v>
      </c>
      <c r="C223" s="0" t="n">
        <v>2013</v>
      </c>
      <c r="D223" s="0" t="s">
        <v>66</v>
      </c>
      <c r="E223" s="0" t="n">
        <v>6</v>
      </c>
      <c r="F223" s="0" t="s">
        <v>1461</v>
      </c>
      <c r="G223" s="0" t="s">
        <v>1467</v>
      </c>
      <c r="H223" s="0" t="s">
        <v>1476</v>
      </c>
      <c r="I223" s="0" t="s">
        <v>1464</v>
      </c>
    </row>
    <row r="224" customFormat="false" ht="15" hidden="false" customHeight="false" outlineLevel="0" collapsed="false">
      <c r="A224" s="0" t="s">
        <v>1460</v>
      </c>
      <c r="B224" s="0" t="s">
        <v>129</v>
      </c>
      <c r="C224" s="0" t="n">
        <v>2013</v>
      </c>
      <c r="D224" s="0" t="s">
        <v>70</v>
      </c>
      <c r="E224" s="0" t="n">
        <v>6</v>
      </c>
      <c r="F224" s="0" t="s">
        <v>1461</v>
      </c>
      <c r="G224" s="0" t="s">
        <v>1467</v>
      </c>
      <c r="H224" s="0" t="s">
        <v>1476</v>
      </c>
      <c r="I224" s="0" t="s">
        <v>1464</v>
      </c>
    </row>
    <row r="225" customFormat="false" ht="15" hidden="false" customHeight="false" outlineLevel="0" collapsed="false">
      <c r="A225" s="0" t="s">
        <v>1460</v>
      </c>
      <c r="B225" s="0" t="s">
        <v>129</v>
      </c>
      <c r="C225" s="0" t="n">
        <v>2013</v>
      </c>
      <c r="D225" s="0" t="s">
        <v>71</v>
      </c>
      <c r="E225" s="0" t="n">
        <v>6</v>
      </c>
      <c r="F225" s="0" t="s">
        <v>1461</v>
      </c>
      <c r="G225" s="0" t="s">
        <v>1467</v>
      </c>
      <c r="H225" s="0" t="s">
        <v>1476</v>
      </c>
      <c r="I225" s="0" t="s">
        <v>1464</v>
      </c>
    </row>
    <row r="226" customFormat="false" ht="15" hidden="false" customHeight="false" outlineLevel="0" collapsed="false">
      <c r="A226" s="0" t="s">
        <v>1460</v>
      </c>
      <c r="B226" s="0" t="s">
        <v>129</v>
      </c>
      <c r="C226" s="0" t="n">
        <v>2013</v>
      </c>
      <c r="D226" s="0" t="s">
        <v>73</v>
      </c>
      <c r="E226" s="0" t="n">
        <v>6</v>
      </c>
      <c r="F226" s="0" t="s">
        <v>1461</v>
      </c>
      <c r="G226" s="0" t="s">
        <v>1467</v>
      </c>
      <c r="H226" s="0" t="s">
        <v>1476</v>
      </c>
      <c r="I226" s="0" t="s">
        <v>1466</v>
      </c>
    </row>
    <row r="227" customFormat="false" ht="15" hidden="false" customHeight="false" outlineLevel="0" collapsed="false">
      <c r="A227" s="0" t="s">
        <v>1460</v>
      </c>
      <c r="B227" s="0" t="s">
        <v>129</v>
      </c>
      <c r="C227" s="0" t="n">
        <v>2014</v>
      </c>
      <c r="D227" s="0" t="s">
        <v>62</v>
      </c>
      <c r="E227" s="0" t="n">
        <v>6</v>
      </c>
      <c r="F227" s="0" t="s">
        <v>1461</v>
      </c>
      <c r="G227" s="0" t="s">
        <v>1467</v>
      </c>
      <c r="H227" s="0" t="s">
        <v>1476</v>
      </c>
      <c r="I227" s="0" t="s">
        <v>1464</v>
      </c>
    </row>
    <row r="228" customFormat="false" ht="15" hidden="false" customHeight="false" outlineLevel="0" collapsed="false">
      <c r="A228" s="0" t="s">
        <v>1460</v>
      </c>
      <c r="B228" s="0" t="s">
        <v>129</v>
      </c>
      <c r="C228" s="0" t="n">
        <v>2014</v>
      </c>
      <c r="D228" s="0" t="s">
        <v>247</v>
      </c>
      <c r="E228" s="0" t="n">
        <v>6</v>
      </c>
      <c r="F228" s="0" t="s">
        <v>1461</v>
      </c>
      <c r="G228" s="0" t="s">
        <v>1467</v>
      </c>
      <c r="H228" s="0" t="s">
        <v>1476</v>
      </c>
      <c r="I228" s="0" t="s">
        <v>1464</v>
      </c>
    </row>
    <row r="229" customFormat="false" ht="15" hidden="false" customHeight="false" outlineLevel="0" collapsed="false">
      <c r="A229" s="0" t="s">
        <v>1460</v>
      </c>
      <c r="B229" s="0" t="s">
        <v>129</v>
      </c>
      <c r="C229" s="0" t="n">
        <v>2014</v>
      </c>
      <c r="D229" s="0" t="s">
        <v>64</v>
      </c>
      <c r="E229" s="0" t="n">
        <v>6</v>
      </c>
      <c r="F229" s="0" t="s">
        <v>1461</v>
      </c>
      <c r="G229" s="0" t="s">
        <v>1467</v>
      </c>
      <c r="H229" s="0" t="s">
        <v>1476</v>
      </c>
      <c r="I229" s="0" t="s">
        <v>1464</v>
      </c>
    </row>
    <row r="230" customFormat="false" ht="15" hidden="false" customHeight="false" outlineLevel="0" collapsed="false">
      <c r="A230" s="0" t="s">
        <v>1460</v>
      </c>
      <c r="B230" s="0" t="s">
        <v>129</v>
      </c>
      <c r="C230" s="0" t="n">
        <v>2014</v>
      </c>
      <c r="D230" s="0" t="s">
        <v>65</v>
      </c>
      <c r="E230" s="0" t="n">
        <v>6</v>
      </c>
      <c r="F230" s="0" t="s">
        <v>1461</v>
      </c>
      <c r="G230" s="0" t="s">
        <v>1467</v>
      </c>
      <c r="H230" s="0" t="s">
        <v>1476</v>
      </c>
      <c r="I230" s="0" t="s">
        <v>1464</v>
      </c>
    </row>
    <row r="231" customFormat="false" ht="15" hidden="false" customHeight="false" outlineLevel="0" collapsed="false">
      <c r="A231" s="0" t="s">
        <v>1460</v>
      </c>
      <c r="B231" s="0" t="s">
        <v>129</v>
      </c>
      <c r="C231" s="0" t="n">
        <v>2014</v>
      </c>
      <c r="D231" s="0" t="s">
        <v>66</v>
      </c>
      <c r="E231" s="0" t="n">
        <v>6</v>
      </c>
      <c r="F231" s="0" t="s">
        <v>1461</v>
      </c>
      <c r="G231" s="0" t="s">
        <v>1467</v>
      </c>
      <c r="H231" s="0" t="s">
        <v>1476</v>
      </c>
      <c r="I231" s="0" t="s">
        <v>1464</v>
      </c>
    </row>
    <row r="232" customFormat="false" ht="15" hidden="false" customHeight="false" outlineLevel="0" collapsed="false">
      <c r="A232" s="0" t="s">
        <v>1460</v>
      </c>
      <c r="B232" s="0" t="s">
        <v>129</v>
      </c>
      <c r="C232" s="0" t="n">
        <v>2014</v>
      </c>
      <c r="D232" s="0" t="s">
        <v>70</v>
      </c>
      <c r="E232" s="0" t="n">
        <v>6</v>
      </c>
      <c r="F232" s="0" t="s">
        <v>1461</v>
      </c>
      <c r="G232" s="0" t="s">
        <v>1467</v>
      </c>
      <c r="H232" s="0" t="s">
        <v>1476</v>
      </c>
      <c r="I232" s="0" t="s">
        <v>1464</v>
      </c>
    </row>
    <row r="233" customFormat="false" ht="15" hidden="false" customHeight="false" outlineLevel="0" collapsed="false">
      <c r="A233" s="0" t="s">
        <v>1460</v>
      </c>
      <c r="B233" s="0" t="s">
        <v>129</v>
      </c>
      <c r="C233" s="0" t="n">
        <v>2014</v>
      </c>
      <c r="D233" s="0" t="s">
        <v>71</v>
      </c>
      <c r="E233" s="0" t="n">
        <v>6</v>
      </c>
      <c r="F233" s="0" t="s">
        <v>1461</v>
      </c>
      <c r="G233" s="0" t="s">
        <v>1467</v>
      </c>
      <c r="H233" s="0" t="s">
        <v>1476</v>
      </c>
      <c r="I233" s="0" t="s">
        <v>1464</v>
      </c>
    </row>
    <row r="234" customFormat="false" ht="15" hidden="false" customHeight="false" outlineLevel="0" collapsed="false">
      <c r="A234" s="0" t="s">
        <v>1460</v>
      </c>
      <c r="B234" s="0" t="s">
        <v>129</v>
      </c>
      <c r="C234" s="0" t="n">
        <v>2014</v>
      </c>
      <c r="D234" s="0" t="s">
        <v>73</v>
      </c>
      <c r="E234" s="0" t="n">
        <v>6</v>
      </c>
      <c r="F234" s="0" t="s">
        <v>1461</v>
      </c>
      <c r="G234" s="0" t="s">
        <v>1467</v>
      </c>
      <c r="H234" s="0" t="s">
        <v>1476</v>
      </c>
      <c r="I234" s="0" t="s">
        <v>1466</v>
      </c>
    </row>
    <row r="235" customFormat="false" ht="15" hidden="false" customHeight="false" outlineLevel="0" collapsed="false">
      <c r="A235" s="0" t="s">
        <v>1460</v>
      </c>
      <c r="B235" s="0" t="s">
        <v>129</v>
      </c>
      <c r="C235" s="0" t="n">
        <v>2015</v>
      </c>
      <c r="D235" s="0" t="s">
        <v>247</v>
      </c>
      <c r="E235" s="0" t="n">
        <v>6</v>
      </c>
      <c r="F235" s="0" t="s">
        <v>1461</v>
      </c>
      <c r="G235" s="0" t="s">
        <v>1467</v>
      </c>
      <c r="H235" s="0" t="s">
        <v>1477</v>
      </c>
      <c r="I235" s="0" t="s">
        <v>1464</v>
      </c>
    </row>
    <row r="236" customFormat="false" ht="15" hidden="false" customHeight="false" outlineLevel="0" collapsed="false">
      <c r="A236" s="0" t="s">
        <v>1460</v>
      </c>
      <c r="B236" s="0" t="s">
        <v>129</v>
      </c>
      <c r="C236" s="0" t="n">
        <v>2015</v>
      </c>
      <c r="D236" s="0" t="s">
        <v>64</v>
      </c>
      <c r="E236" s="0" t="n">
        <v>6</v>
      </c>
      <c r="F236" s="0" t="s">
        <v>1461</v>
      </c>
      <c r="G236" s="0" t="s">
        <v>1467</v>
      </c>
      <c r="H236" s="0" t="s">
        <v>1477</v>
      </c>
      <c r="I236" s="0" t="s">
        <v>1464</v>
      </c>
    </row>
    <row r="237" customFormat="false" ht="15" hidden="false" customHeight="false" outlineLevel="0" collapsed="false">
      <c r="A237" s="0" t="s">
        <v>1460</v>
      </c>
      <c r="B237" s="0" t="s">
        <v>129</v>
      </c>
      <c r="C237" s="0" t="n">
        <v>2015</v>
      </c>
      <c r="D237" s="0" t="s">
        <v>70</v>
      </c>
      <c r="E237" s="0" t="n">
        <v>6</v>
      </c>
      <c r="F237" s="0" t="s">
        <v>1461</v>
      </c>
      <c r="G237" s="0" t="s">
        <v>1467</v>
      </c>
      <c r="H237" s="0" t="s">
        <v>1477</v>
      </c>
      <c r="I237" s="0" t="s">
        <v>1464</v>
      </c>
    </row>
    <row r="238" customFormat="false" ht="15" hidden="false" customHeight="false" outlineLevel="0" collapsed="false">
      <c r="A238" s="0" t="s">
        <v>1460</v>
      </c>
      <c r="B238" s="0" t="s">
        <v>129</v>
      </c>
      <c r="C238" s="0" t="n">
        <v>2015</v>
      </c>
      <c r="D238" s="0" t="s">
        <v>73</v>
      </c>
      <c r="E238" s="0" t="n">
        <v>6</v>
      </c>
      <c r="F238" s="0" t="s">
        <v>1461</v>
      </c>
      <c r="G238" s="0" t="s">
        <v>1467</v>
      </c>
      <c r="H238" s="0" t="s">
        <v>1477</v>
      </c>
      <c r="I238" s="0" t="s">
        <v>1466</v>
      </c>
    </row>
    <row r="239" customFormat="false" ht="15" hidden="false" customHeight="false" outlineLevel="0" collapsed="false">
      <c r="A239" s="0" t="s">
        <v>1460</v>
      </c>
      <c r="B239" s="0" t="s">
        <v>129</v>
      </c>
      <c r="C239" s="0" t="n">
        <v>2016</v>
      </c>
      <c r="D239" s="0" t="s">
        <v>247</v>
      </c>
      <c r="E239" s="0" t="n">
        <v>6</v>
      </c>
      <c r="F239" s="0" t="s">
        <v>1461</v>
      </c>
      <c r="G239" s="0" t="s">
        <v>1467</v>
      </c>
      <c r="H239" s="0" t="s">
        <v>1477</v>
      </c>
      <c r="I239" s="0" t="s">
        <v>1464</v>
      </c>
    </row>
    <row r="240" customFormat="false" ht="15" hidden="false" customHeight="false" outlineLevel="0" collapsed="false">
      <c r="A240" s="0" t="s">
        <v>1460</v>
      </c>
      <c r="B240" s="0" t="s">
        <v>129</v>
      </c>
      <c r="C240" s="0" t="n">
        <v>2016</v>
      </c>
      <c r="D240" s="0" t="s">
        <v>64</v>
      </c>
      <c r="E240" s="0" t="n">
        <v>6</v>
      </c>
      <c r="F240" s="0" t="s">
        <v>1461</v>
      </c>
      <c r="G240" s="0" t="s">
        <v>1467</v>
      </c>
      <c r="H240" s="0" t="s">
        <v>1477</v>
      </c>
      <c r="I240" s="0" t="s">
        <v>1464</v>
      </c>
    </row>
    <row r="241" customFormat="false" ht="15" hidden="false" customHeight="false" outlineLevel="0" collapsed="false">
      <c r="A241" s="0" t="s">
        <v>1460</v>
      </c>
      <c r="B241" s="0" t="s">
        <v>129</v>
      </c>
      <c r="C241" s="0" t="n">
        <v>2016</v>
      </c>
      <c r="D241" s="0" t="s">
        <v>73</v>
      </c>
      <c r="E241" s="0" t="n">
        <v>6</v>
      </c>
      <c r="F241" s="0" t="s">
        <v>1461</v>
      </c>
      <c r="G241" s="0" t="s">
        <v>1467</v>
      </c>
      <c r="H241" s="0" t="s">
        <v>1477</v>
      </c>
      <c r="I241" s="0" t="s">
        <v>1466</v>
      </c>
    </row>
    <row r="242" customFormat="false" ht="15" hidden="false" customHeight="false" outlineLevel="0" collapsed="false">
      <c r="A242" s="0" t="s">
        <v>1460</v>
      </c>
      <c r="B242" s="0" t="s">
        <v>129</v>
      </c>
      <c r="C242" s="0" t="n">
        <v>2017</v>
      </c>
      <c r="D242" s="0" t="s">
        <v>247</v>
      </c>
      <c r="E242" s="0" t="n">
        <v>6</v>
      </c>
      <c r="F242" s="0" t="s">
        <v>1461</v>
      </c>
      <c r="G242" s="0" t="s">
        <v>1467</v>
      </c>
      <c r="H242" s="0" t="s">
        <v>1478</v>
      </c>
      <c r="I242" s="0" t="s">
        <v>1464</v>
      </c>
    </row>
    <row r="243" customFormat="false" ht="15" hidden="false" customHeight="false" outlineLevel="0" collapsed="false">
      <c r="A243" s="0" t="s">
        <v>1460</v>
      </c>
      <c r="B243" s="0" t="s">
        <v>129</v>
      </c>
      <c r="C243" s="0" t="n">
        <v>2017</v>
      </c>
      <c r="D243" s="0" t="s">
        <v>64</v>
      </c>
      <c r="E243" s="0" t="n">
        <v>6</v>
      </c>
      <c r="F243" s="0" t="s">
        <v>1461</v>
      </c>
      <c r="G243" s="0" t="s">
        <v>1467</v>
      </c>
      <c r="H243" s="0" t="s">
        <v>1478</v>
      </c>
      <c r="I243" s="0" t="s">
        <v>1464</v>
      </c>
    </row>
    <row r="244" customFormat="false" ht="15" hidden="false" customHeight="false" outlineLevel="0" collapsed="false">
      <c r="A244" s="0" t="s">
        <v>1460</v>
      </c>
      <c r="B244" s="0" t="s">
        <v>129</v>
      </c>
      <c r="C244" s="0" t="n">
        <v>2017</v>
      </c>
      <c r="D244" s="0" t="s">
        <v>70</v>
      </c>
      <c r="E244" s="0" t="n">
        <v>6</v>
      </c>
      <c r="F244" s="0" t="s">
        <v>1461</v>
      </c>
      <c r="G244" s="0" t="s">
        <v>1467</v>
      </c>
      <c r="H244" s="0" t="s">
        <v>1478</v>
      </c>
      <c r="I244" s="0" t="s">
        <v>1464</v>
      </c>
    </row>
    <row r="245" customFormat="false" ht="15" hidden="false" customHeight="false" outlineLevel="0" collapsed="false">
      <c r="A245" s="0" t="s">
        <v>1460</v>
      </c>
      <c r="B245" s="0" t="s">
        <v>129</v>
      </c>
      <c r="C245" s="0" t="n">
        <v>2017</v>
      </c>
      <c r="D245" s="0" t="s">
        <v>73</v>
      </c>
      <c r="E245" s="0" t="n">
        <v>6</v>
      </c>
      <c r="F245" s="0" t="s">
        <v>1461</v>
      </c>
      <c r="G245" s="0" t="s">
        <v>1467</v>
      </c>
      <c r="H245" s="0" t="s">
        <v>1478</v>
      </c>
      <c r="I245" s="0" t="s">
        <v>1466</v>
      </c>
    </row>
    <row r="246" customFormat="false" ht="15" hidden="false" customHeight="false" outlineLevel="0" collapsed="false">
      <c r="A246" s="0" t="s">
        <v>1460</v>
      </c>
      <c r="B246" s="0" t="s">
        <v>129</v>
      </c>
      <c r="C246" s="0" t="n">
        <v>2018</v>
      </c>
      <c r="D246" s="0" t="s">
        <v>247</v>
      </c>
      <c r="E246" s="0" t="n">
        <v>6</v>
      </c>
      <c r="F246" s="0" t="s">
        <v>1461</v>
      </c>
      <c r="G246" s="0" t="s">
        <v>1467</v>
      </c>
      <c r="H246" s="0" t="s">
        <v>1478</v>
      </c>
      <c r="I246" s="0" t="s">
        <v>1464</v>
      </c>
    </row>
    <row r="247" customFormat="false" ht="15" hidden="false" customHeight="false" outlineLevel="0" collapsed="false">
      <c r="A247" s="0" t="s">
        <v>1460</v>
      </c>
      <c r="B247" s="0" t="s">
        <v>129</v>
      </c>
      <c r="C247" s="0" t="n">
        <v>2018</v>
      </c>
      <c r="D247" s="0" t="s">
        <v>64</v>
      </c>
      <c r="E247" s="0" t="n">
        <v>6</v>
      </c>
      <c r="F247" s="0" t="s">
        <v>1461</v>
      </c>
      <c r="G247" s="0" t="s">
        <v>1467</v>
      </c>
      <c r="H247" s="0" t="s">
        <v>1478</v>
      </c>
      <c r="I247" s="0" t="s">
        <v>1464</v>
      </c>
    </row>
    <row r="248" customFormat="false" ht="15" hidden="false" customHeight="false" outlineLevel="0" collapsed="false">
      <c r="A248" s="0" t="s">
        <v>1460</v>
      </c>
      <c r="B248" s="0" t="s">
        <v>129</v>
      </c>
      <c r="C248" s="0" t="n">
        <v>2018</v>
      </c>
      <c r="D248" s="0" t="s">
        <v>73</v>
      </c>
      <c r="E248" s="0" t="n">
        <v>6</v>
      </c>
      <c r="F248" s="0" t="s">
        <v>1461</v>
      </c>
      <c r="G248" s="0" t="s">
        <v>1467</v>
      </c>
      <c r="H248" s="0" t="s">
        <v>1478</v>
      </c>
      <c r="I248" s="0" t="s">
        <v>1466</v>
      </c>
    </row>
    <row r="249" customFormat="false" ht="15" hidden="false" customHeight="false" outlineLevel="0" collapsed="false">
      <c r="A249" s="0" t="s">
        <v>1460</v>
      </c>
      <c r="B249" s="0" t="s">
        <v>129</v>
      </c>
      <c r="C249" s="0" t="n">
        <v>2018</v>
      </c>
      <c r="D249" s="0" t="s">
        <v>67</v>
      </c>
      <c r="E249" s="0" t="n">
        <v>6</v>
      </c>
      <c r="F249" s="0" t="s">
        <v>1461</v>
      </c>
      <c r="G249" s="0" t="s">
        <v>1467</v>
      </c>
      <c r="H249" s="0" t="s">
        <v>1478</v>
      </c>
      <c r="I249" s="0" t="s">
        <v>1471</v>
      </c>
    </row>
    <row r="250" customFormat="false" ht="15" hidden="false" customHeight="false" outlineLevel="0" collapsed="false">
      <c r="A250" s="0" t="s">
        <v>1460</v>
      </c>
      <c r="B250" s="0" t="s">
        <v>129</v>
      </c>
      <c r="C250" s="0" t="n">
        <v>2019</v>
      </c>
      <c r="D250" s="0" t="s">
        <v>64</v>
      </c>
      <c r="E250" s="0" t="n">
        <v>6</v>
      </c>
      <c r="F250" s="0" t="s">
        <v>1461</v>
      </c>
      <c r="G250" s="0" t="s">
        <v>1467</v>
      </c>
      <c r="H250" s="0" t="s">
        <v>1479</v>
      </c>
      <c r="I250" s="0" t="s">
        <v>1464</v>
      </c>
    </row>
    <row r="251" customFormat="false" ht="15" hidden="false" customHeight="false" outlineLevel="0" collapsed="false">
      <c r="A251" s="0" t="s">
        <v>1460</v>
      </c>
      <c r="B251" s="0" t="s">
        <v>129</v>
      </c>
      <c r="C251" s="0" t="n">
        <v>2019</v>
      </c>
      <c r="D251" s="0" t="s">
        <v>70</v>
      </c>
      <c r="E251" s="0" t="n">
        <v>6</v>
      </c>
      <c r="F251" s="0" t="s">
        <v>1461</v>
      </c>
      <c r="G251" s="0" t="s">
        <v>1467</v>
      </c>
      <c r="H251" s="0" t="s">
        <v>1479</v>
      </c>
      <c r="I251" s="0" t="s">
        <v>1464</v>
      </c>
    </row>
    <row r="252" customFormat="false" ht="15" hidden="false" customHeight="false" outlineLevel="0" collapsed="false">
      <c r="A252" s="0" t="s">
        <v>1460</v>
      </c>
      <c r="B252" s="0" t="s">
        <v>129</v>
      </c>
      <c r="C252" s="0" t="n">
        <v>2019</v>
      </c>
      <c r="D252" s="0" t="s">
        <v>73</v>
      </c>
      <c r="E252" s="0" t="n">
        <v>6</v>
      </c>
      <c r="F252" s="0" t="s">
        <v>1461</v>
      </c>
      <c r="G252" s="0" t="s">
        <v>1467</v>
      </c>
      <c r="H252" s="0" t="s">
        <v>1479</v>
      </c>
      <c r="I252" s="0" t="s">
        <v>1466</v>
      </c>
    </row>
    <row r="253" customFormat="false" ht="15" hidden="false" customHeight="false" outlineLevel="0" collapsed="false">
      <c r="A253" s="0" t="s">
        <v>1460</v>
      </c>
      <c r="B253" s="0" t="s">
        <v>129</v>
      </c>
      <c r="C253" s="0" t="n">
        <v>2019</v>
      </c>
      <c r="D253" s="0" t="s">
        <v>67</v>
      </c>
      <c r="E253" s="0" t="n">
        <v>6</v>
      </c>
      <c r="F253" s="0" t="s">
        <v>1461</v>
      </c>
      <c r="G253" s="0" t="s">
        <v>1467</v>
      </c>
      <c r="H253" s="0" t="s">
        <v>1479</v>
      </c>
      <c r="I253" s="0" t="s">
        <v>1471</v>
      </c>
    </row>
    <row r="254" customFormat="false" ht="15" hidden="false" customHeight="false" outlineLevel="0" collapsed="false">
      <c r="A254" s="0" t="s">
        <v>1460</v>
      </c>
      <c r="B254" s="0" t="s">
        <v>129</v>
      </c>
      <c r="C254" s="0" t="n">
        <v>2020</v>
      </c>
      <c r="D254" s="0" t="s">
        <v>64</v>
      </c>
      <c r="E254" s="0" t="n">
        <v>6</v>
      </c>
      <c r="F254" s="0" t="s">
        <v>1461</v>
      </c>
      <c r="G254" s="0" t="s">
        <v>1467</v>
      </c>
      <c r="H254" s="0" t="s">
        <v>1479</v>
      </c>
      <c r="I254" s="0" t="s">
        <v>1464</v>
      </c>
    </row>
    <row r="255" customFormat="false" ht="15" hidden="false" customHeight="false" outlineLevel="0" collapsed="false">
      <c r="A255" s="0" t="s">
        <v>1460</v>
      </c>
      <c r="B255" s="0" t="s">
        <v>129</v>
      </c>
      <c r="C255" s="0" t="n">
        <v>2020</v>
      </c>
      <c r="D255" s="0" t="s">
        <v>73</v>
      </c>
      <c r="E255" s="0" t="n">
        <v>6</v>
      </c>
      <c r="F255" s="0" t="s">
        <v>1461</v>
      </c>
      <c r="G255" s="0" t="s">
        <v>1467</v>
      </c>
      <c r="H255" s="0" t="s">
        <v>1479</v>
      </c>
      <c r="I255" s="0" t="s">
        <v>1466</v>
      </c>
    </row>
    <row r="256" customFormat="false" ht="15" hidden="false" customHeight="false" outlineLevel="0" collapsed="false">
      <c r="A256" s="0" t="s">
        <v>1460</v>
      </c>
      <c r="B256" s="0" t="s">
        <v>129</v>
      </c>
      <c r="C256" s="0" t="n">
        <v>2020</v>
      </c>
      <c r="D256" s="0" t="s">
        <v>67</v>
      </c>
      <c r="E256" s="0" t="n">
        <v>6</v>
      </c>
      <c r="F256" s="0" t="s">
        <v>1461</v>
      </c>
      <c r="G256" s="0" t="s">
        <v>1467</v>
      </c>
      <c r="H256" s="0" t="s">
        <v>1479</v>
      </c>
      <c r="I256" s="0" t="s">
        <v>1471</v>
      </c>
    </row>
    <row r="257" customFormat="false" ht="15" hidden="false" customHeight="false" outlineLevel="0" collapsed="false">
      <c r="A257" s="0" t="s">
        <v>1460</v>
      </c>
      <c r="B257" s="0" t="s">
        <v>129</v>
      </c>
      <c r="C257" s="0" t="n">
        <v>2021</v>
      </c>
      <c r="D257" s="0" t="s">
        <v>64</v>
      </c>
      <c r="E257" s="0" t="n">
        <v>6</v>
      </c>
      <c r="F257" s="0" t="s">
        <v>1461</v>
      </c>
      <c r="G257" s="0" t="s">
        <v>1467</v>
      </c>
      <c r="H257" s="0" t="s">
        <v>1480</v>
      </c>
      <c r="I257" s="0" t="s">
        <v>1464</v>
      </c>
    </row>
    <row r="258" customFormat="false" ht="15" hidden="false" customHeight="false" outlineLevel="0" collapsed="false">
      <c r="A258" s="0" t="s">
        <v>1460</v>
      </c>
      <c r="B258" s="0" t="s">
        <v>129</v>
      </c>
      <c r="C258" s="0" t="n">
        <v>2021</v>
      </c>
      <c r="D258" s="0" t="s">
        <v>70</v>
      </c>
      <c r="E258" s="0" t="n">
        <v>6</v>
      </c>
      <c r="F258" s="0" t="s">
        <v>1461</v>
      </c>
      <c r="G258" s="0" t="s">
        <v>1467</v>
      </c>
      <c r="H258" s="0" t="s">
        <v>1480</v>
      </c>
      <c r="I258" s="0" t="s">
        <v>1464</v>
      </c>
    </row>
    <row r="259" customFormat="false" ht="15" hidden="false" customHeight="false" outlineLevel="0" collapsed="false">
      <c r="A259" s="0" t="s">
        <v>1460</v>
      </c>
      <c r="B259" s="0" t="s">
        <v>129</v>
      </c>
      <c r="C259" s="0" t="n">
        <v>2021</v>
      </c>
      <c r="D259" s="0" t="s">
        <v>73</v>
      </c>
      <c r="E259" s="0" t="n">
        <v>6</v>
      </c>
      <c r="F259" s="0" t="s">
        <v>1461</v>
      </c>
      <c r="G259" s="0" t="s">
        <v>1467</v>
      </c>
      <c r="H259" s="0" t="s">
        <v>1480</v>
      </c>
      <c r="I259" s="0" t="s">
        <v>1466</v>
      </c>
    </row>
    <row r="260" customFormat="false" ht="15" hidden="false" customHeight="false" outlineLevel="0" collapsed="false">
      <c r="A260" s="0" t="s">
        <v>1460</v>
      </c>
      <c r="B260" s="0" t="s">
        <v>129</v>
      </c>
      <c r="C260" s="0" t="n">
        <v>2021</v>
      </c>
      <c r="D260" s="0" t="s">
        <v>67</v>
      </c>
      <c r="E260" s="0" t="n">
        <v>6</v>
      </c>
      <c r="F260" s="0" t="s">
        <v>1461</v>
      </c>
      <c r="G260" s="0" t="s">
        <v>1467</v>
      </c>
      <c r="H260" s="0" t="s">
        <v>1480</v>
      </c>
      <c r="I260" s="0" t="s">
        <v>1471</v>
      </c>
    </row>
    <row r="261" customFormat="false" ht="15" hidden="false" customHeight="false" outlineLevel="0" collapsed="false">
      <c r="A261" s="0" t="s">
        <v>1460</v>
      </c>
      <c r="B261" s="0" t="s">
        <v>129</v>
      </c>
      <c r="C261" s="0" t="n">
        <v>2021</v>
      </c>
      <c r="D261" s="0" t="s">
        <v>68</v>
      </c>
      <c r="E261" s="0" t="n">
        <v>6</v>
      </c>
      <c r="F261" s="0" t="s">
        <v>1461</v>
      </c>
      <c r="G261" s="0" t="s">
        <v>1467</v>
      </c>
      <c r="H261" s="0" t="s">
        <v>1480</v>
      </c>
      <c r="I261" s="0" t="s">
        <v>1471</v>
      </c>
    </row>
    <row r="262" customFormat="false" ht="15" hidden="false" customHeight="false" outlineLevel="0" collapsed="false">
      <c r="A262" s="0" t="s">
        <v>1460</v>
      </c>
      <c r="B262" s="0" t="s">
        <v>129</v>
      </c>
      <c r="C262" s="0" t="n">
        <v>2022</v>
      </c>
      <c r="D262" s="0" t="s">
        <v>64</v>
      </c>
      <c r="E262" s="0" t="n">
        <v>6</v>
      </c>
      <c r="F262" s="0" t="s">
        <v>1461</v>
      </c>
      <c r="G262" s="0" t="s">
        <v>1467</v>
      </c>
      <c r="H262" s="0" t="s">
        <v>1480</v>
      </c>
      <c r="I262" s="0" t="s">
        <v>1464</v>
      </c>
    </row>
    <row r="263" customFormat="false" ht="15" hidden="false" customHeight="false" outlineLevel="0" collapsed="false">
      <c r="A263" s="0" t="s">
        <v>1460</v>
      </c>
      <c r="B263" s="0" t="s">
        <v>129</v>
      </c>
      <c r="C263" s="0" t="n">
        <v>2022</v>
      </c>
      <c r="D263" s="0" t="s">
        <v>73</v>
      </c>
      <c r="E263" s="0" t="n">
        <v>6</v>
      </c>
      <c r="F263" s="0" t="s">
        <v>1461</v>
      </c>
      <c r="G263" s="0" t="s">
        <v>1467</v>
      </c>
      <c r="H263" s="0" t="s">
        <v>1480</v>
      </c>
      <c r="I263" s="0" t="s">
        <v>1466</v>
      </c>
    </row>
    <row r="264" customFormat="false" ht="15" hidden="false" customHeight="false" outlineLevel="0" collapsed="false">
      <c r="A264" s="0" t="s">
        <v>1460</v>
      </c>
      <c r="B264" s="0" t="s">
        <v>129</v>
      </c>
      <c r="C264" s="0" t="n">
        <v>2022</v>
      </c>
      <c r="D264" s="0" t="s">
        <v>67</v>
      </c>
      <c r="E264" s="0" t="n">
        <v>6</v>
      </c>
      <c r="F264" s="0" t="s">
        <v>1461</v>
      </c>
      <c r="G264" s="0" t="s">
        <v>1467</v>
      </c>
      <c r="H264" s="0" t="s">
        <v>1480</v>
      </c>
      <c r="I264" s="0" t="s">
        <v>1471</v>
      </c>
    </row>
    <row r="265" customFormat="false" ht="15" hidden="false" customHeight="false" outlineLevel="0" collapsed="false">
      <c r="A265" s="0" t="s">
        <v>1460</v>
      </c>
      <c r="B265" s="0" t="s">
        <v>129</v>
      </c>
      <c r="C265" s="0" t="n">
        <v>2022</v>
      </c>
      <c r="D265" s="0" t="s">
        <v>68</v>
      </c>
      <c r="E265" s="0" t="n">
        <v>6</v>
      </c>
      <c r="F265" s="0" t="s">
        <v>1461</v>
      </c>
      <c r="G265" s="0" t="s">
        <v>1467</v>
      </c>
      <c r="H265" s="0" t="s">
        <v>1480</v>
      </c>
      <c r="I265" s="0" t="s">
        <v>1471</v>
      </c>
    </row>
    <row r="266" customFormat="false" ht="15" hidden="false" customHeight="false" outlineLevel="0" collapsed="false">
      <c r="A266" s="0" t="s">
        <v>1481</v>
      </c>
      <c r="B266" s="0" t="s">
        <v>129</v>
      </c>
      <c r="C266" s="0" t="n">
        <v>2022</v>
      </c>
      <c r="D266" s="0" t="s">
        <v>71</v>
      </c>
      <c r="E266" s="0" t="n">
        <v>6</v>
      </c>
      <c r="F266" s="0" t="s">
        <v>1461</v>
      </c>
      <c r="G266" s="0" t="s">
        <v>1467</v>
      </c>
      <c r="H266" s="0" t="s">
        <v>1480</v>
      </c>
      <c r="I266" s="0" t="s">
        <v>1482</v>
      </c>
    </row>
    <row r="267" customFormat="false" ht="15" hidden="false" customHeight="false" outlineLevel="0" collapsed="false">
      <c r="A267" s="0" t="s">
        <v>1460</v>
      </c>
      <c r="B267" s="0" t="s">
        <v>138</v>
      </c>
      <c r="C267" s="0" t="n">
        <v>2013</v>
      </c>
      <c r="D267" s="0" t="s">
        <v>59</v>
      </c>
      <c r="E267" s="0" t="n">
        <v>1</v>
      </c>
      <c r="F267" s="0" t="s">
        <v>1461</v>
      </c>
      <c r="G267" s="0" t="s">
        <v>1467</v>
      </c>
      <c r="H267" s="0" t="s">
        <v>1483</v>
      </c>
      <c r="I267" s="0" t="s">
        <v>1465</v>
      </c>
    </row>
    <row r="268" customFormat="false" ht="15" hidden="false" customHeight="false" outlineLevel="0" collapsed="false">
      <c r="A268" s="0" t="s">
        <v>1460</v>
      </c>
      <c r="B268" s="0" t="s">
        <v>138</v>
      </c>
      <c r="C268" s="0" t="n">
        <v>2013</v>
      </c>
      <c r="D268" s="0" t="s">
        <v>62</v>
      </c>
      <c r="E268" s="0" t="n">
        <v>1</v>
      </c>
      <c r="F268" s="0" t="s">
        <v>1461</v>
      </c>
      <c r="G268" s="0" t="s">
        <v>1467</v>
      </c>
      <c r="H268" s="0" t="s">
        <v>1483</v>
      </c>
      <c r="I268" s="0" t="s">
        <v>1464</v>
      </c>
    </row>
    <row r="269" customFormat="false" ht="15" hidden="false" customHeight="false" outlineLevel="0" collapsed="false">
      <c r="A269" s="0" t="s">
        <v>1460</v>
      </c>
      <c r="B269" s="0" t="s">
        <v>138</v>
      </c>
      <c r="C269" s="0" t="n">
        <v>2013</v>
      </c>
      <c r="D269" s="0" t="s">
        <v>63</v>
      </c>
      <c r="E269" s="0" t="n">
        <v>1</v>
      </c>
      <c r="F269" s="0" t="s">
        <v>1461</v>
      </c>
      <c r="G269" s="0" t="s">
        <v>1467</v>
      </c>
      <c r="H269" s="0" t="s">
        <v>1483</v>
      </c>
      <c r="I269" s="0" t="s">
        <v>1464</v>
      </c>
    </row>
    <row r="270" customFormat="false" ht="15" hidden="false" customHeight="false" outlineLevel="0" collapsed="false">
      <c r="A270" s="0" t="s">
        <v>1460</v>
      </c>
      <c r="B270" s="0" t="s">
        <v>138</v>
      </c>
      <c r="C270" s="0" t="n">
        <v>2013</v>
      </c>
      <c r="D270" s="0" t="s">
        <v>65</v>
      </c>
      <c r="E270" s="0" t="n">
        <v>1</v>
      </c>
      <c r="F270" s="0" t="s">
        <v>1461</v>
      </c>
      <c r="G270" s="0" t="s">
        <v>1467</v>
      </c>
      <c r="H270" s="0" t="s">
        <v>1483</v>
      </c>
      <c r="I270" s="0" t="s">
        <v>1464</v>
      </c>
    </row>
    <row r="271" customFormat="false" ht="15" hidden="false" customHeight="false" outlineLevel="0" collapsed="false">
      <c r="A271" s="0" t="s">
        <v>1460</v>
      </c>
      <c r="B271" s="0" t="s">
        <v>138</v>
      </c>
      <c r="C271" s="0" t="n">
        <v>2013</v>
      </c>
      <c r="D271" s="0" t="s">
        <v>66</v>
      </c>
      <c r="E271" s="0" t="n">
        <v>1</v>
      </c>
      <c r="F271" s="0" t="s">
        <v>1461</v>
      </c>
      <c r="G271" s="0" t="s">
        <v>1467</v>
      </c>
      <c r="H271" s="0" t="s">
        <v>1483</v>
      </c>
      <c r="I271" s="0" t="s">
        <v>1464</v>
      </c>
    </row>
    <row r="272" customFormat="false" ht="15" hidden="false" customHeight="false" outlineLevel="0" collapsed="false">
      <c r="A272" s="0" t="s">
        <v>1460</v>
      </c>
      <c r="B272" s="0" t="s">
        <v>138</v>
      </c>
      <c r="C272" s="0" t="n">
        <v>2013</v>
      </c>
      <c r="D272" s="0" t="s">
        <v>70</v>
      </c>
      <c r="E272" s="0" t="n">
        <v>1</v>
      </c>
      <c r="F272" s="0" t="s">
        <v>1461</v>
      </c>
      <c r="G272" s="0" t="s">
        <v>1467</v>
      </c>
      <c r="H272" s="0" t="s">
        <v>1483</v>
      </c>
      <c r="I272" s="0" t="s">
        <v>1464</v>
      </c>
    </row>
    <row r="273" customFormat="false" ht="15" hidden="false" customHeight="false" outlineLevel="0" collapsed="false">
      <c r="A273" s="0" t="s">
        <v>1460</v>
      </c>
      <c r="B273" s="0" t="s">
        <v>138</v>
      </c>
      <c r="C273" s="0" t="n">
        <v>2013</v>
      </c>
      <c r="D273" s="0" t="s">
        <v>71</v>
      </c>
      <c r="E273" s="0" t="n">
        <v>1</v>
      </c>
      <c r="F273" s="0" t="s">
        <v>1461</v>
      </c>
      <c r="G273" s="0" t="s">
        <v>1467</v>
      </c>
      <c r="H273" s="0" t="s">
        <v>1483</v>
      </c>
      <c r="I273" s="0" t="s">
        <v>1464</v>
      </c>
    </row>
    <row r="274" customFormat="false" ht="15" hidden="false" customHeight="false" outlineLevel="0" collapsed="false">
      <c r="A274" s="0" t="s">
        <v>1460</v>
      </c>
      <c r="B274" s="0" t="s">
        <v>138</v>
      </c>
      <c r="C274" s="0" t="n">
        <v>2013</v>
      </c>
      <c r="D274" s="0" t="s">
        <v>73</v>
      </c>
      <c r="E274" s="0" t="n">
        <v>1</v>
      </c>
      <c r="F274" s="0" t="s">
        <v>1461</v>
      </c>
      <c r="G274" s="0" t="s">
        <v>1467</v>
      </c>
      <c r="H274" s="0" t="s">
        <v>1483</v>
      </c>
      <c r="I274" s="0" t="s">
        <v>1466</v>
      </c>
    </row>
    <row r="275" customFormat="false" ht="15" hidden="false" customHeight="false" outlineLevel="0" collapsed="false">
      <c r="A275" s="0" t="s">
        <v>1460</v>
      </c>
      <c r="B275" s="0" t="s">
        <v>138</v>
      </c>
      <c r="C275" s="0" t="n">
        <v>2014</v>
      </c>
      <c r="D275" s="0" t="s">
        <v>62</v>
      </c>
      <c r="E275" s="0" t="n">
        <v>1</v>
      </c>
      <c r="F275" s="0" t="s">
        <v>1461</v>
      </c>
      <c r="G275" s="0" t="s">
        <v>1467</v>
      </c>
      <c r="H275" s="0" t="s">
        <v>1483</v>
      </c>
      <c r="I275" s="0" t="s">
        <v>1464</v>
      </c>
    </row>
    <row r="276" customFormat="false" ht="15" hidden="false" customHeight="false" outlineLevel="0" collapsed="false">
      <c r="A276" s="0" t="s">
        <v>1460</v>
      </c>
      <c r="B276" s="0" t="s">
        <v>138</v>
      </c>
      <c r="C276" s="0" t="n">
        <v>2014</v>
      </c>
      <c r="D276" s="0" t="s">
        <v>63</v>
      </c>
      <c r="E276" s="0" t="n">
        <v>1</v>
      </c>
      <c r="F276" s="0" t="s">
        <v>1461</v>
      </c>
      <c r="G276" s="0" t="s">
        <v>1467</v>
      </c>
      <c r="H276" s="0" t="s">
        <v>1483</v>
      </c>
      <c r="I276" s="0" t="s">
        <v>1464</v>
      </c>
    </row>
    <row r="277" customFormat="false" ht="15" hidden="false" customHeight="false" outlineLevel="0" collapsed="false">
      <c r="A277" s="0" t="s">
        <v>1460</v>
      </c>
      <c r="B277" s="0" t="s">
        <v>138</v>
      </c>
      <c r="C277" s="0" t="n">
        <v>2014</v>
      </c>
      <c r="D277" s="0" t="s">
        <v>65</v>
      </c>
      <c r="E277" s="0" t="n">
        <v>1</v>
      </c>
      <c r="F277" s="0" t="s">
        <v>1461</v>
      </c>
      <c r="G277" s="0" t="s">
        <v>1467</v>
      </c>
      <c r="H277" s="0" t="s">
        <v>1483</v>
      </c>
      <c r="I277" s="0" t="s">
        <v>1464</v>
      </c>
    </row>
    <row r="278" customFormat="false" ht="15" hidden="false" customHeight="false" outlineLevel="0" collapsed="false">
      <c r="A278" s="0" t="s">
        <v>1460</v>
      </c>
      <c r="B278" s="0" t="s">
        <v>138</v>
      </c>
      <c r="C278" s="0" t="n">
        <v>2014</v>
      </c>
      <c r="D278" s="0" t="s">
        <v>66</v>
      </c>
      <c r="E278" s="0" t="n">
        <v>1</v>
      </c>
      <c r="F278" s="0" t="s">
        <v>1461</v>
      </c>
      <c r="G278" s="0" t="s">
        <v>1467</v>
      </c>
      <c r="H278" s="0" t="s">
        <v>1483</v>
      </c>
      <c r="I278" s="0" t="s">
        <v>1464</v>
      </c>
    </row>
    <row r="279" customFormat="false" ht="15" hidden="false" customHeight="false" outlineLevel="0" collapsed="false">
      <c r="A279" s="0" t="s">
        <v>1460</v>
      </c>
      <c r="B279" s="0" t="s">
        <v>138</v>
      </c>
      <c r="C279" s="0" t="n">
        <v>2014</v>
      </c>
      <c r="D279" s="0" t="s">
        <v>70</v>
      </c>
      <c r="E279" s="0" t="n">
        <v>1</v>
      </c>
      <c r="F279" s="0" t="s">
        <v>1461</v>
      </c>
      <c r="G279" s="0" t="s">
        <v>1467</v>
      </c>
      <c r="H279" s="0" t="s">
        <v>1483</v>
      </c>
      <c r="I279" s="0" t="s">
        <v>1464</v>
      </c>
    </row>
    <row r="280" customFormat="false" ht="15" hidden="false" customHeight="false" outlineLevel="0" collapsed="false">
      <c r="A280" s="0" t="s">
        <v>1460</v>
      </c>
      <c r="B280" s="0" t="s">
        <v>138</v>
      </c>
      <c r="C280" s="0" t="n">
        <v>2014</v>
      </c>
      <c r="D280" s="0" t="s">
        <v>71</v>
      </c>
      <c r="E280" s="0" t="n">
        <v>1</v>
      </c>
      <c r="F280" s="0" t="s">
        <v>1461</v>
      </c>
      <c r="G280" s="0" t="s">
        <v>1467</v>
      </c>
      <c r="H280" s="0" t="s">
        <v>1483</v>
      </c>
      <c r="I280" s="0" t="s">
        <v>1464</v>
      </c>
    </row>
    <row r="281" customFormat="false" ht="15" hidden="false" customHeight="false" outlineLevel="0" collapsed="false">
      <c r="A281" s="0" t="s">
        <v>1460</v>
      </c>
      <c r="B281" s="0" t="s">
        <v>138</v>
      </c>
      <c r="C281" s="0" t="n">
        <v>2014</v>
      </c>
      <c r="D281" s="0" t="s">
        <v>73</v>
      </c>
      <c r="E281" s="0" t="n">
        <v>1</v>
      </c>
      <c r="F281" s="0" t="s">
        <v>1461</v>
      </c>
      <c r="G281" s="0" t="s">
        <v>1467</v>
      </c>
      <c r="H281" s="0" t="s">
        <v>1483</v>
      </c>
      <c r="I281" s="0" t="s">
        <v>1466</v>
      </c>
    </row>
    <row r="282" customFormat="false" ht="15" hidden="false" customHeight="false" outlineLevel="0" collapsed="false">
      <c r="A282" s="0" t="s">
        <v>1460</v>
      </c>
      <c r="B282" s="0" t="s">
        <v>138</v>
      </c>
      <c r="C282" s="0" t="n">
        <v>2017</v>
      </c>
      <c r="D282" s="0" t="s">
        <v>247</v>
      </c>
      <c r="E282" s="0" t="n">
        <v>1</v>
      </c>
      <c r="F282" s="0" t="s">
        <v>1461</v>
      </c>
      <c r="G282" s="0" t="s">
        <v>1467</v>
      </c>
      <c r="H282" s="0" t="s">
        <v>1484</v>
      </c>
      <c r="I282" s="0" t="s">
        <v>1464</v>
      </c>
    </row>
    <row r="283" customFormat="false" ht="15" hidden="false" customHeight="false" outlineLevel="0" collapsed="false">
      <c r="A283" s="0" t="s">
        <v>1460</v>
      </c>
      <c r="B283" s="0" t="s">
        <v>138</v>
      </c>
      <c r="C283" s="0" t="n">
        <v>2017</v>
      </c>
      <c r="D283" s="0" t="s">
        <v>71</v>
      </c>
      <c r="E283" s="0" t="n">
        <v>1</v>
      </c>
      <c r="F283" s="0" t="s">
        <v>1461</v>
      </c>
      <c r="G283" s="0" t="s">
        <v>1467</v>
      </c>
      <c r="H283" s="0" t="s">
        <v>1484</v>
      </c>
      <c r="I283" s="0" t="s">
        <v>1464</v>
      </c>
    </row>
    <row r="284" customFormat="false" ht="15" hidden="false" customHeight="false" outlineLevel="0" collapsed="false">
      <c r="A284" s="0" t="s">
        <v>1460</v>
      </c>
      <c r="B284" s="0" t="s">
        <v>138</v>
      </c>
      <c r="C284" s="0" t="n">
        <v>2017</v>
      </c>
      <c r="D284" s="0" t="s">
        <v>73</v>
      </c>
      <c r="E284" s="0" t="n">
        <v>1</v>
      </c>
      <c r="F284" s="0" t="s">
        <v>1461</v>
      </c>
      <c r="G284" s="0" t="s">
        <v>1467</v>
      </c>
      <c r="H284" s="0" t="s">
        <v>1484</v>
      </c>
      <c r="I284" s="0" t="s">
        <v>1466</v>
      </c>
    </row>
    <row r="285" customFormat="false" ht="15" hidden="false" customHeight="false" outlineLevel="0" collapsed="false">
      <c r="A285" s="0" t="s">
        <v>1460</v>
      </c>
      <c r="B285" s="0" t="s">
        <v>138</v>
      </c>
      <c r="C285" s="0" t="n">
        <v>2018</v>
      </c>
      <c r="D285" s="0" t="s">
        <v>71</v>
      </c>
      <c r="E285" s="0" t="n">
        <v>1</v>
      </c>
      <c r="F285" s="0" t="s">
        <v>1461</v>
      </c>
      <c r="G285" s="0" t="s">
        <v>1467</v>
      </c>
      <c r="H285" s="0" t="s">
        <v>1484</v>
      </c>
      <c r="I285" s="0" t="s">
        <v>1464</v>
      </c>
    </row>
    <row r="286" customFormat="false" ht="15" hidden="false" customHeight="false" outlineLevel="0" collapsed="false">
      <c r="A286" s="0" t="s">
        <v>1481</v>
      </c>
      <c r="B286" s="0" t="s">
        <v>138</v>
      </c>
      <c r="C286" s="0" t="n">
        <v>2018</v>
      </c>
      <c r="D286" s="0" t="s">
        <v>61</v>
      </c>
      <c r="E286" s="0" t="n">
        <v>1</v>
      </c>
      <c r="F286" s="0" t="s">
        <v>1461</v>
      </c>
      <c r="G286" s="0" t="s">
        <v>1467</v>
      </c>
      <c r="H286" s="0" t="s">
        <v>1484</v>
      </c>
      <c r="I286" s="0" t="s">
        <v>1485</v>
      </c>
    </row>
    <row r="287" customFormat="false" ht="15" hidden="false" customHeight="false" outlineLevel="0" collapsed="false">
      <c r="A287" s="0" t="s">
        <v>1460</v>
      </c>
      <c r="B287" s="0" t="s">
        <v>138</v>
      </c>
      <c r="C287" s="0" t="n">
        <v>2019</v>
      </c>
      <c r="D287" s="0" t="s">
        <v>247</v>
      </c>
      <c r="E287" s="0" t="n">
        <v>1</v>
      </c>
      <c r="F287" s="0" t="s">
        <v>1461</v>
      </c>
      <c r="G287" s="0" t="s">
        <v>1467</v>
      </c>
      <c r="H287" s="0" t="s">
        <v>1486</v>
      </c>
      <c r="I287" s="0" t="s">
        <v>1464</v>
      </c>
    </row>
    <row r="288" customFormat="false" ht="15" hidden="false" customHeight="false" outlineLevel="0" collapsed="false">
      <c r="A288" s="0" t="s">
        <v>1460</v>
      </c>
      <c r="B288" s="0" t="s">
        <v>138</v>
      </c>
      <c r="C288" s="0" t="n">
        <v>2019</v>
      </c>
      <c r="D288" s="0" t="s">
        <v>71</v>
      </c>
      <c r="E288" s="0" t="n">
        <v>1</v>
      </c>
      <c r="F288" s="0" t="s">
        <v>1461</v>
      </c>
      <c r="G288" s="0" t="s">
        <v>1467</v>
      </c>
      <c r="H288" s="0" t="s">
        <v>1486</v>
      </c>
      <c r="I288" s="0" t="s">
        <v>1464</v>
      </c>
    </row>
    <row r="289" customFormat="false" ht="15" hidden="false" customHeight="false" outlineLevel="0" collapsed="false">
      <c r="A289" s="0" t="s">
        <v>1460</v>
      </c>
      <c r="B289" s="0" t="s">
        <v>138</v>
      </c>
      <c r="C289" s="0" t="n">
        <v>2019</v>
      </c>
      <c r="D289" s="0" t="s">
        <v>73</v>
      </c>
      <c r="E289" s="0" t="n">
        <v>1</v>
      </c>
      <c r="F289" s="0" t="s">
        <v>1461</v>
      </c>
      <c r="G289" s="0" t="s">
        <v>1467</v>
      </c>
      <c r="H289" s="0" t="s">
        <v>1486</v>
      </c>
      <c r="I289" s="0" t="s">
        <v>1466</v>
      </c>
    </row>
    <row r="290" customFormat="false" ht="15" hidden="false" customHeight="false" outlineLevel="0" collapsed="false">
      <c r="A290" s="0" t="s">
        <v>1460</v>
      </c>
      <c r="B290" s="0" t="s">
        <v>138</v>
      </c>
      <c r="C290" s="0" t="n">
        <v>2020</v>
      </c>
      <c r="D290" s="0" t="s">
        <v>247</v>
      </c>
      <c r="E290" s="0" t="n">
        <v>1</v>
      </c>
      <c r="F290" s="0" t="s">
        <v>1461</v>
      </c>
      <c r="G290" s="0" t="s">
        <v>1467</v>
      </c>
      <c r="H290" s="0" t="s">
        <v>1486</v>
      </c>
      <c r="I290" s="0" t="s">
        <v>1464</v>
      </c>
    </row>
    <row r="291" customFormat="false" ht="15" hidden="false" customHeight="false" outlineLevel="0" collapsed="false">
      <c r="A291" s="0" t="s">
        <v>1460</v>
      </c>
      <c r="B291" s="0" t="s">
        <v>138</v>
      </c>
      <c r="C291" s="0" t="n">
        <v>2020</v>
      </c>
      <c r="D291" s="0" t="s">
        <v>64</v>
      </c>
      <c r="E291" s="0" t="n">
        <v>1</v>
      </c>
      <c r="F291" s="0" t="s">
        <v>1461</v>
      </c>
      <c r="G291" s="0" t="s">
        <v>1467</v>
      </c>
      <c r="H291" s="0" t="s">
        <v>1486</v>
      </c>
      <c r="I291" s="0" t="s">
        <v>1464</v>
      </c>
    </row>
    <row r="292" customFormat="false" ht="15" hidden="false" customHeight="false" outlineLevel="0" collapsed="false">
      <c r="A292" s="0" t="s">
        <v>1460</v>
      </c>
      <c r="B292" s="0" t="s">
        <v>138</v>
      </c>
      <c r="C292" s="0" t="n">
        <v>2020</v>
      </c>
      <c r="D292" s="0" t="s">
        <v>71</v>
      </c>
      <c r="E292" s="0" t="n">
        <v>1</v>
      </c>
      <c r="F292" s="0" t="s">
        <v>1461</v>
      </c>
      <c r="G292" s="0" t="s">
        <v>1467</v>
      </c>
      <c r="H292" s="0" t="s">
        <v>1486</v>
      </c>
      <c r="I292" s="0" t="s">
        <v>1464</v>
      </c>
    </row>
    <row r="293" customFormat="false" ht="15" hidden="false" customHeight="false" outlineLevel="0" collapsed="false">
      <c r="A293" s="0" t="s">
        <v>1460</v>
      </c>
      <c r="B293" s="0" t="s">
        <v>138</v>
      </c>
      <c r="C293" s="0" t="n">
        <v>2021</v>
      </c>
      <c r="D293" s="0" t="s">
        <v>247</v>
      </c>
      <c r="E293" s="0" t="n">
        <v>1</v>
      </c>
      <c r="F293" s="0" t="s">
        <v>1461</v>
      </c>
      <c r="G293" s="0" t="s">
        <v>1467</v>
      </c>
      <c r="H293" s="0" t="s">
        <v>1487</v>
      </c>
      <c r="I293" s="0" t="s">
        <v>1464</v>
      </c>
    </row>
    <row r="294" customFormat="false" ht="15" hidden="false" customHeight="false" outlineLevel="0" collapsed="false">
      <c r="A294" s="0" t="s">
        <v>1460</v>
      </c>
      <c r="B294" s="0" t="s">
        <v>138</v>
      </c>
      <c r="C294" s="0" t="n">
        <v>2021</v>
      </c>
      <c r="D294" s="0" t="s">
        <v>70</v>
      </c>
      <c r="E294" s="0" t="n">
        <v>1</v>
      </c>
      <c r="F294" s="0" t="s">
        <v>1461</v>
      </c>
      <c r="G294" s="0" t="s">
        <v>1467</v>
      </c>
      <c r="H294" s="0" t="s">
        <v>1487</v>
      </c>
      <c r="I294" s="0" t="s">
        <v>1464</v>
      </c>
    </row>
    <row r="295" customFormat="false" ht="15" hidden="false" customHeight="false" outlineLevel="0" collapsed="false">
      <c r="A295" s="0" t="s">
        <v>1460</v>
      </c>
      <c r="B295" s="0" t="s">
        <v>138</v>
      </c>
      <c r="C295" s="0" t="n">
        <v>2021</v>
      </c>
      <c r="D295" s="0" t="s">
        <v>71</v>
      </c>
      <c r="E295" s="0" t="n">
        <v>1</v>
      </c>
      <c r="F295" s="0" t="s">
        <v>1461</v>
      </c>
      <c r="G295" s="0" t="s">
        <v>1467</v>
      </c>
      <c r="H295" s="0" t="s">
        <v>1487</v>
      </c>
      <c r="I295" s="0" t="s">
        <v>1464</v>
      </c>
    </row>
    <row r="296" customFormat="false" ht="15" hidden="false" customHeight="false" outlineLevel="0" collapsed="false">
      <c r="A296" s="0" t="s">
        <v>1460</v>
      </c>
      <c r="B296" s="0" t="s">
        <v>138</v>
      </c>
      <c r="C296" s="0" t="n">
        <v>2021</v>
      </c>
      <c r="D296" s="0" t="s">
        <v>73</v>
      </c>
      <c r="E296" s="0" t="n">
        <v>1</v>
      </c>
      <c r="F296" s="0" t="s">
        <v>1461</v>
      </c>
      <c r="G296" s="0" t="s">
        <v>1467</v>
      </c>
      <c r="H296" s="0" t="s">
        <v>1487</v>
      </c>
      <c r="I296" s="0" t="s">
        <v>1466</v>
      </c>
    </row>
    <row r="297" customFormat="false" ht="15" hidden="false" customHeight="false" outlineLevel="0" collapsed="false">
      <c r="A297" s="0" t="s">
        <v>1460</v>
      </c>
      <c r="B297" s="0" t="s">
        <v>138</v>
      </c>
      <c r="C297" s="0" t="n">
        <v>2022</v>
      </c>
      <c r="D297" s="0" t="s">
        <v>247</v>
      </c>
      <c r="E297" s="0" t="n">
        <v>1</v>
      </c>
      <c r="F297" s="0" t="s">
        <v>1461</v>
      </c>
      <c r="G297" s="0" t="s">
        <v>1467</v>
      </c>
      <c r="H297" s="0" t="s">
        <v>1487</v>
      </c>
      <c r="I297" s="0" t="s">
        <v>1464</v>
      </c>
    </row>
    <row r="298" customFormat="false" ht="15" hidden="false" customHeight="false" outlineLevel="0" collapsed="false">
      <c r="A298" s="0" t="s">
        <v>1460</v>
      </c>
      <c r="B298" s="0" t="s">
        <v>138</v>
      </c>
      <c r="C298" s="0" t="n">
        <v>2022</v>
      </c>
      <c r="D298" s="0" t="s">
        <v>71</v>
      </c>
      <c r="E298" s="0" t="n">
        <v>1</v>
      </c>
      <c r="F298" s="0" t="s">
        <v>1461</v>
      </c>
      <c r="G298" s="0" t="s">
        <v>1467</v>
      </c>
      <c r="H298" s="0" t="s">
        <v>1487</v>
      </c>
      <c r="I298" s="0" t="s">
        <v>1464</v>
      </c>
    </row>
    <row r="299" customFormat="false" ht="15" hidden="false" customHeight="false" outlineLevel="0" collapsed="false">
      <c r="A299" s="0" t="s">
        <v>1460</v>
      </c>
      <c r="B299" s="0" t="s">
        <v>138</v>
      </c>
      <c r="C299" s="0" t="n">
        <v>2022</v>
      </c>
      <c r="D299" s="0" t="s">
        <v>68</v>
      </c>
      <c r="E299" s="0" t="n">
        <v>1</v>
      </c>
      <c r="F299" s="0" t="s">
        <v>1461</v>
      </c>
      <c r="G299" s="0" t="s">
        <v>1467</v>
      </c>
      <c r="H299" s="0" t="s">
        <v>1487</v>
      </c>
      <c r="I299" s="0" t="s">
        <v>1471</v>
      </c>
    </row>
    <row r="300" customFormat="false" ht="15" hidden="false" customHeight="false" outlineLevel="0" collapsed="false">
      <c r="A300" s="0" t="s">
        <v>1460</v>
      </c>
      <c r="B300" s="0" t="s">
        <v>152</v>
      </c>
      <c r="C300" s="0" t="n">
        <v>2018</v>
      </c>
      <c r="D300" s="0" t="s">
        <v>59</v>
      </c>
      <c r="E300" s="0" t="n">
        <v>6</v>
      </c>
      <c r="F300" s="0" t="s">
        <v>1461</v>
      </c>
      <c r="G300" s="0" t="s">
        <v>1467</v>
      </c>
      <c r="H300" s="0" t="s">
        <v>1488</v>
      </c>
      <c r="I300" s="0" t="s">
        <v>1465</v>
      </c>
    </row>
    <row r="301" customFormat="false" ht="15" hidden="false" customHeight="false" outlineLevel="0" collapsed="false">
      <c r="A301" s="0" t="s">
        <v>1460</v>
      </c>
      <c r="B301" s="0" t="s">
        <v>152</v>
      </c>
      <c r="C301" s="0" t="n">
        <v>2018</v>
      </c>
      <c r="D301" s="0" t="s">
        <v>62</v>
      </c>
      <c r="E301" s="0" t="n">
        <v>6</v>
      </c>
      <c r="F301" s="0" t="s">
        <v>1461</v>
      </c>
      <c r="G301" s="0" t="s">
        <v>1467</v>
      </c>
      <c r="H301" s="0" t="s">
        <v>1488</v>
      </c>
      <c r="I301" s="0" t="s">
        <v>1464</v>
      </c>
    </row>
    <row r="302" customFormat="false" ht="15" hidden="false" customHeight="false" outlineLevel="0" collapsed="false">
      <c r="A302" s="0" t="s">
        <v>1460</v>
      </c>
      <c r="B302" s="0" t="s">
        <v>152</v>
      </c>
      <c r="C302" s="0" t="n">
        <v>2018</v>
      </c>
      <c r="D302" s="0" t="s">
        <v>247</v>
      </c>
      <c r="E302" s="0" t="n">
        <v>6</v>
      </c>
      <c r="F302" s="0" t="s">
        <v>1461</v>
      </c>
      <c r="G302" s="0" t="s">
        <v>1467</v>
      </c>
      <c r="H302" s="0" t="s">
        <v>1488</v>
      </c>
      <c r="I302" s="0" t="s">
        <v>1464</v>
      </c>
    </row>
    <row r="303" customFormat="false" ht="15" hidden="false" customHeight="false" outlineLevel="0" collapsed="false">
      <c r="A303" s="0" t="s">
        <v>1460</v>
      </c>
      <c r="B303" s="0" t="s">
        <v>152</v>
      </c>
      <c r="C303" s="0" t="n">
        <v>2018</v>
      </c>
      <c r="D303" s="0" t="s">
        <v>64</v>
      </c>
      <c r="E303" s="0" t="n">
        <v>6</v>
      </c>
      <c r="F303" s="0" t="s">
        <v>1461</v>
      </c>
      <c r="G303" s="0" t="s">
        <v>1467</v>
      </c>
      <c r="H303" s="0" t="s">
        <v>1488</v>
      </c>
      <c r="I303" s="0" t="s">
        <v>1464</v>
      </c>
    </row>
    <row r="304" customFormat="false" ht="15" hidden="false" customHeight="false" outlineLevel="0" collapsed="false">
      <c r="A304" s="0" t="s">
        <v>1460</v>
      </c>
      <c r="B304" s="0" t="s">
        <v>152</v>
      </c>
      <c r="C304" s="0" t="n">
        <v>2018</v>
      </c>
      <c r="D304" s="0" t="s">
        <v>65</v>
      </c>
      <c r="E304" s="0" t="n">
        <v>6</v>
      </c>
      <c r="F304" s="0" t="s">
        <v>1461</v>
      </c>
      <c r="G304" s="0" t="s">
        <v>1467</v>
      </c>
      <c r="H304" s="0" t="s">
        <v>1488</v>
      </c>
      <c r="I304" s="0" t="s">
        <v>1464</v>
      </c>
    </row>
    <row r="305" customFormat="false" ht="15" hidden="false" customHeight="false" outlineLevel="0" collapsed="false">
      <c r="A305" s="0" t="s">
        <v>1460</v>
      </c>
      <c r="B305" s="0" t="s">
        <v>152</v>
      </c>
      <c r="C305" s="0" t="n">
        <v>2018</v>
      </c>
      <c r="D305" s="0" t="s">
        <v>66</v>
      </c>
      <c r="E305" s="0" t="n">
        <v>6</v>
      </c>
      <c r="F305" s="0" t="s">
        <v>1461</v>
      </c>
      <c r="G305" s="0" t="s">
        <v>1467</v>
      </c>
      <c r="H305" s="0" t="s">
        <v>1488</v>
      </c>
      <c r="I305" s="0" t="s">
        <v>1464</v>
      </c>
    </row>
    <row r="306" customFormat="false" ht="15" hidden="false" customHeight="false" outlineLevel="0" collapsed="false">
      <c r="A306" s="0" t="s">
        <v>1460</v>
      </c>
      <c r="B306" s="0" t="s">
        <v>152</v>
      </c>
      <c r="C306" s="0" t="n">
        <v>2018</v>
      </c>
      <c r="D306" s="0" t="s">
        <v>71</v>
      </c>
      <c r="E306" s="0" t="n">
        <v>6</v>
      </c>
      <c r="F306" s="0" t="s">
        <v>1461</v>
      </c>
      <c r="G306" s="0" t="s">
        <v>1467</v>
      </c>
      <c r="H306" s="0" t="s">
        <v>1488</v>
      </c>
      <c r="I306" s="0" t="s">
        <v>1464</v>
      </c>
    </row>
    <row r="307" customFormat="false" ht="15" hidden="false" customHeight="false" outlineLevel="0" collapsed="false">
      <c r="A307" s="0" t="s">
        <v>1460</v>
      </c>
      <c r="B307" s="0" t="s">
        <v>152</v>
      </c>
      <c r="C307" s="0" t="n">
        <v>2018</v>
      </c>
      <c r="D307" s="0" t="s">
        <v>73</v>
      </c>
      <c r="E307" s="0" t="n">
        <v>6</v>
      </c>
      <c r="F307" s="0" t="s">
        <v>1461</v>
      </c>
      <c r="G307" s="0" t="s">
        <v>1467</v>
      </c>
      <c r="H307" s="0" t="s">
        <v>1488</v>
      </c>
      <c r="I307" s="0" t="s">
        <v>1466</v>
      </c>
    </row>
    <row r="308" customFormat="false" ht="15" hidden="false" customHeight="false" outlineLevel="0" collapsed="false">
      <c r="A308" s="0" t="s">
        <v>1460</v>
      </c>
      <c r="B308" s="0" t="s">
        <v>152</v>
      </c>
      <c r="C308" s="0" t="n">
        <v>2018</v>
      </c>
      <c r="D308" s="0" t="s">
        <v>67</v>
      </c>
      <c r="E308" s="0" t="n">
        <v>6</v>
      </c>
      <c r="F308" s="0" t="s">
        <v>1461</v>
      </c>
      <c r="G308" s="0" t="s">
        <v>1467</v>
      </c>
      <c r="H308" s="0" t="s">
        <v>1488</v>
      </c>
      <c r="I308" s="0" t="s">
        <v>1471</v>
      </c>
    </row>
    <row r="309" customFormat="false" ht="15" hidden="false" customHeight="false" outlineLevel="0" collapsed="false">
      <c r="A309" s="0" t="s">
        <v>1460</v>
      </c>
      <c r="B309" s="0" t="s">
        <v>152</v>
      </c>
      <c r="C309" s="0" t="n">
        <v>2018</v>
      </c>
      <c r="D309" s="0" t="s">
        <v>68</v>
      </c>
      <c r="E309" s="0" t="n">
        <v>6</v>
      </c>
      <c r="F309" s="0" t="s">
        <v>1461</v>
      </c>
      <c r="G309" s="0" t="s">
        <v>1467</v>
      </c>
      <c r="H309" s="0" t="s">
        <v>1488</v>
      </c>
      <c r="I309" s="0" t="s">
        <v>1471</v>
      </c>
    </row>
    <row r="310" customFormat="false" ht="15" hidden="false" customHeight="false" outlineLevel="0" collapsed="false">
      <c r="A310" s="0" t="s">
        <v>1460</v>
      </c>
      <c r="B310" s="0" t="s">
        <v>152</v>
      </c>
      <c r="C310" s="0" t="n">
        <v>2019</v>
      </c>
      <c r="D310" s="0" t="s">
        <v>62</v>
      </c>
      <c r="E310" s="0" t="n">
        <v>6</v>
      </c>
      <c r="F310" s="0" t="s">
        <v>1461</v>
      </c>
      <c r="G310" s="0" t="s">
        <v>1467</v>
      </c>
      <c r="H310" s="0" t="s">
        <v>1488</v>
      </c>
      <c r="I310" s="0" t="s">
        <v>1464</v>
      </c>
    </row>
    <row r="311" customFormat="false" ht="15" hidden="false" customHeight="false" outlineLevel="0" collapsed="false">
      <c r="A311" s="0" t="s">
        <v>1460</v>
      </c>
      <c r="B311" s="0" t="s">
        <v>152</v>
      </c>
      <c r="C311" s="0" t="n">
        <v>2019</v>
      </c>
      <c r="D311" s="0" t="s">
        <v>247</v>
      </c>
      <c r="E311" s="0" t="n">
        <v>6</v>
      </c>
      <c r="F311" s="0" t="s">
        <v>1461</v>
      </c>
      <c r="G311" s="0" t="s">
        <v>1467</v>
      </c>
      <c r="H311" s="0" t="s">
        <v>1488</v>
      </c>
      <c r="I311" s="0" t="s">
        <v>1464</v>
      </c>
    </row>
    <row r="312" customFormat="false" ht="15" hidden="false" customHeight="false" outlineLevel="0" collapsed="false">
      <c r="A312" s="0" t="s">
        <v>1460</v>
      </c>
      <c r="B312" s="0" t="s">
        <v>152</v>
      </c>
      <c r="C312" s="0" t="n">
        <v>2019</v>
      </c>
      <c r="D312" s="0" t="s">
        <v>64</v>
      </c>
      <c r="E312" s="0" t="n">
        <v>6</v>
      </c>
      <c r="F312" s="0" t="s">
        <v>1461</v>
      </c>
      <c r="G312" s="0" t="s">
        <v>1467</v>
      </c>
      <c r="H312" s="0" t="s">
        <v>1488</v>
      </c>
      <c r="I312" s="0" t="s">
        <v>1464</v>
      </c>
    </row>
    <row r="313" customFormat="false" ht="15" hidden="false" customHeight="false" outlineLevel="0" collapsed="false">
      <c r="A313" s="0" t="s">
        <v>1460</v>
      </c>
      <c r="B313" s="0" t="s">
        <v>152</v>
      </c>
      <c r="C313" s="0" t="n">
        <v>2019</v>
      </c>
      <c r="D313" s="0" t="s">
        <v>65</v>
      </c>
      <c r="E313" s="0" t="n">
        <v>6</v>
      </c>
      <c r="F313" s="0" t="s">
        <v>1461</v>
      </c>
      <c r="G313" s="0" t="s">
        <v>1467</v>
      </c>
      <c r="H313" s="0" t="s">
        <v>1488</v>
      </c>
      <c r="I313" s="0" t="s">
        <v>1464</v>
      </c>
    </row>
    <row r="314" customFormat="false" ht="15" hidden="false" customHeight="false" outlineLevel="0" collapsed="false">
      <c r="A314" s="0" t="s">
        <v>1460</v>
      </c>
      <c r="B314" s="0" t="s">
        <v>152</v>
      </c>
      <c r="C314" s="0" t="n">
        <v>2019</v>
      </c>
      <c r="D314" s="0" t="s">
        <v>66</v>
      </c>
      <c r="E314" s="0" t="n">
        <v>6</v>
      </c>
      <c r="F314" s="0" t="s">
        <v>1461</v>
      </c>
      <c r="G314" s="0" t="s">
        <v>1467</v>
      </c>
      <c r="H314" s="0" t="s">
        <v>1488</v>
      </c>
      <c r="I314" s="0" t="s">
        <v>1464</v>
      </c>
    </row>
    <row r="315" customFormat="false" ht="15" hidden="false" customHeight="false" outlineLevel="0" collapsed="false">
      <c r="A315" s="0" t="s">
        <v>1460</v>
      </c>
      <c r="B315" s="0" t="s">
        <v>152</v>
      </c>
      <c r="C315" s="0" t="n">
        <v>2019</v>
      </c>
      <c r="D315" s="0" t="s">
        <v>71</v>
      </c>
      <c r="E315" s="0" t="n">
        <v>6</v>
      </c>
      <c r="F315" s="0" t="s">
        <v>1461</v>
      </c>
      <c r="G315" s="0" t="s">
        <v>1467</v>
      </c>
      <c r="H315" s="0" t="s">
        <v>1488</v>
      </c>
      <c r="I315" s="0" t="s">
        <v>1464</v>
      </c>
    </row>
    <row r="316" customFormat="false" ht="15" hidden="false" customHeight="false" outlineLevel="0" collapsed="false">
      <c r="A316" s="0" t="s">
        <v>1460</v>
      </c>
      <c r="B316" s="0" t="s">
        <v>152</v>
      </c>
      <c r="C316" s="0" t="n">
        <v>2019</v>
      </c>
      <c r="D316" s="0" t="s">
        <v>67</v>
      </c>
      <c r="E316" s="0" t="n">
        <v>6</v>
      </c>
      <c r="F316" s="0" t="s">
        <v>1461</v>
      </c>
      <c r="G316" s="0" t="s">
        <v>1467</v>
      </c>
      <c r="H316" s="0" t="s">
        <v>1488</v>
      </c>
      <c r="I316" s="0" t="s">
        <v>1471</v>
      </c>
    </row>
    <row r="317" customFormat="false" ht="15" hidden="false" customHeight="false" outlineLevel="0" collapsed="false">
      <c r="A317" s="0" t="s">
        <v>1460</v>
      </c>
      <c r="B317" s="0" t="s">
        <v>152</v>
      </c>
      <c r="C317" s="0" t="n">
        <v>2019</v>
      </c>
      <c r="D317" s="0" t="s">
        <v>68</v>
      </c>
      <c r="E317" s="0" t="n">
        <v>6</v>
      </c>
      <c r="F317" s="0" t="s">
        <v>1461</v>
      </c>
      <c r="G317" s="0" t="s">
        <v>1467</v>
      </c>
      <c r="H317" s="0" t="s">
        <v>1488</v>
      </c>
      <c r="I317" s="0" t="s">
        <v>1471</v>
      </c>
    </row>
    <row r="318" customFormat="false" ht="15" hidden="false" customHeight="false" outlineLevel="0" collapsed="false">
      <c r="A318" s="0" t="s">
        <v>1460</v>
      </c>
      <c r="B318" s="0" t="s">
        <v>154</v>
      </c>
      <c r="C318" s="0" t="n">
        <v>2014</v>
      </c>
      <c r="D318" s="0" t="s">
        <v>59</v>
      </c>
      <c r="E318" s="0" t="n">
        <v>1</v>
      </c>
      <c r="F318" s="0" t="s">
        <v>1461</v>
      </c>
      <c r="G318" s="0" t="s">
        <v>1467</v>
      </c>
      <c r="H318" s="0" t="s">
        <v>1489</v>
      </c>
      <c r="I318" s="0" t="s">
        <v>1465</v>
      </c>
    </row>
    <row r="319" customFormat="false" ht="15" hidden="false" customHeight="false" outlineLevel="0" collapsed="false">
      <c r="A319" s="0" t="s">
        <v>1460</v>
      </c>
      <c r="B319" s="0" t="s">
        <v>154</v>
      </c>
      <c r="C319" s="0" t="n">
        <v>2014</v>
      </c>
      <c r="D319" s="0" t="s">
        <v>62</v>
      </c>
      <c r="E319" s="0" t="n">
        <v>1</v>
      </c>
      <c r="F319" s="0" t="s">
        <v>1461</v>
      </c>
      <c r="G319" s="0" t="s">
        <v>1467</v>
      </c>
      <c r="H319" s="0" t="s">
        <v>1489</v>
      </c>
      <c r="I319" s="0" t="s">
        <v>1464</v>
      </c>
    </row>
    <row r="320" customFormat="false" ht="15" hidden="false" customHeight="false" outlineLevel="0" collapsed="false">
      <c r="A320" s="0" t="s">
        <v>1460</v>
      </c>
      <c r="B320" s="0" t="s">
        <v>154</v>
      </c>
      <c r="C320" s="0" t="n">
        <v>2014</v>
      </c>
      <c r="D320" s="0" t="s">
        <v>247</v>
      </c>
      <c r="E320" s="0" t="n">
        <v>1</v>
      </c>
      <c r="F320" s="0" t="s">
        <v>1461</v>
      </c>
      <c r="G320" s="0" t="s">
        <v>1467</v>
      </c>
      <c r="H320" s="0" t="s">
        <v>1489</v>
      </c>
      <c r="I320" s="0" t="s">
        <v>1464</v>
      </c>
    </row>
    <row r="321" customFormat="false" ht="15" hidden="false" customHeight="false" outlineLevel="0" collapsed="false">
      <c r="A321" s="0" t="s">
        <v>1460</v>
      </c>
      <c r="B321" s="0" t="s">
        <v>154</v>
      </c>
      <c r="C321" s="0" t="n">
        <v>2014</v>
      </c>
      <c r="D321" s="0" t="s">
        <v>64</v>
      </c>
      <c r="E321" s="0" t="n">
        <v>1</v>
      </c>
      <c r="F321" s="0" t="s">
        <v>1461</v>
      </c>
      <c r="G321" s="0" t="s">
        <v>1467</v>
      </c>
      <c r="H321" s="0" t="s">
        <v>1489</v>
      </c>
      <c r="I321" s="0" t="s">
        <v>1464</v>
      </c>
    </row>
    <row r="322" customFormat="false" ht="15" hidden="false" customHeight="false" outlineLevel="0" collapsed="false">
      <c r="A322" s="0" t="s">
        <v>1460</v>
      </c>
      <c r="B322" s="0" t="s">
        <v>154</v>
      </c>
      <c r="C322" s="0" t="n">
        <v>2014</v>
      </c>
      <c r="D322" s="0" t="s">
        <v>65</v>
      </c>
      <c r="E322" s="0" t="n">
        <v>1</v>
      </c>
      <c r="F322" s="0" t="s">
        <v>1461</v>
      </c>
      <c r="G322" s="0" t="s">
        <v>1467</v>
      </c>
      <c r="H322" s="0" t="s">
        <v>1489</v>
      </c>
      <c r="I322" s="0" t="s">
        <v>1464</v>
      </c>
    </row>
    <row r="323" customFormat="false" ht="15" hidden="false" customHeight="false" outlineLevel="0" collapsed="false">
      <c r="A323" s="0" t="s">
        <v>1460</v>
      </c>
      <c r="B323" s="0" t="s">
        <v>154</v>
      </c>
      <c r="C323" s="0" t="n">
        <v>2014</v>
      </c>
      <c r="D323" s="0" t="s">
        <v>66</v>
      </c>
      <c r="E323" s="0" t="n">
        <v>1</v>
      </c>
      <c r="F323" s="0" t="s">
        <v>1461</v>
      </c>
      <c r="G323" s="0" t="s">
        <v>1467</v>
      </c>
      <c r="H323" s="0" t="s">
        <v>1489</v>
      </c>
      <c r="I323" s="0" t="s">
        <v>1464</v>
      </c>
    </row>
    <row r="324" customFormat="false" ht="15" hidden="false" customHeight="false" outlineLevel="0" collapsed="false">
      <c r="A324" s="0" t="s">
        <v>1460</v>
      </c>
      <c r="B324" s="0" t="s">
        <v>154</v>
      </c>
      <c r="C324" s="0" t="n">
        <v>2014</v>
      </c>
      <c r="D324" s="0" t="s">
        <v>70</v>
      </c>
      <c r="E324" s="0" t="n">
        <v>1</v>
      </c>
      <c r="F324" s="0" t="s">
        <v>1461</v>
      </c>
      <c r="G324" s="0" t="s">
        <v>1467</v>
      </c>
      <c r="H324" s="0" t="s">
        <v>1489</v>
      </c>
      <c r="I324" s="0" t="s">
        <v>1464</v>
      </c>
    </row>
    <row r="325" customFormat="false" ht="15" hidden="false" customHeight="false" outlineLevel="0" collapsed="false">
      <c r="A325" s="0" t="s">
        <v>1460</v>
      </c>
      <c r="B325" s="0" t="s">
        <v>154</v>
      </c>
      <c r="C325" s="0" t="n">
        <v>2014</v>
      </c>
      <c r="D325" s="0" t="s">
        <v>71</v>
      </c>
      <c r="E325" s="0" t="n">
        <v>1</v>
      </c>
      <c r="F325" s="0" t="s">
        <v>1461</v>
      </c>
      <c r="G325" s="0" t="s">
        <v>1467</v>
      </c>
      <c r="H325" s="0" t="s">
        <v>1489</v>
      </c>
      <c r="I325" s="0" t="s">
        <v>1464</v>
      </c>
    </row>
    <row r="326" customFormat="false" ht="15" hidden="false" customHeight="false" outlineLevel="0" collapsed="false">
      <c r="A326" s="0" t="s">
        <v>1460</v>
      </c>
      <c r="B326" s="0" t="s">
        <v>154</v>
      </c>
      <c r="C326" s="0" t="n">
        <v>2014</v>
      </c>
      <c r="D326" s="0" t="s">
        <v>73</v>
      </c>
      <c r="E326" s="0" t="n">
        <v>1</v>
      </c>
      <c r="F326" s="0" t="s">
        <v>1461</v>
      </c>
      <c r="G326" s="0" t="s">
        <v>1467</v>
      </c>
      <c r="H326" s="0" t="s">
        <v>1489</v>
      </c>
      <c r="I326" s="0" t="s">
        <v>1466</v>
      </c>
    </row>
    <row r="327" customFormat="false" ht="15" hidden="false" customHeight="false" outlineLevel="0" collapsed="false">
      <c r="A327" s="0" t="s">
        <v>1460</v>
      </c>
      <c r="B327" s="0" t="s">
        <v>154</v>
      </c>
      <c r="C327" s="0" t="n">
        <v>2015</v>
      </c>
      <c r="D327" s="0" t="s">
        <v>62</v>
      </c>
      <c r="E327" s="0" t="n">
        <v>1</v>
      </c>
      <c r="F327" s="0" t="s">
        <v>1461</v>
      </c>
      <c r="G327" s="0" t="s">
        <v>1467</v>
      </c>
      <c r="H327" s="0" t="s">
        <v>1490</v>
      </c>
      <c r="I327" s="0" t="s">
        <v>1464</v>
      </c>
    </row>
    <row r="328" customFormat="false" ht="15" hidden="false" customHeight="false" outlineLevel="0" collapsed="false">
      <c r="A328" s="0" t="s">
        <v>1460</v>
      </c>
      <c r="B328" s="0" t="s">
        <v>154</v>
      </c>
      <c r="C328" s="0" t="n">
        <v>2015</v>
      </c>
      <c r="D328" s="0" t="s">
        <v>247</v>
      </c>
      <c r="E328" s="0" t="n">
        <v>1</v>
      </c>
      <c r="F328" s="0" t="s">
        <v>1461</v>
      </c>
      <c r="G328" s="0" t="s">
        <v>1467</v>
      </c>
      <c r="H328" s="0" t="s">
        <v>1490</v>
      </c>
      <c r="I328" s="0" t="s">
        <v>1464</v>
      </c>
    </row>
    <row r="329" customFormat="false" ht="15" hidden="false" customHeight="false" outlineLevel="0" collapsed="false">
      <c r="A329" s="0" t="s">
        <v>1460</v>
      </c>
      <c r="B329" s="0" t="s">
        <v>154</v>
      </c>
      <c r="C329" s="0" t="n">
        <v>2015</v>
      </c>
      <c r="D329" s="0" t="s">
        <v>64</v>
      </c>
      <c r="E329" s="0" t="n">
        <v>1</v>
      </c>
      <c r="F329" s="0" t="s">
        <v>1461</v>
      </c>
      <c r="G329" s="0" t="s">
        <v>1467</v>
      </c>
      <c r="H329" s="0" t="s">
        <v>1490</v>
      </c>
      <c r="I329" s="0" t="s">
        <v>1464</v>
      </c>
    </row>
    <row r="330" customFormat="false" ht="15" hidden="false" customHeight="false" outlineLevel="0" collapsed="false">
      <c r="A330" s="0" t="s">
        <v>1460</v>
      </c>
      <c r="B330" s="0" t="s">
        <v>154</v>
      </c>
      <c r="C330" s="0" t="n">
        <v>2015</v>
      </c>
      <c r="D330" s="0" t="s">
        <v>65</v>
      </c>
      <c r="E330" s="0" t="n">
        <v>1</v>
      </c>
      <c r="F330" s="0" t="s">
        <v>1461</v>
      </c>
      <c r="G330" s="0" t="s">
        <v>1467</v>
      </c>
      <c r="H330" s="0" t="s">
        <v>1490</v>
      </c>
      <c r="I330" s="0" t="s">
        <v>1464</v>
      </c>
    </row>
    <row r="331" customFormat="false" ht="15" hidden="false" customHeight="false" outlineLevel="0" collapsed="false">
      <c r="A331" s="0" t="s">
        <v>1460</v>
      </c>
      <c r="B331" s="0" t="s">
        <v>154</v>
      </c>
      <c r="C331" s="0" t="n">
        <v>2015</v>
      </c>
      <c r="D331" s="0" t="s">
        <v>66</v>
      </c>
      <c r="E331" s="0" t="n">
        <v>1</v>
      </c>
      <c r="F331" s="0" t="s">
        <v>1461</v>
      </c>
      <c r="G331" s="0" t="s">
        <v>1467</v>
      </c>
      <c r="H331" s="0" t="s">
        <v>1490</v>
      </c>
      <c r="I331" s="0" t="s">
        <v>1464</v>
      </c>
    </row>
    <row r="332" customFormat="false" ht="15" hidden="false" customHeight="false" outlineLevel="0" collapsed="false">
      <c r="A332" s="0" t="s">
        <v>1460</v>
      </c>
      <c r="B332" s="0" t="s">
        <v>154</v>
      </c>
      <c r="C332" s="0" t="n">
        <v>2015</v>
      </c>
      <c r="D332" s="0" t="s">
        <v>70</v>
      </c>
      <c r="E332" s="0" t="n">
        <v>1</v>
      </c>
      <c r="F332" s="0" t="s">
        <v>1461</v>
      </c>
      <c r="G332" s="0" t="s">
        <v>1467</v>
      </c>
      <c r="H332" s="0" t="s">
        <v>1490</v>
      </c>
      <c r="I332" s="0" t="s">
        <v>1464</v>
      </c>
    </row>
    <row r="333" customFormat="false" ht="15" hidden="false" customHeight="false" outlineLevel="0" collapsed="false">
      <c r="A333" s="0" t="s">
        <v>1460</v>
      </c>
      <c r="B333" s="0" t="s">
        <v>154</v>
      </c>
      <c r="C333" s="0" t="n">
        <v>2015</v>
      </c>
      <c r="D333" s="0" t="s">
        <v>71</v>
      </c>
      <c r="E333" s="0" t="n">
        <v>1</v>
      </c>
      <c r="F333" s="0" t="s">
        <v>1461</v>
      </c>
      <c r="G333" s="0" t="s">
        <v>1467</v>
      </c>
      <c r="H333" s="0" t="s">
        <v>1490</v>
      </c>
      <c r="I333" s="0" t="s">
        <v>1464</v>
      </c>
    </row>
    <row r="334" customFormat="false" ht="15" hidden="false" customHeight="false" outlineLevel="0" collapsed="false">
      <c r="A334" s="0" t="s">
        <v>1460</v>
      </c>
      <c r="B334" s="0" t="s">
        <v>154</v>
      </c>
      <c r="C334" s="0" t="n">
        <v>2015</v>
      </c>
      <c r="D334" s="0" t="s">
        <v>73</v>
      </c>
      <c r="E334" s="0" t="n">
        <v>1</v>
      </c>
      <c r="F334" s="0" t="s">
        <v>1461</v>
      </c>
      <c r="G334" s="0" t="s">
        <v>1467</v>
      </c>
      <c r="H334" s="0" t="s">
        <v>1490</v>
      </c>
      <c r="I334" s="0" t="s">
        <v>1466</v>
      </c>
    </row>
    <row r="335" customFormat="false" ht="15" hidden="false" customHeight="false" outlineLevel="0" collapsed="false">
      <c r="A335" s="0" t="s">
        <v>1460</v>
      </c>
      <c r="B335" s="0" t="s">
        <v>154</v>
      </c>
      <c r="C335" s="0" t="n">
        <v>2016</v>
      </c>
      <c r="D335" s="0" t="s">
        <v>60</v>
      </c>
      <c r="E335" s="0" t="n">
        <v>1</v>
      </c>
      <c r="F335" s="0" t="s">
        <v>1461</v>
      </c>
      <c r="G335" s="0" t="s">
        <v>1467</v>
      </c>
      <c r="H335" s="0" t="s">
        <v>1491</v>
      </c>
      <c r="I335" s="0" t="s">
        <v>1464</v>
      </c>
    </row>
    <row r="336" customFormat="false" ht="15" hidden="false" customHeight="false" outlineLevel="0" collapsed="false">
      <c r="A336" s="0" t="s">
        <v>1460</v>
      </c>
      <c r="B336" s="0" t="s">
        <v>154</v>
      </c>
      <c r="C336" s="0" t="n">
        <v>2016</v>
      </c>
      <c r="D336" s="0" t="s">
        <v>62</v>
      </c>
      <c r="E336" s="0" t="n">
        <v>1</v>
      </c>
      <c r="F336" s="0" t="s">
        <v>1461</v>
      </c>
      <c r="G336" s="0" t="s">
        <v>1467</v>
      </c>
      <c r="H336" s="0" t="s">
        <v>1491</v>
      </c>
      <c r="I336" s="0" t="s">
        <v>1464</v>
      </c>
    </row>
    <row r="337" customFormat="false" ht="15" hidden="false" customHeight="false" outlineLevel="0" collapsed="false">
      <c r="A337" s="0" t="s">
        <v>1460</v>
      </c>
      <c r="B337" s="0" t="s">
        <v>154</v>
      </c>
      <c r="C337" s="0" t="n">
        <v>2016</v>
      </c>
      <c r="D337" s="0" t="s">
        <v>61</v>
      </c>
      <c r="E337" s="0" t="n">
        <v>1</v>
      </c>
      <c r="F337" s="0" t="s">
        <v>1461</v>
      </c>
      <c r="G337" s="0" t="s">
        <v>1467</v>
      </c>
      <c r="H337" s="0" t="s">
        <v>1491</v>
      </c>
      <c r="I337" s="0" t="s">
        <v>1464</v>
      </c>
    </row>
    <row r="338" customFormat="false" ht="15" hidden="false" customHeight="false" outlineLevel="0" collapsed="false">
      <c r="A338" s="0" t="s">
        <v>1460</v>
      </c>
      <c r="B338" s="0" t="s">
        <v>154</v>
      </c>
      <c r="C338" s="0" t="n">
        <v>2016</v>
      </c>
      <c r="D338" s="0" t="s">
        <v>247</v>
      </c>
      <c r="E338" s="0" t="n">
        <v>1</v>
      </c>
      <c r="F338" s="0" t="s">
        <v>1461</v>
      </c>
      <c r="G338" s="0" t="s">
        <v>1467</v>
      </c>
      <c r="H338" s="0" t="s">
        <v>1491</v>
      </c>
      <c r="I338" s="0" t="s">
        <v>1464</v>
      </c>
    </row>
    <row r="339" customFormat="false" ht="15" hidden="false" customHeight="false" outlineLevel="0" collapsed="false">
      <c r="A339" s="0" t="s">
        <v>1460</v>
      </c>
      <c r="B339" s="0" t="s">
        <v>154</v>
      </c>
      <c r="C339" s="0" t="n">
        <v>2016</v>
      </c>
      <c r="D339" s="0" t="s">
        <v>64</v>
      </c>
      <c r="E339" s="0" t="n">
        <v>1</v>
      </c>
      <c r="F339" s="0" t="s">
        <v>1461</v>
      </c>
      <c r="G339" s="0" t="s">
        <v>1467</v>
      </c>
      <c r="H339" s="0" t="s">
        <v>1491</v>
      </c>
      <c r="I339" s="0" t="s">
        <v>1464</v>
      </c>
    </row>
    <row r="340" customFormat="false" ht="15" hidden="false" customHeight="false" outlineLevel="0" collapsed="false">
      <c r="A340" s="0" t="s">
        <v>1460</v>
      </c>
      <c r="B340" s="0" t="s">
        <v>154</v>
      </c>
      <c r="C340" s="0" t="n">
        <v>2016</v>
      </c>
      <c r="D340" s="0" t="s">
        <v>69</v>
      </c>
      <c r="E340" s="0" t="n">
        <v>1</v>
      </c>
      <c r="F340" s="0" t="s">
        <v>1461</v>
      </c>
      <c r="G340" s="0" t="s">
        <v>1467</v>
      </c>
      <c r="H340" s="0" t="s">
        <v>1491</v>
      </c>
      <c r="I340" s="0" t="s">
        <v>1464</v>
      </c>
    </row>
    <row r="341" customFormat="false" ht="15" hidden="false" customHeight="false" outlineLevel="0" collapsed="false">
      <c r="A341" s="0" t="s">
        <v>1460</v>
      </c>
      <c r="B341" s="0" t="s">
        <v>154</v>
      </c>
      <c r="C341" s="0" t="n">
        <v>2016</v>
      </c>
      <c r="D341" s="0" t="s">
        <v>65</v>
      </c>
      <c r="E341" s="0" t="n">
        <v>1</v>
      </c>
      <c r="F341" s="0" t="s">
        <v>1461</v>
      </c>
      <c r="G341" s="0" t="s">
        <v>1467</v>
      </c>
      <c r="H341" s="0" t="s">
        <v>1491</v>
      </c>
      <c r="I341" s="0" t="s">
        <v>1464</v>
      </c>
    </row>
    <row r="342" customFormat="false" ht="15" hidden="false" customHeight="false" outlineLevel="0" collapsed="false">
      <c r="A342" s="0" t="s">
        <v>1460</v>
      </c>
      <c r="B342" s="0" t="s">
        <v>154</v>
      </c>
      <c r="C342" s="0" t="n">
        <v>2016</v>
      </c>
      <c r="D342" s="0" t="s">
        <v>66</v>
      </c>
      <c r="E342" s="0" t="n">
        <v>1</v>
      </c>
      <c r="F342" s="0" t="s">
        <v>1461</v>
      </c>
      <c r="G342" s="0" t="s">
        <v>1467</v>
      </c>
      <c r="H342" s="0" t="s">
        <v>1491</v>
      </c>
      <c r="I342" s="0" t="s">
        <v>1464</v>
      </c>
    </row>
    <row r="343" customFormat="false" ht="15" hidden="false" customHeight="false" outlineLevel="0" collapsed="false">
      <c r="A343" s="0" t="s">
        <v>1460</v>
      </c>
      <c r="B343" s="0" t="s">
        <v>154</v>
      </c>
      <c r="C343" s="0" t="n">
        <v>2016</v>
      </c>
      <c r="D343" s="0" t="s">
        <v>70</v>
      </c>
      <c r="E343" s="0" t="n">
        <v>1</v>
      </c>
      <c r="F343" s="0" t="s">
        <v>1461</v>
      </c>
      <c r="G343" s="0" t="s">
        <v>1467</v>
      </c>
      <c r="H343" s="0" t="s">
        <v>1491</v>
      </c>
      <c r="I343" s="0" t="s">
        <v>1464</v>
      </c>
    </row>
    <row r="344" customFormat="false" ht="15" hidden="false" customHeight="false" outlineLevel="0" collapsed="false">
      <c r="A344" s="0" t="s">
        <v>1460</v>
      </c>
      <c r="B344" s="0" t="s">
        <v>154</v>
      </c>
      <c r="C344" s="0" t="n">
        <v>2016</v>
      </c>
      <c r="D344" s="0" t="s">
        <v>71</v>
      </c>
      <c r="E344" s="0" t="n">
        <v>1</v>
      </c>
      <c r="F344" s="0" t="s">
        <v>1461</v>
      </c>
      <c r="G344" s="0" t="s">
        <v>1467</v>
      </c>
      <c r="H344" s="0" t="s">
        <v>1491</v>
      </c>
      <c r="I344" s="0" t="s">
        <v>1464</v>
      </c>
    </row>
    <row r="345" customFormat="false" ht="15" hidden="false" customHeight="false" outlineLevel="0" collapsed="false">
      <c r="A345" s="0" t="s">
        <v>1460</v>
      </c>
      <c r="B345" s="0" t="s">
        <v>154</v>
      </c>
      <c r="C345" s="0" t="n">
        <v>2017</v>
      </c>
      <c r="D345" s="0" t="s">
        <v>62</v>
      </c>
      <c r="E345" s="0" t="n">
        <v>1</v>
      </c>
      <c r="F345" s="0" t="s">
        <v>1461</v>
      </c>
      <c r="G345" s="0" t="s">
        <v>1467</v>
      </c>
      <c r="H345" s="0" t="s">
        <v>1492</v>
      </c>
      <c r="I345" s="0" t="s">
        <v>1464</v>
      </c>
    </row>
    <row r="346" customFormat="false" ht="15" hidden="false" customHeight="false" outlineLevel="0" collapsed="false">
      <c r="A346" s="0" t="s">
        <v>1460</v>
      </c>
      <c r="B346" s="0" t="s">
        <v>154</v>
      </c>
      <c r="C346" s="0" t="n">
        <v>2017</v>
      </c>
      <c r="D346" s="0" t="s">
        <v>247</v>
      </c>
      <c r="E346" s="0" t="n">
        <v>1</v>
      </c>
      <c r="F346" s="0" t="s">
        <v>1461</v>
      </c>
      <c r="G346" s="0" t="s">
        <v>1467</v>
      </c>
      <c r="H346" s="0" t="s">
        <v>1492</v>
      </c>
      <c r="I346" s="0" t="s">
        <v>1464</v>
      </c>
    </row>
    <row r="347" customFormat="false" ht="15" hidden="false" customHeight="false" outlineLevel="0" collapsed="false">
      <c r="A347" s="0" t="s">
        <v>1460</v>
      </c>
      <c r="B347" s="0" t="s">
        <v>154</v>
      </c>
      <c r="C347" s="0" t="n">
        <v>2017</v>
      </c>
      <c r="D347" s="0" t="s">
        <v>64</v>
      </c>
      <c r="E347" s="0" t="n">
        <v>1</v>
      </c>
      <c r="F347" s="0" t="s">
        <v>1461</v>
      </c>
      <c r="G347" s="0" t="s">
        <v>1467</v>
      </c>
      <c r="H347" s="0" t="s">
        <v>1492</v>
      </c>
      <c r="I347" s="0" t="s">
        <v>1464</v>
      </c>
    </row>
    <row r="348" customFormat="false" ht="15" hidden="false" customHeight="false" outlineLevel="0" collapsed="false">
      <c r="A348" s="0" t="s">
        <v>1460</v>
      </c>
      <c r="B348" s="0" t="s">
        <v>154</v>
      </c>
      <c r="C348" s="0" t="n">
        <v>2017</v>
      </c>
      <c r="D348" s="0" t="s">
        <v>65</v>
      </c>
      <c r="E348" s="0" t="n">
        <v>1</v>
      </c>
      <c r="F348" s="0" t="s">
        <v>1461</v>
      </c>
      <c r="G348" s="0" t="s">
        <v>1467</v>
      </c>
      <c r="H348" s="0" t="s">
        <v>1492</v>
      </c>
      <c r="I348" s="0" t="s">
        <v>1464</v>
      </c>
    </row>
    <row r="349" customFormat="false" ht="15" hidden="false" customHeight="false" outlineLevel="0" collapsed="false">
      <c r="A349" s="0" t="s">
        <v>1460</v>
      </c>
      <c r="B349" s="0" t="s">
        <v>154</v>
      </c>
      <c r="C349" s="0" t="n">
        <v>2017</v>
      </c>
      <c r="D349" s="0" t="s">
        <v>66</v>
      </c>
      <c r="E349" s="0" t="n">
        <v>1</v>
      </c>
      <c r="F349" s="0" t="s">
        <v>1461</v>
      </c>
      <c r="G349" s="0" t="s">
        <v>1467</v>
      </c>
      <c r="H349" s="0" t="s">
        <v>1492</v>
      </c>
      <c r="I349" s="0" t="s">
        <v>1464</v>
      </c>
    </row>
    <row r="350" customFormat="false" ht="15" hidden="false" customHeight="false" outlineLevel="0" collapsed="false">
      <c r="A350" s="0" t="s">
        <v>1460</v>
      </c>
      <c r="B350" s="0" t="s">
        <v>154</v>
      </c>
      <c r="C350" s="0" t="n">
        <v>2017</v>
      </c>
      <c r="D350" s="0" t="s">
        <v>70</v>
      </c>
      <c r="E350" s="0" t="n">
        <v>1</v>
      </c>
      <c r="F350" s="0" t="s">
        <v>1461</v>
      </c>
      <c r="G350" s="0" t="s">
        <v>1467</v>
      </c>
      <c r="H350" s="0" t="s">
        <v>1492</v>
      </c>
      <c r="I350" s="0" t="s">
        <v>1464</v>
      </c>
    </row>
    <row r="351" customFormat="false" ht="15" hidden="false" customHeight="false" outlineLevel="0" collapsed="false">
      <c r="A351" s="0" t="s">
        <v>1460</v>
      </c>
      <c r="B351" s="0" t="s">
        <v>154</v>
      </c>
      <c r="C351" s="0" t="n">
        <v>2017</v>
      </c>
      <c r="D351" s="0" t="s">
        <v>73</v>
      </c>
      <c r="E351" s="0" t="n">
        <v>1</v>
      </c>
      <c r="F351" s="0" t="s">
        <v>1461</v>
      </c>
      <c r="G351" s="0" t="s">
        <v>1467</v>
      </c>
      <c r="H351" s="0" t="s">
        <v>1492</v>
      </c>
      <c r="I351" s="0" t="s">
        <v>1466</v>
      </c>
    </row>
    <row r="352" customFormat="false" ht="15" hidden="false" customHeight="false" outlineLevel="0" collapsed="false">
      <c r="A352" s="0" t="s">
        <v>1460</v>
      </c>
      <c r="B352" s="0" t="s">
        <v>154</v>
      </c>
      <c r="C352" s="0" t="n">
        <v>2018</v>
      </c>
      <c r="D352" s="0" t="s">
        <v>62</v>
      </c>
      <c r="E352" s="0" t="n">
        <v>1</v>
      </c>
      <c r="F352" s="0" t="s">
        <v>1461</v>
      </c>
      <c r="G352" s="0" t="s">
        <v>1467</v>
      </c>
      <c r="H352" s="0" t="s">
        <v>1492</v>
      </c>
      <c r="I352" s="0" t="s">
        <v>1464</v>
      </c>
    </row>
    <row r="353" customFormat="false" ht="15" hidden="false" customHeight="false" outlineLevel="0" collapsed="false">
      <c r="A353" s="0" t="s">
        <v>1460</v>
      </c>
      <c r="B353" s="0" t="s">
        <v>154</v>
      </c>
      <c r="C353" s="0" t="n">
        <v>2018</v>
      </c>
      <c r="D353" s="0" t="s">
        <v>247</v>
      </c>
      <c r="E353" s="0" t="n">
        <v>1</v>
      </c>
      <c r="F353" s="0" t="s">
        <v>1461</v>
      </c>
      <c r="G353" s="0" t="s">
        <v>1467</v>
      </c>
      <c r="H353" s="0" t="s">
        <v>1492</v>
      </c>
      <c r="I353" s="0" t="s">
        <v>1464</v>
      </c>
    </row>
    <row r="354" customFormat="false" ht="15" hidden="false" customHeight="false" outlineLevel="0" collapsed="false">
      <c r="A354" s="0" t="s">
        <v>1460</v>
      </c>
      <c r="B354" s="0" t="s">
        <v>154</v>
      </c>
      <c r="C354" s="0" t="n">
        <v>2018</v>
      </c>
      <c r="D354" s="0" t="s">
        <v>64</v>
      </c>
      <c r="E354" s="0" t="n">
        <v>1</v>
      </c>
      <c r="F354" s="0" t="s">
        <v>1461</v>
      </c>
      <c r="G354" s="0" t="s">
        <v>1467</v>
      </c>
      <c r="H354" s="0" t="s">
        <v>1492</v>
      </c>
      <c r="I354" s="0" t="s">
        <v>1464</v>
      </c>
    </row>
    <row r="355" customFormat="false" ht="15" hidden="false" customHeight="false" outlineLevel="0" collapsed="false">
      <c r="A355" s="0" t="s">
        <v>1460</v>
      </c>
      <c r="B355" s="0" t="s">
        <v>154</v>
      </c>
      <c r="C355" s="0" t="n">
        <v>2018</v>
      </c>
      <c r="D355" s="0" t="s">
        <v>65</v>
      </c>
      <c r="E355" s="0" t="n">
        <v>1</v>
      </c>
      <c r="F355" s="0" t="s">
        <v>1461</v>
      </c>
      <c r="G355" s="0" t="s">
        <v>1467</v>
      </c>
      <c r="H355" s="0" t="s">
        <v>1492</v>
      </c>
      <c r="I355" s="0" t="s">
        <v>1464</v>
      </c>
    </row>
    <row r="356" customFormat="false" ht="15" hidden="false" customHeight="false" outlineLevel="0" collapsed="false">
      <c r="A356" s="0" t="s">
        <v>1460</v>
      </c>
      <c r="B356" s="0" t="s">
        <v>154</v>
      </c>
      <c r="C356" s="0" t="n">
        <v>2018</v>
      </c>
      <c r="D356" s="0" t="s">
        <v>66</v>
      </c>
      <c r="E356" s="0" t="n">
        <v>1</v>
      </c>
      <c r="F356" s="0" t="s">
        <v>1461</v>
      </c>
      <c r="G356" s="0" t="s">
        <v>1467</v>
      </c>
      <c r="H356" s="0" t="s">
        <v>1492</v>
      </c>
      <c r="I356" s="0" t="s">
        <v>1464</v>
      </c>
    </row>
    <row r="357" customFormat="false" ht="15" hidden="false" customHeight="false" outlineLevel="0" collapsed="false">
      <c r="A357" s="0" t="s">
        <v>1460</v>
      </c>
      <c r="B357" s="0" t="s">
        <v>154</v>
      </c>
      <c r="C357" s="0" t="n">
        <v>2018</v>
      </c>
      <c r="D357" s="0" t="s">
        <v>70</v>
      </c>
      <c r="E357" s="0" t="n">
        <v>1</v>
      </c>
      <c r="F357" s="0" t="s">
        <v>1461</v>
      </c>
      <c r="G357" s="0" t="s">
        <v>1467</v>
      </c>
      <c r="H357" s="0" t="s">
        <v>1492</v>
      </c>
      <c r="I357" s="0" t="s">
        <v>1464</v>
      </c>
    </row>
    <row r="358" customFormat="false" ht="15" hidden="false" customHeight="false" outlineLevel="0" collapsed="false">
      <c r="A358" s="0" t="s">
        <v>1460</v>
      </c>
      <c r="B358" s="0" t="s">
        <v>154</v>
      </c>
      <c r="C358" s="0" t="n">
        <v>2018</v>
      </c>
      <c r="D358" s="0" t="s">
        <v>67</v>
      </c>
      <c r="E358" s="0" t="n">
        <v>1</v>
      </c>
      <c r="F358" s="0" t="s">
        <v>1461</v>
      </c>
      <c r="G358" s="0" t="s">
        <v>1467</v>
      </c>
      <c r="H358" s="0" t="s">
        <v>1492</v>
      </c>
      <c r="I358" s="0" t="s">
        <v>1471</v>
      </c>
    </row>
    <row r="359" customFormat="false" ht="15" hidden="false" customHeight="false" outlineLevel="0" collapsed="false">
      <c r="A359" s="0" t="s">
        <v>1460</v>
      </c>
      <c r="B359" s="0" t="s">
        <v>154</v>
      </c>
      <c r="C359" s="0" t="n">
        <v>2018</v>
      </c>
      <c r="D359" s="0" t="s">
        <v>68</v>
      </c>
      <c r="E359" s="0" t="n">
        <v>1</v>
      </c>
      <c r="F359" s="0" t="s">
        <v>1461</v>
      </c>
      <c r="G359" s="0" t="s">
        <v>1467</v>
      </c>
      <c r="H359" s="0" t="s">
        <v>1492</v>
      </c>
      <c r="I359" s="0" t="s">
        <v>1471</v>
      </c>
    </row>
    <row r="360" customFormat="false" ht="15" hidden="false" customHeight="false" outlineLevel="0" collapsed="false">
      <c r="A360" s="0" t="s">
        <v>1460</v>
      </c>
      <c r="B360" s="0" t="s">
        <v>154</v>
      </c>
      <c r="C360" s="0" t="n">
        <v>2019</v>
      </c>
      <c r="D360" s="0" t="s">
        <v>247</v>
      </c>
      <c r="E360" s="0" t="n">
        <v>1</v>
      </c>
      <c r="F360" s="0" t="s">
        <v>1461</v>
      </c>
      <c r="G360" s="0" t="s">
        <v>1467</v>
      </c>
      <c r="H360" s="0" t="s">
        <v>1493</v>
      </c>
      <c r="I360" s="0" t="s">
        <v>1464</v>
      </c>
    </row>
    <row r="361" customFormat="false" ht="15" hidden="false" customHeight="false" outlineLevel="0" collapsed="false">
      <c r="A361" s="0" t="s">
        <v>1460</v>
      </c>
      <c r="B361" s="0" t="s">
        <v>154</v>
      </c>
      <c r="C361" s="0" t="n">
        <v>2019</v>
      </c>
      <c r="D361" s="0" t="s">
        <v>64</v>
      </c>
      <c r="E361" s="0" t="n">
        <v>1</v>
      </c>
      <c r="F361" s="0" t="s">
        <v>1461</v>
      </c>
      <c r="G361" s="0" t="s">
        <v>1467</v>
      </c>
      <c r="H361" s="0" t="s">
        <v>1493</v>
      </c>
      <c r="I361" s="0" t="s">
        <v>1464</v>
      </c>
    </row>
    <row r="362" customFormat="false" ht="15" hidden="false" customHeight="false" outlineLevel="0" collapsed="false">
      <c r="A362" s="0" t="s">
        <v>1460</v>
      </c>
      <c r="B362" s="0" t="s">
        <v>154</v>
      </c>
      <c r="C362" s="0" t="n">
        <v>2019</v>
      </c>
      <c r="D362" s="0" t="s">
        <v>70</v>
      </c>
      <c r="E362" s="0" t="n">
        <v>1</v>
      </c>
      <c r="F362" s="0" t="s">
        <v>1461</v>
      </c>
      <c r="G362" s="0" t="s">
        <v>1467</v>
      </c>
      <c r="H362" s="0" t="s">
        <v>1493</v>
      </c>
      <c r="I362" s="0" t="s">
        <v>1464</v>
      </c>
    </row>
    <row r="363" customFormat="false" ht="15" hidden="false" customHeight="false" outlineLevel="0" collapsed="false">
      <c r="A363" s="0" t="s">
        <v>1460</v>
      </c>
      <c r="B363" s="0" t="s">
        <v>154</v>
      </c>
      <c r="C363" s="0" t="n">
        <v>2019</v>
      </c>
      <c r="D363" s="0" t="s">
        <v>71</v>
      </c>
      <c r="E363" s="0" t="n">
        <v>1</v>
      </c>
      <c r="F363" s="0" t="s">
        <v>1461</v>
      </c>
      <c r="G363" s="0" t="s">
        <v>1467</v>
      </c>
      <c r="H363" s="0" t="s">
        <v>1493</v>
      </c>
      <c r="I363" s="0" t="s">
        <v>1464</v>
      </c>
    </row>
    <row r="364" customFormat="false" ht="15" hidden="false" customHeight="false" outlineLevel="0" collapsed="false">
      <c r="A364" s="0" t="s">
        <v>1460</v>
      </c>
      <c r="B364" s="0" t="s">
        <v>154</v>
      </c>
      <c r="C364" s="0" t="n">
        <v>2019</v>
      </c>
      <c r="D364" s="0" t="s">
        <v>73</v>
      </c>
      <c r="E364" s="0" t="n">
        <v>1</v>
      </c>
      <c r="F364" s="0" t="s">
        <v>1461</v>
      </c>
      <c r="G364" s="0" t="s">
        <v>1467</v>
      </c>
      <c r="H364" s="0" t="s">
        <v>1493</v>
      </c>
      <c r="I364" s="0" t="s">
        <v>1466</v>
      </c>
    </row>
    <row r="365" customFormat="false" ht="15" hidden="false" customHeight="false" outlineLevel="0" collapsed="false">
      <c r="A365" s="0" t="s">
        <v>1460</v>
      </c>
      <c r="B365" s="0" t="s">
        <v>154</v>
      </c>
      <c r="C365" s="0" t="n">
        <v>2019</v>
      </c>
      <c r="D365" s="0" t="s">
        <v>67</v>
      </c>
      <c r="E365" s="0" t="n">
        <v>1</v>
      </c>
      <c r="F365" s="0" t="s">
        <v>1461</v>
      </c>
      <c r="G365" s="0" t="s">
        <v>1467</v>
      </c>
      <c r="H365" s="0" t="s">
        <v>1493</v>
      </c>
      <c r="I365" s="0" t="s">
        <v>1471</v>
      </c>
    </row>
    <row r="366" customFormat="false" ht="15" hidden="false" customHeight="false" outlineLevel="0" collapsed="false">
      <c r="A366" s="0" t="s">
        <v>1460</v>
      </c>
      <c r="B366" s="0" t="s">
        <v>154</v>
      </c>
      <c r="C366" s="0" t="n">
        <v>2020</v>
      </c>
      <c r="D366" s="0" t="s">
        <v>247</v>
      </c>
      <c r="E366" s="0" t="n">
        <v>1</v>
      </c>
      <c r="F366" s="0" t="s">
        <v>1461</v>
      </c>
      <c r="G366" s="0" t="s">
        <v>1467</v>
      </c>
      <c r="H366" s="0" t="s">
        <v>1493</v>
      </c>
      <c r="I366" s="0" t="s">
        <v>1464</v>
      </c>
    </row>
    <row r="367" customFormat="false" ht="15" hidden="false" customHeight="false" outlineLevel="0" collapsed="false">
      <c r="A367" s="0" t="s">
        <v>1460</v>
      </c>
      <c r="B367" s="0" t="s">
        <v>154</v>
      </c>
      <c r="C367" s="0" t="n">
        <v>2020</v>
      </c>
      <c r="D367" s="0" t="s">
        <v>64</v>
      </c>
      <c r="E367" s="0" t="n">
        <v>1</v>
      </c>
      <c r="F367" s="0" t="s">
        <v>1461</v>
      </c>
      <c r="G367" s="0" t="s">
        <v>1467</v>
      </c>
      <c r="H367" s="0" t="s">
        <v>1493</v>
      </c>
      <c r="I367" s="0" t="s">
        <v>1464</v>
      </c>
    </row>
    <row r="368" customFormat="false" ht="15" hidden="false" customHeight="false" outlineLevel="0" collapsed="false">
      <c r="A368" s="0" t="s">
        <v>1460</v>
      </c>
      <c r="B368" s="0" t="s">
        <v>154</v>
      </c>
      <c r="C368" s="0" t="n">
        <v>2020</v>
      </c>
      <c r="D368" s="0" t="s">
        <v>70</v>
      </c>
      <c r="E368" s="0" t="n">
        <v>1</v>
      </c>
      <c r="F368" s="0" t="s">
        <v>1461</v>
      </c>
      <c r="G368" s="0" t="s">
        <v>1467</v>
      </c>
      <c r="H368" s="0" t="s">
        <v>1493</v>
      </c>
      <c r="I368" s="0" t="s">
        <v>1464</v>
      </c>
    </row>
    <row r="369" customFormat="false" ht="15" hidden="false" customHeight="false" outlineLevel="0" collapsed="false">
      <c r="A369" s="0" t="s">
        <v>1460</v>
      </c>
      <c r="B369" s="0" t="s">
        <v>154</v>
      </c>
      <c r="C369" s="0" t="n">
        <v>2020</v>
      </c>
      <c r="D369" s="0" t="s">
        <v>71</v>
      </c>
      <c r="E369" s="0" t="n">
        <v>1</v>
      </c>
      <c r="F369" s="0" t="s">
        <v>1461</v>
      </c>
      <c r="G369" s="0" t="s">
        <v>1467</v>
      </c>
      <c r="H369" s="0" t="s">
        <v>1493</v>
      </c>
      <c r="I369" s="0" t="s">
        <v>1464</v>
      </c>
    </row>
    <row r="370" customFormat="false" ht="15" hidden="false" customHeight="false" outlineLevel="0" collapsed="false">
      <c r="A370" s="0" t="s">
        <v>1460</v>
      </c>
      <c r="B370" s="0" t="s">
        <v>154</v>
      </c>
      <c r="C370" s="0" t="n">
        <v>2020</v>
      </c>
      <c r="D370" s="0" t="s">
        <v>67</v>
      </c>
      <c r="E370" s="0" t="n">
        <v>1</v>
      </c>
      <c r="F370" s="0" t="s">
        <v>1461</v>
      </c>
      <c r="G370" s="0" t="s">
        <v>1467</v>
      </c>
      <c r="H370" s="0" t="s">
        <v>1493</v>
      </c>
      <c r="I370" s="0" t="s">
        <v>1471</v>
      </c>
    </row>
    <row r="371" customFormat="false" ht="15" hidden="false" customHeight="false" outlineLevel="0" collapsed="false">
      <c r="A371" s="0" t="s">
        <v>1460</v>
      </c>
      <c r="B371" s="0" t="s">
        <v>154</v>
      </c>
      <c r="C371" s="0" t="n">
        <v>2022</v>
      </c>
      <c r="D371" s="0" t="s">
        <v>59</v>
      </c>
      <c r="E371" s="0" t="n">
        <v>1</v>
      </c>
      <c r="F371" s="0" t="s">
        <v>1461</v>
      </c>
      <c r="G371" s="0" t="s">
        <v>1467</v>
      </c>
      <c r="H371" s="0" t="s">
        <v>1494</v>
      </c>
      <c r="I371" s="0" t="s">
        <v>1465</v>
      </c>
    </row>
    <row r="372" customFormat="false" ht="15" hidden="false" customHeight="false" outlineLevel="0" collapsed="false">
      <c r="A372" s="0" t="s">
        <v>1460</v>
      </c>
      <c r="B372" s="0" t="s">
        <v>154</v>
      </c>
      <c r="C372" s="0" t="n">
        <v>2022</v>
      </c>
      <c r="D372" s="0" t="s">
        <v>247</v>
      </c>
      <c r="E372" s="0" t="n">
        <v>1</v>
      </c>
      <c r="F372" s="0" t="s">
        <v>1461</v>
      </c>
      <c r="G372" s="0" t="s">
        <v>1467</v>
      </c>
      <c r="H372" s="0" t="s">
        <v>1494</v>
      </c>
      <c r="I372" s="0" t="s">
        <v>1464</v>
      </c>
    </row>
    <row r="373" customFormat="false" ht="15" hidden="false" customHeight="false" outlineLevel="0" collapsed="false">
      <c r="A373" s="0" t="s">
        <v>1460</v>
      </c>
      <c r="B373" s="0" t="s">
        <v>154</v>
      </c>
      <c r="C373" s="0" t="n">
        <v>2022</v>
      </c>
      <c r="D373" s="0" t="s">
        <v>64</v>
      </c>
      <c r="E373" s="0" t="n">
        <v>1</v>
      </c>
      <c r="F373" s="0" t="s">
        <v>1461</v>
      </c>
      <c r="G373" s="0" t="s">
        <v>1467</v>
      </c>
      <c r="H373" s="0" t="s">
        <v>1494</v>
      </c>
      <c r="I373" s="0" t="s">
        <v>1464</v>
      </c>
    </row>
    <row r="374" customFormat="false" ht="15" hidden="false" customHeight="false" outlineLevel="0" collapsed="false">
      <c r="A374" s="0" t="s">
        <v>1460</v>
      </c>
      <c r="B374" s="0" t="s">
        <v>154</v>
      </c>
      <c r="C374" s="0" t="n">
        <v>2022</v>
      </c>
      <c r="D374" s="0" t="s">
        <v>70</v>
      </c>
      <c r="E374" s="0" t="n">
        <v>1</v>
      </c>
      <c r="F374" s="0" t="s">
        <v>1461</v>
      </c>
      <c r="G374" s="0" t="s">
        <v>1467</v>
      </c>
      <c r="H374" s="0" t="s">
        <v>1494</v>
      </c>
      <c r="I374" s="0" t="s">
        <v>1464</v>
      </c>
    </row>
    <row r="375" customFormat="false" ht="15" hidden="false" customHeight="false" outlineLevel="0" collapsed="false">
      <c r="A375" s="0" t="s">
        <v>1460</v>
      </c>
      <c r="B375" s="0" t="s">
        <v>154</v>
      </c>
      <c r="C375" s="0" t="n">
        <v>2022</v>
      </c>
      <c r="D375" s="0" t="s">
        <v>71</v>
      </c>
      <c r="E375" s="0" t="n">
        <v>1</v>
      </c>
      <c r="F375" s="0" t="s">
        <v>1461</v>
      </c>
      <c r="G375" s="0" t="s">
        <v>1467</v>
      </c>
      <c r="H375" s="0" t="s">
        <v>1494</v>
      </c>
      <c r="I375" s="0" t="s">
        <v>1464</v>
      </c>
    </row>
    <row r="376" customFormat="false" ht="15" hidden="false" customHeight="false" outlineLevel="0" collapsed="false">
      <c r="A376" s="0" t="s">
        <v>1460</v>
      </c>
      <c r="B376" s="0" t="s">
        <v>154</v>
      </c>
      <c r="C376" s="0" t="n">
        <v>2022</v>
      </c>
      <c r="D376" s="0" t="s">
        <v>67</v>
      </c>
      <c r="E376" s="0" t="n">
        <v>1</v>
      </c>
      <c r="F376" s="0" t="s">
        <v>1461</v>
      </c>
      <c r="G376" s="0" t="s">
        <v>1467</v>
      </c>
      <c r="H376" s="0" t="s">
        <v>1494</v>
      </c>
      <c r="I376" s="0" t="s">
        <v>1471</v>
      </c>
    </row>
    <row r="377" customFormat="false" ht="15" hidden="false" customHeight="false" outlineLevel="0" collapsed="false">
      <c r="A377" s="0" t="s">
        <v>1460</v>
      </c>
      <c r="B377" s="0" t="s">
        <v>163</v>
      </c>
      <c r="C377" s="0" t="n">
        <v>2014</v>
      </c>
      <c r="D377" s="0" t="s">
        <v>59</v>
      </c>
      <c r="E377" s="0" t="n">
        <v>6</v>
      </c>
      <c r="F377" s="0" t="s">
        <v>1461</v>
      </c>
      <c r="G377" s="0" t="s">
        <v>1467</v>
      </c>
      <c r="H377" s="0" t="s">
        <v>1495</v>
      </c>
      <c r="I377" s="0" t="s">
        <v>1465</v>
      </c>
    </row>
    <row r="378" customFormat="false" ht="15" hidden="false" customHeight="false" outlineLevel="0" collapsed="false">
      <c r="A378" s="0" t="s">
        <v>1460</v>
      </c>
      <c r="B378" s="0" t="s">
        <v>163</v>
      </c>
      <c r="C378" s="0" t="n">
        <v>2014</v>
      </c>
      <c r="D378" s="0" t="s">
        <v>62</v>
      </c>
      <c r="E378" s="0" t="n">
        <v>6</v>
      </c>
      <c r="F378" s="0" t="s">
        <v>1461</v>
      </c>
      <c r="G378" s="0" t="s">
        <v>1467</v>
      </c>
      <c r="H378" s="0" t="s">
        <v>1495</v>
      </c>
      <c r="I378" s="0" t="s">
        <v>1464</v>
      </c>
    </row>
    <row r="379" customFormat="false" ht="15" hidden="false" customHeight="false" outlineLevel="0" collapsed="false">
      <c r="A379" s="0" t="s">
        <v>1460</v>
      </c>
      <c r="B379" s="0" t="s">
        <v>163</v>
      </c>
      <c r="C379" s="0" t="n">
        <v>2014</v>
      </c>
      <c r="D379" s="0" t="s">
        <v>247</v>
      </c>
      <c r="E379" s="0" t="n">
        <v>6</v>
      </c>
      <c r="F379" s="0" t="s">
        <v>1461</v>
      </c>
      <c r="G379" s="0" t="s">
        <v>1467</v>
      </c>
      <c r="H379" s="0" t="s">
        <v>1495</v>
      </c>
      <c r="I379" s="0" t="s">
        <v>1464</v>
      </c>
    </row>
    <row r="380" customFormat="false" ht="15" hidden="false" customHeight="false" outlineLevel="0" collapsed="false">
      <c r="A380" s="0" t="s">
        <v>1460</v>
      </c>
      <c r="B380" s="0" t="s">
        <v>163</v>
      </c>
      <c r="C380" s="0" t="n">
        <v>2014</v>
      </c>
      <c r="D380" s="0" t="s">
        <v>65</v>
      </c>
      <c r="E380" s="0" t="n">
        <v>6</v>
      </c>
      <c r="F380" s="0" t="s">
        <v>1461</v>
      </c>
      <c r="G380" s="0" t="s">
        <v>1467</v>
      </c>
      <c r="H380" s="0" t="s">
        <v>1495</v>
      </c>
      <c r="I380" s="0" t="s">
        <v>1464</v>
      </c>
    </row>
    <row r="381" customFormat="false" ht="15" hidden="false" customHeight="false" outlineLevel="0" collapsed="false">
      <c r="A381" s="0" t="s">
        <v>1460</v>
      </c>
      <c r="B381" s="0" t="s">
        <v>163</v>
      </c>
      <c r="C381" s="0" t="n">
        <v>2014</v>
      </c>
      <c r="D381" s="0" t="s">
        <v>66</v>
      </c>
      <c r="E381" s="0" t="n">
        <v>6</v>
      </c>
      <c r="F381" s="0" t="s">
        <v>1461</v>
      </c>
      <c r="G381" s="0" t="s">
        <v>1467</v>
      </c>
      <c r="H381" s="0" t="s">
        <v>1495</v>
      </c>
      <c r="I381" s="0" t="s">
        <v>1464</v>
      </c>
    </row>
    <row r="382" customFormat="false" ht="15" hidden="false" customHeight="false" outlineLevel="0" collapsed="false">
      <c r="A382" s="0" t="s">
        <v>1460</v>
      </c>
      <c r="B382" s="0" t="s">
        <v>163</v>
      </c>
      <c r="C382" s="0" t="n">
        <v>2014</v>
      </c>
      <c r="D382" s="0" t="s">
        <v>70</v>
      </c>
      <c r="E382" s="0" t="n">
        <v>6</v>
      </c>
      <c r="F382" s="0" t="s">
        <v>1461</v>
      </c>
      <c r="G382" s="0" t="s">
        <v>1467</v>
      </c>
      <c r="H382" s="0" t="s">
        <v>1495</v>
      </c>
      <c r="I382" s="0" t="s">
        <v>1464</v>
      </c>
    </row>
    <row r="383" customFormat="false" ht="15" hidden="false" customHeight="false" outlineLevel="0" collapsed="false">
      <c r="A383" s="0" t="s">
        <v>1460</v>
      </c>
      <c r="B383" s="0" t="s">
        <v>163</v>
      </c>
      <c r="C383" s="0" t="n">
        <v>2014</v>
      </c>
      <c r="D383" s="0" t="s">
        <v>71</v>
      </c>
      <c r="E383" s="0" t="n">
        <v>6</v>
      </c>
      <c r="F383" s="0" t="s">
        <v>1461</v>
      </c>
      <c r="G383" s="0" t="s">
        <v>1467</v>
      </c>
      <c r="H383" s="0" t="s">
        <v>1495</v>
      </c>
      <c r="I383" s="0" t="s">
        <v>1464</v>
      </c>
    </row>
    <row r="384" customFormat="false" ht="15" hidden="false" customHeight="false" outlineLevel="0" collapsed="false">
      <c r="A384" s="0" t="s">
        <v>1460</v>
      </c>
      <c r="B384" s="0" t="s">
        <v>163</v>
      </c>
      <c r="C384" s="0" t="n">
        <v>2014</v>
      </c>
      <c r="D384" s="0" t="s">
        <v>73</v>
      </c>
      <c r="E384" s="0" t="n">
        <v>6</v>
      </c>
      <c r="F384" s="0" t="s">
        <v>1461</v>
      </c>
      <c r="G384" s="0" t="s">
        <v>1467</v>
      </c>
      <c r="H384" s="0" t="s">
        <v>1495</v>
      </c>
      <c r="I384" s="0" t="s">
        <v>1466</v>
      </c>
    </row>
    <row r="385" customFormat="false" ht="15" hidden="false" customHeight="false" outlineLevel="0" collapsed="false">
      <c r="A385" s="0" t="s">
        <v>1460</v>
      </c>
      <c r="B385" s="0" t="s">
        <v>163</v>
      </c>
      <c r="C385" s="0" t="n">
        <v>2015</v>
      </c>
      <c r="D385" s="0" t="s">
        <v>62</v>
      </c>
      <c r="E385" s="0" t="n">
        <v>6</v>
      </c>
      <c r="F385" s="0" t="s">
        <v>1461</v>
      </c>
      <c r="G385" s="0" t="s">
        <v>1467</v>
      </c>
      <c r="H385" s="0" t="s">
        <v>1495</v>
      </c>
      <c r="I385" s="0" t="s">
        <v>1464</v>
      </c>
    </row>
    <row r="386" customFormat="false" ht="15" hidden="false" customHeight="false" outlineLevel="0" collapsed="false">
      <c r="A386" s="0" t="s">
        <v>1460</v>
      </c>
      <c r="B386" s="0" t="s">
        <v>163</v>
      </c>
      <c r="C386" s="0" t="n">
        <v>2015</v>
      </c>
      <c r="D386" s="0" t="s">
        <v>247</v>
      </c>
      <c r="E386" s="0" t="n">
        <v>6</v>
      </c>
      <c r="F386" s="0" t="s">
        <v>1461</v>
      </c>
      <c r="G386" s="0" t="s">
        <v>1467</v>
      </c>
      <c r="H386" s="0" t="s">
        <v>1495</v>
      </c>
      <c r="I386" s="0" t="s">
        <v>1464</v>
      </c>
    </row>
    <row r="387" customFormat="false" ht="15" hidden="false" customHeight="false" outlineLevel="0" collapsed="false">
      <c r="A387" s="0" t="s">
        <v>1460</v>
      </c>
      <c r="B387" s="0" t="s">
        <v>163</v>
      </c>
      <c r="C387" s="0" t="n">
        <v>2015</v>
      </c>
      <c r="D387" s="0" t="s">
        <v>65</v>
      </c>
      <c r="E387" s="0" t="n">
        <v>6</v>
      </c>
      <c r="F387" s="0" t="s">
        <v>1461</v>
      </c>
      <c r="G387" s="0" t="s">
        <v>1467</v>
      </c>
      <c r="H387" s="0" t="s">
        <v>1495</v>
      </c>
      <c r="I387" s="0" t="s">
        <v>1464</v>
      </c>
    </row>
    <row r="388" customFormat="false" ht="15" hidden="false" customHeight="false" outlineLevel="0" collapsed="false">
      <c r="A388" s="0" t="s">
        <v>1460</v>
      </c>
      <c r="B388" s="0" t="s">
        <v>163</v>
      </c>
      <c r="C388" s="0" t="n">
        <v>2015</v>
      </c>
      <c r="D388" s="0" t="s">
        <v>66</v>
      </c>
      <c r="E388" s="0" t="n">
        <v>6</v>
      </c>
      <c r="F388" s="0" t="s">
        <v>1461</v>
      </c>
      <c r="G388" s="0" t="s">
        <v>1467</v>
      </c>
      <c r="H388" s="0" t="s">
        <v>1495</v>
      </c>
      <c r="I388" s="0" t="s">
        <v>1464</v>
      </c>
    </row>
    <row r="389" customFormat="false" ht="15" hidden="false" customHeight="false" outlineLevel="0" collapsed="false">
      <c r="A389" s="0" t="s">
        <v>1460</v>
      </c>
      <c r="B389" s="0" t="s">
        <v>163</v>
      </c>
      <c r="C389" s="0" t="n">
        <v>2015</v>
      </c>
      <c r="D389" s="0" t="s">
        <v>70</v>
      </c>
      <c r="E389" s="0" t="n">
        <v>6</v>
      </c>
      <c r="F389" s="0" t="s">
        <v>1461</v>
      </c>
      <c r="G389" s="0" t="s">
        <v>1467</v>
      </c>
      <c r="H389" s="0" t="s">
        <v>1495</v>
      </c>
      <c r="I389" s="0" t="s">
        <v>1464</v>
      </c>
    </row>
    <row r="390" customFormat="false" ht="15" hidden="false" customHeight="false" outlineLevel="0" collapsed="false">
      <c r="A390" s="0" t="s">
        <v>1460</v>
      </c>
      <c r="B390" s="0" t="s">
        <v>163</v>
      </c>
      <c r="C390" s="0" t="n">
        <v>2015</v>
      </c>
      <c r="D390" s="0" t="s">
        <v>71</v>
      </c>
      <c r="E390" s="0" t="n">
        <v>6</v>
      </c>
      <c r="F390" s="0" t="s">
        <v>1461</v>
      </c>
      <c r="G390" s="0" t="s">
        <v>1467</v>
      </c>
      <c r="H390" s="0" t="s">
        <v>1495</v>
      </c>
      <c r="I390" s="0" t="s">
        <v>1464</v>
      </c>
    </row>
    <row r="391" customFormat="false" ht="15" hidden="false" customHeight="false" outlineLevel="0" collapsed="false">
      <c r="A391" s="0" t="s">
        <v>1460</v>
      </c>
      <c r="B391" s="0" t="s">
        <v>163</v>
      </c>
      <c r="C391" s="0" t="n">
        <v>2015</v>
      </c>
      <c r="D391" s="0" t="s">
        <v>73</v>
      </c>
      <c r="E391" s="0" t="n">
        <v>6</v>
      </c>
      <c r="F391" s="0" t="s">
        <v>1461</v>
      </c>
      <c r="G391" s="0" t="s">
        <v>1467</v>
      </c>
      <c r="H391" s="0" t="s">
        <v>1495</v>
      </c>
      <c r="I391" s="0" t="s">
        <v>1466</v>
      </c>
    </row>
    <row r="392" customFormat="false" ht="15" hidden="false" customHeight="false" outlineLevel="0" collapsed="false">
      <c r="A392" s="0" t="s">
        <v>1460</v>
      </c>
      <c r="B392" s="0" t="s">
        <v>163</v>
      </c>
      <c r="C392" s="0" t="n">
        <v>2021</v>
      </c>
      <c r="D392" s="0" t="s">
        <v>59</v>
      </c>
      <c r="E392" s="0" t="n">
        <v>6</v>
      </c>
      <c r="F392" s="0" t="s">
        <v>1461</v>
      </c>
      <c r="G392" s="0" t="s">
        <v>1467</v>
      </c>
      <c r="H392" s="0" t="s">
        <v>1496</v>
      </c>
      <c r="I392" s="0" t="s">
        <v>1465</v>
      </c>
    </row>
    <row r="393" customFormat="false" ht="15" hidden="false" customHeight="false" outlineLevel="0" collapsed="false">
      <c r="A393" s="0" t="s">
        <v>1460</v>
      </c>
      <c r="B393" s="0" t="s">
        <v>163</v>
      </c>
      <c r="C393" s="0" t="n">
        <v>2021</v>
      </c>
      <c r="D393" s="0" t="s">
        <v>247</v>
      </c>
      <c r="E393" s="0" t="n">
        <v>6</v>
      </c>
      <c r="F393" s="0" t="s">
        <v>1461</v>
      </c>
      <c r="G393" s="0" t="s">
        <v>1467</v>
      </c>
      <c r="H393" s="0" t="s">
        <v>1496</v>
      </c>
      <c r="I393" s="0" t="s">
        <v>1464</v>
      </c>
    </row>
    <row r="394" customFormat="false" ht="15" hidden="false" customHeight="false" outlineLevel="0" collapsed="false">
      <c r="A394" s="0" t="s">
        <v>1460</v>
      </c>
      <c r="B394" s="0" t="s">
        <v>163</v>
      </c>
      <c r="C394" s="0" t="n">
        <v>2021</v>
      </c>
      <c r="D394" s="0" t="s">
        <v>64</v>
      </c>
      <c r="E394" s="0" t="n">
        <v>6</v>
      </c>
      <c r="F394" s="0" t="s">
        <v>1461</v>
      </c>
      <c r="G394" s="0" t="s">
        <v>1467</v>
      </c>
      <c r="H394" s="0" t="s">
        <v>1496</v>
      </c>
      <c r="I394" s="0" t="s">
        <v>1464</v>
      </c>
    </row>
    <row r="395" customFormat="false" ht="15" hidden="false" customHeight="false" outlineLevel="0" collapsed="false">
      <c r="A395" s="0" t="s">
        <v>1460</v>
      </c>
      <c r="B395" s="0" t="s">
        <v>163</v>
      </c>
      <c r="C395" s="0" t="n">
        <v>2021</v>
      </c>
      <c r="D395" s="0" t="s">
        <v>70</v>
      </c>
      <c r="E395" s="0" t="n">
        <v>6</v>
      </c>
      <c r="F395" s="0" t="s">
        <v>1461</v>
      </c>
      <c r="G395" s="0" t="s">
        <v>1467</v>
      </c>
      <c r="H395" s="0" t="s">
        <v>1496</v>
      </c>
      <c r="I395" s="0" t="s">
        <v>1464</v>
      </c>
    </row>
    <row r="396" customFormat="false" ht="15" hidden="false" customHeight="false" outlineLevel="0" collapsed="false">
      <c r="A396" s="0" t="s">
        <v>1460</v>
      </c>
      <c r="B396" s="0" t="s">
        <v>163</v>
      </c>
      <c r="C396" s="0" t="n">
        <v>2021</v>
      </c>
      <c r="D396" s="0" t="s">
        <v>71</v>
      </c>
      <c r="E396" s="0" t="n">
        <v>6</v>
      </c>
      <c r="F396" s="0" t="s">
        <v>1461</v>
      </c>
      <c r="G396" s="0" t="s">
        <v>1467</v>
      </c>
      <c r="H396" s="0" t="s">
        <v>1496</v>
      </c>
      <c r="I396" s="0" t="s">
        <v>1464</v>
      </c>
    </row>
    <row r="397" customFormat="false" ht="15" hidden="false" customHeight="false" outlineLevel="0" collapsed="false">
      <c r="A397" s="0" t="s">
        <v>1460</v>
      </c>
      <c r="B397" s="0" t="s">
        <v>163</v>
      </c>
      <c r="C397" s="0" t="n">
        <v>2021</v>
      </c>
      <c r="D397" s="0" t="s">
        <v>73</v>
      </c>
      <c r="E397" s="0" t="n">
        <v>6</v>
      </c>
      <c r="F397" s="0" t="s">
        <v>1461</v>
      </c>
      <c r="G397" s="0" t="s">
        <v>1467</v>
      </c>
      <c r="H397" s="0" t="s">
        <v>1496</v>
      </c>
      <c r="I397" s="0" t="s">
        <v>1466</v>
      </c>
    </row>
    <row r="398" customFormat="false" ht="15" hidden="false" customHeight="false" outlineLevel="0" collapsed="false">
      <c r="A398" s="0" t="s">
        <v>1460</v>
      </c>
      <c r="B398" s="0" t="s">
        <v>163</v>
      </c>
      <c r="C398" s="0" t="n">
        <v>2021</v>
      </c>
      <c r="D398" s="0" t="s">
        <v>67</v>
      </c>
      <c r="E398" s="0" t="n">
        <v>6</v>
      </c>
      <c r="F398" s="0" t="s">
        <v>1461</v>
      </c>
      <c r="G398" s="0" t="s">
        <v>1467</v>
      </c>
      <c r="H398" s="0" t="s">
        <v>1496</v>
      </c>
      <c r="I398" s="0" t="s">
        <v>1471</v>
      </c>
    </row>
    <row r="399" customFormat="false" ht="15" hidden="false" customHeight="false" outlineLevel="0" collapsed="false">
      <c r="A399" s="0" t="s">
        <v>1460</v>
      </c>
      <c r="B399" s="0" t="s">
        <v>163</v>
      </c>
      <c r="C399" s="0" t="n">
        <v>2021</v>
      </c>
      <c r="D399" s="0" t="s">
        <v>68</v>
      </c>
      <c r="E399" s="0" t="n">
        <v>6</v>
      </c>
      <c r="F399" s="0" t="s">
        <v>1461</v>
      </c>
      <c r="G399" s="0" t="s">
        <v>1467</v>
      </c>
      <c r="H399" s="0" t="s">
        <v>1496</v>
      </c>
      <c r="I399" s="0" t="s">
        <v>1471</v>
      </c>
    </row>
    <row r="400" customFormat="false" ht="15" hidden="false" customHeight="false" outlineLevel="0" collapsed="false">
      <c r="A400" s="0" t="s">
        <v>1460</v>
      </c>
      <c r="B400" s="0" t="s">
        <v>163</v>
      </c>
      <c r="C400" s="0" t="n">
        <v>2022</v>
      </c>
      <c r="D400" s="0" t="s">
        <v>247</v>
      </c>
      <c r="E400" s="0" t="n">
        <v>6</v>
      </c>
      <c r="F400" s="0" t="s">
        <v>1461</v>
      </c>
      <c r="G400" s="0" t="s">
        <v>1467</v>
      </c>
      <c r="H400" s="0" t="s">
        <v>1496</v>
      </c>
      <c r="I400" s="0" t="s">
        <v>1464</v>
      </c>
    </row>
    <row r="401" customFormat="false" ht="15" hidden="false" customHeight="false" outlineLevel="0" collapsed="false">
      <c r="A401" s="0" t="s">
        <v>1460</v>
      </c>
      <c r="B401" s="0" t="s">
        <v>163</v>
      </c>
      <c r="C401" s="0" t="n">
        <v>2022</v>
      </c>
      <c r="D401" s="0" t="s">
        <v>64</v>
      </c>
      <c r="E401" s="0" t="n">
        <v>6</v>
      </c>
      <c r="F401" s="0" t="s">
        <v>1461</v>
      </c>
      <c r="G401" s="0" t="s">
        <v>1467</v>
      </c>
      <c r="H401" s="0" t="s">
        <v>1496</v>
      </c>
      <c r="I401" s="0" t="s">
        <v>1464</v>
      </c>
    </row>
    <row r="402" customFormat="false" ht="15" hidden="false" customHeight="false" outlineLevel="0" collapsed="false">
      <c r="A402" s="0" t="s">
        <v>1460</v>
      </c>
      <c r="B402" s="0" t="s">
        <v>163</v>
      </c>
      <c r="C402" s="0" t="n">
        <v>2022</v>
      </c>
      <c r="D402" s="0" t="s">
        <v>70</v>
      </c>
      <c r="E402" s="0" t="n">
        <v>6</v>
      </c>
      <c r="F402" s="0" t="s">
        <v>1461</v>
      </c>
      <c r="G402" s="0" t="s">
        <v>1467</v>
      </c>
      <c r="H402" s="0" t="s">
        <v>1496</v>
      </c>
      <c r="I402" s="0" t="s">
        <v>1464</v>
      </c>
    </row>
    <row r="403" customFormat="false" ht="15" hidden="false" customHeight="false" outlineLevel="0" collapsed="false">
      <c r="A403" s="0" t="s">
        <v>1460</v>
      </c>
      <c r="B403" s="0" t="s">
        <v>163</v>
      </c>
      <c r="C403" s="0" t="n">
        <v>2022</v>
      </c>
      <c r="D403" s="0" t="s">
        <v>71</v>
      </c>
      <c r="E403" s="0" t="n">
        <v>6</v>
      </c>
      <c r="F403" s="0" t="s">
        <v>1461</v>
      </c>
      <c r="G403" s="0" t="s">
        <v>1467</v>
      </c>
      <c r="H403" s="0" t="s">
        <v>1496</v>
      </c>
      <c r="I403" s="0" t="s">
        <v>1464</v>
      </c>
    </row>
    <row r="404" customFormat="false" ht="15" hidden="false" customHeight="false" outlineLevel="0" collapsed="false">
      <c r="A404" s="0" t="s">
        <v>1460</v>
      </c>
      <c r="B404" s="0" t="s">
        <v>163</v>
      </c>
      <c r="C404" s="0" t="n">
        <v>2022</v>
      </c>
      <c r="D404" s="0" t="s">
        <v>73</v>
      </c>
      <c r="E404" s="0" t="n">
        <v>6</v>
      </c>
      <c r="F404" s="0" t="s">
        <v>1461</v>
      </c>
      <c r="G404" s="0" t="s">
        <v>1467</v>
      </c>
      <c r="H404" s="0" t="s">
        <v>1496</v>
      </c>
      <c r="I404" s="0" t="s">
        <v>1466</v>
      </c>
    </row>
    <row r="405" customFormat="false" ht="15" hidden="false" customHeight="false" outlineLevel="0" collapsed="false">
      <c r="A405" s="0" t="s">
        <v>1460</v>
      </c>
      <c r="B405" s="0" t="s">
        <v>163</v>
      </c>
      <c r="C405" s="0" t="n">
        <v>2022</v>
      </c>
      <c r="D405" s="0" t="s">
        <v>67</v>
      </c>
      <c r="E405" s="0" t="n">
        <v>6</v>
      </c>
      <c r="F405" s="0" t="s">
        <v>1461</v>
      </c>
      <c r="G405" s="0" t="s">
        <v>1467</v>
      </c>
      <c r="H405" s="0" t="s">
        <v>1496</v>
      </c>
      <c r="I405" s="0" t="s">
        <v>1471</v>
      </c>
    </row>
    <row r="406" customFormat="false" ht="15" hidden="false" customHeight="false" outlineLevel="0" collapsed="false">
      <c r="A406" s="0" t="s">
        <v>1460</v>
      </c>
      <c r="B406" s="0" t="s">
        <v>163</v>
      </c>
      <c r="C406" s="0" t="n">
        <v>2022</v>
      </c>
      <c r="D406" s="0" t="s">
        <v>68</v>
      </c>
      <c r="E406" s="0" t="n">
        <v>6</v>
      </c>
      <c r="F406" s="0" t="s">
        <v>1461</v>
      </c>
      <c r="G406" s="0" t="s">
        <v>1467</v>
      </c>
      <c r="H406" s="0" t="s">
        <v>1496</v>
      </c>
      <c r="I406" s="0" t="s">
        <v>1471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1497</v>
      </c>
    </row>
    <row r="3" customFormat="false" ht="15" hidden="false" customHeight="false" outlineLevel="0" collapsed="false">
      <c r="A3" s="3" t="s">
        <v>1498</v>
      </c>
      <c r="B3" s="3" t="s">
        <v>1499</v>
      </c>
      <c r="C3" s="3" t="s">
        <v>50</v>
      </c>
      <c r="D3" s="3" t="s">
        <v>1500</v>
      </c>
      <c r="E3" s="3" t="s">
        <v>1501</v>
      </c>
      <c r="F3" s="3" t="s">
        <v>76</v>
      </c>
      <c r="G3" s="3" t="s">
        <v>1502</v>
      </c>
      <c r="H3" s="3" t="s">
        <v>1503</v>
      </c>
      <c r="I3" s="3" t="s">
        <v>1504</v>
      </c>
      <c r="J3" s="3" t="s">
        <v>1505</v>
      </c>
      <c r="K3" s="3" t="s">
        <v>1142</v>
      </c>
      <c r="L3" s="3" t="s">
        <v>1506</v>
      </c>
      <c r="M3" s="3" t="s">
        <v>1507</v>
      </c>
      <c r="N3" s="3" t="s">
        <v>1508</v>
      </c>
    </row>
    <row r="4" customFormat="false" ht="15" hidden="false" customHeight="false" outlineLevel="0" collapsed="false">
      <c r="A4" s="0" t="s">
        <v>80</v>
      </c>
      <c r="B4" s="0" t="s">
        <v>1509</v>
      </c>
      <c r="C4" s="0" t="s">
        <v>77</v>
      </c>
      <c r="D4" s="0" t="s">
        <v>1510</v>
      </c>
      <c r="F4" s="0" t="s">
        <v>1511</v>
      </c>
      <c r="G4" s="0" t="s">
        <v>1181</v>
      </c>
      <c r="H4" s="0" t="s">
        <v>1182</v>
      </c>
      <c r="I4" s="0" t="s">
        <v>1512</v>
      </c>
      <c r="J4" s="0" t="s">
        <v>80</v>
      </c>
      <c r="K4" s="0" t="n">
        <v>0</v>
      </c>
      <c r="N4" s="0" t="s">
        <v>1513</v>
      </c>
    </row>
    <row r="5" customFormat="false" ht="15" hidden="false" customHeight="false" outlineLevel="0" collapsed="false">
      <c r="A5" s="0" t="s">
        <v>85</v>
      </c>
      <c r="B5" s="0" t="s">
        <v>1514</v>
      </c>
      <c r="C5" s="0" t="s">
        <v>83</v>
      </c>
      <c r="D5" s="0" t="s">
        <v>1510</v>
      </c>
      <c r="F5" s="0" t="s">
        <v>1511</v>
      </c>
      <c r="G5" s="0" t="s">
        <v>1194</v>
      </c>
      <c r="H5" s="0" t="s">
        <v>1147</v>
      </c>
      <c r="J5" s="0" t="s">
        <v>85</v>
      </c>
      <c r="K5" s="0" t="n">
        <v>108693</v>
      </c>
      <c r="L5" s="0" t="s">
        <v>1196</v>
      </c>
      <c r="M5" s="0" t="s">
        <v>1515</v>
      </c>
      <c r="N5" s="0" t="s">
        <v>1516</v>
      </c>
    </row>
    <row r="6" customFormat="false" ht="15" hidden="false" customHeight="false" outlineLevel="0" collapsed="false">
      <c r="A6" s="0" t="s">
        <v>87</v>
      </c>
      <c r="B6" s="0" t="s">
        <v>1517</v>
      </c>
      <c r="C6" s="0" t="s">
        <v>86</v>
      </c>
      <c r="D6" s="0" t="s">
        <v>1510</v>
      </c>
      <c r="F6" s="0" t="s">
        <v>1511</v>
      </c>
      <c r="G6" s="0" t="s">
        <v>1159</v>
      </c>
      <c r="H6" s="0" t="s">
        <v>1147</v>
      </c>
      <c r="J6" s="0" t="s">
        <v>87</v>
      </c>
      <c r="K6" s="0" t="n">
        <v>2935700</v>
      </c>
      <c r="L6" s="0" t="s">
        <v>1160</v>
      </c>
      <c r="M6" s="0" t="s">
        <v>1518</v>
      </c>
      <c r="N6" s="0" t="s">
        <v>1519</v>
      </c>
    </row>
    <row r="7" customFormat="false" ht="15" hidden="false" customHeight="false" outlineLevel="0" collapsed="false">
      <c r="A7" s="0" t="s">
        <v>98</v>
      </c>
      <c r="B7" s="0" t="s">
        <v>1520</v>
      </c>
      <c r="C7" s="0" t="s">
        <v>86</v>
      </c>
      <c r="D7" s="0" t="s">
        <v>1510</v>
      </c>
      <c r="F7" s="0" t="s">
        <v>1511</v>
      </c>
      <c r="G7" s="0" t="s">
        <v>1004</v>
      </c>
      <c r="H7" s="0" t="s">
        <v>1147</v>
      </c>
      <c r="J7" s="0" t="s">
        <v>98</v>
      </c>
      <c r="K7" s="0" t="n">
        <v>5796360</v>
      </c>
      <c r="L7" s="0" t="s">
        <v>1180</v>
      </c>
      <c r="M7" s="0" t="s">
        <v>1521</v>
      </c>
      <c r="N7" s="0" t="s">
        <v>1519</v>
      </c>
    </row>
    <row r="8" customFormat="false" ht="15" hidden="false" customHeight="false" outlineLevel="0" collapsed="false">
      <c r="A8" s="0" t="s">
        <v>105</v>
      </c>
      <c r="B8" s="0" t="s">
        <v>1522</v>
      </c>
      <c r="C8" s="0" t="s">
        <v>104</v>
      </c>
      <c r="D8" s="0" t="s">
        <v>1510</v>
      </c>
      <c r="F8" s="0" t="s">
        <v>1511</v>
      </c>
      <c r="G8" s="0" t="s">
        <v>1199</v>
      </c>
      <c r="H8" s="0" t="s">
        <v>1147</v>
      </c>
      <c r="J8" s="0" t="s">
        <v>105</v>
      </c>
      <c r="K8" s="0" t="n">
        <v>6602892</v>
      </c>
      <c r="L8" s="0" t="s">
        <v>1201</v>
      </c>
      <c r="M8" s="0" t="s">
        <v>1523</v>
      </c>
      <c r="N8" s="0" t="s">
        <v>1524</v>
      </c>
    </row>
    <row r="9" customFormat="false" ht="15" hidden="false" customHeight="false" outlineLevel="0" collapsed="false">
      <c r="A9" s="0" t="s">
        <v>110</v>
      </c>
      <c r="B9" s="0" t="s">
        <v>1525</v>
      </c>
      <c r="C9" s="0" t="s">
        <v>109</v>
      </c>
      <c r="D9" s="0" t="s">
        <v>1510</v>
      </c>
      <c r="F9" s="0" t="s">
        <v>1511</v>
      </c>
      <c r="G9" s="0" t="s">
        <v>1166</v>
      </c>
      <c r="H9" s="0" t="s">
        <v>1147</v>
      </c>
      <c r="J9" s="0" t="s">
        <v>110</v>
      </c>
      <c r="K9" s="0" t="n">
        <v>2135241</v>
      </c>
      <c r="L9" s="0" t="s">
        <v>1168</v>
      </c>
      <c r="M9" s="0" t="s">
        <v>1526</v>
      </c>
      <c r="N9" s="0" t="s">
        <v>1527</v>
      </c>
    </row>
    <row r="10" customFormat="false" ht="15" hidden="false" customHeight="false" outlineLevel="0" collapsed="false">
      <c r="A10" s="0" t="s">
        <v>127</v>
      </c>
      <c r="B10" s="0" t="s">
        <v>1528</v>
      </c>
      <c r="C10" s="0" t="s">
        <v>126</v>
      </c>
      <c r="D10" s="0" t="s">
        <v>1510</v>
      </c>
      <c r="F10" s="0" t="s">
        <v>1511</v>
      </c>
      <c r="G10" s="0" t="s">
        <v>1019</v>
      </c>
      <c r="H10" s="0" t="s">
        <v>1147</v>
      </c>
      <c r="J10" s="0" t="s">
        <v>127</v>
      </c>
      <c r="K10" s="0" t="n">
        <v>2526321</v>
      </c>
      <c r="L10" s="0" t="s">
        <v>1204</v>
      </c>
      <c r="M10" s="0" t="s">
        <v>1529</v>
      </c>
      <c r="N10" s="0" t="s">
        <v>1530</v>
      </c>
    </row>
    <row r="11" customFormat="false" ht="15" hidden="false" customHeight="false" outlineLevel="0" collapsed="false">
      <c r="A11" s="0" t="s">
        <v>128</v>
      </c>
      <c r="B11" s="0" t="s">
        <v>1531</v>
      </c>
      <c r="C11" s="0" t="s">
        <v>126</v>
      </c>
      <c r="D11" s="0" t="s">
        <v>1510</v>
      </c>
      <c r="F11" s="0" t="s">
        <v>1511</v>
      </c>
      <c r="G11" s="0" t="s">
        <v>1026</v>
      </c>
      <c r="H11" s="0" t="s">
        <v>1147</v>
      </c>
      <c r="J11" s="0" t="s">
        <v>128</v>
      </c>
      <c r="K11" s="0" t="n">
        <v>6660620</v>
      </c>
      <c r="L11" s="0" t="s">
        <v>1211</v>
      </c>
      <c r="M11" s="0" t="s">
        <v>1532</v>
      </c>
      <c r="N11" s="0" t="s">
        <v>1533</v>
      </c>
    </row>
    <row r="12" customFormat="false" ht="15" hidden="false" customHeight="false" outlineLevel="0" collapsed="false">
      <c r="A12" s="0" t="s">
        <v>130</v>
      </c>
      <c r="B12" s="0" t="s">
        <v>1534</v>
      </c>
      <c r="C12" s="0" t="s">
        <v>129</v>
      </c>
      <c r="D12" s="0" t="s">
        <v>1510</v>
      </c>
      <c r="F12" s="0" t="s">
        <v>1511</v>
      </c>
      <c r="G12" s="0" t="s">
        <v>1212</v>
      </c>
      <c r="H12" s="0" t="s">
        <v>1147</v>
      </c>
      <c r="J12" s="0" t="s">
        <v>130</v>
      </c>
      <c r="K12" s="0" t="n">
        <v>4713072</v>
      </c>
      <c r="L12" s="0" t="s">
        <v>1213</v>
      </c>
      <c r="M12" s="0" t="s">
        <v>1535</v>
      </c>
      <c r="N12" s="0" t="s">
        <v>1533</v>
      </c>
    </row>
    <row r="13" customFormat="false" ht="15" hidden="false" customHeight="false" outlineLevel="0" collapsed="false">
      <c r="A13" s="0" t="s">
        <v>131</v>
      </c>
      <c r="B13" s="0" t="s">
        <v>1536</v>
      </c>
      <c r="C13" s="0" t="s">
        <v>129</v>
      </c>
      <c r="D13" s="0" t="s">
        <v>1510</v>
      </c>
      <c r="F13" s="0" t="s">
        <v>1511</v>
      </c>
      <c r="G13" s="0" t="s">
        <v>1205</v>
      </c>
      <c r="H13" s="0" t="s">
        <v>1147</v>
      </c>
      <c r="J13" s="0" t="s">
        <v>131</v>
      </c>
      <c r="K13" s="0" t="n">
        <v>5579693</v>
      </c>
      <c r="L13" s="0" t="s">
        <v>1206</v>
      </c>
      <c r="M13" s="0" t="s">
        <v>1537</v>
      </c>
      <c r="N13" s="0" t="s">
        <v>1538</v>
      </c>
    </row>
    <row r="14" customFormat="false" ht="15" hidden="false" customHeight="false" outlineLevel="0" collapsed="false">
      <c r="A14" s="0" t="s">
        <v>135</v>
      </c>
      <c r="B14" s="0" t="s">
        <v>1539</v>
      </c>
      <c r="C14" s="0" t="s">
        <v>129</v>
      </c>
      <c r="D14" s="0" t="s">
        <v>1510</v>
      </c>
      <c r="F14" s="0" t="s">
        <v>1511</v>
      </c>
      <c r="G14" s="0" t="s">
        <v>1192</v>
      </c>
      <c r="H14" s="0" t="s">
        <v>1147</v>
      </c>
      <c r="J14" s="0" t="s">
        <v>135</v>
      </c>
      <c r="K14" s="0" t="n">
        <v>7097382</v>
      </c>
      <c r="L14" s="0" t="s">
        <v>1193</v>
      </c>
      <c r="M14" s="0" t="s">
        <v>1540</v>
      </c>
      <c r="N14" s="0" t="s">
        <v>1541</v>
      </c>
    </row>
    <row r="15" customFormat="false" ht="15" hidden="false" customHeight="false" outlineLevel="0" collapsed="false">
      <c r="A15" s="0" t="s">
        <v>136</v>
      </c>
      <c r="B15" s="0" t="s">
        <v>1542</v>
      </c>
      <c r="C15" s="0" t="s">
        <v>129</v>
      </c>
      <c r="D15" s="0" t="s">
        <v>1510</v>
      </c>
      <c r="F15" s="0" t="s">
        <v>1511</v>
      </c>
      <c r="G15" s="0" t="s">
        <v>1161</v>
      </c>
      <c r="H15" s="0" t="s">
        <v>1147</v>
      </c>
      <c r="J15" s="0" t="s">
        <v>136</v>
      </c>
      <c r="K15" s="0" t="n">
        <v>3413675</v>
      </c>
      <c r="L15" s="0" t="s">
        <v>1163</v>
      </c>
      <c r="M15" s="0" t="s">
        <v>1543</v>
      </c>
      <c r="N15" s="0" t="s">
        <v>1544</v>
      </c>
    </row>
    <row r="16" customFormat="false" ht="15" hidden="false" customHeight="false" outlineLevel="0" collapsed="false">
      <c r="A16" s="0" t="s">
        <v>137</v>
      </c>
      <c r="B16" s="0" t="s">
        <v>1545</v>
      </c>
      <c r="C16" s="0" t="s">
        <v>129</v>
      </c>
      <c r="D16" s="0" t="s">
        <v>1510</v>
      </c>
      <c r="F16" s="0" t="s">
        <v>1511</v>
      </c>
      <c r="G16" s="0" t="s">
        <v>1185</v>
      </c>
      <c r="H16" s="0" t="s">
        <v>1147</v>
      </c>
      <c r="J16" s="0" t="s">
        <v>137</v>
      </c>
      <c r="K16" s="0" t="n">
        <v>1647377</v>
      </c>
      <c r="L16" s="0" t="s">
        <v>1186</v>
      </c>
      <c r="M16" s="0" t="s">
        <v>1546</v>
      </c>
      <c r="N16" s="0" t="s">
        <v>1547</v>
      </c>
    </row>
    <row r="17" customFormat="false" ht="15" hidden="false" customHeight="false" outlineLevel="0" collapsed="false">
      <c r="A17" s="0" t="s">
        <v>139</v>
      </c>
      <c r="B17" s="0" t="s">
        <v>1548</v>
      </c>
      <c r="C17" s="0" t="s">
        <v>138</v>
      </c>
      <c r="D17" s="0" t="s">
        <v>1510</v>
      </c>
      <c r="F17" s="0" t="s">
        <v>1511</v>
      </c>
      <c r="G17" s="0" t="s">
        <v>1187</v>
      </c>
      <c r="H17" s="0" t="s">
        <v>1147</v>
      </c>
      <c r="J17" s="0" t="s">
        <v>139</v>
      </c>
      <c r="K17" s="0" t="n">
        <v>3630147</v>
      </c>
      <c r="L17" s="0" t="s">
        <v>1188</v>
      </c>
      <c r="M17" s="0" t="s">
        <v>1549</v>
      </c>
      <c r="N17" s="0" t="s">
        <v>1550</v>
      </c>
    </row>
    <row r="18" customFormat="false" ht="15" hidden="false" customHeight="false" outlineLevel="0" collapsed="false">
      <c r="A18" s="0" t="s">
        <v>142</v>
      </c>
      <c r="B18" s="0" t="s">
        <v>1551</v>
      </c>
      <c r="C18" s="0" t="s">
        <v>138</v>
      </c>
      <c r="D18" s="0" t="s">
        <v>1510</v>
      </c>
      <c r="F18" s="0" t="s">
        <v>1511</v>
      </c>
      <c r="G18" s="0" t="s">
        <v>967</v>
      </c>
      <c r="H18" s="0" t="s">
        <v>1147</v>
      </c>
      <c r="J18" s="0" t="s">
        <v>142</v>
      </c>
      <c r="K18" s="0" t="n">
        <v>7609185</v>
      </c>
      <c r="L18" s="0" t="s">
        <v>1216</v>
      </c>
      <c r="M18" s="0" t="s">
        <v>1552</v>
      </c>
      <c r="N18" s="0" t="s">
        <v>1553</v>
      </c>
    </row>
    <row r="19" customFormat="false" ht="15" hidden="false" customHeight="false" outlineLevel="0" collapsed="false">
      <c r="A19" s="0" t="s">
        <v>146</v>
      </c>
      <c r="B19" s="0" t="s">
        <v>1554</v>
      </c>
      <c r="C19" s="0" t="s">
        <v>138</v>
      </c>
      <c r="D19" s="0" t="s">
        <v>1510</v>
      </c>
      <c r="F19" s="0" t="s">
        <v>1511</v>
      </c>
      <c r="G19" s="0" t="s">
        <v>975</v>
      </c>
      <c r="H19" s="0" t="s">
        <v>1147</v>
      </c>
      <c r="J19" s="0" t="s">
        <v>146</v>
      </c>
      <c r="K19" s="0" t="n">
        <v>2415232</v>
      </c>
      <c r="L19" s="0" t="s">
        <v>1184</v>
      </c>
      <c r="M19" s="0" t="s">
        <v>1555</v>
      </c>
      <c r="N19" s="0" t="s">
        <v>1553</v>
      </c>
    </row>
    <row r="20" customFormat="false" ht="15" hidden="false" customHeight="false" outlineLevel="0" collapsed="false">
      <c r="A20" s="0" t="s">
        <v>149</v>
      </c>
      <c r="B20" s="0" t="s">
        <v>1556</v>
      </c>
      <c r="C20" s="0" t="s">
        <v>138</v>
      </c>
      <c r="D20" s="0" t="s">
        <v>1510</v>
      </c>
      <c r="F20" s="0" t="s">
        <v>1511</v>
      </c>
      <c r="G20" s="0" t="s">
        <v>982</v>
      </c>
      <c r="H20" s="0" t="s">
        <v>1147</v>
      </c>
      <c r="J20" s="0" t="s">
        <v>149</v>
      </c>
      <c r="K20" s="0" t="n">
        <v>4027041</v>
      </c>
      <c r="L20" s="0" t="s">
        <v>1175</v>
      </c>
      <c r="M20" s="0" t="s">
        <v>1557</v>
      </c>
      <c r="N20" s="0" t="s">
        <v>1558</v>
      </c>
    </row>
    <row r="21" customFormat="false" ht="15" hidden="false" customHeight="false" outlineLevel="0" collapsed="false">
      <c r="A21" s="0" t="s">
        <v>153</v>
      </c>
      <c r="B21" s="0" t="s">
        <v>1559</v>
      </c>
      <c r="C21" s="0" t="s">
        <v>152</v>
      </c>
      <c r="D21" s="0" t="s">
        <v>1510</v>
      </c>
      <c r="F21" s="0" t="s">
        <v>1511</v>
      </c>
      <c r="G21" s="0" t="s">
        <v>1048</v>
      </c>
      <c r="H21" s="0" t="s">
        <v>1147</v>
      </c>
      <c r="J21" s="0" t="s">
        <v>153</v>
      </c>
      <c r="K21" s="0" t="n">
        <v>2228390</v>
      </c>
      <c r="L21" s="0" t="s">
        <v>1214</v>
      </c>
      <c r="M21" s="0" t="s">
        <v>1560</v>
      </c>
      <c r="N21" s="0" t="s">
        <v>1561</v>
      </c>
    </row>
    <row r="22" customFormat="false" ht="15" hidden="false" customHeight="false" outlineLevel="0" collapsed="false">
      <c r="A22" s="0" t="s">
        <v>155</v>
      </c>
      <c r="B22" s="0" t="s">
        <v>1562</v>
      </c>
      <c r="C22" s="0" t="s">
        <v>154</v>
      </c>
      <c r="D22" s="0" t="s">
        <v>1510</v>
      </c>
      <c r="F22" s="0" t="s">
        <v>1511</v>
      </c>
      <c r="G22" s="0" t="s">
        <v>1152</v>
      </c>
      <c r="H22" s="0" t="s">
        <v>1147</v>
      </c>
      <c r="J22" s="0" t="s">
        <v>155</v>
      </c>
      <c r="K22" s="0" t="n">
        <v>3102438</v>
      </c>
      <c r="L22" s="0" t="s">
        <v>1154</v>
      </c>
      <c r="M22" s="0" t="s">
        <v>1563</v>
      </c>
      <c r="N22" s="0" t="s">
        <v>1564</v>
      </c>
    </row>
    <row r="23" customFormat="false" ht="15" hidden="false" customHeight="false" outlineLevel="0" collapsed="false">
      <c r="A23" s="0" t="s">
        <v>157</v>
      </c>
      <c r="B23" s="0" t="s">
        <v>1565</v>
      </c>
      <c r="C23" s="0" t="s">
        <v>154</v>
      </c>
      <c r="D23" s="0" t="s">
        <v>1510</v>
      </c>
      <c r="F23" s="0" t="s">
        <v>1511</v>
      </c>
      <c r="G23" s="0" t="s">
        <v>987</v>
      </c>
      <c r="H23" s="0" t="s">
        <v>1147</v>
      </c>
      <c r="J23" s="0" t="s">
        <v>157</v>
      </c>
      <c r="K23" s="0" t="n">
        <v>5400358</v>
      </c>
      <c r="L23" s="0" t="s">
        <v>1217</v>
      </c>
      <c r="M23" s="0" t="s">
        <v>1566</v>
      </c>
      <c r="N23" s="0" t="s">
        <v>1564</v>
      </c>
    </row>
    <row r="24" customFormat="false" ht="15" hidden="false" customHeight="false" outlineLevel="0" collapsed="false">
      <c r="A24" s="0" t="s">
        <v>158</v>
      </c>
      <c r="B24" s="0" t="s">
        <v>1567</v>
      </c>
      <c r="C24" s="0" t="s">
        <v>154</v>
      </c>
      <c r="D24" s="0" t="s">
        <v>1510</v>
      </c>
      <c r="F24" s="0" t="s">
        <v>1511</v>
      </c>
      <c r="G24" s="0" t="s">
        <v>1171</v>
      </c>
      <c r="H24" s="0" t="s">
        <v>1147</v>
      </c>
      <c r="J24" s="0" t="s">
        <v>158</v>
      </c>
      <c r="K24" s="0" t="n">
        <v>8139641</v>
      </c>
      <c r="L24" s="0" t="s">
        <v>1173</v>
      </c>
      <c r="M24" s="0" t="s">
        <v>1568</v>
      </c>
      <c r="N24" s="0" t="s">
        <v>1569</v>
      </c>
    </row>
    <row r="25" customFormat="false" ht="15" hidden="false" customHeight="false" outlineLevel="0" collapsed="false">
      <c r="A25" s="0" t="s">
        <v>159</v>
      </c>
      <c r="B25" s="0" t="s">
        <v>1570</v>
      </c>
      <c r="C25" s="0" t="s">
        <v>154</v>
      </c>
      <c r="D25" s="0" t="s">
        <v>1510</v>
      </c>
      <c r="F25" s="0" t="s">
        <v>1511</v>
      </c>
      <c r="G25" s="0" t="s">
        <v>993</v>
      </c>
      <c r="H25" s="0" t="s">
        <v>1147</v>
      </c>
      <c r="J25" s="0" t="s">
        <v>159</v>
      </c>
      <c r="K25" s="0" t="n">
        <v>3474978</v>
      </c>
      <c r="L25" s="0" t="s">
        <v>1202</v>
      </c>
      <c r="M25" s="0" t="s">
        <v>1571</v>
      </c>
      <c r="N25" s="0" t="s">
        <v>1572</v>
      </c>
    </row>
    <row r="26" customFormat="false" ht="15" hidden="false" customHeight="false" outlineLevel="0" collapsed="false">
      <c r="A26" s="0" t="s">
        <v>162</v>
      </c>
      <c r="B26" s="0" t="s">
        <v>1573</v>
      </c>
      <c r="C26" s="0" t="s">
        <v>154</v>
      </c>
      <c r="D26" s="0" t="s">
        <v>1510</v>
      </c>
      <c r="F26" s="0" t="s">
        <v>1511</v>
      </c>
      <c r="G26" s="0" t="s">
        <v>1207</v>
      </c>
      <c r="H26" s="0" t="s">
        <v>1147</v>
      </c>
      <c r="J26" s="0" t="s">
        <v>162</v>
      </c>
      <c r="K26" s="0" t="n">
        <v>2880789</v>
      </c>
      <c r="L26" s="0" t="s">
        <v>1208</v>
      </c>
      <c r="M26" s="0" t="s">
        <v>1574</v>
      </c>
      <c r="N26" s="0" t="s">
        <v>1575</v>
      </c>
    </row>
    <row r="27" customFormat="false" ht="15" hidden="false" customHeight="false" outlineLevel="0" collapsed="false">
      <c r="A27" s="0" t="s">
        <v>164</v>
      </c>
      <c r="B27" s="0" t="s">
        <v>1576</v>
      </c>
      <c r="C27" s="0" t="s">
        <v>163</v>
      </c>
      <c r="D27" s="0" t="s">
        <v>1510</v>
      </c>
      <c r="F27" s="0" t="s">
        <v>1511</v>
      </c>
      <c r="G27" s="0" t="s">
        <v>1189</v>
      </c>
      <c r="H27" s="0" t="s">
        <v>1147</v>
      </c>
      <c r="J27" s="0" t="s">
        <v>164</v>
      </c>
      <c r="K27" s="0" t="n">
        <v>3257266</v>
      </c>
      <c r="L27" s="0" t="s">
        <v>1191</v>
      </c>
      <c r="M27" s="0" t="s">
        <v>1577</v>
      </c>
      <c r="N27" s="0" t="s">
        <v>1527</v>
      </c>
    </row>
    <row r="28" customFormat="false" ht="15" hidden="false" customHeight="false" outlineLevel="0" collapsed="false">
      <c r="A28" s="0" t="s">
        <v>175</v>
      </c>
      <c r="B28" s="0" t="s">
        <v>1578</v>
      </c>
      <c r="C28" s="0" t="s">
        <v>163</v>
      </c>
      <c r="D28" s="0" t="s">
        <v>1510</v>
      </c>
      <c r="F28" s="0" t="s">
        <v>1511</v>
      </c>
      <c r="G28" s="0" t="s">
        <v>1209</v>
      </c>
      <c r="H28" s="0" t="s">
        <v>1147</v>
      </c>
      <c r="J28" s="0" t="s">
        <v>175</v>
      </c>
      <c r="K28" s="0" t="n">
        <v>8810170</v>
      </c>
      <c r="L28" s="0" t="s">
        <v>1210</v>
      </c>
      <c r="M28" s="0" t="s">
        <v>1579</v>
      </c>
      <c r="N28" s="0" t="s">
        <v>1580</v>
      </c>
    </row>
    <row r="29" customFormat="false" ht="15" hidden="false" customHeight="false" outlineLevel="0" collapsed="false">
      <c r="A29" s="0" t="s">
        <v>1581</v>
      </c>
      <c r="B29" s="0" t="s">
        <v>1582</v>
      </c>
      <c r="C29" s="0" t="s">
        <v>116</v>
      </c>
      <c r="D29" s="0" t="s">
        <v>1583</v>
      </c>
      <c r="F29" s="0" t="s">
        <v>1511</v>
      </c>
      <c r="G29" s="0" t="s">
        <v>1584</v>
      </c>
      <c r="H29" s="0" t="s">
        <v>1585</v>
      </c>
    </row>
    <row r="30" customFormat="false" ht="15" hidden="false" customHeight="false" outlineLevel="0" collapsed="false">
      <c r="A30" s="0" t="s">
        <v>124</v>
      </c>
      <c r="B30" s="0" t="s">
        <v>1586</v>
      </c>
      <c r="C30" s="0" t="s">
        <v>116</v>
      </c>
      <c r="D30" s="0" t="s">
        <v>1587</v>
      </c>
      <c r="E30" s="0" t="s">
        <v>1588</v>
      </c>
      <c r="F30" s="0" t="s">
        <v>1511</v>
      </c>
      <c r="G30" s="0" t="s">
        <v>962</v>
      </c>
      <c r="H30" s="0" t="s">
        <v>1147</v>
      </c>
      <c r="J30" s="0" t="s">
        <v>124</v>
      </c>
      <c r="K30" s="0" t="n">
        <v>5416143</v>
      </c>
      <c r="L30" s="0" t="s">
        <v>1215</v>
      </c>
      <c r="M30" s="0" t="s">
        <v>1589</v>
      </c>
      <c r="N30" s="0" t="s">
        <v>1590</v>
      </c>
    </row>
    <row r="31" customFormat="false" ht="15" hidden="false" customHeight="false" outlineLevel="0" collapsed="false">
      <c r="A31" s="0" t="s">
        <v>121</v>
      </c>
      <c r="B31" s="0" t="s">
        <v>1591</v>
      </c>
      <c r="C31" s="0" t="s">
        <v>116</v>
      </c>
      <c r="D31" s="0" t="s">
        <v>1587</v>
      </c>
      <c r="E31" s="0" t="s">
        <v>1592</v>
      </c>
      <c r="F31" s="0" t="s">
        <v>1511</v>
      </c>
      <c r="G31" s="0" t="s">
        <v>953</v>
      </c>
      <c r="H31" s="0" t="s">
        <v>1147</v>
      </c>
      <c r="J31" s="0" t="s">
        <v>121</v>
      </c>
      <c r="K31" s="0" t="n">
        <v>9736155</v>
      </c>
      <c r="L31" s="0" t="s">
        <v>1165</v>
      </c>
      <c r="M31" s="0" t="s">
        <v>1593</v>
      </c>
      <c r="N31" s="0" t="s">
        <v>1594</v>
      </c>
    </row>
    <row r="32" customFormat="false" ht="15" hidden="false" customHeight="false" outlineLevel="0" collapsed="false">
      <c r="A32" s="0" t="s">
        <v>117</v>
      </c>
      <c r="B32" s="0" t="s">
        <v>1595</v>
      </c>
      <c r="C32" s="0" t="s">
        <v>116</v>
      </c>
      <c r="D32" s="0" t="s">
        <v>1596</v>
      </c>
      <c r="F32" s="0" t="s">
        <v>1511</v>
      </c>
      <c r="G32" s="0" t="s">
        <v>1117</v>
      </c>
      <c r="H32" s="0" t="s">
        <v>1147</v>
      </c>
      <c r="J32" s="0" t="s">
        <v>117</v>
      </c>
      <c r="K32" s="0" t="n">
        <v>4096893</v>
      </c>
      <c r="L32" s="0" t="s">
        <v>1176</v>
      </c>
      <c r="M32" s="0" t="s">
        <v>1597</v>
      </c>
      <c r="N32" s="0" t="s">
        <v>1598</v>
      </c>
    </row>
    <row r="33" customFormat="false" ht="15" hidden="false" customHeight="false" outlineLevel="0" collapsed="false">
      <c r="A33" s="0" t="s">
        <v>119</v>
      </c>
      <c r="B33" s="0" t="s">
        <v>1599</v>
      </c>
      <c r="C33" s="0" t="s">
        <v>116</v>
      </c>
      <c r="D33" s="0" t="s">
        <v>1596</v>
      </c>
      <c r="F33" s="0" t="s">
        <v>1511</v>
      </c>
      <c r="G33" s="0" t="s">
        <v>1127</v>
      </c>
      <c r="H33" s="0" t="s">
        <v>1147</v>
      </c>
      <c r="J33" s="0" t="s">
        <v>119</v>
      </c>
      <c r="K33" s="0" t="n">
        <v>3734370</v>
      </c>
      <c r="L33" s="0" t="s">
        <v>1218</v>
      </c>
      <c r="M33" s="0" t="s">
        <v>1600</v>
      </c>
      <c r="N33" s="0" t="s">
        <v>1601</v>
      </c>
    </row>
    <row r="34" customFormat="false" ht="15" hidden="false" customHeight="false" outlineLevel="0" collapsed="false">
      <c r="A34" s="0" t="s">
        <v>101</v>
      </c>
      <c r="B34" s="0" t="s">
        <v>1602</v>
      </c>
      <c r="C34" s="0" t="s">
        <v>86</v>
      </c>
      <c r="D34" s="0" t="s">
        <v>1603</v>
      </c>
      <c r="F34" s="0" t="s">
        <v>1511</v>
      </c>
      <c r="G34" s="0" t="s">
        <v>1012</v>
      </c>
      <c r="H34" s="0" t="s">
        <v>1147</v>
      </c>
      <c r="J34" s="0" t="s">
        <v>101</v>
      </c>
      <c r="K34" s="0" t="n">
        <v>5562091</v>
      </c>
      <c r="L34" s="0" t="s">
        <v>1149</v>
      </c>
      <c r="M34" s="0" t="s">
        <v>1604</v>
      </c>
      <c r="N34" s="0" t="s">
        <v>1605</v>
      </c>
    </row>
    <row r="35" customFormat="false" ht="15" hidden="false" customHeight="false" outlineLevel="0" collapsed="false">
      <c r="A35" s="0" t="s">
        <v>160</v>
      </c>
      <c r="B35" s="0" t="s">
        <v>1606</v>
      </c>
      <c r="C35" s="0" t="s">
        <v>154</v>
      </c>
      <c r="D35" s="0" t="s">
        <v>1607</v>
      </c>
      <c r="F35" s="0" t="s">
        <v>1511</v>
      </c>
      <c r="G35" s="0" t="s">
        <v>1000</v>
      </c>
      <c r="H35" s="0" t="s">
        <v>1147</v>
      </c>
      <c r="J35" s="0" t="s">
        <v>160</v>
      </c>
      <c r="K35" s="0" t="n">
        <v>23893681</v>
      </c>
      <c r="L35" s="0" t="s">
        <v>1158</v>
      </c>
      <c r="M35" s="0" t="s">
        <v>1608</v>
      </c>
      <c r="N35" s="0" t="s">
        <v>1609</v>
      </c>
    </row>
    <row r="36" customFormat="false" ht="15" hidden="false" customHeight="false" outlineLevel="0" collapsed="false">
      <c r="A36" s="0" t="s">
        <v>1610</v>
      </c>
      <c r="B36" s="0" t="s">
        <v>1611</v>
      </c>
      <c r="C36" s="0" t="s">
        <v>138</v>
      </c>
      <c r="D36" s="0" t="s">
        <v>1612</v>
      </c>
      <c r="F36" s="0" t="s">
        <v>1613</v>
      </c>
      <c r="H36" s="0" t="s">
        <v>1585</v>
      </c>
    </row>
    <row r="37" customFormat="false" ht="15" hidden="false" customHeight="false" outlineLevel="0" collapsed="false">
      <c r="A37" s="0" t="s">
        <v>1614</v>
      </c>
      <c r="B37" s="0" t="s">
        <v>1615</v>
      </c>
      <c r="C37" s="0" t="s">
        <v>138</v>
      </c>
      <c r="D37" s="0" t="s">
        <v>1616</v>
      </c>
      <c r="F37" s="0" t="s">
        <v>1613</v>
      </c>
      <c r="H37" s="0" t="s">
        <v>1585</v>
      </c>
    </row>
    <row r="38" customFormat="false" ht="15" hidden="false" customHeight="false" outlineLevel="0" collapsed="false">
      <c r="A38" s="0" t="s">
        <v>1617</v>
      </c>
      <c r="B38" s="0" t="s">
        <v>1618</v>
      </c>
      <c r="C38" s="0" t="s">
        <v>138</v>
      </c>
      <c r="D38" s="0" t="s">
        <v>1619</v>
      </c>
      <c r="F38" s="0" t="s">
        <v>1613</v>
      </c>
      <c r="H38" s="0" t="s">
        <v>1585</v>
      </c>
    </row>
    <row r="39" customFormat="false" ht="15" hidden="false" customHeight="false" outlineLevel="0" collapsed="false">
      <c r="A39" s="0" t="s">
        <v>156</v>
      </c>
      <c r="B39" s="0" t="s">
        <v>1565</v>
      </c>
      <c r="C39" s="0" t="s">
        <v>154</v>
      </c>
      <c r="D39" s="0" t="s">
        <v>1620</v>
      </c>
      <c r="F39" s="0" t="s">
        <v>1621</v>
      </c>
      <c r="H39" s="0" t="s">
        <v>1585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1622</v>
      </c>
    </row>
    <row r="3" customFormat="false" ht="15" hidden="false" customHeight="false" outlineLevel="0" collapsed="false">
      <c r="A3" s="3" t="s">
        <v>380</v>
      </c>
      <c r="B3" s="3" t="s">
        <v>897</v>
      </c>
      <c r="C3" s="3" t="s">
        <v>1623</v>
      </c>
      <c r="D3" s="3" t="s">
        <v>898</v>
      </c>
      <c r="E3" s="3" t="s">
        <v>899</v>
      </c>
      <c r="F3" s="3" t="s">
        <v>900</v>
      </c>
      <c r="G3" s="3" t="s">
        <v>1624</v>
      </c>
      <c r="H3" s="3" t="s">
        <v>1625</v>
      </c>
      <c r="I3" s="3" t="s">
        <v>901</v>
      </c>
      <c r="J3" s="3" t="s">
        <v>1299</v>
      </c>
      <c r="K3" s="3" t="s">
        <v>1626</v>
      </c>
      <c r="L3" s="3" t="s">
        <v>1627</v>
      </c>
      <c r="M3" s="3" t="s">
        <v>1628</v>
      </c>
      <c r="N3" s="3" t="s">
        <v>74</v>
      </c>
      <c r="O3" s="3" t="s">
        <v>1506</v>
      </c>
      <c r="P3" s="3" t="s">
        <v>1507</v>
      </c>
      <c r="Q3" s="3" t="s">
        <v>902</v>
      </c>
      <c r="R3" s="3" t="s">
        <v>903</v>
      </c>
      <c r="S3" s="3" t="s">
        <v>1629</v>
      </c>
      <c r="T3" s="3" t="s">
        <v>1630</v>
      </c>
      <c r="U3" s="3" t="s">
        <v>1631</v>
      </c>
      <c r="V3" s="3" t="s">
        <v>379</v>
      </c>
      <c r="W3" s="3" t="s">
        <v>1632</v>
      </c>
      <c r="X3" s="3" t="s">
        <v>1633</v>
      </c>
      <c r="Y3" s="3" t="s">
        <v>1634</v>
      </c>
      <c r="Z3" s="3" t="s">
        <v>904</v>
      </c>
      <c r="AA3" s="3" t="s">
        <v>905</v>
      </c>
      <c r="AB3" s="3" t="s">
        <v>1635</v>
      </c>
      <c r="AC3" s="3" t="s">
        <v>1636</v>
      </c>
      <c r="AD3" s="3" t="s">
        <v>1637</v>
      </c>
      <c r="AE3" s="3" t="s">
        <v>1638</v>
      </c>
      <c r="AF3" s="3" t="s">
        <v>1639</v>
      </c>
      <c r="AG3" s="3" t="s">
        <v>925</v>
      </c>
      <c r="AH3" s="3" t="s">
        <v>1640</v>
      </c>
      <c r="AI3" s="3" t="s">
        <v>1641</v>
      </c>
      <c r="AJ3" s="3" t="s">
        <v>1642</v>
      </c>
      <c r="AK3" s="3" t="s">
        <v>1643</v>
      </c>
      <c r="AL3" s="3" t="s">
        <v>377</v>
      </c>
    </row>
    <row r="4" customFormat="false" ht="15" hidden="false" customHeight="false" outlineLevel="0" collapsed="false">
      <c r="A4" s="0" t="s">
        <v>1644</v>
      </c>
      <c r="B4" s="0" t="s">
        <v>77</v>
      </c>
      <c r="C4" s="0" t="s">
        <v>1645</v>
      </c>
      <c r="D4" s="0" t="n">
        <v>2013</v>
      </c>
      <c r="E4" s="0" t="s">
        <v>1646</v>
      </c>
      <c r="F4" s="0" t="n">
        <v>1217176792</v>
      </c>
      <c r="G4" s="0" t="s">
        <v>1647</v>
      </c>
      <c r="H4" s="0" t="s">
        <v>1648</v>
      </c>
      <c r="I4" s="0" t="n">
        <v>1217176.792</v>
      </c>
      <c r="J4" s="0" t="s">
        <v>1649</v>
      </c>
      <c r="M4" s="0" t="s">
        <v>1509</v>
      </c>
      <c r="N4" s="0" t="s">
        <v>80</v>
      </c>
      <c r="Q4" s="0" t="n">
        <v>1</v>
      </c>
      <c r="R4" s="0" t="n">
        <v>1</v>
      </c>
      <c r="U4" s="0" t="s">
        <v>1650</v>
      </c>
      <c r="V4" s="0" t="s">
        <v>1650</v>
      </c>
      <c r="Y4" s="0" t="s">
        <v>1651</v>
      </c>
      <c r="Z4" s="0" t="s">
        <v>1652</v>
      </c>
      <c r="AA4" s="0" t="s">
        <v>1653</v>
      </c>
      <c r="AC4" s="0" t="s">
        <v>1654</v>
      </c>
    </row>
    <row r="5" customFormat="false" ht="15" hidden="false" customHeight="false" outlineLevel="0" collapsed="false">
      <c r="A5" s="0" t="s">
        <v>1655</v>
      </c>
      <c r="B5" s="0" t="s">
        <v>77</v>
      </c>
      <c r="C5" s="0" t="s">
        <v>1645</v>
      </c>
      <c r="D5" s="0" t="n">
        <v>2013</v>
      </c>
      <c r="E5" s="0" t="s">
        <v>670</v>
      </c>
      <c r="F5" s="0" t="n">
        <v>180230976</v>
      </c>
      <c r="G5" s="0" t="s">
        <v>1647</v>
      </c>
      <c r="H5" s="0" t="s">
        <v>1648</v>
      </c>
      <c r="I5" s="0" t="n">
        <v>180230.976</v>
      </c>
      <c r="J5" s="0" t="s">
        <v>1649</v>
      </c>
      <c r="M5" s="0" t="s">
        <v>1509</v>
      </c>
      <c r="N5" s="0" t="s">
        <v>80</v>
      </c>
      <c r="Q5" s="0" t="n">
        <v>1</v>
      </c>
      <c r="R5" s="0" t="n">
        <v>1</v>
      </c>
      <c r="U5" s="0" t="s">
        <v>1650</v>
      </c>
      <c r="V5" s="0" t="s">
        <v>1650</v>
      </c>
      <c r="Y5" s="0" t="s">
        <v>1651</v>
      </c>
      <c r="Z5" s="0" t="s">
        <v>1652</v>
      </c>
      <c r="AA5" s="0" t="s">
        <v>1653</v>
      </c>
      <c r="AC5" s="0" t="s">
        <v>1654</v>
      </c>
    </row>
    <row r="6" customFormat="false" ht="15" hidden="false" customHeight="false" outlineLevel="0" collapsed="false">
      <c r="A6" s="0" t="s">
        <v>1656</v>
      </c>
      <c r="B6" s="0" t="s">
        <v>77</v>
      </c>
      <c r="C6" s="0" t="s">
        <v>1645</v>
      </c>
      <c r="D6" s="0" t="n">
        <v>2013</v>
      </c>
      <c r="E6" s="0" t="s">
        <v>63</v>
      </c>
      <c r="F6" s="0" t="n">
        <v>-7508216</v>
      </c>
      <c r="G6" s="0" t="s">
        <v>1647</v>
      </c>
      <c r="H6" s="0" t="s">
        <v>1648</v>
      </c>
      <c r="I6" s="0" t="n">
        <v>-7508.216</v>
      </c>
      <c r="J6" s="0" t="s">
        <v>1649</v>
      </c>
      <c r="M6" s="0" t="s">
        <v>1509</v>
      </c>
      <c r="N6" s="0" t="s">
        <v>80</v>
      </c>
      <c r="Q6" s="0" t="n">
        <v>1</v>
      </c>
      <c r="R6" s="0" t="n">
        <v>1</v>
      </c>
      <c r="U6" s="0" t="s">
        <v>1650</v>
      </c>
      <c r="V6" s="0" t="s">
        <v>1650</v>
      </c>
      <c r="Y6" s="0" t="s">
        <v>1651</v>
      </c>
      <c r="Z6" s="0" t="s">
        <v>1652</v>
      </c>
      <c r="AA6" s="0" t="s">
        <v>1653</v>
      </c>
      <c r="AC6" s="0" t="s">
        <v>1654</v>
      </c>
    </row>
    <row r="7" customFormat="false" ht="15" hidden="false" customHeight="false" outlineLevel="0" collapsed="false">
      <c r="A7" s="0" t="s">
        <v>1657</v>
      </c>
      <c r="B7" s="0" t="s">
        <v>77</v>
      </c>
      <c r="C7" s="0" t="s">
        <v>1645</v>
      </c>
      <c r="D7" s="0" t="n">
        <v>2013</v>
      </c>
      <c r="E7" s="0" t="s">
        <v>64</v>
      </c>
      <c r="F7" s="0" t="n">
        <v>17924178</v>
      </c>
      <c r="G7" s="0" t="s">
        <v>1647</v>
      </c>
      <c r="H7" s="0" t="s">
        <v>1648</v>
      </c>
      <c r="I7" s="0" t="n">
        <v>17924.178</v>
      </c>
      <c r="J7" s="0" t="s">
        <v>1649</v>
      </c>
      <c r="M7" s="0" t="s">
        <v>1509</v>
      </c>
      <c r="N7" s="0" t="s">
        <v>80</v>
      </c>
      <c r="Q7" s="0" t="n">
        <v>1</v>
      </c>
      <c r="R7" s="0" t="n">
        <v>1</v>
      </c>
      <c r="U7" s="0" t="s">
        <v>1650</v>
      </c>
      <c r="V7" s="0" t="s">
        <v>1650</v>
      </c>
      <c r="Y7" s="0" t="s">
        <v>1651</v>
      </c>
      <c r="Z7" s="0" t="s">
        <v>1652</v>
      </c>
      <c r="AA7" s="0" t="s">
        <v>1653</v>
      </c>
      <c r="AC7" s="0" t="s">
        <v>1654</v>
      </c>
    </row>
    <row r="8" customFormat="false" ht="15" hidden="false" customHeight="false" outlineLevel="0" collapsed="false">
      <c r="A8" s="0" t="s">
        <v>1658</v>
      </c>
      <c r="B8" s="0" t="s">
        <v>77</v>
      </c>
      <c r="C8" s="0" t="s">
        <v>1645</v>
      </c>
      <c r="D8" s="0" t="n">
        <v>2013</v>
      </c>
      <c r="E8" s="0" t="s">
        <v>266</v>
      </c>
      <c r="F8" s="0" t="n">
        <v>2.35</v>
      </c>
      <c r="G8" s="0" t="s">
        <v>1659</v>
      </c>
      <c r="I8" s="0" t="n">
        <v>2.35</v>
      </c>
      <c r="J8" s="0" t="s">
        <v>1649</v>
      </c>
      <c r="M8" s="0" t="s">
        <v>1509</v>
      </c>
      <c r="N8" s="0" t="s">
        <v>80</v>
      </c>
      <c r="Q8" s="0" t="n">
        <v>1</v>
      </c>
      <c r="R8" s="0" t="n">
        <v>1</v>
      </c>
      <c r="U8" s="0" t="s">
        <v>1650</v>
      </c>
      <c r="V8" s="0" t="s">
        <v>1650</v>
      </c>
      <c r="Y8" s="0" t="s">
        <v>1651</v>
      </c>
      <c r="Z8" s="0" t="s">
        <v>1652</v>
      </c>
      <c r="AA8" s="0" t="s">
        <v>1660</v>
      </c>
      <c r="AC8" s="0" t="s">
        <v>1654</v>
      </c>
    </row>
    <row r="9" customFormat="false" ht="15" hidden="false" customHeight="false" outlineLevel="0" collapsed="false">
      <c r="A9" s="0" t="s">
        <v>1661</v>
      </c>
      <c r="B9" s="0" t="s">
        <v>77</v>
      </c>
      <c r="C9" s="0" t="s">
        <v>1645</v>
      </c>
      <c r="D9" s="0" t="n">
        <v>2013</v>
      </c>
      <c r="E9" s="0" t="s">
        <v>62</v>
      </c>
      <c r="F9" s="0" t="n">
        <v>735300741</v>
      </c>
      <c r="G9" s="0" t="s">
        <v>1647</v>
      </c>
      <c r="H9" s="0" t="s">
        <v>1648</v>
      </c>
      <c r="I9" s="0" t="n">
        <v>735300.741</v>
      </c>
      <c r="J9" s="0" t="s">
        <v>1649</v>
      </c>
      <c r="M9" s="0" t="s">
        <v>1509</v>
      </c>
      <c r="N9" s="0" t="s">
        <v>80</v>
      </c>
      <c r="Q9" s="0" t="n">
        <v>1</v>
      </c>
      <c r="R9" s="0" t="n">
        <v>1</v>
      </c>
      <c r="U9" s="0" t="s">
        <v>1650</v>
      </c>
      <c r="V9" s="0" t="s">
        <v>1650</v>
      </c>
      <c r="Y9" s="0" t="s">
        <v>1651</v>
      </c>
      <c r="Z9" s="0" t="s">
        <v>1652</v>
      </c>
      <c r="AA9" s="0" t="s">
        <v>1653</v>
      </c>
      <c r="AC9" s="0" t="s">
        <v>1654</v>
      </c>
    </row>
    <row r="10" customFormat="false" ht="15" hidden="false" customHeight="false" outlineLevel="0" collapsed="false">
      <c r="A10" s="0" t="s">
        <v>1662</v>
      </c>
      <c r="B10" s="0" t="s">
        <v>77</v>
      </c>
      <c r="C10" s="0" t="s">
        <v>1645</v>
      </c>
      <c r="D10" s="0" t="n">
        <v>2013</v>
      </c>
      <c r="E10" s="0" t="s">
        <v>54</v>
      </c>
      <c r="F10" s="0" t="n">
        <v>26211844</v>
      </c>
      <c r="G10" s="0" t="s">
        <v>1647</v>
      </c>
      <c r="H10" s="0" t="s">
        <v>1648</v>
      </c>
      <c r="I10" s="0" t="n">
        <v>26211.844</v>
      </c>
      <c r="J10" s="0" t="s">
        <v>1649</v>
      </c>
      <c r="M10" s="0" t="s">
        <v>1509</v>
      </c>
      <c r="N10" s="0" t="s">
        <v>80</v>
      </c>
      <c r="Q10" s="0" t="n">
        <v>1</v>
      </c>
      <c r="R10" s="0" t="n">
        <v>1</v>
      </c>
      <c r="U10" s="0" t="s">
        <v>1650</v>
      </c>
      <c r="V10" s="0" t="s">
        <v>1650</v>
      </c>
      <c r="Y10" s="0" t="s">
        <v>1651</v>
      </c>
      <c r="Z10" s="0" t="s">
        <v>1652</v>
      </c>
      <c r="AA10" s="0" t="s">
        <v>1653</v>
      </c>
      <c r="AC10" s="0" t="s">
        <v>1654</v>
      </c>
    </row>
    <row r="11" customFormat="false" ht="15" hidden="false" customHeight="false" outlineLevel="0" collapsed="false">
      <c r="A11" s="0" t="s">
        <v>1663</v>
      </c>
      <c r="B11" s="0" t="s">
        <v>77</v>
      </c>
      <c r="C11" s="0" t="s">
        <v>1645</v>
      </c>
      <c r="D11" s="0" t="n">
        <v>2013</v>
      </c>
      <c r="E11" s="0" t="s">
        <v>55</v>
      </c>
      <c r="F11" s="0" t="n">
        <v>1704094012</v>
      </c>
      <c r="G11" s="0" t="s">
        <v>1647</v>
      </c>
      <c r="H11" s="0" t="s">
        <v>1648</v>
      </c>
      <c r="I11" s="0" t="n">
        <v>1704094.012</v>
      </c>
      <c r="J11" s="0" t="s">
        <v>1649</v>
      </c>
      <c r="M11" s="0" t="s">
        <v>1509</v>
      </c>
      <c r="N11" s="0" t="s">
        <v>80</v>
      </c>
      <c r="Q11" s="0" t="n">
        <v>1</v>
      </c>
      <c r="R11" s="0" t="n">
        <v>1</v>
      </c>
      <c r="U11" s="0" t="s">
        <v>1650</v>
      </c>
      <c r="V11" s="0" t="s">
        <v>1650</v>
      </c>
      <c r="Y11" s="0" t="s">
        <v>1651</v>
      </c>
      <c r="Z11" s="0" t="s">
        <v>1652</v>
      </c>
      <c r="AA11" s="0" t="s">
        <v>1653</v>
      </c>
      <c r="AC11" s="0" t="s">
        <v>1654</v>
      </c>
    </row>
    <row r="12" customFormat="false" ht="15" hidden="false" customHeight="false" outlineLevel="0" collapsed="false">
      <c r="A12" s="0" t="s">
        <v>1664</v>
      </c>
      <c r="B12" s="0" t="s">
        <v>77</v>
      </c>
      <c r="C12" s="0" t="s">
        <v>1645</v>
      </c>
      <c r="D12" s="0" t="n">
        <v>2013</v>
      </c>
      <c r="E12" s="0" t="s">
        <v>57</v>
      </c>
      <c r="F12" s="0" t="n">
        <v>245181998</v>
      </c>
      <c r="G12" s="0" t="s">
        <v>1647</v>
      </c>
      <c r="H12" s="0" t="s">
        <v>1648</v>
      </c>
      <c r="I12" s="0" t="n">
        <v>245181.998</v>
      </c>
      <c r="J12" s="0" t="s">
        <v>1649</v>
      </c>
      <c r="M12" s="0" t="s">
        <v>1509</v>
      </c>
      <c r="N12" s="0" t="s">
        <v>80</v>
      </c>
      <c r="Q12" s="0" t="n">
        <v>1</v>
      </c>
      <c r="R12" s="0" t="n">
        <v>1</v>
      </c>
      <c r="U12" s="0" t="s">
        <v>1650</v>
      </c>
      <c r="V12" s="0" t="s">
        <v>1650</v>
      </c>
      <c r="Y12" s="0" t="s">
        <v>1651</v>
      </c>
      <c r="Z12" s="0" t="s">
        <v>1652</v>
      </c>
      <c r="AA12" s="0" t="s">
        <v>1653</v>
      </c>
      <c r="AC12" s="0" t="s">
        <v>1654</v>
      </c>
    </row>
    <row r="13" customFormat="false" ht="15" hidden="false" customHeight="false" outlineLevel="0" collapsed="false">
      <c r="A13" s="0" t="s">
        <v>1665</v>
      </c>
      <c r="B13" s="0" t="s">
        <v>77</v>
      </c>
      <c r="C13" s="0" t="s">
        <v>1645</v>
      </c>
      <c r="D13" s="0" t="n">
        <v>2013</v>
      </c>
      <c r="E13" s="0" t="s">
        <v>56</v>
      </c>
      <c r="F13" s="0" t="n">
        <v>1458912014</v>
      </c>
      <c r="G13" s="0" t="s">
        <v>1647</v>
      </c>
      <c r="H13" s="0" t="s">
        <v>1648</v>
      </c>
      <c r="I13" s="0" t="n">
        <v>1458912.014</v>
      </c>
      <c r="J13" s="0" t="s">
        <v>1649</v>
      </c>
      <c r="M13" s="0" t="s">
        <v>1509</v>
      </c>
      <c r="N13" s="0" t="s">
        <v>80</v>
      </c>
      <c r="Q13" s="0" t="n">
        <v>1</v>
      </c>
      <c r="R13" s="0" t="n">
        <v>1</v>
      </c>
      <c r="U13" s="0" t="s">
        <v>1650</v>
      </c>
      <c r="V13" s="0" t="s">
        <v>1650</v>
      </c>
      <c r="Y13" s="0" t="s">
        <v>1651</v>
      </c>
      <c r="Z13" s="0" t="s">
        <v>1652</v>
      </c>
      <c r="AA13" s="0" t="s">
        <v>1653</v>
      </c>
      <c r="AC13" s="0" t="s">
        <v>1654</v>
      </c>
    </row>
    <row r="14" customFormat="false" ht="15" hidden="false" customHeight="false" outlineLevel="0" collapsed="false">
      <c r="A14" s="0" t="s">
        <v>1666</v>
      </c>
      <c r="B14" s="0" t="s">
        <v>77</v>
      </c>
      <c r="C14" s="0" t="s">
        <v>1645</v>
      </c>
      <c r="D14" s="0" t="n">
        <v>2014</v>
      </c>
      <c r="E14" s="0" t="s">
        <v>1646</v>
      </c>
      <c r="F14" s="0" t="n">
        <v>1324800611</v>
      </c>
      <c r="G14" s="0" t="s">
        <v>1647</v>
      </c>
      <c r="H14" s="0" t="s">
        <v>1648</v>
      </c>
      <c r="I14" s="0" t="n">
        <v>1324800.611</v>
      </c>
      <c r="J14" s="0" t="s">
        <v>1649</v>
      </c>
      <c r="M14" s="0" t="s">
        <v>1509</v>
      </c>
      <c r="N14" s="0" t="s">
        <v>80</v>
      </c>
      <c r="Q14" s="0" t="n">
        <v>1</v>
      </c>
      <c r="R14" s="0" t="n">
        <v>1</v>
      </c>
      <c r="U14" s="0" t="s">
        <v>1667</v>
      </c>
      <c r="V14" s="0" t="s">
        <v>1667</v>
      </c>
      <c r="Y14" s="0" t="s">
        <v>1651</v>
      </c>
      <c r="Z14" s="0" t="s">
        <v>1652</v>
      </c>
      <c r="AA14" s="0" t="s">
        <v>1653</v>
      </c>
      <c r="AC14" s="0" t="s">
        <v>1654</v>
      </c>
    </row>
    <row r="15" customFormat="false" ht="15" hidden="false" customHeight="false" outlineLevel="0" collapsed="false">
      <c r="A15" s="0" t="s">
        <v>1668</v>
      </c>
      <c r="B15" s="0" t="s">
        <v>77</v>
      </c>
      <c r="C15" s="0" t="s">
        <v>1645</v>
      </c>
      <c r="D15" s="0" t="n">
        <v>2014</v>
      </c>
      <c r="E15" s="0" t="s">
        <v>670</v>
      </c>
      <c r="F15" s="0" t="n">
        <v>221610769</v>
      </c>
      <c r="G15" s="0" t="s">
        <v>1647</v>
      </c>
      <c r="H15" s="0" t="s">
        <v>1648</v>
      </c>
      <c r="I15" s="0" t="n">
        <v>221610.769</v>
      </c>
      <c r="J15" s="0" t="s">
        <v>1649</v>
      </c>
      <c r="M15" s="0" t="s">
        <v>1509</v>
      </c>
      <c r="N15" s="0" t="s">
        <v>80</v>
      </c>
      <c r="Q15" s="0" t="n">
        <v>1</v>
      </c>
      <c r="R15" s="0" t="n">
        <v>1</v>
      </c>
      <c r="U15" s="0" t="s">
        <v>1667</v>
      </c>
      <c r="V15" s="0" t="s">
        <v>1667</v>
      </c>
      <c r="Y15" s="0" t="s">
        <v>1651</v>
      </c>
      <c r="Z15" s="0" t="s">
        <v>1652</v>
      </c>
      <c r="AA15" s="0" t="s">
        <v>1653</v>
      </c>
      <c r="AC15" s="0" t="s">
        <v>1654</v>
      </c>
    </row>
    <row r="16" customFormat="false" ht="15" hidden="false" customHeight="false" outlineLevel="0" collapsed="false">
      <c r="A16" s="0" t="s">
        <v>1669</v>
      </c>
      <c r="B16" s="0" t="s">
        <v>77</v>
      </c>
      <c r="C16" s="0" t="s">
        <v>1645</v>
      </c>
      <c r="D16" s="0" t="n">
        <v>2014</v>
      </c>
      <c r="E16" s="0" t="s">
        <v>63</v>
      </c>
      <c r="F16" s="0" t="n">
        <v>10609300</v>
      </c>
      <c r="G16" s="0" t="s">
        <v>1647</v>
      </c>
      <c r="H16" s="0" t="s">
        <v>1648</v>
      </c>
      <c r="I16" s="0" t="n">
        <v>10609.3</v>
      </c>
      <c r="J16" s="0" t="s">
        <v>1649</v>
      </c>
      <c r="M16" s="0" t="s">
        <v>1509</v>
      </c>
      <c r="N16" s="0" t="s">
        <v>80</v>
      </c>
      <c r="Q16" s="0" t="n">
        <v>1</v>
      </c>
      <c r="R16" s="0" t="n">
        <v>1</v>
      </c>
      <c r="U16" s="0" t="s">
        <v>1667</v>
      </c>
      <c r="V16" s="0" t="s">
        <v>1667</v>
      </c>
      <c r="Y16" s="0" t="s">
        <v>1651</v>
      </c>
      <c r="Z16" s="0" t="s">
        <v>1652</v>
      </c>
      <c r="AA16" s="0" t="s">
        <v>1653</v>
      </c>
      <c r="AC16" s="0" t="s">
        <v>1654</v>
      </c>
    </row>
    <row r="17" customFormat="false" ht="15" hidden="false" customHeight="false" outlineLevel="0" collapsed="false">
      <c r="A17" s="0" t="s">
        <v>1670</v>
      </c>
      <c r="B17" s="0" t="s">
        <v>77</v>
      </c>
      <c r="C17" s="0" t="s">
        <v>1645</v>
      </c>
      <c r="D17" s="0" t="n">
        <v>2014</v>
      </c>
      <c r="E17" s="0" t="s">
        <v>64</v>
      </c>
      <c r="F17" s="0" t="n">
        <v>19966521</v>
      </c>
      <c r="G17" s="0" t="s">
        <v>1647</v>
      </c>
      <c r="H17" s="0" t="s">
        <v>1648</v>
      </c>
      <c r="I17" s="0" t="n">
        <v>19966.521</v>
      </c>
      <c r="J17" s="0" t="s">
        <v>1649</v>
      </c>
      <c r="M17" s="0" t="s">
        <v>1509</v>
      </c>
      <c r="N17" s="0" t="s">
        <v>80</v>
      </c>
      <c r="Q17" s="0" t="n">
        <v>1</v>
      </c>
      <c r="R17" s="0" t="n">
        <v>1</v>
      </c>
      <c r="U17" s="0" t="s">
        <v>1667</v>
      </c>
      <c r="V17" s="0" t="s">
        <v>1667</v>
      </c>
      <c r="Y17" s="0" t="s">
        <v>1651</v>
      </c>
      <c r="Z17" s="0" t="s">
        <v>1652</v>
      </c>
      <c r="AA17" s="0" t="s">
        <v>1653</v>
      </c>
      <c r="AC17" s="0" t="s">
        <v>1654</v>
      </c>
    </row>
    <row r="18" customFormat="false" ht="15" hidden="false" customHeight="false" outlineLevel="0" collapsed="false">
      <c r="A18" s="0" t="s">
        <v>1671</v>
      </c>
      <c r="B18" s="0" t="s">
        <v>77</v>
      </c>
      <c r="C18" s="0" t="s">
        <v>1645</v>
      </c>
      <c r="D18" s="0" t="n">
        <v>2014</v>
      </c>
      <c r="E18" s="0" t="s">
        <v>266</v>
      </c>
      <c r="F18" s="0" t="n">
        <v>1.83</v>
      </c>
      <c r="G18" s="0" t="s">
        <v>1659</v>
      </c>
      <c r="I18" s="0" t="n">
        <v>1.83</v>
      </c>
      <c r="J18" s="0" t="s">
        <v>1649</v>
      </c>
      <c r="M18" s="0" t="s">
        <v>1509</v>
      </c>
      <c r="N18" s="0" t="s">
        <v>80</v>
      </c>
      <c r="Q18" s="0" t="n">
        <v>1</v>
      </c>
      <c r="R18" s="0" t="n">
        <v>1</v>
      </c>
      <c r="U18" s="0" t="s">
        <v>1667</v>
      </c>
      <c r="V18" s="0" t="s">
        <v>1667</v>
      </c>
      <c r="Y18" s="0" t="s">
        <v>1651</v>
      </c>
      <c r="Z18" s="0" t="s">
        <v>1652</v>
      </c>
      <c r="AA18" s="0" t="s">
        <v>1660</v>
      </c>
      <c r="AC18" s="0" t="s">
        <v>1654</v>
      </c>
    </row>
    <row r="19" customFormat="false" ht="15" hidden="false" customHeight="false" outlineLevel="0" collapsed="false">
      <c r="A19" s="0" t="s">
        <v>1672</v>
      </c>
      <c r="B19" s="0" t="s">
        <v>77</v>
      </c>
      <c r="C19" s="0" t="s">
        <v>1645</v>
      </c>
      <c r="D19" s="0" t="n">
        <v>2014</v>
      </c>
      <c r="E19" s="0" t="s">
        <v>62</v>
      </c>
      <c r="F19" s="0" t="n">
        <v>1019908848</v>
      </c>
      <c r="G19" s="0" t="s">
        <v>1647</v>
      </c>
      <c r="H19" s="0" t="s">
        <v>1648</v>
      </c>
      <c r="I19" s="0" t="n">
        <v>1019908.848</v>
      </c>
      <c r="J19" s="0" t="s">
        <v>1649</v>
      </c>
      <c r="M19" s="0" t="s">
        <v>1509</v>
      </c>
      <c r="N19" s="0" t="s">
        <v>80</v>
      </c>
      <c r="Q19" s="0" t="n">
        <v>1</v>
      </c>
      <c r="R19" s="0" t="n">
        <v>1</v>
      </c>
      <c r="U19" s="0" t="s">
        <v>1667</v>
      </c>
      <c r="V19" s="0" t="s">
        <v>1667</v>
      </c>
      <c r="Y19" s="0" t="s">
        <v>1651</v>
      </c>
      <c r="Z19" s="0" t="s">
        <v>1652</v>
      </c>
      <c r="AA19" s="0" t="s">
        <v>1653</v>
      </c>
      <c r="AC19" s="0" t="s">
        <v>1654</v>
      </c>
    </row>
    <row r="20" customFormat="false" ht="15" hidden="false" customHeight="false" outlineLevel="0" collapsed="false">
      <c r="A20" s="0" t="s">
        <v>1673</v>
      </c>
      <c r="B20" s="0" t="s">
        <v>77</v>
      </c>
      <c r="C20" s="0" t="s">
        <v>1645</v>
      </c>
      <c r="D20" s="0" t="n">
        <v>2014</v>
      </c>
      <c r="E20" s="0" t="s">
        <v>54</v>
      </c>
      <c r="F20" s="0" t="n">
        <v>39941126</v>
      </c>
      <c r="G20" s="0" t="s">
        <v>1647</v>
      </c>
      <c r="H20" s="0" t="s">
        <v>1648</v>
      </c>
      <c r="I20" s="0" t="n">
        <v>39941.126</v>
      </c>
      <c r="J20" s="0" t="s">
        <v>1649</v>
      </c>
      <c r="M20" s="0" t="s">
        <v>1509</v>
      </c>
      <c r="N20" s="0" t="s">
        <v>80</v>
      </c>
      <c r="Q20" s="0" t="n">
        <v>1</v>
      </c>
      <c r="R20" s="0" t="n">
        <v>1</v>
      </c>
      <c r="U20" s="0" t="s">
        <v>1667</v>
      </c>
      <c r="V20" s="0" t="s">
        <v>1667</v>
      </c>
      <c r="Y20" s="0" t="s">
        <v>1651</v>
      </c>
      <c r="Z20" s="0" t="s">
        <v>1652</v>
      </c>
      <c r="AA20" s="0" t="s">
        <v>1653</v>
      </c>
      <c r="AC20" s="0" t="s">
        <v>1654</v>
      </c>
    </row>
    <row r="21" customFormat="false" ht="15" hidden="false" customHeight="false" outlineLevel="0" collapsed="false">
      <c r="A21" s="0" t="s">
        <v>1674</v>
      </c>
      <c r="B21" s="0" t="s">
        <v>77</v>
      </c>
      <c r="C21" s="0" t="s">
        <v>1645</v>
      </c>
      <c r="D21" s="0" t="n">
        <v>2014</v>
      </c>
      <c r="E21" s="0" t="s">
        <v>55</v>
      </c>
      <c r="F21" s="0" t="n">
        <v>1981955730</v>
      </c>
      <c r="G21" s="0" t="s">
        <v>1647</v>
      </c>
      <c r="H21" s="0" t="s">
        <v>1648</v>
      </c>
      <c r="I21" s="0" t="n">
        <v>1981955.73</v>
      </c>
      <c r="J21" s="0" t="s">
        <v>1649</v>
      </c>
      <c r="M21" s="0" t="s">
        <v>1509</v>
      </c>
      <c r="N21" s="0" t="s">
        <v>80</v>
      </c>
      <c r="Q21" s="0" t="n">
        <v>1</v>
      </c>
      <c r="R21" s="0" t="n">
        <v>1</v>
      </c>
      <c r="U21" s="0" t="s">
        <v>1667</v>
      </c>
      <c r="V21" s="0" t="s">
        <v>1667</v>
      </c>
      <c r="Y21" s="0" t="s">
        <v>1651</v>
      </c>
      <c r="Z21" s="0" t="s">
        <v>1652</v>
      </c>
      <c r="AA21" s="0" t="s">
        <v>1653</v>
      </c>
      <c r="AC21" s="0" t="s">
        <v>1654</v>
      </c>
    </row>
    <row r="22" customFormat="false" ht="15" hidden="false" customHeight="false" outlineLevel="0" collapsed="false">
      <c r="A22" s="0" t="s">
        <v>1675</v>
      </c>
      <c r="B22" s="0" t="s">
        <v>77</v>
      </c>
      <c r="C22" s="0" t="s">
        <v>1645</v>
      </c>
      <c r="D22" s="0" t="n">
        <v>2014</v>
      </c>
      <c r="E22" s="0" t="s">
        <v>57</v>
      </c>
      <c r="F22" s="0" t="n">
        <v>274155785</v>
      </c>
      <c r="G22" s="0" t="s">
        <v>1647</v>
      </c>
      <c r="H22" s="0" t="s">
        <v>1648</v>
      </c>
      <c r="I22" s="0" t="n">
        <v>274155.785</v>
      </c>
      <c r="J22" s="0" t="s">
        <v>1649</v>
      </c>
      <c r="M22" s="0" t="s">
        <v>1509</v>
      </c>
      <c r="N22" s="0" t="s">
        <v>80</v>
      </c>
      <c r="Q22" s="0" t="n">
        <v>1</v>
      </c>
      <c r="R22" s="0" t="n">
        <v>1</v>
      </c>
      <c r="U22" s="0" t="s">
        <v>1667</v>
      </c>
      <c r="V22" s="0" t="s">
        <v>1667</v>
      </c>
      <c r="Y22" s="0" t="s">
        <v>1651</v>
      </c>
      <c r="Z22" s="0" t="s">
        <v>1652</v>
      </c>
      <c r="AA22" s="0" t="s">
        <v>1653</v>
      </c>
      <c r="AC22" s="0" t="s">
        <v>1654</v>
      </c>
    </row>
    <row r="23" customFormat="false" ht="15" hidden="false" customHeight="false" outlineLevel="0" collapsed="false">
      <c r="A23" s="0" t="s">
        <v>1676</v>
      </c>
      <c r="B23" s="0" t="s">
        <v>77</v>
      </c>
      <c r="C23" s="0" t="s">
        <v>1645</v>
      </c>
      <c r="D23" s="0" t="n">
        <v>2014</v>
      </c>
      <c r="E23" s="0" t="s">
        <v>56</v>
      </c>
      <c r="F23" s="0" t="n">
        <v>1707799944</v>
      </c>
      <c r="G23" s="0" t="s">
        <v>1647</v>
      </c>
      <c r="H23" s="0" t="s">
        <v>1648</v>
      </c>
      <c r="I23" s="0" t="n">
        <v>1707799.944</v>
      </c>
      <c r="J23" s="0" t="s">
        <v>1649</v>
      </c>
      <c r="M23" s="0" t="s">
        <v>1509</v>
      </c>
      <c r="N23" s="0" t="s">
        <v>80</v>
      </c>
      <c r="Q23" s="0" t="n">
        <v>1</v>
      </c>
      <c r="R23" s="0" t="n">
        <v>1</v>
      </c>
      <c r="U23" s="0" t="s">
        <v>1667</v>
      </c>
      <c r="V23" s="0" t="s">
        <v>1667</v>
      </c>
      <c r="Y23" s="0" t="s">
        <v>1651</v>
      </c>
      <c r="Z23" s="0" t="s">
        <v>1652</v>
      </c>
      <c r="AA23" s="0" t="s">
        <v>1653</v>
      </c>
      <c r="AC23" s="0" t="s">
        <v>1654</v>
      </c>
    </row>
    <row r="24" customFormat="false" ht="15" hidden="false" customHeight="false" outlineLevel="0" collapsed="false">
      <c r="A24" s="0" t="s">
        <v>1677</v>
      </c>
      <c r="B24" s="0" t="s">
        <v>129</v>
      </c>
      <c r="C24" s="0" t="s">
        <v>1678</v>
      </c>
      <c r="D24" s="0" t="n">
        <v>2013</v>
      </c>
      <c r="E24" s="0" t="s">
        <v>69</v>
      </c>
      <c r="F24" s="0" t="n">
        <v>20</v>
      </c>
      <c r="G24" s="0" t="s">
        <v>1659</v>
      </c>
      <c r="I24" s="0" t="n">
        <v>20</v>
      </c>
      <c r="J24" s="0" t="s">
        <v>1649</v>
      </c>
      <c r="M24" s="0" t="s">
        <v>1534</v>
      </c>
      <c r="N24" s="0" t="s">
        <v>130</v>
      </c>
      <c r="Q24" s="0" t="n">
        <v>117</v>
      </c>
      <c r="R24" s="0" t="n">
        <v>115</v>
      </c>
      <c r="U24" s="0" t="s">
        <v>1650</v>
      </c>
      <c r="V24" s="0" t="s">
        <v>1650</v>
      </c>
      <c r="Y24" s="0" t="s">
        <v>1651</v>
      </c>
      <c r="Z24" s="0" t="s">
        <v>1652</v>
      </c>
      <c r="AA24" s="0" t="s">
        <v>1679</v>
      </c>
      <c r="AC24" s="0" t="s">
        <v>1654</v>
      </c>
    </row>
    <row r="25" customFormat="false" ht="15" hidden="false" customHeight="false" outlineLevel="0" collapsed="false">
      <c r="A25" s="0" t="s">
        <v>1680</v>
      </c>
      <c r="B25" s="0" t="s">
        <v>129</v>
      </c>
      <c r="C25" s="0" t="s">
        <v>1678</v>
      </c>
      <c r="D25" s="0" t="n">
        <v>2013</v>
      </c>
      <c r="E25" s="0" t="s">
        <v>406</v>
      </c>
      <c r="F25" s="0" t="n">
        <v>6250</v>
      </c>
      <c r="G25" s="0" t="s">
        <v>1681</v>
      </c>
      <c r="H25" s="0" t="s">
        <v>1648</v>
      </c>
      <c r="I25" s="0" t="n">
        <v>6250</v>
      </c>
      <c r="J25" s="0" t="s">
        <v>1649</v>
      </c>
      <c r="M25" s="0" t="s">
        <v>1534</v>
      </c>
      <c r="N25" s="0" t="s">
        <v>130</v>
      </c>
      <c r="Q25" s="0" t="n">
        <v>141</v>
      </c>
      <c r="R25" s="0" t="n">
        <v>139</v>
      </c>
      <c r="U25" s="0" t="s">
        <v>1650</v>
      </c>
      <c r="V25" s="0" t="s">
        <v>1650</v>
      </c>
      <c r="Y25" s="0" t="s">
        <v>1651</v>
      </c>
      <c r="Z25" s="0" t="s">
        <v>1652</v>
      </c>
      <c r="AA25" s="0" t="s">
        <v>1682</v>
      </c>
      <c r="AC25" s="0" t="s">
        <v>1654</v>
      </c>
    </row>
    <row r="26" customFormat="false" ht="15" hidden="false" customHeight="false" outlineLevel="0" collapsed="false">
      <c r="A26" s="0" t="s">
        <v>1683</v>
      </c>
      <c r="B26" s="0" t="s">
        <v>129</v>
      </c>
      <c r="C26" s="0" t="s">
        <v>1678</v>
      </c>
      <c r="D26" s="0" t="n">
        <v>2013</v>
      </c>
      <c r="E26" s="0" t="s">
        <v>1646</v>
      </c>
      <c r="F26" s="0" t="n">
        <v>1797376</v>
      </c>
      <c r="G26" s="0" t="s">
        <v>1681</v>
      </c>
      <c r="H26" s="0" t="s">
        <v>1648</v>
      </c>
      <c r="I26" s="0" t="n">
        <v>1797376</v>
      </c>
      <c r="J26" s="0" t="s">
        <v>1649</v>
      </c>
      <c r="M26" s="0" t="s">
        <v>1534</v>
      </c>
      <c r="N26" s="0" t="s">
        <v>130</v>
      </c>
      <c r="Q26" s="0" t="n">
        <v>57</v>
      </c>
      <c r="R26" s="0" t="n">
        <v>55</v>
      </c>
      <c r="U26" s="0" t="s">
        <v>1650</v>
      </c>
      <c r="V26" s="0" t="s">
        <v>1650</v>
      </c>
      <c r="Y26" s="0" t="s">
        <v>1651</v>
      </c>
      <c r="Z26" s="0" t="s">
        <v>1652</v>
      </c>
      <c r="AA26" s="0" t="s">
        <v>1684</v>
      </c>
      <c r="AC26" s="0" t="s">
        <v>1654</v>
      </c>
    </row>
    <row r="27" customFormat="false" ht="15" hidden="false" customHeight="false" outlineLevel="0" collapsed="false">
      <c r="A27" s="0" t="s">
        <v>1685</v>
      </c>
      <c r="B27" s="0" t="s">
        <v>129</v>
      </c>
      <c r="C27" s="0" t="s">
        <v>1678</v>
      </c>
      <c r="D27" s="0" t="n">
        <v>2013</v>
      </c>
      <c r="E27" s="0" t="s">
        <v>60</v>
      </c>
      <c r="F27" s="0" t="n">
        <v>805259</v>
      </c>
      <c r="G27" s="0" t="s">
        <v>1681</v>
      </c>
      <c r="H27" s="0" t="s">
        <v>1648</v>
      </c>
      <c r="I27" s="0" t="n">
        <v>805259</v>
      </c>
      <c r="J27" s="0" t="s">
        <v>1649</v>
      </c>
      <c r="M27" s="0" t="s">
        <v>1534</v>
      </c>
      <c r="N27" s="0" t="s">
        <v>130</v>
      </c>
      <c r="Q27" s="0" t="n">
        <v>141</v>
      </c>
      <c r="R27" s="0" t="n">
        <v>139</v>
      </c>
      <c r="U27" s="0" t="s">
        <v>1650</v>
      </c>
      <c r="V27" s="0" t="s">
        <v>1650</v>
      </c>
      <c r="Y27" s="0" t="s">
        <v>1651</v>
      </c>
      <c r="Z27" s="0" t="s">
        <v>1652</v>
      </c>
      <c r="AA27" s="0" t="s">
        <v>1682</v>
      </c>
      <c r="AC27" s="0" t="s">
        <v>1654</v>
      </c>
    </row>
    <row r="28" customFormat="false" ht="15" hidden="false" customHeight="false" outlineLevel="0" collapsed="false">
      <c r="A28" s="0" t="s">
        <v>1686</v>
      </c>
      <c r="B28" s="0" t="s">
        <v>129</v>
      </c>
      <c r="C28" s="0" t="s">
        <v>1678</v>
      </c>
      <c r="D28" s="0" t="n">
        <v>2013</v>
      </c>
      <c r="E28" s="0" t="s">
        <v>670</v>
      </c>
      <c r="F28" s="0" t="n">
        <v>214273</v>
      </c>
      <c r="G28" s="0" t="s">
        <v>1681</v>
      </c>
      <c r="H28" s="0" t="s">
        <v>1648</v>
      </c>
      <c r="I28" s="0" t="n">
        <v>214273</v>
      </c>
      <c r="J28" s="0" t="s">
        <v>1649</v>
      </c>
      <c r="M28" s="0" t="s">
        <v>1534</v>
      </c>
      <c r="N28" s="0" t="s">
        <v>130</v>
      </c>
      <c r="Q28" s="0" t="n">
        <v>56</v>
      </c>
      <c r="R28" s="0" t="n">
        <v>54</v>
      </c>
      <c r="U28" s="0" t="s">
        <v>1650</v>
      </c>
      <c r="V28" s="0" t="s">
        <v>1650</v>
      </c>
      <c r="Y28" s="0" t="s">
        <v>1651</v>
      </c>
      <c r="Z28" s="0" t="s">
        <v>1652</v>
      </c>
      <c r="AA28" s="0" t="s">
        <v>1684</v>
      </c>
      <c r="AC28" s="0" t="s">
        <v>1654</v>
      </c>
    </row>
    <row r="29" customFormat="false" ht="15" hidden="false" customHeight="false" outlineLevel="0" collapsed="false">
      <c r="A29" s="0" t="s">
        <v>1687</v>
      </c>
      <c r="B29" s="0" t="s">
        <v>129</v>
      </c>
      <c r="C29" s="0" t="s">
        <v>1678</v>
      </c>
      <c r="D29" s="0" t="n">
        <v>2013</v>
      </c>
      <c r="E29" s="0" t="s">
        <v>63</v>
      </c>
      <c r="F29" s="0" t="n">
        <v>181</v>
      </c>
      <c r="G29" s="0" t="s">
        <v>1681</v>
      </c>
      <c r="H29" s="0" t="s">
        <v>1648</v>
      </c>
      <c r="I29" s="0" t="n">
        <v>181</v>
      </c>
      <c r="J29" s="0" t="s">
        <v>1649</v>
      </c>
      <c r="M29" s="0" t="s">
        <v>1534</v>
      </c>
      <c r="N29" s="0" t="s">
        <v>130</v>
      </c>
      <c r="Q29" s="0" t="n">
        <v>56</v>
      </c>
      <c r="R29" s="0" t="n">
        <v>54</v>
      </c>
      <c r="U29" s="0" t="s">
        <v>1650</v>
      </c>
      <c r="V29" s="0" t="s">
        <v>1650</v>
      </c>
      <c r="Y29" s="0" t="s">
        <v>1651</v>
      </c>
      <c r="Z29" s="0" t="s">
        <v>1652</v>
      </c>
      <c r="AA29" s="0" t="s">
        <v>1684</v>
      </c>
      <c r="AC29" s="0" t="s">
        <v>1654</v>
      </c>
    </row>
    <row r="30" customFormat="false" ht="15" hidden="false" customHeight="false" outlineLevel="0" collapsed="false">
      <c r="A30" s="0" t="s">
        <v>1688</v>
      </c>
      <c r="B30" s="0" t="s">
        <v>129</v>
      </c>
      <c r="C30" s="0" t="s">
        <v>1678</v>
      </c>
      <c r="D30" s="0" t="n">
        <v>2013</v>
      </c>
      <c r="E30" s="0" t="s">
        <v>404</v>
      </c>
      <c r="F30" s="0" t="n">
        <v>2067</v>
      </c>
      <c r="G30" s="0" t="s">
        <v>1681</v>
      </c>
      <c r="H30" s="0" t="s">
        <v>1648</v>
      </c>
      <c r="I30" s="0" t="n">
        <v>2067</v>
      </c>
      <c r="J30" s="0" t="s">
        <v>1649</v>
      </c>
      <c r="M30" s="0" t="s">
        <v>1534</v>
      </c>
      <c r="N30" s="0" t="s">
        <v>130</v>
      </c>
      <c r="Q30" s="0" t="n">
        <v>141</v>
      </c>
      <c r="R30" s="0" t="n">
        <v>139</v>
      </c>
      <c r="U30" s="0" t="s">
        <v>1650</v>
      </c>
      <c r="V30" s="0" t="s">
        <v>1650</v>
      </c>
      <c r="Y30" s="0" t="s">
        <v>1651</v>
      </c>
      <c r="Z30" s="0" t="s">
        <v>1652</v>
      </c>
      <c r="AA30" s="0" t="s">
        <v>1682</v>
      </c>
      <c r="AC30" s="0" t="s">
        <v>1654</v>
      </c>
    </row>
    <row r="31" customFormat="false" ht="15" hidden="false" customHeight="false" outlineLevel="0" collapsed="false">
      <c r="A31" s="0" t="s">
        <v>1689</v>
      </c>
      <c r="B31" s="0" t="s">
        <v>129</v>
      </c>
      <c r="C31" s="0" t="s">
        <v>1678</v>
      </c>
      <c r="D31" s="0" t="n">
        <v>2013</v>
      </c>
      <c r="E31" s="0" t="s">
        <v>61</v>
      </c>
      <c r="F31" s="0" t="n">
        <v>8317</v>
      </c>
      <c r="G31" s="0" t="s">
        <v>1681</v>
      </c>
      <c r="H31" s="0" t="s">
        <v>1648</v>
      </c>
      <c r="I31" s="0" t="n">
        <v>8317</v>
      </c>
      <c r="J31" s="0" t="s">
        <v>1649</v>
      </c>
      <c r="M31" s="0" t="s">
        <v>1534</v>
      </c>
      <c r="N31" s="0" t="s">
        <v>130</v>
      </c>
      <c r="Q31" s="0" t="n">
        <v>141</v>
      </c>
      <c r="R31" s="0" t="n">
        <v>139</v>
      </c>
      <c r="U31" s="0" t="s">
        <v>1650</v>
      </c>
      <c r="V31" s="0" t="s">
        <v>1650</v>
      </c>
      <c r="Y31" s="0" t="s">
        <v>1651</v>
      </c>
      <c r="Z31" s="0" t="s">
        <v>1652</v>
      </c>
      <c r="AA31" s="0" t="s">
        <v>1682</v>
      </c>
      <c r="AC31" s="0" t="s">
        <v>1654</v>
      </c>
    </row>
    <row r="32" customFormat="false" ht="15" hidden="false" customHeight="false" outlineLevel="0" collapsed="false">
      <c r="A32" s="0" t="s">
        <v>1690</v>
      </c>
      <c r="B32" s="0" t="s">
        <v>129</v>
      </c>
      <c r="C32" s="0" t="s">
        <v>1678</v>
      </c>
      <c r="D32" s="0" t="n">
        <v>2013</v>
      </c>
      <c r="E32" s="0" t="s">
        <v>62</v>
      </c>
      <c r="F32" s="0" t="n">
        <v>796942</v>
      </c>
      <c r="G32" s="0" t="s">
        <v>1681</v>
      </c>
      <c r="H32" s="0" t="s">
        <v>1648</v>
      </c>
      <c r="I32" s="0" t="n">
        <v>796942</v>
      </c>
      <c r="J32" s="0" t="s">
        <v>1649</v>
      </c>
      <c r="M32" s="0" t="s">
        <v>1534</v>
      </c>
      <c r="N32" s="0" t="s">
        <v>130</v>
      </c>
      <c r="Q32" s="0" t="n">
        <v>57</v>
      </c>
      <c r="R32" s="0" t="n">
        <v>55</v>
      </c>
      <c r="U32" s="0" t="s">
        <v>1650</v>
      </c>
      <c r="V32" s="0" t="s">
        <v>1650</v>
      </c>
      <c r="Y32" s="0" t="s">
        <v>1651</v>
      </c>
      <c r="Z32" s="0" t="s">
        <v>1652</v>
      </c>
      <c r="AA32" s="0" t="s">
        <v>1684</v>
      </c>
      <c r="AC32" s="0" t="s">
        <v>1654</v>
      </c>
    </row>
    <row r="33" customFormat="false" ht="15" hidden="false" customHeight="false" outlineLevel="0" collapsed="false">
      <c r="A33" s="0" t="s">
        <v>1691</v>
      </c>
      <c r="B33" s="0" t="s">
        <v>129</v>
      </c>
      <c r="C33" s="0" t="s">
        <v>1678</v>
      </c>
      <c r="D33" s="0" t="n">
        <v>2013</v>
      </c>
      <c r="E33" s="0" t="s">
        <v>58</v>
      </c>
      <c r="F33" s="0" t="n">
        <v>-136104</v>
      </c>
      <c r="G33" s="0" t="s">
        <v>1681</v>
      </c>
      <c r="H33" s="0" t="s">
        <v>1648</v>
      </c>
      <c r="I33" s="0" t="n">
        <v>-136104</v>
      </c>
      <c r="J33" s="0" t="s">
        <v>1649</v>
      </c>
      <c r="M33" s="0" t="s">
        <v>1534</v>
      </c>
      <c r="N33" s="0" t="s">
        <v>130</v>
      </c>
      <c r="Q33" s="0" t="n">
        <v>62</v>
      </c>
      <c r="R33" s="0" t="n">
        <v>60</v>
      </c>
      <c r="U33" s="0" t="s">
        <v>1650</v>
      </c>
      <c r="V33" s="0" t="s">
        <v>1650</v>
      </c>
      <c r="Y33" s="0" t="s">
        <v>1651</v>
      </c>
      <c r="Z33" s="0" t="s">
        <v>1652</v>
      </c>
      <c r="AA33" s="0" t="s">
        <v>1684</v>
      </c>
      <c r="AC33" s="0" t="s">
        <v>1654</v>
      </c>
    </row>
    <row r="34" customFormat="false" ht="15" hidden="false" customHeight="false" outlineLevel="0" collapsed="false">
      <c r="A34" s="0" t="s">
        <v>1692</v>
      </c>
      <c r="B34" s="0" t="s">
        <v>129</v>
      </c>
      <c r="C34" s="0" t="s">
        <v>1678</v>
      </c>
      <c r="D34" s="0" t="n">
        <v>2013</v>
      </c>
      <c r="E34" s="0" t="s">
        <v>54</v>
      </c>
      <c r="F34" s="0" t="n">
        <v>46483</v>
      </c>
      <c r="G34" s="0" t="s">
        <v>1681</v>
      </c>
      <c r="H34" s="0" t="s">
        <v>1648</v>
      </c>
      <c r="I34" s="0" t="n">
        <v>46483</v>
      </c>
      <c r="J34" s="0" t="s">
        <v>1649</v>
      </c>
      <c r="M34" s="0" t="s">
        <v>1534</v>
      </c>
      <c r="N34" s="0" t="s">
        <v>130</v>
      </c>
      <c r="Q34" s="0" t="n">
        <v>56</v>
      </c>
      <c r="R34" s="0" t="n">
        <v>54</v>
      </c>
      <c r="U34" s="0" t="s">
        <v>1650</v>
      </c>
      <c r="V34" s="0" t="s">
        <v>1650</v>
      </c>
      <c r="Y34" s="0" t="s">
        <v>1651</v>
      </c>
      <c r="Z34" s="0" t="s">
        <v>1652</v>
      </c>
      <c r="AA34" s="0" t="s">
        <v>1684</v>
      </c>
      <c r="AC34" s="0" t="s">
        <v>1654</v>
      </c>
    </row>
    <row r="35" customFormat="false" ht="15" hidden="false" customHeight="false" outlineLevel="0" collapsed="false">
      <c r="A35" s="0" t="s">
        <v>1693</v>
      </c>
      <c r="B35" s="0" t="s">
        <v>129</v>
      </c>
      <c r="C35" s="0" t="s">
        <v>1678</v>
      </c>
      <c r="D35" s="0" t="n">
        <v>2013</v>
      </c>
      <c r="E35" s="0" t="s">
        <v>65</v>
      </c>
      <c r="F35" s="0" t="n">
        <v>239242</v>
      </c>
      <c r="G35" s="0" t="s">
        <v>1681</v>
      </c>
      <c r="H35" s="0" t="s">
        <v>1648</v>
      </c>
      <c r="I35" s="0" t="n">
        <v>239242</v>
      </c>
      <c r="J35" s="0" t="s">
        <v>1649</v>
      </c>
      <c r="M35" s="0" t="s">
        <v>1534</v>
      </c>
      <c r="N35" s="0" t="s">
        <v>130</v>
      </c>
      <c r="Q35" s="0" t="n">
        <v>117</v>
      </c>
      <c r="R35" s="0" t="n">
        <v>115</v>
      </c>
      <c r="U35" s="0" t="s">
        <v>1650</v>
      </c>
      <c r="V35" s="0" t="s">
        <v>1650</v>
      </c>
      <c r="Y35" s="0" t="s">
        <v>1651</v>
      </c>
      <c r="Z35" s="0" t="s">
        <v>1652</v>
      </c>
      <c r="AA35" s="0" t="s">
        <v>1694</v>
      </c>
      <c r="AC35" s="0" t="s">
        <v>1654</v>
      </c>
    </row>
    <row r="36" customFormat="false" ht="15" hidden="false" customHeight="false" outlineLevel="0" collapsed="false">
      <c r="A36" s="0" t="s">
        <v>1695</v>
      </c>
      <c r="B36" s="0" t="s">
        <v>129</v>
      </c>
      <c r="C36" s="0" t="s">
        <v>1678</v>
      </c>
      <c r="D36" s="0" t="n">
        <v>2013</v>
      </c>
      <c r="E36" s="0" t="s">
        <v>66</v>
      </c>
      <c r="F36" s="0" t="n">
        <v>1223479</v>
      </c>
      <c r="G36" s="0" t="s">
        <v>1681</v>
      </c>
      <c r="H36" s="0" t="s">
        <v>1648</v>
      </c>
      <c r="I36" s="0" t="n">
        <v>1223479</v>
      </c>
      <c r="J36" s="0" t="s">
        <v>1649</v>
      </c>
      <c r="M36" s="0" t="s">
        <v>1534</v>
      </c>
      <c r="N36" s="0" t="s">
        <v>130</v>
      </c>
      <c r="Q36" s="0" t="n">
        <v>117</v>
      </c>
      <c r="R36" s="0" t="n">
        <v>115</v>
      </c>
      <c r="U36" s="0" t="s">
        <v>1650</v>
      </c>
      <c r="V36" s="0" t="s">
        <v>1650</v>
      </c>
      <c r="Y36" s="0" t="s">
        <v>1651</v>
      </c>
      <c r="Z36" s="0" t="s">
        <v>1652</v>
      </c>
      <c r="AA36" s="0" t="s">
        <v>1694</v>
      </c>
      <c r="AC36" s="0" t="s">
        <v>1654</v>
      </c>
    </row>
    <row r="37" customFormat="false" ht="15" hidden="false" customHeight="false" outlineLevel="0" collapsed="false">
      <c r="A37" s="0" t="s">
        <v>1696</v>
      </c>
      <c r="B37" s="0" t="s">
        <v>129</v>
      </c>
      <c r="C37" s="0" t="s">
        <v>1678</v>
      </c>
      <c r="D37" s="0" t="n">
        <v>2013</v>
      </c>
      <c r="E37" s="0" t="s">
        <v>55</v>
      </c>
      <c r="F37" s="0" t="n">
        <v>2217417</v>
      </c>
      <c r="G37" s="0" t="s">
        <v>1681</v>
      </c>
      <c r="H37" s="0" t="s">
        <v>1648</v>
      </c>
      <c r="I37" s="0" t="n">
        <v>2217417</v>
      </c>
      <c r="J37" s="0" t="s">
        <v>1649</v>
      </c>
      <c r="M37" s="0" t="s">
        <v>1534</v>
      </c>
      <c r="N37" s="0" t="s">
        <v>130</v>
      </c>
      <c r="Q37" s="0" t="n">
        <v>57</v>
      </c>
      <c r="R37" s="0" t="n">
        <v>55</v>
      </c>
      <c r="U37" s="0" t="s">
        <v>1650</v>
      </c>
      <c r="V37" s="0" t="s">
        <v>1650</v>
      </c>
      <c r="Y37" s="0" t="s">
        <v>1651</v>
      </c>
      <c r="Z37" s="0" t="s">
        <v>1652</v>
      </c>
      <c r="AA37" s="0" t="s">
        <v>1684</v>
      </c>
      <c r="AC37" s="0" t="s">
        <v>1654</v>
      </c>
    </row>
    <row r="38" customFormat="false" ht="15" hidden="false" customHeight="false" outlineLevel="0" collapsed="false">
      <c r="A38" s="0" t="s">
        <v>1697</v>
      </c>
      <c r="B38" s="0" t="s">
        <v>129</v>
      </c>
      <c r="C38" s="0" t="s">
        <v>1678</v>
      </c>
      <c r="D38" s="0" t="n">
        <v>2013</v>
      </c>
      <c r="E38" s="0" t="s">
        <v>57</v>
      </c>
      <c r="F38" s="0" t="n">
        <v>259538</v>
      </c>
      <c r="G38" s="0" t="s">
        <v>1681</v>
      </c>
      <c r="H38" s="0" t="s">
        <v>1648</v>
      </c>
      <c r="I38" s="0" t="n">
        <v>259538</v>
      </c>
      <c r="J38" s="0" t="s">
        <v>1649</v>
      </c>
      <c r="M38" s="0" t="s">
        <v>1534</v>
      </c>
      <c r="N38" s="0" t="s">
        <v>130</v>
      </c>
      <c r="Q38" s="0" t="n">
        <v>57</v>
      </c>
      <c r="R38" s="0" t="n">
        <v>55</v>
      </c>
      <c r="U38" s="0" t="s">
        <v>1650</v>
      </c>
      <c r="V38" s="0" t="s">
        <v>1650</v>
      </c>
      <c r="Y38" s="0" t="s">
        <v>1651</v>
      </c>
      <c r="Z38" s="0" t="s">
        <v>1652</v>
      </c>
      <c r="AA38" s="0" t="s">
        <v>1684</v>
      </c>
      <c r="AC38" s="0" t="s">
        <v>1654</v>
      </c>
    </row>
    <row r="39" customFormat="false" ht="15" hidden="false" customHeight="false" outlineLevel="0" collapsed="false">
      <c r="A39" s="0" t="s">
        <v>1698</v>
      </c>
      <c r="B39" s="0" t="s">
        <v>129</v>
      </c>
      <c r="C39" s="0" t="s">
        <v>1678</v>
      </c>
      <c r="D39" s="0" t="n">
        <v>2013</v>
      </c>
      <c r="E39" s="0" t="s">
        <v>56</v>
      </c>
      <c r="F39" s="0" t="n">
        <v>1957879</v>
      </c>
      <c r="G39" s="0" t="s">
        <v>1681</v>
      </c>
      <c r="H39" s="0" t="s">
        <v>1648</v>
      </c>
      <c r="I39" s="0" t="n">
        <v>1957879</v>
      </c>
      <c r="J39" s="0" t="s">
        <v>1649</v>
      </c>
      <c r="M39" s="0" t="s">
        <v>1534</v>
      </c>
      <c r="N39" s="0" t="s">
        <v>130</v>
      </c>
      <c r="Q39" s="0" t="n">
        <v>57</v>
      </c>
      <c r="R39" s="0" t="n">
        <v>55</v>
      </c>
      <c r="U39" s="0" t="s">
        <v>1650</v>
      </c>
      <c r="V39" s="0" t="s">
        <v>1650</v>
      </c>
      <c r="Y39" s="0" t="s">
        <v>1651</v>
      </c>
      <c r="Z39" s="0" t="s">
        <v>1652</v>
      </c>
      <c r="AA39" s="0" t="s">
        <v>1684</v>
      </c>
      <c r="AC39" s="0" t="s">
        <v>1654</v>
      </c>
    </row>
    <row r="40" customFormat="false" ht="15" hidden="false" customHeight="false" outlineLevel="0" collapsed="false">
      <c r="A40" s="0" t="s">
        <v>1699</v>
      </c>
      <c r="B40" s="0" t="s">
        <v>129</v>
      </c>
      <c r="C40" s="0" t="s">
        <v>1678</v>
      </c>
      <c r="D40" s="0" t="n">
        <v>2014</v>
      </c>
      <c r="E40" s="0" t="s">
        <v>69</v>
      </c>
      <c r="F40" s="0" t="n">
        <v>17</v>
      </c>
      <c r="G40" s="0" t="s">
        <v>1659</v>
      </c>
      <c r="I40" s="0" t="n">
        <v>17</v>
      </c>
      <c r="J40" s="0" t="s">
        <v>1649</v>
      </c>
      <c r="M40" s="0" t="s">
        <v>1534</v>
      </c>
      <c r="N40" s="0" t="s">
        <v>130</v>
      </c>
      <c r="Q40" s="0" t="n">
        <v>117</v>
      </c>
      <c r="R40" s="0" t="n">
        <v>115</v>
      </c>
      <c r="U40" s="0" t="s">
        <v>1667</v>
      </c>
      <c r="V40" s="0" t="s">
        <v>1667</v>
      </c>
      <c r="Y40" s="0" t="s">
        <v>1651</v>
      </c>
      <c r="Z40" s="0" t="s">
        <v>1652</v>
      </c>
      <c r="AA40" s="0" t="s">
        <v>1679</v>
      </c>
      <c r="AC40" s="0" t="s">
        <v>1654</v>
      </c>
    </row>
    <row r="41" customFormat="false" ht="15" hidden="false" customHeight="false" outlineLevel="0" collapsed="false">
      <c r="A41" s="0" t="s">
        <v>1700</v>
      </c>
      <c r="B41" s="0" t="s">
        <v>129</v>
      </c>
      <c r="C41" s="0" t="s">
        <v>1678</v>
      </c>
      <c r="D41" s="0" t="n">
        <v>2014</v>
      </c>
      <c r="E41" s="0" t="s">
        <v>406</v>
      </c>
      <c r="F41" s="0" t="n">
        <v>6423</v>
      </c>
      <c r="G41" s="0" t="s">
        <v>1681</v>
      </c>
      <c r="H41" s="0" t="s">
        <v>1648</v>
      </c>
      <c r="I41" s="0" t="n">
        <v>6423</v>
      </c>
      <c r="J41" s="0" t="s">
        <v>1649</v>
      </c>
      <c r="M41" s="0" t="s">
        <v>1534</v>
      </c>
      <c r="N41" s="0" t="s">
        <v>130</v>
      </c>
      <c r="Q41" s="0" t="n">
        <v>140</v>
      </c>
      <c r="R41" s="0" t="n">
        <v>138</v>
      </c>
      <c r="U41" s="0" t="s">
        <v>1667</v>
      </c>
      <c r="V41" s="0" t="s">
        <v>1667</v>
      </c>
      <c r="Y41" s="0" t="s">
        <v>1651</v>
      </c>
      <c r="Z41" s="0" t="s">
        <v>1652</v>
      </c>
      <c r="AA41" s="0" t="s">
        <v>1682</v>
      </c>
      <c r="AC41" s="0" t="s">
        <v>1654</v>
      </c>
    </row>
    <row r="42" customFormat="false" ht="15" hidden="false" customHeight="false" outlineLevel="0" collapsed="false">
      <c r="A42" s="0" t="s">
        <v>1701</v>
      </c>
      <c r="B42" s="0" t="s">
        <v>129</v>
      </c>
      <c r="C42" s="0" t="s">
        <v>1678</v>
      </c>
      <c r="D42" s="0" t="n">
        <v>2014</v>
      </c>
      <c r="E42" s="0" t="s">
        <v>1646</v>
      </c>
      <c r="F42" s="0" t="n">
        <v>1812277</v>
      </c>
      <c r="G42" s="0" t="s">
        <v>1681</v>
      </c>
      <c r="H42" s="0" t="s">
        <v>1648</v>
      </c>
      <c r="I42" s="0" t="n">
        <v>1812277</v>
      </c>
      <c r="J42" s="0" t="s">
        <v>1649</v>
      </c>
      <c r="M42" s="0" t="s">
        <v>1534</v>
      </c>
      <c r="N42" s="0" t="s">
        <v>130</v>
      </c>
      <c r="Q42" s="0" t="n">
        <v>57</v>
      </c>
      <c r="R42" s="0" t="n">
        <v>55</v>
      </c>
      <c r="U42" s="0" t="s">
        <v>1667</v>
      </c>
      <c r="V42" s="0" t="s">
        <v>1667</v>
      </c>
      <c r="Y42" s="0" t="s">
        <v>1651</v>
      </c>
      <c r="Z42" s="0" t="s">
        <v>1652</v>
      </c>
      <c r="AA42" s="0" t="s">
        <v>1684</v>
      </c>
      <c r="AC42" s="0" t="s">
        <v>1654</v>
      </c>
    </row>
    <row r="43" customFormat="false" ht="15" hidden="false" customHeight="false" outlineLevel="0" collapsed="false">
      <c r="A43" s="0" t="s">
        <v>1702</v>
      </c>
      <c r="B43" s="0" t="s">
        <v>129</v>
      </c>
      <c r="C43" s="0" t="s">
        <v>1678</v>
      </c>
      <c r="D43" s="0" t="n">
        <v>2014</v>
      </c>
      <c r="E43" s="0" t="s">
        <v>60</v>
      </c>
      <c r="F43" s="0" t="n">
        <v>895109</v>
      </c>
      <c r="G43" s="0" t="s">
        <v>1681</v>
      </c>
      <c r="H43" s="0" t="s">
        <v>1648</v>
      </c>
      <c r="I43" s="0" t="n">
        <v>895109</v>
      </c>
      <c r="J43" s="0" t="s">
        <v>1649</v>
      </c>
      <c r="M43" s="0" t="s">
        <v>1534</v>
      </c>
      <c r="N43" s="0" t="s">
        <v>130</v>
      </c>
      <c r="Q43" s="0" t="n">
        <v>140</v>
      </c>
      <c r="R43" s="0" t="n">
        <v>138</v>
      </c>
      <c r="U43" s="0" t="s">
        <v>1667</v>
      </c>
      <c r="V43" s="0" t="s">
        <v>1667</v>
      </c>
      <c r="Y43" s="0" t="s">
        <v>1651</v>
      </c>
      <c r="Z43" s="0" t="s">
        <v>1652</v>
      </c>
      <c r="AA43" s="0" t="s">
        <v>1682</v>
      </c>
      <c r="AC43" s="0" t="s">
        <v>1654</v>
      </c>
    </row>
    <row r="44" customFormat="false" ht="15" hidden="false" customHeight="false" outlineLevel="0" collapsed="false">
      <c r="A44" s="0" t="s">
        <v>1703</v>
      </c>
      <c r="B44" s="0" t="s">
        <v>129</v>
      </c>
      <c r="C44" s="0" t="s">
        <v>1678</v>
      </c>
      <c r="D44" s="0" t="n">
        <v>2014</v>
      </c>
      <c r="E44" s="0" t="s">
        <v>670</v>
      </c>
      <c r="F44" s="0" t="n">
        <v>228757</v>
      </c>
      <c r="G44" s="0" t="s">
        <v>1681</v>
      </c>
      <c r="H44" s="0" t="s">
        <v>1648</v>
      </c>
      <c r="I44" s="0" t="n">
        <v>228757</v>
      </c>
      <c r="J44" s="0" t="s">
        <v>1649</v>
      </c>
      <c r="M44" s="0" t="s">
        <v>1534</v>
      </c>
      <c r="N44" s="0" t="s">
        <v>130</v>
      </c>
      <c r="Q44" s="0" t="n">
        <v>56</v>
      </c>
      <c r="R44" s="0" t="n">
        <v>54</v>
      </c>
      <c r="U44" s="0" t="s">
        <v>1667</v>
      </c>
      <c r="V44" s="0" t="s">
        <v>1667</v>
      </c>
      <c r="Y44" s="0" t="s">
        <v>1651</v>
      </c>
      <c r="Z44" s="0" t="s">
        <v>1652</v>
      </c>
      <c r="AA44" s="0" t="s">
        <v>1684</v>
      </c>
      <c r="AC44" s="0" t="s">
        <v>1654</v>
      </c>
    </row>
    <row r="45" customFormat="false" ht="15" hidden="false" customHeight="false" outlineLevel="0" collapsed="false">
      <c r="A45" s="0" t="s">
        <v>1704</v>
      </c>
      <c r="B45" s="0" t="s">
        <v>129</v>
      </c>
      <c r="C45" s="0" t="s">
        <v>1678</v>
      </c>
      <c r="D45" s="0" t="n">
        <v>2014</v>
      </c>
      <c r="E45" s="0" t="s">
        <v>63</v>
      </c>
      <c r="F45" s="0" t="n">
        <v>3073</v>
      </c>
      <c r="G45" s="0" t="s">
        <v>1681</v>
      </c>
      <c r="H45" s="0" t="s">
        <v>1648</v>
      </c>
      <c r="I45" s="0" t="n">
        <v>3073</v>
      </c>
      <c r="J45" s="0" t="s">
        <v>1649</v>
      </c>
      <c r="M45" s="0" t="s">
        <v>1534</v>
      </c>
      <c r="N45" s="0" t="s">
        <v>130</v>
      </c>
      <c r="Q45" s="0" t="n">
        <v>56</v>
      </c>
      <c r="R45" s="0" t="n">
        <v>54</v>
      </c>
      <c r="U45" s="0" t="s">
        <v>1667</v>
      </c>
      <c r="V45" s="0" t="s">
        <v>1667</v>
      </c>
      <c r="Y45" s="0" t="s">
        <v>1651</v>
      </c>
      <c r="Z45" s="0" t="s">
        <v>1652</v>
      </c>
      <c r="AA45" s="0" t="s">
        <v>1684</v>
      </c>
      <c r="AC45" s="0" t="s">
        <v>1654</v>
      </c>
    </row>
    <row r="46" customFormat="false" ht="15" hidden="false" customHeight="false" outlineLevel="0" collapsed="false">
      <c r="A46" s="0" t="s">
        <v>1705</v>
      </c>
      <c r="B46" s="0" t="s">
        <v>129</v>
      </c>
      <c r="C46" s="0" t="s">
        <v>1678</v>
      </c>
      <c r="D46" s="0" t="n">
        <v>2014</v>
      </c>
      <c r="E46" s="0" t="s">
        <v>404</v>
      </c>
      <c r="F46" s="0" t="n">
        <v>4099</v>
      </c>
      <c r="G46" s="0" t="s">
        <v>1681</v>
      </c>
      <c r="H46" s="0" t="s">
        <v>1648</v>
      </c>
      <c r="I46" s="0" t="n">
        <v>4099</v>
      </c>
      <c r="J46" s="0" t="s">
        <v>1649</v>
      </c>
      <c r="M46" s="0" t="s">
        <v>1534</v>
      </c>
      <c r="N46" s="0" t="s">
        <v>130</v>
      </c>
      <c r="Q46" s="0" t="n">
        <v>140</v>
      </c>
      <c r="R46" s="0" t="n">
        <v>138</v>
      </c>
      <c r="U46" s="0" t="s">
        <v>1667</v>
      </c>
      <c r="V46" s="0" t="s">
        <v>1667</v>
      </c>
      <c r="Y46" s="0" t="s">
        <v>1651</v>
      </c>
      <c r="Z46" s="0" t="s">
        <v>1652</v>
      </c>
      <c r="AA46" s="0" t="s">
        <v>1682</v>
      </c>
      <c r="AC46" s="0" t="s">
        <v>1654</v>
      </c>
    </row>
    <row r="47" customFormat="false" ht="15" hidden="false" customHeight="false" outlineLevel="0" collapsed="false">
      <c r="A47" s="0" t="s">
        <v>1706</v>
      </c>
      <c r="B47" s="0" t="s">
        <v>129</v>
      </c>
      <c r="C47" s="0" t="s">
        <v>1678</v>
      </c>
      <c r="D47" s="0" t="n">
        <v>2014</v>
      </c>
      <c r="E47" s="0" t="s">
        <v>61</v>
      </c>
      <c r="F47" s="0" t="n">
        <v>10522</v>
      </c>
      <c r="G47" s="0" t="s">
        <v>1681</v>
      </c>
      <c r="H47" s="0" t="s">
        <v>1648</v>
      </c>
      <c r="I47" s="0" t="n">
        <v>10522</v>
      </c>
      <c r="J47" s="0" t="s">
        <v>1649</v>
      </c>
      <c r="M47" s="0" t="s">
        <v>1534</v>
      </c>
      <c r="N47" s="0" t="s">
        <v>130</v>
      </c>
      <c r="Q47" s="0" t="n">
        <v>140</v>
      </c>
      <c r="R47" s="0" t="n">
        <v>138</v>
      </c>
      <c r="U47" s="0" t="s">
        <v>1667</v>
      </c>
      <c r="V47" s="0" t="s">
        <v>1667</v>
      </c>
      <c r="Y47" s="0" t="s">
        <v>1651</v>
      </c>
      <c r="Z47" s="0" t="s">
        <v>1652</v>
      </c>
      <c r="AA47" s="0" t="s">
        <v>1682</v>
      </c>
      <c r="AC47" s="0" t="s">
        <v>1654</v>
      </c>
    </row>
    <row r="48" customFormat="false" ht="15" hidden="false" customHeight="false" outlineLevel="0" collapsed="false">
      <c r="A48" s="0" t="s">
        <v>1707</v>
      </c>
      <c r="B48" s="0" t="s">
        <v>129</v>
      </c>
      <c r="C48" s="0" t="s">
        <v>1678</v>
      </c>
      <c r="D48" s="0" t="n">
        <v>2014</v>
      </c>
      <c r="E48" s="0" t="s">
        <v>62</v>
      </c>
      <c r="F48" s="0" t="n">
        <v>884587</v>
      </c>
      <c r="G48" s="0" t="s">
        <v>1681</v>
      </c>
      <c r="H48" s="0" t="s">
        <v>1648</v>
      </c>
      <c r="I48" s="0" t="n">
        <v>884587</v>
      </c>
      <c r="J48" s="0" t="s">
        <v>1649</v>
      </c>
      <c r="M48" s="0" t="s">
        <v>1534</v>
      </c>
      <c r="N48" s="0" t="s">
        <v>130</v>
      </c>
      <c r="Q48" s="0" t="n">
        <v>57</v>
      </c>
      <c r="R48" s="0" t="n">
        <v>55</v>
      </c>
      <c r="U48" s="0" t="s">
        <v>1667</v>
      </c>
      <c r="V48" s="0" t="s">
        <v>1667</v>
      </c>
      <c r="Y48" s="0" t="s">
        <v>1651</v>
      </c>
      <c r="Z48" s="0" t="s">
        <v>1652</v>
      </c>
      <c r="AA48" s="0" t="s">
        <v>1684</v>
      </c>
      <c r="AC48" s="0" t="s">
        <v>1654</v>
      </c>
    </row>
    <row r="49" customFormat="false" ht="15" hidden="false" customHeight="false" outlineLevel="0" collapsed="false">
      <c r="A49" s="0" t="s">
        <v>1708</v>
      </c>
      <c r="B49" s="0" t="s">
        <v>129</v>
      </c>
      <c r="C49" s="0" t="s">
        <v>1678</v>
      </c>
      <c r="D49" s="0" t="n">
        <v>2014</v>
      </c>
      <c r="E49" s="0" t="s">
        <v>58</v>
      </c>
      <c r="F49" s="0" t="n">
        <v>-92619</v>
      </c>
      <c r="G49" s="0" t="s">
        <v>1681</v>
      </c>
      <c r="H49" s="0" t="s">
        <v>1648</v>
      </c>
      <c r="I49" s="0" t="n">
        <v>-92619</v>
      </c>
      <c r="J49" s="0" t="s">
        <v>1649</v>
      </c>
      <c r="M49" s="0" t="s">
        <v>1534</v>
      </c>
      <c r="N49" s="0" t="s">
        <v>130</v>
      </c>
      <c r="Q49" s="0" t="n">
        <v>62</v>
      </c>
      <c r="R49" s="0" t="n">
        <v>60</v>
      </c>
      <c r="U49" s="0" t="s">
        <v>1667</v>
      </c>
      <c r="V49" s="0" t="s">
        <v>1667</v>
      </c>
      <c r="Y49" s="0" t="s">
        <v>1651</v>
      </c>
      <c r="Z49" s="0" t="s">
        <v>1652</v>
      </c>
      <c r="AA49" s="0" t="s">
        <v>1684</v>
      </c>
      <c r="AC49" s="0" t="s">
        <v>1654</v>
      </c>
    </row>
    <row r="50" customFormat="false" ht="15" hidden="false" customHeight="false" outlineLevel="0" collapsed="false">
      <c r="A50" s="0" t="s">
        <v>1709</v>
      </c>
      <c r="B50" s="0" t="s">
        <v>129</v>
      </c>
      <c r="C50" s="0" t="s">
        <v>1678</v>
      </c>
      <c r="D50" s="0" t="n">
        <v>2014</v>
      </c>
      <c r="E50" s="0" t="s">
        <v>54</v>
      </c>
      <c r="F50" s="0" t="n">
        <v>40083</v>
      </c>
      <c r="G50" s="0" t="s">
        <v>1681</v>
      </c>
      <c r="H50" s="0" t="s">
        <v>1648</v>
      </c>
      <c r="I50" s="0" t="n">
        <v>40083</v>
      </c>
      <c r="J50" s="0" t="s">
        <v>1649</v>
      </c>
      <c r="M50" s="0" t="s">
        <v>1534</v>
      </c>
      <c r="N50" s="0" t="s">
        <v>130</v>
      </c>
      <c r="Q50" s="0" t="n">
        <v>56</v>
      </c>
      <c r="R50" s="0" t="n">
        <v>54</v>
      </c>
      <c r="U50" s="0" t="s">
        <v>1667</v>
      </c>
      <c r="V50" s="0" t="s">
        <v>1667</v>
      </c>
      <c r="Y50" s="0" t="s">
        <v>1651</v>
      </c>
      <c r="Z50" s="0" t="s">
        <v>1652</v>
      </c>
      <c r="AA50" s="0" t="s">
        <v>1684</v>
      </c>
      <c r="AC50" s="0" t="s">
        <v>1654</v>
      </c>
    </row>
    <row r="51" customFormat="false" ht="15" hidden="false" customHeight="false" outlineLevel="0" collapsed="false">
      <c r="A51" s="0" t="s">
        <v>1710</v>
      </c>
      <c r="B51" s="0" t="s">
        <v>129</v>
      </c>
      <c r="C51" s="0" t="s">
        <v>1678</v>
      </c>
      <c r="D51" s="0" t="n">
        <v>2014</v>
      </c>
      <c r="E51" s="0" t="s">
        <v>65</v>
      </c>
      <c r="F51" s="0" t="n">
        <v>265091</v>
      </c>
      <c r="G51" s="0" t="s">
        <v>1681</v>
      </c>
      <c r="H51" s="0" t="s">
        <v>1648</v>
      </c>
      <c r="I51" s="0" t="n">
        <v>265091</v>
      </c>
      <c r="J51" s="0" t="s">
        <v>1649</v>
      </c>
      <c r="M51" s="0" t="s">
        <v>1534</v>
      </c>
      <c r="N51" s="0" t="s">
        <v>130</v>
      </c>
      <c r="Q51" s="0" t="n">
        <v>117</v>
      </c>
      <c r="R51" s="0" t="n">
        <v>115</v>
      </c>
      <c r="U51" s="0" t="s">
        <v>1667</v>
      </c>
      <c r="V51" s="0" t="s">
        <v>1667</v>
      </c>
      <c r="Y51" s="0" t="s">
        <v>1651</v>
      </c>
      <c r="Z51" s="0" t="s">
        <v>1652</v>
      </c>
      <c r="AA51" s="0" t="s">
        <v>1694</v>
      </c>
      <c r="AC51" s="0" t="s">
        <v>1654</v>
      </c>
    </row>
    <row r="52" customFormat="false" ht="15" hidden="false" customHeight="false" outlineLevel="0" collapsed="false">
      <c r="A52" s="0" t="s">
        <v>1711</v>
      </c>
      <c r="B52" s="0" t="s">
        <v>129</v>
      </c>
      <c r="C52" s="0" t="s">
        <v>1678</v>
      </c>
      <c r="D52" s="0" t="n">
        <v>2014</v>
      </c>
      <c r="E52" s="0" t="s">
        <v>66</v>
      </c>
      <c r="F52" s="0" t="n">
        <v>1581019</v>
      </c>
      <c r="G52" s="0" t="s">
        <v>1681</v>
      </c>
      <c r="H52" s="0" t="s">
        <v>1648</v>
      </c>
      <c r="I52" s="0" t="n">
        <v>1581019</v>
      </c>
      <c r="J52" s="0" t="s">
        <v>1649</v>
      </c>
      <c r="M52" s="0" t="s">
        <v>1534</v>
      </c>
      <c r="N52" s="0" t="s">
        <v>130</v>
      </c>
      <c r="Q52" s="0" t="n">
        <v>117</v>
      </c>
      <c r="R52" s="0" t="n">
        <v>115</v>
      </c>
      <c r="U52" s="0" t="s">
        <v>1667</v>
      </c>
      <c r="V52" s="0" t="s">
        <v>1667</v>
      </c>
      <c r="Y52" s="0" t="s">
        <v>1651</v>
      </c>
      <c r="Z52" s="0" t="s">
        <v>1652</v>
      </c>
      <c r="AA52" s="0" t="s">
        <v>1694</v>
      </c>
      <c r="AC52" s="0" t="s">
        <v>1654</v>
      </c>
    </row>
    <row r="53" customFormat="false" ht="15" hidden="false" customHeight="false" outlineLevel="0" collapsed="false">
      <c r="A53" s="0" t="s">
        <v>1712</v>
      </c>
      <c r="B53" s="0" t="s">
        <v>129</v>
      </c>
      <c r="C53" s="0" t="s">
        <v>1678</v>
      </c>
      <c r="D53" s="0" t="n">
        <v>2014</v>
      </c>
      <c r="E53" s="0" t="s">
        <v>55</v>
      </c>
      <c r="F53" s="0" t="n">
        <v>2338858</v>
      </c>
      <c r="G53" s="0" t="s">
        <v>1681</v>
      </c>
      <c r="H53" s="0" t="s">
        <v>1648</v>
      </c>
      <c r="I53" s="0" t="n">
        <v>2338858</v>
      </c>
      <c r="J53" s="0" t="s">
        <v>1649</v>
      </c>
      <c r="M53" s="0" t="s">
        <v>1534</v>
      </c>
      <c r="N53" s="0" t="s">
        <v>130</v>
      </c>
      <c r="Q53" s="0" t="n">
        <v>57</v>
      </c>
      <c r="R53" s="0" t="n">
        <v>55</v>
      </c>
      <c r="U53" s="0" t="s">
        <v>1667</v>
      </c>
      <c r="V53" s="0" t="s">
        <v>1667</v>
      </c>
      <c r="Y53" s="0" t="s">
        <v>1651</v>
      </c>
      <c r="Z53" s="0" t="s">
        <v>1652</v>
      </c>
      <c r="AA53" s="0" t="s">
        <v>1684</v>
      </c>
      <c r="AC53" s="0" t="s">
        <v>1654</v>
      </c>
    </row>
    <row r="54" customFormat="false" ht="15" hidden="false" customHeight="false" outlineLevel="0" collapsed="false">
      <c r="A54" s="0" t="s">
        <v>1713</v>
      </c>
      <c r="B54" s="0" t="s">
        <v>129</v>
      </c>
      <c r="C54" s="0" t="s">
        <v>1678</v>
      </c>
      <c r="D54" s="0" t="n">
        <v>2014</v>
      </c>
      <c r="E54" s="0" t="s">
        <v>57</v>
      </c>
      <c r="F54" s="0" t="n">
        <v>281933</v>
      </c>
      <c r="G54" s="0" t="s">
        <v>1681</v>
      </c>
      <c r="H54" s="0" t="s">
        <v>1648</v>
      </c>
      <c r="I54" s="0" t="n">
        <v>281933</v>
      </c>
      <c r="J54" s="0" t="s">
        <v>1649</v>
      </c>
      <c r="M54" s="0" t="s">
        <v>1534</v>
      </c>
      <c r="N54" s="0" t="s">
        <v>130</v>
      </c>
      <c r="Q54" s="0" t="n">
        <v>57</v>
      </c>
      <c r="R54" s="0" t="n">
        <v>55</v>
      </c>
      <c r="U54" s="0" t="s">
        <v>1667</v>
      </c>
      <c r="V54" s="0" t="s">
        <v>1667</v>
      </c>
      <c r="Y54" s="0" t="s">
        <v>1651</v>
      </c>
      <c r="Z54" s="0" t="s">
        <v>1652</v>
      </c>
      <c r="AA54" s="0" t="s">
        <v>1684</v>
      </c>
      <c r="AC54" s="0" t="s">
        <v>1654</v>
      </c>
    </row>
    <row r="55" customFormat="false" ht="15" hidden="false" customHeight="false" outlineLevel="0" collapsed="false">
      <c r="A55" s="0" t="s">
        <v>1714</v>
      </c>
      <c r="B55" s="0" t="s">
        <v>129</v>
      </c>
      <c r="C55" s="0" t="s">
        <v>1678</v>
      </c>
      <c r="D55" s="0" t="n">
        <v>2014</v>
      </c>
      <c r="E55" s="0" t="s">
        <v>56</v>
      </c>
      <c r="F55" s="0" t="n">
        <v>2056925</v>
      </c>
      <c r="G55" s="0" t="s">
        <v>1681</v>
      </c>
      <c r="H55" s="0" t="s">
        <v>1648</v>
      </c>
      <c r="I55" s="0" t="n">
        <v>2056925</v>
      </c>
      <c r="J55" s="0" t="s">
        <v>1649</v>
      </c>
      <c r="M55" s="0" t="s">
        <v>1534</v>
      </c>
      <c r="N55" s="0" t="s">
        <v>130</v>
      </c>
      <c r="Q55" s="0" t="n">
        <v>57</v>
      </c>
      <c r="R55" s="0" t="n">
        <v>55</v>
      </c>
      <c r="U55" s="0" t="s">
        <v>1667</v>
      </c>
      <c r="V55" s="0" t="s">
        <v>1667</v>
      </c>
      <c r="Y55" s="0" t="s">
        <v>1651</v>
      </c>
      <c r="Z55" s="0" t="s">
        <v>1652</v>
      </c>
      <c r="AA55" s="0" t="s">
        <v>1684</v>
      </c>
      <c r="AC55" s="0" t="s">
        <v>1654</v>
      </c>
    </row>
    <row r="56" customFormat="false" ht="15" hidden="false" customHeight="false" outlineLevel="0" collapsed="false">
      <c r="A56" s="0" t="s">
        <v>1715</v>
      </c>
      <c r="B56" s="0" t="s">
        <v>109</v>
      </c>
      <c r="C56" s="0" t="s">
        <v>1716</v>
      </c>
      <c r="D56" s="0" t="n">
        <v>2013</v>
      </c>
      <c r="E56" s="0" t="s">
        <v>1646</v>
      </c>
      <c r="F56" s="0" t="n">
        <v>1261927</v>
      </c>
      <c r="G56" s="0" t="s">
        <v>1681</v>
      </c>
      <c r="H56" s="0" t="s">
        <v>1648</v>
      </c>
      <c r="I56" s="0" t="n">
        <v>1261927</v>
      </c>
      <c r="J56" s="0" t="s">
        <v>1649</v>
      </c>
      <c r="M56" s="0" t="s">
        <v>1525</v>
      </c>
      <c r="N56" s="0" t="s">
        <v>110</v>
      </c>
      <c r="Q56" s="0" t="n">
        <v>1</v>
      </c>
      <c r="R56" s="0" t="n">
        <v>1</v>
      </c>
      <c r="U56" s="0" t="s">
        <v>1650</v>
      </c>
      <c r="V56" s="0" t="s">
        <v>1650</v>
      </c>
      <c r="Y56" s="0" t="s">
        <v>1651</v>
      </c>
      <c r="Z56" s="0" t="s">
        <v>1652</v>
      </c>
      <c r="AA56" s="0" t="s">
        <v>1717</v>
      </c>
      <c r="AC56" s="0" t="s">
        <v>1654</v>
      </c>
    </row>
    <row r="57" customFormat="false" ht="15" hidden="false" customHeight="false" outlineLevel="0" collapsed="false">
      <c r="A57" s="0" t="s">
        <v>1718</v>
      </c>
      <c r="B57" s="0" t="s">
        <v>109</v>
      </c>
      <c r="C57" s="0" t="s">
        <v>1716</v>
      </c>
      <c r="D57" s="0" t="n">
        <v>2013</v>
      </c>
      <c r="E57" s="0" t="s">
        <v>670</v>
      </c>
      <c r="F57" s="0" t="n">
        <v>221600</v>
      </c>
      <c r="G57" s="0" t="s">
        <v>1681</v>
      </c>
      <c r="H57" s="0" t="s">
        <v>1648</v>
      </c>
      <c r="I57" s="0" t="n">
        <v>221600</v>
      </c>
      <c r="J57" s="0" t="s">
        <v>1649</v>
      </c>
      <c r="M57" s="0" t="s">
        <v>1525</v>
      </c>
      <c r="N57" s="0" t="s">
        <v>110</v>
      </c>
      <c r="Q57" s="0" t="n">
        <v>1</v>
      </c>
      <c r="R57" s="0" t="n">
        <v>1</v>
      </c>
      <c r="U57" s="0" t="s">
        <v>1650</v>
      </c>
      <c r="V57" s="0" t="s">
        <v>1650</v>
      </c>
      <c r="Y57" s="0" t="s">
        <v>1651</v>
      </c>
      <c r="Z57" s="0" t="s">
        <v>1652</v>
      </c>
      <c r="AA57" s="0" t="s">
        <v>1717</v>
      </c>
      <c r="AC57" s="0" t="s">
        <v>1654</v>
      </c>
    </row>
    <row r="58" customFormat="false" ht="15" hidden="false" customHeight="false" outlineLevel="0" collapsed="false">
      <c r="A58" s="0" t="s">
        <v>1719</v>
      </c>
      <c r="B58" s="0" t="s">
        <v>109</v>
      </c>
      <c r="C58" s="0" t="s">
        <v>1716</v>
      </c>
      <c r="D58" s="0" t="n">
        <v>2013</v>
      </c>
      <c r="E58" s="0" t="s">
        <v>247</v>
      </c>
      <c r="F58" s="0" t="n">
        <v>2913</v>
      </c>
      <c r="G58" s="0" t="s">
        <v>1681</v>
      </c>
      <c r="H58" s="0" t="s">
        <v>1648</v>
      </c>
      <c r="I58" s="0" t="n">
        <v>2913</v>
      </c>
      <c r="J58" s="0" t="s">
        <v>1649</v>
      </c>
      <c r="M58" s="0" t="s">
        <v>1525</v>
      </c>
      <c r="N58" s="0" t="s">
        <v>110</v>
      </c>
      <c r="Q58" s="0" t="n">
        <v>1</v>
      </c>
      <c r="R58" s="0" t="n">
        <v>1</v>
      </c>
      <c r="U58" s="0" t="s">
        <v>1650</v>
      </c>
      <c r="V58" s="0" t="s">
        <v>1650</v>
      </c>
      <c r="Y58" s="0" t="s">
        <v>1651</v>
      </c>
      <c r="Z58" s="0" t="s">
        <v>1652</v>
      </c>
      <c r="AA58" s="0" t="s">
        <v>1717</v>
      </c>
      <c r="AC58" s="0" t="s">
        <v>1654</v>
      </c>
    </row>
    <row r="59" customFormat="false" ht="15" hidden="false" customHeight="false" outlineLevel="0" collapsed="false">
      <c r="A59" s="0" t="s">
        <v>1720</v>
      </c>
      <c r="B59" s="0" t="s">
        <v>109</v>
      </c>
      <c r="C59" s="0" t="s">
        <v>1716</v>
      </c>
      <c r="D59" s="0" t="n">
        <v>2013</v>
      </c>
      <c r="E59" s="0" t="s">
        <v>557</v>
      </c>
      <c r="F59" s="0" t="n">
        <v>-119</v>
      </c>
      <c r="G59" s="0" t="s">
        <v>1681</v>
      </c>
      <c r="H59" s="0" t="s">
        <v>1648</v>
      </c>
      <c r="I59" s="0" t="n">
        <v>-119</v>
      </c>
      <c r="J59" s="0" t="s">
        <v>1649</v>
      </c>
      <c r="M59" s="0" t="s">
        <v>1525</v>
      </c>
      <c r="N59" s="0" t="s">
        <v>110</v>
      </c>
      <c r="Q59" s="0" t="n">
        <v>1</v>
      </c>
      <c r="R59" s="0" t="n">
        <v>1</v>
      </c>
      <c r="U59" s="0" t="s">
        <v>1650</v>
      </c>
      <c r="V59" s="0" t="s">
        <v>1650</v>
      </c>
      <c r="Y59" s="0" t="s">
        <v>1651</v>
      </c>
      <c r="Z59" s="0" t="s">
        <v>1652</v>
      </c>
      <c r="AA59" s="0" t="s">
        <v>1717</v>
      </c>
      <c r="AC59" s="0" t="s">
        <v>1654</v>
      </c>
    </row>
    <row r="60" customFormat="false" ht="15" hidden="false" customHeight="false" outlineLevel="0" collapsed="false">
      <c r="A60" s="0" t="s">
        <v>1721</v>
      </c>
      <c r="B60" s="0" t="s">
        <v>109</v>
      </c>
      <c r="C60" s="0" t="s">
        <v>1716</v>
      </c>
      <c r="D60" s="0" t="n">
        <v>2013</v>
      </c>
      <c r="E60" s="0" t="s">
        <v>64</v>
      </c>
      <c r="F60" s="0" t="n">
        <v>27707</v>
      </c>
      <c r="G60" s="0" t="s">
        <v>1681</v>
      </c>
      <c r="H60" s="0" t="s">
        <v>1648</v>
      </c>
      <c r="I60" s="0" t="n">
        <v>27707</v>
      </c>
      <c r="J60" s="0" t="s">
        <v>1649</v>
      </c>
      <c r="M60" s="0" t="s">
        <v>1525</v>
      </c>
      <c r="N60" s="0" t="s">
        <v>110</v>
      </c>
      <c r="Q60" s="0" t="n">
        <v>1</v>
      </c>
      <c r="R60" s="0" t="n">
        <v>1</v>
      </c>
      <c r="U60" s="0" t="s">
        <v>1650</v>
      </c>
      <c r="V60" s="0" t="s">
        <v>1650</v>
      </c>
      <c r="Y60" s="0" t="s">
        <v>1651</v>
      </c>
      <c r="Z60" s="0" t="s">
        <v>1652</v>
      </c>
      <c r="AA60" s="0" t="s">
        <v>1717</v>
      </c>
      <c r="AC60" s="0" t="s">
        <v>1654</v>
      </c>
    </row>
    <row r="61" customFormat="false" ht="15" hidden="false" customHeight="false" outlineLevel="0" collapsed="false">
      <c r="A61" s="0" t="s">
        <v>1722</v>
      </c>
      <c r="B61" s="0" t="s">
        <v>109</v>
      </c>
      <c r="C61" s="0" t="s">
        <v>1716</v>
      </c>
      <c r="D61" s="0" t="n">
        <v>2013</v>
      </c>
      <c r="E61" s="0" t="s">
        <v>266</v>
      </c>
      <c r="F61" s="0" t="n">
        <v>2.93</v>
      </c>
      <c r="G61" s="0" t="s">
        <v>1723</v>
      </c>
      <c r="I61" s="0" t="n">
        <v>2.93</v>
      </c>
      <c r="J61" s="0" t="s">
        <v>1649</v>
      </c>
      <c r="M61" s="0" t="s">
        <v>1525</v>
      </c>
      <c r="N61" s="0" t="s">
        <v>110</v>
      </c>
      <c r="Q61" s="0" t="n">
        <v>1</v>
      </c>
      <c r="R61" s="0" t="n">
        <v>1</v>
      </c>
      <c r="U61" s="0" t="s">
        <v>1650</v>
      </c>
      <c r="V61" s="0" t="s">
        <v>1650</v>
      </c>
      <c r="Y61" s="0" t="s">
        <v>1651</v>
      </c>
      <c r="Z61" s="0" t="s">
        <v>1652</v>
      </c>
      <c r="AA61" s="0" t="s">
        <v>1724</v>
      </c>
      <c r="AC61" s="0" t="s">
        <v>1654</v>
      </c>
    </row>
    <row r="62" customFormat="false" ht="15" hidden="false" customHeight="false" outlineLevel="0" collapsed="false">
      <c r="A62" s="0" t="s">
        <v>1725</v>
      </c>
      <c r="B62" s="0" t="s">
        <v>109</v>
      </c>
      <c r="C62" s="0" t="s">
        <v>1716</v>
      </c>
      <c r="D62" s="0" t="n">
        <v>2013</v>
      </c>
      <c r="E62" s="0" t="s">
        <v>62</v>
      </c>
      <c r="F62" s="0" t="n">
        <v>926967</v>
      </c>
      <c r="G62" s="0" t="s">
        <v>1681</v>
      </c>
      <c r="H62" s="0" t="s">
        <v>1648</v>
      </c>
      <c r="I62" s="0" t="n">
        <v>926967</v>
      </c>
      <c r="J62" s="0" t="s">
        <v>1649</v>
      </c>
      <c r="M62" s="0" t="s">
        <v>1525</v>
      </c>
      <c r="N62" s="0" t="s">
        <v>110</v>
      </c>
      <c r="Q62" s="0" t="n">
        <v>1</v>
      </c>
      <c r="R62" s="0" t="n">
        <v>1</v>
      </c>
      <c r="U62" s="0" t="s">
        <v>1650</v>
      </c>
      <c r="V62" s="0" t="s">
        <v>1650</v>
      </c>
      <c r="Y62" s="0" t="s">
        <v>1651</v>
      </c>
      <c r="Z62" s="0" t="s">
        <v>1652</v>
      </c>
      <c r="AA62" s="0" t="s">
        <v>1717</v>
      </c>
      <c r="AC62" s="0" t="s">
        <v>1654</v>
      </c>
    </row>
    <row r="63" customFormat="false" ht="15" hidden="false" customHeight="false" outlineLevel="0" collapsed="false">
      <c r="A63" s="0" t="s">
        <v>1726</v>
      </c>
      <c r="B63" s="0" t="s">
        <v>109</v>
      </c>
      <c r="C63" s="0" t="s">
        <v>1716</v>
      </c>
      <c r="D63" s="0" t="n">
        <v>2013</v>
      </c>
      <c r="E63" s="0" t="s">
        <v>54</v>
      </c>
      <c r="F63" s="0" t="n">
        <v>85546</v>
      </c>
      <c r="G63" s="0" t="s">
        <v>1681</v>
      </c>
      <c r="H63" s="0" t="s">
        <v>1648</v>
      </c>
      <c r="I63" s="0" t="n">
        <v>85546</v>
      </c>
      <c r="J63" s="0" t="s">
        <v>1649</v>
      </c>
      <c r="M63" s="0" t="s">
        <v>1525</v>
      </c>
      <c r="N63" s="0" t="s">
        <v>110</v>
      </c>
      <c r="Q63" s="0" t="n">
        <v>1</v>
      </c>
      <c r="R63" s="0" t="n">
        <v>1</v>
      </c>
      <c r="U63" s="0" t="s">
        <v>1650</v>
      </c>
      <c r="V63" s="0" t="s">
        <v>1650</v>
      </c>
      <c r="Y63" s="0" t="s">
        <v>1651</v>
      </c>
      <c r="Z63" s="0" t="s">
        <v>1652</v>
      </c>
      <c r="AA63" s="0" t="s">
        <v>1717</v>
      </c>
      <c r="AC63" s="0" t="s">
        <v>1654</v>
      </c>
    </row>
    <row r="64" customFormat="false" ht="15" hidden="false" customHeight="false" outlineLevel="0" collapsed="false">
      <c r="A64" s="0" t="s">
        <v>1727</v>
      </c>
      <c r="B64" s="0" t="s">
        <v>109</v>
      </c>
      <c r="C64" s="0" t="s">
        <v>1716</v>
      </c>
      <c r="D64" s="0" t="n">
        <v>2013</v>
      </c>
      <c r="E64" s="0" t="s">
        <v>55</v>
      </c>
      <c r="F64" s="0" t="n">
        <v>1904366</v>
      </c>
      <c r="G64" s="0" t="s">
        <v>1681</v>
      </c>
      <c r="H64" s="0" t="s">
        <v>1648</v>
      </c>
      <c r="I64" s="0" t="n">
        <v>1904366</v>
      </c>
      <c r="J64" s="0" t="s">
        <v>1649</v>
      </c>
      <c r="M64" s="0" t="s">
        <v>1525</v>
      </c>
      <c r="N64" s="0" t="s">
        <v>110</v>
      </c>
      <c r="Q64" s="0" t="n">
        <v>1</v>
      </c>
      <c r="R64" s="0" t="n">
        <v>1</v>
      </c>
      <c r="U64" s="0" t="s">
        <v>1650</v>
      </c>
      <c r="V64" s="0" t="s">
        <v>1650</v>
      </c>
      <c r="Y64" s="0" t="s">
        <v>1651</v>
      </c>
      <c r="Z64" s="0" t="s">
        <v>1652</v>
      </c>
      <c r="AA64" s="0" t="s">
        <v>1717</v>
      </c>
      <c r="AC64" s="0" t="s">
        <v>1654</v>
      </c>
    </row>
    <row r="65" customFormat="false" ht="15" hidden="false" customHeight="false" outlineLevel="0" collapsed="false">
      <c r="A65" s="0" t="s">
        <v>1728</v>
      </c>
      <c r="B65" s="0" t="s">
        <v>109</v>
      </c>
      <c r="C65" s="0" t="s">
        <v>1716</v>
      </c>
      <c r="D65" s="0" t="n">
        <v>2013</v>
      </c>
      <c r="E65" s="0" t="s">
        <v>57</v>
      </c>
      <c r="F65" s="0" t="n">
        <v>329647</v>
      </c>
      <c r="G65" s="0" t="s">
        <v>1681</v>
      </c>
      <c r="H65" s="0" t="s">
        <v>1648</v>
      </c>
      <c r="I65" s="0" t="n">
        <v>329647</v>
      </c>
      <c r="J65" s="0" t="s">
        <v>1649</v>
      </c>
      <c r="M65" s="0" t="s">
        <v>1525</v>
      </c>
      <c r="N65" s="0" t="s">
        <v>110</v>
      </c>
      <c r="Q65" s="0" t="n">
        <v>1</v>
      </c>
      <c r="R65" s="0" t="n">
        <v>1</v>
      </c>
      <c r="U65" s="0" t="s">
        <v>1650</v>
      </c>
      <c r="V65" s="0" t="s">
        <v>1650</v>
      </c>
      <c r="Y65" s="0" t="s">
        <v>1651</v>
      </c>
      <c r="Z65" s="0" t="s">
        <v>1652</v>
      </c>
      <c r="AA65" s="0" t="s">
        <v>1717</v>
      </c>
      <c r="AC65" s="0" t="s">
        <v>1654</v>
      </c>
    </row>
    <row r="66" customFormat="false" ht="15" hidden="false" customHeight="false" outlineLevel="0" collapsed="false">
      <c r="A66" s="0" t="s">
        <v>1729</v>
      </c>
      <c r="B66" s="0" t="s">
        <v>109</v>
      </c>
      <c r="C66" s="0" t="s">
        <v>1716</v>
      </c>
      <c r="D66" s="0" t="n">
        <v>2013</v>
      </c>
      <c r="E66" s="0" t="s">
        <v>56</v>
      </c>
      <c r="F66" s="0" t="n">
        <v>1574719</v>
      </c>
      <c r="G66" s="0" t="s">
        <v>1681</v>
      </c>
      <c r="H66" s="0" t="s">
        <v>1648</v>
      </c>
      <c r="I66" s="0" t="n">
        <v>1574719</v>
      </c>
      <c r="J66" s="0" t="s">
        <v>1649</v>
      </c>
      <c r="M66" s="0" t="s">
        <v>1525</v>
      </c>
      <c r="N66" s="0" t="s">
        <v>110</v>
      </c>
      <c r="Q66" s="0" t="n">
        <v>1</v>
      </c>
      <c r="R66" s="0" t="n">
        <v>1</v>
      </c>
      <c r="U66" s="0" t="s">
        <v>1650</v>
      </c>
      <c r="V66" s="0" t="s">
        <v>1650</v>
      </c>
      <c r="Y66" s="0" t="s">
        <v>1651</v>
      </c>
      <c r="Z66" s="0" t="s">
        <v>1652</v>
      </c>
      <c r="AA66" s="0" t="s">
        <v>1717</v>
      </c>
      <c r="AC66" s="0" t="s">
        <v>1654</v>
      </c>
    </row>
    <row r="67" customFormat="false" ht="15" hidden="false" customHeight="false" outlineLevel="0" collapsed="false">
      <c r="A67" s="0" t="s">
        <v>1730</v>
      </c>
      <c r="B67" s="0" t="s">
        <v>109</v>
      </c>
      <c r="C67" s="0" t="s">
        <v>1716</v>
      </c>
      <c r="D67" s="0" t="n">
        <v>2014</v>
      </c>
      <c r="E67" s="0" t="s">
        <v>1646</v>
      </c>
      <c r="F67" s="0" t="n">
        <v>1439522</v>
      </c>
      <c r="G67" s="0" t="s">
        <v>1681</v>
      </c>
      <c r="H67" s="0" t="s">
        <v>1648</v>
      </c>
      <c r="I67" s="0" t="n">
        <v>1439522</v>
      </c>
      <c r="J67" s="0" t="s">
        <v>1649</v>
      </c>
      <c r="M67" s="0" t="s">
        <v>1525</v>
      </c>
      <c r="N67" s="0" t="s">
        <v>110</v>
      </c>
      <c r="Q67" s="0" t="n">
        <v>1</v>
      </c>
      <c r="R67" s="0" t="n">
        <v>1</v>
      </c>
      <c r="U67" s="0" t="s">
        <v>1667</v>
      </c>
      <c r="V67" s="0" t="s">
        <v>1667</v>
      </c>
      <c r="Y67" s="0" t="s">
        <v>1651</v>
      </c>
      <c r="Z67" s="0" t="s">
        <v>1652</v>
      </c>
      <c r="AA67" s="0" t="s">
        <v>1717</v>
      </c>
      <c r="AC67" s="0" t="s">
        <v>1654</v>
      </c>
    </row>
    <row r="68" customFormat="false" ht="15" hidden="false" customHeight="false" outlineLevel="0" collapsed="false">
      <c r="A68" s="0" t="s">
        <v>1731</v>
      </c>
      <c r="B68" s="0" t="s">
        <v>109</v>
      </c>
      <c r="C68" s="0" t="s">
        <v>1716</v>
      </c>
      <c r="D68" s="0" t="n">
        <v>2014</v>
      </c>
      <c r="E68" s="0" t="s">
        <v>670</v>
      </c>
      <c r="F68" s="0" t="n">
        <v>249008</v>
      </c>
      <c r="G68" s="0" t="s">
        <v>1681</v>
      </c>
      <c r="H68" s="0" t="s">
        <v>1648</v>
      </c>
      <c r="I68" s="0" t="n">
        <v>249008</v>
      </c>
      <c r="J68" s="0" t="s">
        <v>1649</v>
      </c>
      <c r="M68" s="0" t="s">
        <v>1525</v>
      </c>
      <c r="N68" s="0" t="s">
        <v>110</v>
      </c>
      <c r="Q68" s="0" t="n">
        <v>1</v>
      </c>
      <c r="R68" s="0" t="n">
        <v>1</v>
      </c>
      <c r="U68" s="0" t="s">
        <v>1667</v>
      </c>
      <c r="V68" s="0" t="s">
        <v>1667</v>
      </c>
      <c r="Y68" s="0" t="s">
        <v>1651</v>
      </c>
      <c r="Z68" s="0" t="s">
        <v>1652</v>
      </c>
      <c r="AA68" s="0" t="s">
        <v>1717</v>
      </c>
      <c r="AC68" s="0" t="s">
        <v>1654</v>
      </c>
    </row>
    <row r="69" customFormat="false" ht="15" hidden="false" customHeight="false" outlineLevel="0" collapsed="false">
      <c r="A69" s="0" t="s">
        <v>1732</v>
      </c>
      <c r="B69" s="0" t="s">
        <v>109</v>
      </c>
      <c r="C69" s="0" t="s">
        <v>1716</v>
      </c>
      <c r="D69" s="0" t="n">
        <v>2014</v>
      </c>
      <c r="E69" s="0" t="s">
        <v>247</v>
      </c>
      <c r="F69" s="0" t="n">
        <v>6184</v>
      </c>
      <c r="G69" s="0" t="s">
        <v>1681</v>
      </c>
      <c r="H69" s="0" t="s">
        <v>1648</v>
      </c>
      <c r="I69" s="0" t="n">
        <v>6184</v>
      </c>
      <c r="J69" s="0" t="s">
        <v>1649</v>
      </c>
      <c r="M69" s="0" t="s">
        <v>1525</v>
      </c>
      <c r="N69" s="0" t="s">
        <v>110</v>
      </c>
      <c r="Q69" s="0" t="n">
        <v>1</v>
      </c>
      <c r="R69" s="0" t="n">
        <v>1</v>
      </c>
      <c r="U69" s="0" t="s">
        <v>1667</v>
      </c>
      <c r="V69" s="0" t="s">
        <v>1667</v>
      </c>
      <c r="Y69" s="0" t="s">
        <v>1651</v>
      </c>
      <c r="Z69" s="0" t="s">
        <v>1652</v>
      </c>
      <c r="AA69" s="0" t="s">
        <v>1717</v>
      </c>
      <c r="AC69" s="0" t="s">
        <v>1654</v>
      </c>
    </row>
    <row r="70" customFormat="false" ht="15" hidden="false" customHeight="false" outlineLevel="0" collapsed="false">
      <c r="A70" s="0" t="s">
        <v>1733</v>
      </c>
      <c r="B70" s="0" t="s">
        <v>109</v>
      </c>
      <c r="C70" s="0" t="s">
        <v>1716</v>
      </c>
      <c r="D70" s="0" t="n">
        <v>2014</v>
      </c>
      <c r="E70" s="0" t="s">
        <v>557</v>
      </c>
      <c r="F70" s="0" t="n">
        <v>274</v>
      </c>
      <c r="G70" s="0" t="s">
        <v>1681</v>
      </c>
      <c r="H70" s="0" t="s">
        <v>1648</v>
      </c>
      <c r="I70" s="0" t="n">
        <v>274</v>
      </c>
      <c r="J70" s="0" t="s">
        <v>1649</v>
      </c>
      <c r="M70" s="0" t="s">
        <v>1525</v>
      </c>
      <c r="N70" s="0" t="s">
        <v>110</v>
      </c>
      <c r="Q70" s="0" t="n">
        <v>1</v>
      </c>
      <c r="R70" s="0" t="n">
        <v>1</v>
      </c>
      <c r="U70" s="0" t="s">
        <v>1667</v>
      </c>
      <c r="V70" s="0" t="s">
        <v>1667</v>
      </c>
      <c r="Y70" s="0" t="s">
        <v>1651</v>
      </c>
      <c r="Z70" s="0" t="s">
        <v>1652</v>
      </c>
      <c r="AA70" s="0" t="s">
        <v>1717</v>
      </c>
      <c r="AC70" s="0" t="s">
        <v>1654</v>
      </c>
    </row>
    <row r="71" customFormat="false" ht="15" hidden="false" customHeight="false" outlineLevel="0" collapsed="false">
      <c r="A71" s="0" t="s">
        <v>1734</v>
      </c>
      <c r="B71" s="0" t="s">
        <v>109</v>
      </c>
      <c r="C71" s="0" t="s">
        <v>1716</v>
      </c>
      <c r="D71" s="0" t="n">
        <v>2014</v>
      </c>
      <c r="E71" s="0" t="s">
        <v>64</v>
      </c>
      <c r="F71" s="0" t="n">
        <v>32616</v>
      </c>
      <c r="G71" s="0" t="s">
        <v>1681</v>
      </c>
      <c r="H71" s="0" t="s">
        <v>1648</v>
      </c>
      <c r="I71" s="0" t="n">
        <v>32616</v>
      </c>
      <c r="J71" s="0" t="s">
        <v>1649</v>
      </c>
      <c r="M71" s="0" t="s">
        <v>1525</v>
      </c>
      <c r="N71" s="0" t="s">
        <v>110</v>
      </c>
      <c r="Q71" s="0" t="n">
        <v>1</v>
      </c>
      <c r="R71" s="0" t="n">
        <v>1</v>
      </c>
      <c r="U71" s="0" t="s">
        <v>1667</v>
      </c>
      <c r="V71" s="0" t="s">
        <v>1667</v>
      </c>
      <c r="Y71" s="0" t="s">
        <v>1651</v>
      </c>
      <c r="Z71" s="0" t="s">
        <v>1652</v>
      </c>
      <c r="AA71" s="0" t="s">
        <v>1717</v>
      </c>
      <c r="AC71" s="0" t="s">
        <v>1654</v>
      </c>
    </row>
    <row r="72" customFormat="false" ht="15" hidden="false" customHeight="false" outlineLevel="0" collapsed="false">
      <c r="A72" s="0" t="s">
        <v>1735</v>
      </c>
      <c r="B72" s="0" t="s">
        <v>109</v>
      </c>
      <c r="C72" s="0" t="s">
        <v>1716</v>
      </c>
      <c r="D72" s="0" t="n">
        <v>2014</v>
      </c>
      <c r="E72" s="0" t="s">
        <v>266</v>
      </c>
      <c r="F72" s="0" t="n">
        <v>2.7</v>
      </c>
      <c r="G72" s="0" t="s">
        <v>1723</v>
      </c>
      <c r="I72" s="0" t="n">
        <v>2.7</v>
      </c>
      <c r="J72" s="0" t="s">
        <v>1649</v>
      </c>
      <c r="M72" s="0" t="s">
        <v>1525</v>
      </c>
      <c r="N72" s="0" t="s">
        <v>110</v>
      </c>
      <c r="Q72" s="0" t="n">
        <v>1</v>
      </c>
      <c r="R72" s="0" t="n">
        <v>1</v>
      </c>
      <c r="U72" s="0" t="s">
        <v>1667</v>
      </c>
      <c r="V72" s="0" t="s">
        <v>1667</v>
      </c>
      <c r="Y72" s="0" t="s">
        <v>1651</v>
      </c>
      <c r="Z72" s="0" t="s">
        <v>1652</v>
      </c>
      <c r="AA72" s="0" t="s">
        <v>1724</v>
      </c>
      <c r="AC72" s="0" t="s">
        <v>1654</v>
      </c>
    </row>
    <row r="73" customFormat="false" ht="15" hidden="false" customHeight="false" outlineLevel="0" collapsed="false">
      <c r="A73" s="0" t="s">
        <v>1736</v>
      </c>
      <c r="B73" s="0" t="s">
        <v>109</v>
      </c>
      <c r="C73" s="0" t="s">
        <v>1716</v>
      </c>
      <c r="D73" s="0" t="n">
        <v>2014</v>
      </c>
      <c r="E73" s="0" t="s">
        <v>62</v>
      </c>
      <c r="F73" s="0" t="n">
        <v>1182394</v>
      </c>
      <c r="G73" s="0" t="s">
        <v>1681</v>
      </c>
      <c r="H73" s="0" t="s">
        <v>1648</v>
      </c>
      <c r="I73" s="0" t="n">
        <v>1182394</v>
      </c>
      <c r="J73" s="0" t="s">
        <v>1649</v>
      </c>
      <c r="M73" s="0" t="s">
        <v>1525</v>
      </c>
      <c r="N73" s="0" t="s">
        <v>110</v>
      </c>
      <c r="Q73" s="0" t="n">
        <v>1</v>
      </c>
      <c r="R73" s="0" t="n">
        <v>1</v>
      </c>
      <c r="U73" s="0" t="s">
        <v>1667</v>
      </c>
      <c r="V73" s="0" t="s">
        <v>1667</v>
      </c>
      <c r="Y73" s="0" t="s">
        <v>1651</v>
      </c>
      <c r="Z73" s="0" t="s">
        <v>1652</v>
      </c>
      <c r="AA73" s="0" t="s">
        <v>1717</v>
      </c>
      <c r="AC73" s="0" t="s">
        <v>1654</v>
      </c>
    </row>
    <row r="74" customFormat="false" ht="15" hidden="false" customHeight="false" outlineLevel="0" collapsed="false">
      <c r="A74" s="0" t="s">
        <v>1737</v>
      </c>
      <c r="B74" s="0" t="s">
        <v>109</v>
      </c>
      <c r="C74" s="0" t="s">
        <v>1716</v>
      </c>
      <c r="D74" s="0" t="n">
        <v>2014</v>
      </c>
      <c r="E74" s="0" t="s">
        <v>54</v>
      </c>
      <c r="F74" s="0" t="n">
        <v>93432</v>
      </c>
      <c r="G74" s="0" t="s">
        <v>1681</v>
      </c>
      <c r="H74" s="0" t="s">
        <v>1648</v>
      </c>
      <c r="I74" s="0" t="n">
        <v>93432</v>
      </c>
      <c r="J74" s="0" t="s">
        <v>1649</v>
      </c>
      <c r="M74" s="0" t="s">
        <v>1525</v>
      </c>
      <c r="N74" s="0" t="s">
        <v>110</v>
      </c>
      <c r="Q74" s="0" t="n">
        <v>1</v>
      </c>
      <c r="R74" s="0" t="n">
        <v>1</v>
      </c>
      <c r="U74" s="0" t="s">
        <v>1667</v>
      </c>
      <c r="V74" s="0" t="s">
        <v>1667</v>
      </c>
      <c r="Y74" s="0" t="s">
        <v>1651</v>
      </c>
      <c r="Z74" s="0" t="s">
        <v>1652</v>
      </c>
      <c r="AA74" s="0" t="s">
        <v>1717</v>
      </c>
      <c r="AC74" s="0" t="s">
        <v>1654</v>
      </c>
    </row>
    <row r="75" customFormat="false" ht="15" hidden="false" customHeight="false" outlineLevel="0" collapsed="false">
      <c r="A75" s="0" t="s">
        <v>1738</v>
      </c>
      <c r="B75" s="0" t="s">
        <v>109</v>
      </c>
      <c r="C75" s="0" t="s">
        <v>1716</v>
      </c>
      <c r="D75" s="0" t="n">
        <v>2014</v>
      </c>
      <c r="E75" s="0" t="s">
        <v>55</v>
      </c>
      <c r="F75" s="0" t="n">
        <v>2126608</v>
      </c>
      <c r="G75" s="0" t="s">
        <v>1681</v>
      </c>
      <c r="H75" s="0" t="s">
        <v>1648</v>
      </c>
      <c r="I75" s="0" t="n">
        <v>2126608</v>
      </c>
      <c r="J75" s="0" t="s">
        <v>1649</v>
      </c>
      <c r="M75" s="0" t="s">
        <v>1525</v>
      </c>
      <c r="N75" s="0" t="s">
        <v>110</v>
      </c>
      <c r="Q75" s="0" t="n">
        <v>1</v>
      </c>
      <c r="R75" s="0" t="n">
        <v>1</v>
      </c>
      <c r="U75" s="0" t="s">
        <v>1667</v>
      </c>
      <c r="V75" s="0" t="s">
        <v>1667</v>
      </c>
      <c r="Y75" s="0" t="s">
        <v>1651</v>
      </c>
      <c r="Z75" s="0" t="s">
        <v>1652</v>
      </c>
      <c r="AA75" s="0" t="s">
        <v>1717</v>
      </c>
      <c r="AC75" s="0" t="s">
        <v>1654</v>
      </c>
    </row>
    <row r="76" customFormat="false" ht="15" hidden="false" customHeight="false" outlineLevel="0" collapsed="false">
      <c r="A76" s="0" t="s">
        <v>1739</v>
      </c>
      <c r="B76" s="0" t="s">
        <v>109</v>
      </c>
      <c r="C76" s="0" t="s">
        <v>1716</v>
      </c>
      <c r="D76" s="0" t="n">
        <v>2014</v>
      </c>
      <c r="E76" s="0" t="s">
        <v>57</v>
      </c>
      <c r="F76" s="0" t="n">
        <v>369530</v>
      </c>
      <c r="G76" s="0" t="s">
        <v>1681</v>
      </c>
      <c r="H76" s="0" t="s">
        <v>1648</v>
      </c>
      <c r="I76" s="0" t="n">
        <v>369530</v>
      </c>
      <c r="J76" s="0" t="s">
        <v>1649</v>
      </c>
      <c r="M76" s="0" t="s">
        <v>1525</v>
      </c>
      <c r="N76" s="0" t="s">
        <v>110</v>
      </c>
      <c r="Q76" s="0" t="n">
        <v>1</v>
      </c>
      <c r="R76" s="0" t="n">
        <v>1</v>
      </c>
      <c r="U76" s="0" t="s">
        <v>1667</v>
      </c>
      <c r="V76" s="0" t="s">
        <v>1667</v>
      </c>
      <c r="Y76" s="0" t="s">
        <v>1651</v>
      </c>
      <c r="Z76" s="0" t="s">
        <v>1652</v>
      </c>
      <c r="AA76" s="0" t="s">
        <v>1717</v>
      </c>
      <c r="AC76" s="0" t="s">
        <v>1654</v>
      </c>
    </row>
    <row r="77" customFormat="false" ht="15" hidden="false" customHeight="false" outlineLevel="0" collapsed="false">
      <c r="A77" s="0" t="s">
        <v>1740</v>
      </c>
      <c r="B77" s="0" t="s">
        <v>109</v>
      </c>
      <c r="C77" s="0" t="s">
        <v>1716</v>
      </c>
      <c r="D77" s="0" t="n">
        <v>2014</v>
      </c>
      <c r="E77" s="0" t="s">
        <v>56</v>
      </c>
      <c r="F77" s="0" t="n">
        <v>1757078</v>
      </c>
      <c r="G77" s="0" t="s">
        <v>1681</v>
      </c>
      <c r="H77" s="0" t="s">
        <v>1648</v>
      </c>
      <c r="I77" s="0" t="n">
        <v>1757078</v>
      </c>
      <c r="J77" s="0" t="s">
        <v>1649</v>
      </c>
      <c r="M77" s="0" t="s">
        <v>1525</v>
      </c>
      <c r="N77" s="0" t="s">
        <v>110</v>
      </c>
      <c r="Q77" s="0" t="n">
        <v>1</v>
      </c>
      <c r="R77" s="0" t="n">
        <v>1</v>
      </c>
      <c r="U77" s="0" t="s">
        <v>1667</v>
      </c>
      <c r="V77" s="0" t="s">
        <v>1667</v>
      </c>
      <c r="Y77" s="0" t="s">
        <v>1651</v>
      </c>
      <c r="Z77" s="0" t="s">
        <v>1652</v>
      </c>
      <c r="AA77" s="0" t="s">
        <v>1717</v>
      </c>
      <c r="AC77" s="0" t="s">
        <v>1654</v>
      </c>
    </row>
    <row r="78" customFormat="false" ht="15" hidden="false" customHeight="false" outlineLevel="0" collapsed="false">
      <c r="A78" s="0" t="s">
        <v>1741</v>
      </c>
      <c r="B78" s="0" t="s">
        <v>86</v>
      </c>
      <c r="C78" s="0" t="s">
        <v>1742</v>
      </c>
      <c r="D78" s="0" t="n">
        <v>2013</v>
      </c>
      <c r="E78" s="0" t="s">
        <v>69</v>
      </c>
      <c r="F78" s="0" t="n">
        <v>26</v>
      </c>
      <c r="G78" s="0" t="s">
        <v>1723</v>
      </c>
      <c r="I78" s="0" t="n">
        <v>26</v>
      </c>
      <c r="J78" s="0" t="s">
        <v>1649</v>
      </c>
      <c r="M78" s="0" t="s">
        <v>1517</v>
      </c>
      <c r="N78" s="0" t="s">
        <v>87</v>
      </c>
      <c r="Q78" s="0" t="n">
        <v>112</v>
      </c>
      <c r="R78" s="0" t="n">
        <v>112</v>
      </c>
      <c r="U78" s="0" t="s">
        <v>1743</v>
      </c>
      <c r="V78" s="0" t="s">
        <v>1743</v>
      </c>
      <c r="Y78" s="0" t="s">
        <v>1651</v>
      </c>
      <c r="Z78" s="0" t="s">
        <v>1652</v>
      </c>
      <c r="AA78" s="0" t="s">
        <v>1744</v>
      </c>
      <c r="AC78" s="0" t="s">
        <v>1654</v>
      </c>
    </row>
    <row r="79" customFormat="false" ht="15" hidden="false" customHeight="false" outlineLevel="0" collapsed="false">
      <c r="A79" s="0" t="s">
        <v>1745</v>
      </c>
      <c r="B79" s="0" t="s">
        <v>86</v>
      </c>
      <c r="C79" s="0" t="s">
        <v>1742</v>
      </c>
      <c r="D79" s="0" t="n">
        <v>2013</v>
      </c>
      <c r="E79" s="0" t="s">
        <v>406</v>
      </c>
      <c r="F79" s="0" t="n">
        <v>6503</v>
      </c>
      <c r="G79" s="0" t="s">
        <v>1681</v>
      </c>
      <c r="H79" s="0" t="s">
        <v>1648</v>
      </c>
      <c r="I79" s="0" t="n">
        <v>6503</v>
      </c>
      <c r="J79" s="0" t="s">
        <v>1649</v>
      </c>
      <c r="M79" s="0" t="s">
        <v>1517</v>
      </c>
      <c r="N79" s="0" t="s">
        <v>87</v>
      </c>
      <c r="Q79" s="0" t="n">
        <v>119</v>
      </c>
      <c r="R79" s="0" t="n">
        <v>119</v>
      </c>
      <c r="U79" s="0" t="s">
        <v>1743</v>
      </c>
      <c r="V79" s="0" t="s">
        <v>1743</v>
      </c>
      <c r="Y79" s="0" t="s">
        <v>1651</v>
      </c>
      <c r="Z79" s="0" t="s">
        <v>1652</v>
      </c>
      <c r="AA79" s="0" t="s">
        <v>1746</v>
      </c>
      <c r="AC79" s="0" t="s">
        <v>1654</v>
      </c>
    </row>
    <row r="80" customFormat="false" ht="15" hidden="false" customHeight="false" outlineLevel="0" collapsed="false">
      <c r="A80" s="0" t="s">
        <v>1747</v>
      </c>
      <c r="B80" s="0" t="s">
        <v>86</v>
      </c>
      <c r="C80" s="0" t="s">
        <v>1742</v>
      </c>
      <c r="D80" s="0" t="n">
        <v>2013</v>
      </c>
      <c r="E80" s="0" t="s">
        <v>1646</v>
      </c>
      <c r="F80" s="0" t="n">
        <v>806320</v>
      </c>
      <c r="G80" s="0" t="s">
        <v>1681</v>
      </c>
      <c r="H80" s="0" t="s">
        <v>1648</v>
      </c>
      <c r="I80" s="0" t="n">
        <v>806320</v>
      </c>
      <c r="J80" s="0" t="s">
        <v>1649</v>
      </c>
      <c r="M80" s="0" t="s">
        <v>1517</v>
      </c>
      <c r="N80" s="0" t="s">
        <v>87</v>
      </c>
      <c r="Q80" s="0" t="n">
        <v>68</v>
      </c>
      <c r="R80" s="0" t="n">
        <v>68</v>
      </c>
      <c r="U80" s="0" t="s">
        <v>1743</v>
      </c>
      <c r="V80" s="0" t="s">
        <v>1743</v>
      </c>
      <c r="Y80" s="0" t="s">
        <v>1651</v>
      </c>
      <c r="Z80" s="0" t="s">
        <v>1652</v>
      </c>
      <c r="AA80" s="0" t="s">
        <v>1748</v>
      </c>
      <c r="AC80" s="0" t="s">
        <v>1654</v>
      </c>
    </row>
    <row r="81" customFormat="false" ht="15" hidden="false" customHeight="false" outlineLevel="0" collapsed="false">
      <c r="A81" s="0" t="s">
        <v>1749</v>
      </c>
      <c r="B81" s="0" t="s">
        <v>86</v>
      </c>
      <c r="C81" s="0" t="s">
        <v>1742</v>
      </c>
      <c r="D81" s="0" t="n">
        <v>2013</v>
      </c>
      <c r="E81" s="0" t="s">
        <v>60</v>
      </c>
      <c r="F81" s="0" t="n">
        <v>442649</v>
      </c>
      <c r="G81" s="0" t="s">
        <v>1681</v>
      </c>
      <c r="H81" s="0" t="s">
        <v>1648</v>
      </c>
      <c r="I81" s="0" t="n">
        <v>442649</v>
      </c>
      <c r="J81" s="0" t="s">
        <v>1649</v>
      </c>
      <c r="M81" s="0" t="s">
        <v>1517</v>
      </c>
      <c r="N81" s="0" t="s">
        <v>87</v>
      </c>
      <c r="Q81" s="0" t="n">
        <v>119</v>
      </c>
      <c r="R81" s="0" t="n">
        <v>119</v>
      </c>
      <c r="U81" s="0" t="s">
        <v>1743</v>
      </c>
      <c r="V81" s="0" t="s">
        <v>1743</v>
      </c>
      <c r="Y81" s="0" t="s">
        <v>1651</v>
      </c>
      <c r="Z81" s="0" t="s">
        <v>1652</v>
      </c>
      <c r="AA81" s="0" t="s">
        <v>1746</v>
      </c>
      <c r="AC81" s="0" t="s">
        <v>1654</v>
      </c>
    </row>
    <row r="82" customFormat="false" ht="15" hidden="false" customHeight="false" outlineLevel="0" collapsed="false">
      <c r="A82" s="0" t="s">
        <v>1750</v>
      </c>
      <c r="B82" s="0" t="s">
        <v>86</v>
      </c>
      <c r="C82" s="0" t="s">
        <v>1742</v>
      </c>
      <c r="D82" s="0" t="n">
        <v>2013</v>
      </c>
      <c r="E82" s="0" t="s">
        <v>670</v>
      </c>
      <c r="F82" s="0" t="n">
        <v>126918</v>
      </c>
      <c r="G82" s="0" t="s">
        <v>1681</v>
      </c>
      <c r="H82" s="0" t="s">
        <v>1648</v>
      </c>
      <c r="I82" s="0" t="n">
        <v>126918</v>
      </c>
      <c r="J82" s="0" t="s">
        <v>1649</v>
      </c>
      <c r="M82" s="0" t="s">
        <v>1517</v>
      </c>
      <c r="N82" s="0" t="s">
        <v>87</v>
      </c>
      <c r="Q82" s="0" t="n">
        <v>66</v>
      </c>
      <c r="R82" s="0" t="n">
        <v>66</v>
      </c>
      <c r="U82" s="0" t="s">
        <v>1743</v>
      </c>
      <c r="V82" s="0" t="s">
        <v>1743</v>
      </c>
      <c r="Y82" s="0" t="s">
        <v>1651</v>
      </c>
      <c r="Z82" s="0" t="s">
        <v>1652</v>
      </c>
      <c r="AA82" s="0" t="s">
        <v>1748</v>
      </c>
      <c r="AC82" s="0" t="s">
        <v>1654</v>
      </c>
    </row>
    <row r="83" customFormat="false" ht="15" hidden="false" customHeight="false" outlineLevel="0" collapsed="false">
      <c r="A83" s="0" t="s">
        <v>1751</v>
      </c>
      <c r="B83" s="0" t="s">
        <v>86</v>
      </c>
      <c r="C83" s="0" t="s">
        <v>1742</v>
      </c>
      <c r="D83" s="0" t="n">
        <v>2013</v>
      </c>
      <c r="E83" s="0" t="s">
        <v>247</v>
      </c>
      <c r="F83" s="0" t="n">
        <v>3190</v>
      </c>
      <c r="G83" s="0" t="s">
        <v>1681</v>
      </c>
      <c r="H83" s="0" t="s">
        <v>1648</v>
      </c>
      <c r="I83" s="0" t="n">
        <v>3190</v>
      </c>
      <c r="J83" s="0" t="s">
        <v>1649</v>
      </c>
      <c r="M83" s="0" t="s">
        <v>1517</v>
      </c>
      <c r="N83" s="0" t="s">
        <v>87</v>
      </c>
      <c r="Q83" s="0" t="n">
        <v>119</v>
      </c>
      <c r="R83" s="0" t="n">
        <v>119</v>
      </c>
      <c r="U83" s="0" t="s">
        <v>1743</v>
      </c>
      <c r="V83" s="0" t="s">
        <v>1743</v>
      </c>
      <c r="Y83" s="0" t="s">
        <v>1651</v>
      </c>
      <c r="Z83" s="0" t="s">
        <v>1652</v>
      </c>
      <c r="AA83" s="0" t="s">
        <v>1752</v>
      </c>
      <c r="AC83" s="0" t="s">
        <v>1654</v>
      </c>
    </row>
    <row r="84" customFormat="false" ht="15" hidden="false" customHeight="false" outlineLevel="0" collapsed="false">
      <c r="A84" s="0" t="s">
        <v>1753</v>
      </c>
      <c r="B84" s="0" t="s">
        <v>86</v>
      </c>
      <c r="C84" s="0" t="s">
        <v>1742</v>
      </c>
      <c r="D84" s="0" t="n">
        <v>2013</v>
      </c>
      <c r="E84" s="0" t="s">
        <v>63</v>
      </c>
      <c r="F84" s="0" t="n">
        <v>7630</v>
      </c>
      <c r="G84" s="0" t="s">
        <v>1681</v>
      </c>
      <c r="H84" s="0" t="s">
        <v>1648</v>
      </c>
      <c r="I84" s="0" t="n">
        <v>7630</v>
      </c>
      <c r="J84" s="0" t="s">
        <v>1649</v>
      </c>
      <c r="M84" s="0" t="s">
        <v>1517</v>
      </c>
      <c r="N84" s="0" t="s">
        <v>87</v>
      </c>
      <c r="Q84" s="0" t="n">
        <v>66</v>
      </c>
      <c r="R84" s="0" t="n">
        <v>66</v>
      </c>
      <c r="U84" s="0" t="s">
        <v>1743</v>
      </c>
      <c r="V84" s="0" t="s">
        <v>1743</v>
      </c>
      <c r="Y84" s="0" t="s">
        <v>1651</v>
      </c>
      <c r="Z84" s="0" t="s">
        <v>1652</v>
      </c>
      <c r="AA84" s="0" t="s">
        <v>1748</v>
      </c>
      <c r="AC84" s="0" t="s">
        <v>1654</v>
      </c>
    </row>
    <row r="85" customFormat="false" ht="15" hidden="false" customHeight="false" outlineLevel="0" collapsed="false">
      <c r="A85" s="0" t="s">
        <v>1754</v>
      </c>
      <c r="B85" s="0" t="s">
        <v>86</v>
      </c>
      <c r="C85" s="0" t="s">
        <v>1742</v>
      </c>
      <c r="D85" s="0" t="n">
        <v>2013</v>
      </c>
      <c r="E85" s="0" t="s">
        <v>404</v>
      </c>
      <c r="F85" s="0" t="n">
        <v>10070</v>
      </c>
      <c r="G85" s="0" t="s">
        <v>1681</v>
      </c>
      <c r="H85" s="0" t="s">
        <v>1648</v>
      </c>
      <c r="I85" s="0" t="n">
        <v>10070</v>
      </c>
      <c r="J85" s="0" t="s">
        <v>1649</v>
      </c>
      <c r="M85" s="0" t="s">
        <v>1517</v>
      </c>
      <c r="N85" s="0" t="s">
        <v>87</v>
      </c>
      <c r="Q85" s="0" t="n">
        <v>119</v>
      </c>
      <c r="R85" s="0" t="n">
        <v>119</v>
      </c>
      <c r="U85" s="0" t="s">
        <v>1743</v>
      </c>
      <c r="V85" s="0" t="s">
        <v>1743</v>
      </c>
      <c r="Y85" s="0" t="s">
        <v>1651</v>
      </c>
      <c r="Z85" s="0" t="s">
        <v>1652</v>
      </c>
      <c r="AA85" s="0" t="s">
        <v>1746</v>
      </c>
      <c r="AC85" s="0" t="s">
        <v>1654</v>
      </c>
    </row>
    <row r="86" customFormat="false" ht="15" hidden="false" customHeight="false" outlineLevel="0" collapsed="false">
      <c r="A86" s="0" t="s">
        <v>1755</v>
      </c>
      <c r="B86" s="0" t="s">
        <v>86</v>
      </c>
      <c r="C86" s="0" t="s">
        <v>1742</v>
      </c>
      <c r="D86" s="0" t="n">
        <v>2013</v>
      </c>
      <c r="E86" s="0" t="s">
        <v>61</v>
      </c>
      <c r="F86" s="0" t="n">
        <v>16573</v>
      </c>
      <c r="G86" s="0" t="s">
        <v>1681</v>
      </c>
      <c r="H86" s="0" t="s">
        <v>1648</v>
      </c>
      <c r="I86" s="0" t="n">
        <v>16573</v>
      </c>
      <c r="J86" s="0" t="s">
        <v>1649</v>
      </c>
      <c r="M86" s="0" t="s">
        <v>1517</v>
      </c>
      <c r="N86" s="0" t="s">
        <v>87</v>
      </c>
      <c r="Q86" s="0" t="n">
        <v>119</v>
      </c>
      <c r="R86" s="0" t="n">
        <v>119</v>
      </c>
      <c r="U86" s="0" t="s">
        <v>1743</v>
      </c>
      <c r="V86" s="0" t="s">
        <v>1743</v>
      </c>
      <c r="Y86" s="0" t="s">
        <v>1651</v>
      </c>
      <c r="Z86" s="0" t="s">
        <v>1652</v>
      </c>
      <c r="AA86" s="0" t="s">
        <v>1746</v>
      </c>
      <c r="AC86" s="0" t="s">
        <v>1654</v>
      </c>
    </row>
    <row r="87" customFormat="false" ht="15" hidden="false" customHeight="false" outlineLevel="0" collapsed="false">
      <c r="A87" s="0" t="s">
        <v>1756</v>
      </c>
      <c r="B87" s="0" t="s">
        <v>86</v>
      </c>
      <c r="C87" s="0" t="s">
        <v>1742</v>
      </c>
      <c r="D87" s="0" t="n">
        <v>2013</v>
      </c>
      <c r="E87" s="0" t="s">
        <v>62</v>
      </c>
      <c r="F87" s="0" t="n">
        <v>426076</v>
      </c>
      <c r="G87" s="0" t="s">
        <v>1681</v>
      </c>
      <c r="H87" s="0" t="s">
        <v>1648</v>
      </c>
      <c r="I87" s="0" t="n">
        <v>426076</v>
      </c>
      <c r="J87" s="0" t="s">
        <v>1649</v>
      </c>
      <c r="M87" s="0" t="s">
        <v>1517</v>
      </c>
      <c r="N87" s="0" t="s">
        <v>87</v>
      </c>
      <c r="Q87" s="0" t="n">
        <v>68</v>
      </c>
      <c r="R87" s="0" t="n">
        <v>68</v>
      </c>
      <c r="U87" s="0" t="s">
        <v>1743</v>
      </c>
      <c r="V87" s="0" t="s">
        <v>1743</v>
      </c>
      <c r="Y87" s="0" t="s">
        <v>1651</v>
      </c>
      <c r="Z87" s="0" t="s">
        <v>1652</v>
      </c>
      <c r="AA87" s="0" t="s">
        <v>1748</v>
      </c>
      <c r="AC87" s="0" t="s">
        <v>1654</v>
      </c>
    </row>
    <row r="88" customFormat="false" ht="15" hidden="false" customHeight="false" outlineLevel="0" collapsed="false">
      <c r="A88" s="0" t="s">
        <v>1757</v>
      </c>
      <c r="B88" s="0" t="s">
        <v>86</v>
      </c>
      <c r="C88" s="0" t="s">
        <v>1742</v>
      </c>
      <c r="D88" s="0" t="n">
        <v>2013</v>
      </c>
      <c r="E88" s="0" t="s">
        <v>59</v>
      </c>
      <c r="F88" s="0" t="n">
        <v>914360</v>
      </c>
      <c r="G88" s="0" t="s">
        <v>1681</v>
      </c>
      <c r="H88" s="0" t="s">
        <v>1648</v>
      </c>
      <c r="I88" s="0" t="n">
        <v>914360</v>
      </c>
      <c r="J88" s="0" t="s">
        <v>1649</v>
      </c>
      <c r="M88" s="0" t="s">
        <v>1517</v>
      </c>
      <c r="N88" s="0" t="s">
        <v>87</v>
      </c>
      <c r="Q88" s="0" t="n">
        <v>68</v>
      </c>
      <c r="R88" s="0" t="n">
        <v>68</v>
      </c>
      <c r="U88" s="0" t="s">
        <v>1743</v>
      </c>
      <c r="V88" s="0" t="s">
        <v>1743</v>
      </c>
      <c r="Y88" s="0" t="s">
        <v>1651</v>
      </c>
      <c r="Z88" s="0" t="s">
        <v>1652</v>
      </c>
      <c r="AA88" s="0" t="s">
        <v>1748</v>
      </c>
      <c r="AC88" s="0" t="s">
        <v>1654</v>
      </c>
    </row>
    <row r="89" customFormat="false" ht="15" hidden="false" customHeight="false" outlineLevel="0" collapsed="false">
      <c r="A89" s="0" t="s">
        <v>1758</v>
      </c>
      <c r="B89" s="0" t="s">
        <v>86</v>
      </c>
      <c r="C89" s="0" t="s">
        <v>1742</v>
      </c>
      <c r="D89" s="0" t="n">
        <v>2013</v>
      </c>
      <c r="E89" s="0" t="s">
        <v>58</v>
      </c>
      <c r="F89" s="0" t="n">
        <v>15048</v>
      </c>
      <c r="G89" s="0" t="s">
        <v>1681</v>
      </c>
      <c r="H89" s="0" t="s">
        <v>1648</v>
      </c>
      <c r="I89" s="0" t="n">
        <v>15048</v>
      </c>
      <c r="J89" s="0" t="s">
        <v>1649</v>
      </c>
      <c r="M89" s="0" t="s">
        <v>1517</v>
      </c>
      <c r="N89" s="0" t="s">
        <v>87</v>
      </c>
      <c r="Q89" s="0" t="n">
        <v>70</v>
      </c>
      <c r="R89" s="0" t="n">
        <v>70</v>
      </c>
      <c r="U89" s="0" t="s">
        <v>1743</v>
      </c>
      <c r="V89" s="0" t="s">
        <v>1743</v>
      </c>
      <c r="Y89" s="0" t="s">
        <v>1651</v>
      </c>
      <c r="Z89" s="0" t="s">
        <v>1652</v>
      </c>
      <c r="AA89" s="0" t="s">
        <v>1748</v>
      </c>
      <c r="AC89" s="0" t="s">
        <v>1654</v>
      </c>
    </row>
    <row r="90" customFormat="false" ht="15" hidden="false" customHeight="false" outlineLevel="0" collapsed="false">
      <c r="A90" s="0" t="s">
        <v>1759</v>
      </c>
      <c r="B90" s="0" t="s">
        <v>86</v>
      </c>
      <c r="C90" s="0" t="s">
        <v>1742</v>
      </c>
      <c r="D90" s="0" t="n">
        <v>2013</v>
      </c>
      <c r="E90" s="0" t="s">
        <v>54</v>
      </c>
      <c r="F90" s="0" t="n">
        <v>7721</v>
      </c>
      <c r="G90" s="0" t="s">
        <v>1681</v>
      </c>
      <c r="H90" s="0" t="s">
        <v>1648</v>
      </c>
      <c r="I90" s="0" t="n">
        <v>7721</v>
      </c>
      <c r="J90" s="0" t="s">
        <v>1649</v>
      </c>
      <c r="M90" s="0" t="s">
        <v>1517</v>
      </c>
      <c r="N90" s="0" t="s">
        <v>87</v>
      </c>
      <c r="Q90" s="0" t="n">
        <v>66</v>
      </c>
      <c r="R90" s="0" t="n">
        <v>66</v>
      </c>
      <c r="U90" s="0" t="s">
        <v>1743</v>
      </c>
      <c r="V90" s="0" t="s">
        <v>1743</v>
      </c>
      <c r="Y90" s="0" t="s">
        <v>1651</v>
      </c>
      <c r="Z90" s="0" t="s">
        <v>1652</v>
      </c>
      <c r="AA90" s="0" t="s">
        <v>1748</v>
      </c>
      <c r="AC90" s="0" t="s">
        <v>1654</v>
      </c>
    </row>
    <row r="91" customFormat="false" ht="15" hidden="false" customHeight="false" outlineLevel="0" collapsed="false">
      <c r="A91" s="0" t="s">
        <v>1760</v>
      </c>
      <c r="B91" s="0" t="s">
        <v>86</v>
      </c>
      <c r="C91" s="0" t="s">
        <v>1742</v>
      </c>
      <c r="D91" s="0" t="n">
        <v>2013</v>
      </c>
      <c r="E91" s="0" t="s">
        <v>65</v>
      </c>
      <c r="F91" s="0" t="n">
        <v>163454</v>
      </c>
      <c r="G91" s="0" t="s">
        <v>1681</v>
      </c>
      <c r="H91" s="0" t="s">
        <v>1648</v>
      </c>
      <c r="I91" s="0" t="n">
        <v>163454</v>
      </c>
      <c r="J91" s="0" t="s">
        <v>1649</v>
      </c>
      <c r="M91" s="0" t="s">
        <v>1517</v>
      </c>
      <c r="N91" s="0" t="s">
        <v>87</v>
      </c>
      <c r="Q91" s="0" t="n">
        <v>112</v>
      </c>
      <c r="R91" s="0" t="n">
        <v>112</v>
      </c>
      <c r="U91" s="0" t="s">
        <v>1743</v>
      </c>
      <c r="V91" s="0" t="s">
        <v>1743</v>
      </c>
      <c r="Y91" s="0" t="s">
        <v>1651</v>
      </c>
      <c r="Z91" s="0" t="s">
        <v>1652</v>
      </c>
      <c r="AA91" s="0" t="s">
        <v>1746</v>
      </c>
      <c r="AC91" s="0" t="s">
        <v>1654</v>
      </c>
    </row>
    <row r="92" customFormat="false" ht="15" hidden="false" customHeight="false" outlineLevel="0" collapsed="false">
      <c r="A92" s="0" t="s">
        <v>1761</v>
      </c>
      <c r="B92" s="0" t="s">
        <v>86</v>
      </c>
      <c r="C92" s="0" t="s">
        <v>1742</v>
      </c>
      <c r="D92" s="0" t="n">
        <v>2013</v>
      </c>
      <c r="E92" s="0" t="s">
        <v>66</v>
      </c>
      <c r="F92" s="0" t="n">
        <v>632278</v>
      </c>
      <c r="G92" s="0" t="s">
        <v>1681</v>
      </c>
      <c r="H92" s="0" t="s">
        <v>1648</v>
      </c>
      <c r="I92" s="0" t="n">
        <v>632278</v>
      </c>
      <c r="J92" s="0" t="s">
        <v>1649</v>
      </c>
      <c r="M92" s="0" t="s">
        <v>1517</v>
      </c>
      <c r="N92" s="0" t="s">
        <v>87</v>
      </c>
      <c r="Q92" s="0" t="n">
        <v>112</v>
      </c>
      <c r="R92" s="0" t="n">
        <v>112</v>
      </c>
      <c r="U92" s="0" t="s">
        <v>1743</v>
      </c>
      <c r="V92" s="0" t="s">
        <v>1743</v>
      </c>
      <c r="Y92" s="0" t="s">
        <v>1651</v>
      </c>
      <c r="Z92" s="0" t="s">
        <v>1652</v>
      </c>
      <c r="AA92" s="0" t="s">
        <v>1746</v>
      </c>
      <c r="AC92" s="0" t="s">
        <v>1654</v>
      </c>
    </row>
    <row r="93" customFormat="false" ht="15" hidden="false" customHeight="false" outlineLevel="0" collapsed="false">
      <c r="A93" s="0" t="s">
        <v>1762</v>
      </c>
      <c r="B93" s="0" t="s">
        <v>86</v>
      </c>
      <c r="C93" s="0" t="s">
        <v>1742</v>
      </c>
      <c r="D93" s="0" t="n">
        <v>2013</v>
      </c>
      <c r="E93" s="0" t="s">
        <v>55</v>
      </c>
      <c r="F93" s="0" t="n">
        <v>1081217</v>
      </c>
      <c r="G93" s="0" t="s">
        <v>1681</v>
      </c>
      <c r="H93" s="0" t="s">
        <v>1648</v>
      </c>
      <c r="I93" s="0" t="n">
        <v>1081217</v>
      </c>
      <c r="J93" s="0" t="s">
        <v>1649</v>
      </c>
      <c r="M93" s="0" t="s">
        <v>1517</v>
      </c>
      <c r="N93" s="0" t="s">
        <v>87</v>
      </c>
      <c r="Q93" s="0" t="n">
        <v>68</v>
      </c>
      <c r="R93" s="0" t="n">
        <v>68</v>
      </c>
      <c r="U93" s="0" t="s">
        <v>1743</v>
      </c>
      <c r="V93" s="0" t="s">
        <v>1743</v>
      </c>
      <c r="Y93" s="0" t="s">
        <v>1651</v>
      </c>
      <c r="Z93" s="0" t="s">
        <v>1652</v>
      </c>
      <c r="AA93" s="0" t="s">
        <v>1748</v>
      </c>
      <c r="AC93" s="0" t="s">
        <v>1654</v>
      </c>
    </row>
    <row r="94" customFormat="false" ht="15" hidden="false" customHeight="false" outlineLevel="0" collapsed="false">
      <c r="A94" s="0" t="s">
        <v>1763</v>
      </c>
      <c r="B94" s="0" t="s">
        <v>86</v>
      </c>
      <c r="C94" s="0" t="s">
        <v>1742</v>
      </c>
      <c r="D94" s="0" t="n">
        <v>2013</v>
      </c>
      <c r="E94" s="0" t="s">
        <v>57</v>
      </c>
      <c r="F94" s="0" t="n">
        <v>163455</v>
      </c>
      <c r="G94" s="0" t="s">
        <v>1681</v>
      </c>
      <c r="H94" s="0" t="s">
        <v>1648</v>
      </c>
      <c r="I94" s="0" t="n">
        <v>163455</v>
      </c>
      <c r="J94" s="0" t="s">
        <v>1649</v>
      </c>
      <c r="M94" s="0" t="s">
        <v>1517</v>
      </c>
      <c r="N94" s="0" t="s">
        <v>87</v>
      </c>
      <c r="Q94" s="0" t="n">
        <v>68</v>
      </c>
      <c r="R94" s="0" t="n">
        <v>68</v>
      </c>
      <c r="U94" s="0" t="s">
        <v>1743</v>
      </c>
      <c r="V94" s="0" t="s">
        <v>1743</v>
      </c>
      <c r="Y94" s="0" t="s">
        <v>1651</v>
      </c>
      <c r="Z94" s="0" t="s">
        <v>1652</v>
      </c>
      <c r="AA94" s="0" t="s">
        <v>1748</v>
      </c>
      <c r="AC94" s="0" t="s">
        <v>1654</v>
      </c>
    </row>
    <row r="95" customFormat="false" ht="15" hidden="false" customHeight="false" outlineLevel="0" collapsed="false">
      <c r="A95" s="0" t="s">
        <v>1764</v>
      </c>
      <c r="B95" s="0" t="s">
        <v>86</v>
      </c>
      <c r="C95" s="0" t="s">
        <v>1742</v>
      </c>
      <c r="D95" s="0" t="n">
        <v>2013</v>
      </c>
      <c r="E95" s="0" t="s">
        <v>56</v>
      </c>
      <c r="F95" s="0" t="n">
        <v>917762</v>
      </c>
      <c r="G95" s="0" t="s">
        <v>1681</v>
      </c>
      <c r="H95" s="0" t="s">
        <v>1648</v>
      </c>
      <c r="I95" s="0" t="n">
        <v>917762</v>
      </c>
      <c r="J95" s="0" t="s">
        <v>1649</v>
      </c>
      <c r="M95" s="0" t="s">
        <v>1517</v>
      </c>
      <c r="N95" s="0" t="s">
        <v>87</v>
      </c>
      <c r="Q95" s="0" t="n">
        <v>68</v>
      </c>
      <c r="R95" s="0" t="n">
        <v>68</v>
      </c>
      <c r="U95" s="0" t="s">
        <v>1743</v>
      </c>
      <c r="V95" s="0" t="s">
        <v>1743</v>
      </c>
      <c r="Y95" s="0" t="s">
        <v>1651</v>
      </c>
      <c r="Z95" s="0" t="s">
        <v>1652</v>
      </c>
      <c r="AA95" s="0" t="s">
        <v>1748</v>
      </c>
      <c r="AC95" s="0" t="s">
        <v>1654</v>
      </c>
    </row>
    <row r="96" customFormat="false" ht="15" hidden="false" customHeight="false" outlineLevel="0" collapsed="false">
      <c r="A96" s="0" t="s">
        <v>1765</v>
      </c>
      <c r="B96" s="0" t="s">
        <v>86</v>
      </c>
      <c r="C96" s="0" t="s">
        <v>1742</v>
      </c>
      <c r="D96" s="0" t="n">
        <v>2018</v>
      </c>
      <c r="E96" s="0" t="s">
        <v>1646</v>
      </c>
      <c r="F96" s="0" t="n">
        <v>979413</v>
      </c>
      <c r="G96" s="0" t="s">
        <v>1681</v>
      </c>
      <c r="H96" s="0" t="s">
        <v>1648</v>
      </c>
      <c r="I96" s="0" t="n">
        <v>979413</v>
      </c>
      <c r="J96" s="0" t="s">
        <v>1649</v>
      </c>
      <c r="M96" s="0" t="s">
        <v>1520</v>
      </c>
      <c r="N96" s="0" t="s">
        <v>98</v>
      </c>
      <c r="Q96" s="0" t="n">
        <v>61</v>
      </c>
      <c r="R96" s="0" t="n">
        <v>121</v>
      </c>
      <c r="U96" s="0" t="s">
        <v>1766</v>
      </c>
      <c r="V96" s="0" t="s">
        <v>1766</v>
      </c>
      <c r="Y96" s="0" t="s">
        <v>1651</v>
      </c>
      <c r="Z96" s="0" t="s">
        <v>1652</v>
      </c>
      <c r="AA96" s="0" t="s">
        <v>1767</v>
      </c>
      <c r="AC96" s="0" t="s">
        <v>1654</v>
      </c>
    </row>
    <row r="97" customFormat="false" ht="15" hidden="false" customHeight="false" outlineLevel="0" collapsed="false">
      <c r="A97" s="0" t="s">
        <v>1768</v>
      </c>
      <c r="B97" s="0" t="s">
        <v>86</v>
      </c>
      <c r="C97" s="0" t="s">
        <v>1742</v>
      </c>
      <c r="D97" s="0" t="n">
        <v>2018</v>
      </c>
      <c r="E97" s="0" t="s">
        <v>670</v>
      </c>
      <c r="F97" s="0" t="n">
        <v>189005</v>
      </c>
      <c r="G97" s="0" t="s">
        <v>1681</v>
      </c>
      <c r="H97" s="0" t="s">
        <v>1648</v>
      </c>
      <c r="I97" s="0" t="n">
        <v>189005</v>
      </c>
      <c r="J97" s="0" t="s">
        <v>1649</v>
      </c>
      <c r="M97" s="0" t="s">
        <v>1520</v>
      </c>
      <c r="N97" s="0" t="s">
        <v>98</v>
      </c>
      <c r="Q97" s="0" t="n">
        <v>61</v>
      </c>
      <c r="R97" s="0" t="n">
        <v>120</v>
      </c>
      <c r="U97" s="0" t="s">
        <v>1766</v>
      </c>
      <c r="V97" s="0" t="s">
        <v>1766</v>
      </c>
      <c r="Y97" s="0" t="s">
        <v>1651</v>
      </c>
      <c r="Z97" s="0" t="s">
        <v>1652</v>
      </c>
      <c r="AA97" s="0" t="s">
        <v>1767</v>
      </c>
      <c r="AC97" s="0" t="s">
        <v>1654</v>
      </c>
    </row>
    <row r="98" customFormat="false" ht="15" hidden="false" customHeight="false" outlineLevel="0" collapsed="false">
      <c r="A98" s="0" t="s">
        <v>1769</v>
      </c>
      <c r="B98" s="0" t="s">
        <v>86</v>
      </c>
      <c r="C98" s="0" t="s">
        <v>1742</v>
      </c>
      <c r="D98" s="0" t="n">
        <v>2018</v>
      </c>
      <c r="E98" s="0" t="s">
        <v>63</v>
      </c>
      <c r="F98" s="0" t="n">
        <v>4215</v>
      </c>
      <c r="G98" s="0" t="s">
        <v>1681</v>
      </c>
      <c r="H98" s="0" t="s">
        <v>1648</v>
      </c>
      <c r="I98" s="0" t="n">
        <v>4215</v>
      </c>
      <c r="J98" s="0" t="s">
        <v>1649</v>
      </c>
      <c r="M98" s="0" t="s">
        <v>1520</v>
      </c>
      <c r="N98" s="0" t="s">
        <v>98</v>
      </c>
      <c r="Q98" s="0" t="n">
        <v>61</v>
      </c>
      <c r="R98" s="0" t="n">
        <v>120</v>
      </c>
      <c r="U98" s="0" t="s">
        <v>1766</v>
      </c>
      <c r="V98" s="0" t="s">
        <v>1766</v>
      </c>
      <c r="Y98" s="0" t="s">
        <v>1651</v>
      </c>
      <c r="Z98" s="0" t="s">
        <v>1652</v>
      </c>
      <c r="AA98" s="0" t="s">
        <v>1767</v>
      </c>
      <c r="AC98" s="0" t="s">
        <v>1654</v>
      </c>
    </row>
    <row r="99" customFormat="false" ht="15" hidden="false" customHeight="false" outlineLevel="0" collapsed="false">
      <c r="A99" s="0" t="s">
        <v>1770</v>
      </c>
      <c r="B99" s="0" t="s">
        <v>86</v>
      </c>
      <c r="C99" s="0" t="s">
        <v>1742</v>
      </c>
      <c r="D99" s="0" t="n">
        <v>2018</v>
      </c>
      <c r="E99" s="0" t="s">
        <v>62</v>
      </c>
      <c r="F99" s="0" t="n">
        <v>849880</v>
      </c>
      <c r="G99" s="0" t="s">
        <v>1681</v>
      </c>
      <c r="H99" s="0" t="s">
        <v>1648</v>
      </c>
      <c r="I99" s="0" t="n">
        <v>849880</v>
      </c>
      <c r="J99" s="0" t="s">
        <v>1649</v>
      </c>
      <c r="M99" s="0" t="s">
        <v>1520</v>
      </c>
      <c r="N99" s="0" t="s">
        <v>98</v>
      </c>
      <c r="Q99" s="0" t="n">
        <v>61</v>
      </c>
      <c r="R99" s="0" t="n">
        <v>121</v>
      </c>
      <c r="U99" s="0" t="s">
        <v>1766</v>
      </c>
      <c r="V99" s="0" t="s">
        <v>1766</v>
      </c>
      <c r="Y99" s="0" t="s">
        <v>1651</v>
      </c>
      <c r="Z99" s="0" t="s">
        <v>1652</v>
      </c>
      <c r="AA99" s="0" t="s">
        <v>1767</v>
      </c>
      <c r="AC99" s="0" t="s">
        <v>1654</v>
      </c>
    </row>
    <row r="100" customFormat="false" ht="15" hidden="false" customHeight="false" outlineLevel="0" collapsed="false">
      <c r="A100" s="0" t="s">
        <v>1771</v>
      </c>
      <c r="B100" s="0" t="s">
        <v>86</v>
      </c>
      <c r="C100" s="0" t="s">
        <v>1742</v>
      </c>
      <c r="D100" s="0" t="n">
        <v>2018</v>
      </c>
      <c r="E100" s="0" t="s">
        <v>54</v>
      </c>
      <c r="F100" s="0" t="n">
        <v>22926</v>
      </c>
      <c r="G100" s="0" t="s">
        <v>1681</v>
      </c>
      <c r="H100" s="0" t="s">
        <v>1648</v>
      </c>
      <c r="I100" s="0" t="n">
        <v>22926</v>
      </c>
      <c r="J100" s="0" t="s">
        <v>1649</v>
      </c>
      <c r="M100" s="0" t="s">
        <v>1520</v>
      </c>
      <c r="N100" s="0" t="s">
        <v>98</v>
      </c>
      <c r="Q100" s="0" t="n">
        <v>61</v>
      </c>
      <c r="R100" s="0" t="n">
        <v>120</v>
      </c>
      <c r="U100" s="0" t="s">
        <v>1766</v>
      </c>
      <c r="V100" s="0" t="s">
        <v>1766</v>
      </c>
      <c r="Y100" s="0" t="s">
        <v>1651</v>
      </c>
      <c r="Z100" s="0" t="s">
        <v>1652</v>
      </c>
      <c r="AA100" s="0" t="s">
        <v>1767</v>
      </c>
      <c r="AC100" s="0" t="s">
        <v>1654</v>
      </c>
    </row>
    <row r="101" customFormat="false" ht="15" hidden="false" customHeight="false" outlineLevel="0" collapsed="false">
      <c r="A101" s="0" t="s">
        <v>1772</v>
      </c>
      <c r="B101" s="0" t="s">
        <v>86</v>
      </c>
      <c r="C101" s="0" t="s">
        <v>1742</v>
      </c>
      <c r="D101" s="0" t="n">
        <v>2018</v>
      </c>
      <c r="E101" s="0" t="s">
        <v>55</v>
      </c>
      <c r="F101" s="0" t="n">
        <v>1719883</v>
      </c>
      <c r="G101" s="0" t="s">
        <v>1681</v>
      </c>
      <c r="H101" s="0" t="s">
        <v>1648</v>
      </c>
      <c r="I101" s="0" t="n">
        <v>1719883</v>
      </c>
      <c r="J101" s="0" t="s">
        <v>1649</v>
      </c>
      <c r="M101" s="0" t="s">
        <v>1520</v>
      </c>
      <c r="N101" s="0" t="s">
        <v>98</v>
      </c>
      <c r="Q101" s="0" t="n">
        <v>61</v>
      </c>
      <c r="R101" s="0" t="n">
        <v>121</v>
      </c>
      <c r="U101" s="0" t="s">
        <v>1766</v>
      </c>
      <c r="V101" s="0" t="s">
        <v>1766</v>
      </c>
      <c r="Y101" s="0" t="s">
        <v>1651</v>
      </c>
      <c r="Z101" s="0" t="s">
        <v>1652</v>
      </c>
      <c r="AA101" s="0" t="s">
        <v>1767</v>
      </c>
      <c r="AC101" s="0" t="s">
        <v>1654</v>
      </c>
    </row>
    <row r="102" customFormat="false" ht="15" hidden="false" customHeight="false" outlineLevel="0" collapsed="false">
      <c r="A102" s="0" t="s">
        <v>1773</v>
      </c>
      <c r="B102" s="0" t="s">
        <v>86</v>
      </c>
      <c r="C102" s="0" t="s">
        <v>1742</v>
      </c>
      <c r="D102" s="0" t="n">
        <v>2018</v>
      </c>
      <c r="E102" s="0" t="s">
        <v>57</v>
      </c>
      <c r="F102" s="0" t="n">
        <v>194416</v>
      </c>
      <c r="G102" s="0" t="s">
        <v>1681</v>
      </c>
      <c r="H102" s="0" t="s">
        <v>1648</v>
      </c>
      <c r="I102" s="0" t="n">
        <v>194416</v>
      </c>
      <c r="J102" s="0" t="s">
        <v>1649</v>
      </c>
      <c r="M102" s="0" t="s">
        <v>1520</v>
      </c>
      <c r="N102" s="0" t="s">
        <v>98</v>
      </c>
      <c r="Q102" s="0" t="n">
        <v>61</v>
      </c>
      <c r="R102" s="0" t="n">
        <v>121</v>
      </c>
      <c r="U102" s="0" t="s">
        <v>1766</v>
      </c>
      <c r="V102" s="0" t="s">
        <v>1766</v>
      </c>
      <c r="Y102" s="0" t="s">
        <v>1651</v>
      </c>
      <c r="Z102" s="0" t="s">
        <v>1652</v>
      </c>
      <c r="AA102" s="0" t="s">
        <v>1767</v>
      </c>
      <c r="AC102" s="0" t="s">
        <v>1654</v>
      </c>
    </row>
    <row r="103" customFormat="false" ht="15" hidden="false" customHeight="false" outlineLevel="0" collapsed="false">
      <c r="A103" s="0" t="s">
        <v>1774</v>
      </c>
      <c r="B103" s="0" t="s">
        <v>86</v>
      </c>
      <c r="C103" s="0" t="s">
        <v>1742</v>
      </c>
      <c r="D103" s="0" t="n">
        <v>2018</v>
      </c>
      <c r="E103" s="0" t="s">
        <v>56</v>
      </c>
      <c r="F103" s="0" t="n">
        <v>1525467</v>
      </c>
      <c r="G103" s="0" t="s">
        <v>1681</v>
      </c>
      <c r="H103" s="0" t="s">
        <v>1648</v>
      </c>
      <c r="I103" s="0" t="n">
        <v>1525467</v>
      </c>
      <c r="J103" s="0" t="s">
        <v>1649</v>
      </c>
      <c r="M103" s="0" t="s">
        <v>1520</v>
      </c>
      <c r="N103" s="0" t="s">
        <v>98</v>
      </c>
      <c r="Q103" s="0" t="n">
        <v>61</v>
      </c>
      <c r="R103" s="0" t="n">
        <v>121</v>
      </c>
      <c r="U103" s="0" t="s">
        <v>1766</v>
      </c>
      <c r="V103" s="0" t="s">
        <v>1766</v>
      </c>
      <c r="Y103" s="0" t="s">
        <v>1651</v>
      </c>
      <c r="Z103" s="0" t="s">
        <v>1652</v>
      </c>
      <c r="AA103" s="0" t="s">
        <v>1767</v>
      </c>
      <c r="AC103" s="0" t="s">
        <v>1654</v>
      </c>
    </row>
    <row r="104" customFormat="false" ht="15" hidden="false" customHeight="false" outlineLevel="0" collapsed="false">
      <c r="A104" s="0" t="s">
        <v>1775</v>
      </c>
      <c r="B104" s="0" t="s">
        <v>86</v>
      </c>
      <c r="C104" s="0" t="s">
        <v>1742</v>
      </c>
      <c r="D104" s="0" t="n">
        <v>2019</v>
      </c>
      <c r="E104" s="0" t="s">
        <v>1646</v>
      </c>
      <c r="F104" s="0" t="n">
        <v>1225213</v>
      </c>
      <c r="G104" s="0" t="s">
        <v>1681</v>
      </c>
      <c r="H104" s="0" t="s">
        <v>1648</v>
      </c>
      <c r="I104" s="0" t="n">
        <v>1225213</v>
      </c>
      <c r="J104" s="0" t="s">
        <v>1649</v>
      </c>
      <c r="M104" s="0" t="s">
        <v>1520</v>
      </c>
      <c r="N104" s="0" t="s">
        <v>98</v>
      </c>
      <c r="Q104" s="0" t="n">
        <v>61</v>
      </c>
      <c r="R104" s="0" t="n">
        <v>121</v>
      </c>
      <c r="U104" s="0" t="s">
        <v>1776</v>
      </c>
      <c r="V104" s="0" t="s">
        <v>1776</v>
      </c>
      <c r="Y104" s="0" t="s">
        <v>1651</v>
      </c>
      <c r="Z104" s="0" t="s">
        <v>1652</v>
      </c>
      <c r="AA104" s="0" t="s">
        <v>1767</v>
      </c>
      <c r="AC104" s="0" t="s">
        <v>1654</v>
      </c>
    </row>
    <row r="105" customFormat="false" ht="15" hidden="false" customHeight="false" outlineLevel="0" collapsed="false">
      <c r="A105" s="0" t="s">
        <v>1777</v>
      </c>
      <c r="B105" s="0" t="s">
        <v>86</v>
      </c>
      <c r="C105" s="0" t="s">
        <v>1742</v>
      </c>
      <c r="D105" s="0" t="n">
        <v>2019</v>
      </c>
      <c r="E105" s="0" t="s">
        <v>670</v>
      </c>
      <c r="F105" s="0" t="n">
        <v>215514</v>
      </c>
      <c r="G105" s="0" t="s">
        <v>1681</v>
      </c>
      <c r="H105" s="0" t="s">
        <v>1648</v>
      </c>
      <c r="I105" s="0" t="n">
        <v>215514</v>
      </c>
      <c r="J105" s="0" t="s">
        <v>1649</v>
      </c>
      <c r="M105" s="0" t="s">
        <v>1520</v>
      </c>
      <c r="N105" s="0" t="s">
        <v>98</v>
      </c>
      <c r="Q105" s="0" t="n">
        <v>61</v>
      </c>
      <c r="R105" s="0" t="n">
        <v>120</v>
      </c>
      <c r="U105" s="0" t="s">
        <v>1776</v>
      </c>
      <c r="V105" s="0" t="s">
        <v>1776</v>
      </c>
      <c r="Y105" s="0" t="s">
        <v>1651</v>
      </c>
      <c r="Z105" s="0" t="s">
        <v>1652</v>
      </c>
      <c r="AA105" s="0" t="s">
        <v>1767</v>
      </c>
      <c r="AC105" s="0" t="s">
        <v>1654</v>
      </c>
    </row>
    <row r="106" customFormat="false" ht="15" hidden="false" customHeight="false" outlineLevel="0" collapsed="false">
      <c r="A106" s="0" t="s">
        <v>1778</v>
      </c>
      <c r="B106" s="0" t="s">
        <v>86</v>
      </c>
      <c r="C106" s="0" t="s">
        <v>1742</v>
      </c>
      <c r="D106" s="0" t="n">
        <v>2019</v>
      </c>
      <c r="E106" s="0" t="s">
        <v>63</v>
      </c>
      <c r="F106" s="0" t="n">
        <v>-5292</v>
      </c>
      <c r="G106" s="0" t="s">
        <v>1681</v>
      </c>
      <c r="H106" s="0" t="s">
        <v>1648</v>
      </c>
      <c r="I106" s="0" t="n">
        <v>-5292</v>
      </c>
      <c r="J106" s="0" t="s">
        <v>1649</v>
      </c>
      <c r="M106" s="0" t="s">
        <v>1520</v>
      </c>
      <c r="N106" s="0" t="s">
        <v>98</v>
      </c>
      <c r="Q106" s="0" t="n">
        <v>61</v>
      </c>
      <c r="R106" s="0" t="n">
        <v>120</v>
      </c>
      <c r="U106" s="0" t="s">
        <v>1776</v>
      </c>
      <c r="V106" s="0" t="s">
        <v>1776</v>
      </c>
      <c r="Y106" s="0" t="s">
        <v>1651</v>
      </c>
      <c r="Z106" s="0" t="s">
        <v>1652</v>
      </c>
      <c r="AA106" s="0" t="s">
        <v>1767</v>
      </c>
      <c r="AC106" s="0" t="s">
        <v>1654</v>
      </c>
    </row>
    <row r="107" customFormat="false" ht="15" hidden="false" customHeight="false" outlineLevel="0" collapsed="false">
      <c r="A107" s="0" t="s">
        <v>1779</v>
      </c>
      <c r="B107" s="0" t="s">
        <v>86</v>
      </c>
      <c r="C107" s="0" t="s">
        <v>1742</v>
      </c>
      <c r="D107" s="0" t="n">
        <v>2019</v>
      </c>
      <c r="E107" s="0" t="s">
        <v>62</v>
      </c>
      <c r="F107" s="0" t="n">
        <v>1126974</v>
      </c>
      <c r="G107" s="0" t="s">
        <v>1681</v>
      </c>
      <c r="H107" s="0" t="s">
        <v>1648</v>
      </c>
      <c r="I107" s="0" t="n">
        <v>1126974</v>
      </c>
      <c r="J107" s="0" t="s">
        <v>1649</v>
      </c>
      <c r="M107" s="0" t="s">
        <v>1520</v>
      </c>
      <c r="N107" s="0" t="s">
        <v>98</v>
      </c>
      <c r="Q107" s="0" t="n">
        <v>61</v>
      </c>
      <c r="R107" s="0" t="n">
        <v>121</v>
      </c>
      <c r="U107" s="0" t="s">
        <v>1776</v>
      </c>
      <c r="V107" s="0" t="s">
        <v>1776</v>
      </c>
      <c r="Y107" s="0" t="s">
        <v>1651</v>
      </c>
      <c r="Z107" s="0" t="s">
        <v>1652</v>
      </c>
      <c r="AA107" s="0" t="s">
        <v>1767</v>
      </c>
      <c r="AC107" s="0" t="s">
        <v>1654</v>
      </c>
    </row>
    <row r="108" customFormat="false" ht="15" hidden="false" customHeight="false" outlineLevel="0" collapsed="false">
      <c r="A108" s="0" t="s">
        <v>1780</v>
      </c>
      <c r="B108" s="0" t="s">
        <v>86</v>
      </c>
      <c r="C108" s="0" t="s">
        <v>1742</v>
      </c>
      <c r="D108" s="0" t="n">
        <v>2019</v>
      </c>
      <c r="E108" s="0" t="s">
        <v>54</v>
      </c>
      <c r="F108" s="0" t="n">
        <v>28425</v>
      </c>
      <c r="G108" s="0" t="s">
        <v>1681</v>
      </c>
      <c r="H108" s="0" t="s">
        <v>1648</v>
      </c>
      <c r="I108" s="0" t="n">
        <v>28425</v>
      </c>
      <c r="J108" s="0" t="s">
        <v>1649</v>
      </c>
      <c r="M108" s="0" t="s">
        <v>1520</v>
      </c>
      <c r="N108" s="0" t="s">
        <v>98</v>
      </c>
      <c r="Q108" s="0" t="n">
        <v>61</v>
      </c>
      <c r="R108" s="0" t="n">
        <v>120</v>
      </c>
      <c r="U108" s="0" t="s">
        <v>1776</v>
      </c>
      <c r="V108" s="0" t="s">
        <v>1776</v>
      </c>
      <c r="Y108" s="0" t="s">
        <v>1651</v>
      </c>
      <c r="Z108" s="0" t="s">
        <v>1652</v>
      </c>
      <c r="AA108" s="0" t="s">
        <v>1767</v>
      </c>
      <c r="AC108" s="0" t="s">
        <v>1654</v>
      </c>
    </row>
    <row r="109" customFormat="false" ht="15" hidden="false" customHeight="false" outlineLevel="0" collapsed="false">
      <c r="A109" s="0" t="s">
        <v>1781</v>
      </c>
      <c r="B109" s="0" t="s">
        <v>86</v>
      </c>
      <c r="C109" s="0" t="s">
        <v>1742</v>
      </c>
      <c r="D109" s="0" t="n">
        <v>2019</v>
      </c>
      <c r="E109" s="0" t="s">
        <v>55</v>
      </c>
      <c r="F109" s="0" t="n">
        <v>2114037</v>
      </c>
      <c r="G109" s="0" t="s">
        <v>1681</v>
      </c>
      <c r="H109" s="0" t="s">
        <v>1648</v>
      </c>
      <c r="I109" s="0" t="n">
        <v>2114037</v>
      </c>
      <c r="J109" s="0" t="s">
        <v>1649</v>
      </c>
      <c r="M109" s="0" t="s">
        <v>1520</v>
      </c>
      <c r="N109" s="0" t="s">
        <v>98</v>
      </c>
      <c r="Q109" s="0" t="n">
        <v>61</v>
      </c>
      <c r="R109" s="0" t="n">
        <v>121</v>
      </c>
      <c r="U109" s="0" t="s">
        <v>1776</v>
      </c>
      <c r="V109" s="0" t="s">
        <v>1776</v>
      </c>
      <c r="Y109" s="0" t="s">
        <v>1651</v>
      </c>
      <c r="Z109" s="0" t="s">
        <v>1652</v>
      </c>
      <c r="AA109" s="0" t="s">
        <v>1767</v>
      </c>
      <c r="AC109" s="0" t="s">
        <v>1654</v>
      </c>
    </row>
    <row r="110" customFormat="false" ht="15" hidden="false" customHeight="false" outlineLevel="0" collapsed="false">
      <c r="A110" s="0" t="s">
        <v>1782</v>
      </c>
      <c r="B110" s="0" t="s">
        <v>86</v>
      </c>
      <c r="C110" s="0" t="s">
        <v>1742</v>
      </c>
      <c r="D110" s="0" t="n">
        <v>2019</v>
      </c>
      <c r="E110" s="0" t="s">
        <v>57</v>
      </c>
      <c r="F110" s="0" t="n">
        <v>234030</v>
      </c>
      <c r="G110" s="0" t="s">
        <v>1681</v>
      </c>
      <c r="H110" s="0" t="s">
        <v>1648</v>
      </c>
      <c r="I110" s="0" t="n">
        <v>234030</v>
      </c>
      <c r="J110" s="0" t="s">
        <v>1649</v>
      </c>
      <c r="M110" s="0" t="s">
        <v>1520</v>
      </c>
      <c r="N110" s="0" t="s">
        <v>98</v>
      </c>
      <c r="Q110" s="0" t="n">
        <v>61</v>
      </c>
      <c r="R110" s="0" t="n">
        <v>121</v>
      </c>
      <c r="U110" s="0" t="s">
        <v>1776</v>
      </c>
      <c r="V110" s="0" t="s">
        <v>1776</v>
      </c>
      <c r="Y110" s="0" t="s">
        <v>1651</v>
      </c>
      <c r="Z110" s="0" t="s">
        <v>1652</v>
      </c>
      <c r="AA110" s="0" t="s">
        <v>1767</v>
      </c>
      <c r="AC110" s="0" t="s">
        <v>1654</v>
      </c>
    </row>
    <row r="111" customFormat="false" ht="15" hidden="false" customHeight="false" outlineLevel="0" collapsed="false">
      <c r="A111" s="0" t="s">
        <v>1783</v>
      </c>
      <c r="B111" s="0" t="s">
        <v>86</v>
      </c>
      <c r="C111" s="0" t="s">
        <v>1742</v>
      </c>
      <c r="D111" s="0" t="n">
        <v>2019</v>
      </c>
      <c r="E111" s="0" t="s">
        <v>56</v>
      </c>
      <c r="F111" s="0" t="n">
        <v>1880007</v>
      </c>
      <c r="G111" s="0" t="s">
        <v>1681</v>
      </c>
      <c r="H111" s="0" t="s">
        <v>1648</v>
      </c>
      <c r="I111" s="0" t="n">
        <v>1880007</v>
      </c>
      <c r="J111" s="0" t="s">
        <v>1649</v>
      </c>
      <c r="M111" s="0" t="s">
        <v>1520</v>
      </c>
      <c r="N111" s="0" t="s">
        <v>98</v>
      </c>
      <c r="Q111" s="0" t="n">
        <v>61</v>
      </c>
      <c r="R111" s="0" t="n">
        <v>121</v>
      </c>
      <c r="U111" s="0" t="s">
        <v>1776</v>
      </c>
      <c r="V111" s="0" t="s">
        <v>1776</v>
      </c>
      <c r="Y111" s="0" t="s">
        <v>1651</v>
      </c>
      <c r="Z111" s="0" t="s">
        <v>1652</v>
      </c>
      <c r="AA111" s="0" t="s">
        <v>1767</v>
      </c>
      <c r="AC111" s="0" t="s">
        <v>1654</v>
      </c>
    </row>
    <row r="112" customFormat="false" ht="15" hidden="false" customHeight="false" outlineLevel="0" collapsed="false">
      <c r="A112" s="0" t="s">
        <v>1784</v>
      </c>
      <c r="B112" s="0" t="s">
        <v>126</v>
      </c>
      <c r="C112" s="0" t="s">
        <v>1785</v>
      </c>
      <c r="D112" s="0" t="n">
        <v>2013</v>
      </c>
      <c r="E112" s="0" t="s">
        <v>69</v>
      </c>
      <c r="F112" s="0" t="n">
        <v>14</v>
      </c>
      <c r="G112" s="0" t="s">
        <v>1659</v>
      </c>
      <c r="I112" s="0" t="n">
        <v>14</v>
      </c>
      <c r="J112" s="0" t="s">
        <v>1649</v>
      </c>
      <c r="M112" s="0" t="s">
        <v>1528</v>
      </c>
      <c r="N112" s="0" t="s">
        <v>127</v>
      </c>
      <c r="Q112" s="0" t="n">
        <v>132</v>
      </c>
      <c r="R112" s="0" t="n">
        <v>130</v>
      </c>
      <c r="U112" s="0" t="s">
        <v>1650</v>
      </c>
      <c r="V112" s="0" t="s">
        <v>1650</v>
      </c>
      <c r="Y112" s="0" t="s">
        <v>1651</v>
      </c>
      <c r="Z112" s="0" t="s">
        <v>1652</v>
      </c>
      <c r="AA112" s="0" t="s">
        <v>1786</v>
      </c>
      <c r="AC112" s="0" t="s">
        <v>1654</v>
      </c>
    </row>
    <row r="113" customFormat="false" ht="15" hidden="false" customHeight="false" outlineLevel="0" collapsed="false">
      <c r="A113" s="0" t="s">
        <v>1787</v>
      </c>
      <c r="B113" s="0" t="s">
        <v>126</v>
      </c>
      <c r="C113" s="0" t="s">
        <v>1785</v>
      </c>
      <c r="D113" s="0" t="n">
        <v>2013</v>
      </c>
      <c r="E113" s="0" t="s">
        <v>406</v>
      </c>
      <c r="F113" s="0" t="n">
        <v>2529130</v>
      </c>
      <c r="G113" s="0" t="s">
        <v>1647</v>
      </c>
      <c r="H113" s="0" t="s">
        <v>1648</v>
      </c>
      <c r="I113" s="0" t="n">
        <v>2529.13</v>
      </c>
      <c r="J113" s="0" t="s">
        <v>1649</v>
      </c>
      <c r="M113" s="0" t="s">
        <v>1528</v>
      </c>
      <c r="N113" s="0" t="s">
        <v>127</v>
      </c>
      <c r="Q113" s="0" t="n">
        <v>89</v>
      </c>
      <c r="R113" s="0" t="n">
        <v>87</v>
      </c>
      <c r="U113" s="0" t="s">
        <v>1650</v>
      </c>
      <c r="V113" s="0" t="s">
        <v>1650</v>
      </c>
      <c r="Y113" s="0" t="s">
        <v>1651</v>
      </c>
      <c r="Z113" s="0" t="s">
        <v>1652</v>
      </c>
      <c r="AA113" s="0" t="s">
        <v>1788</v>
      </c>
      <c r="AC113" s="0" t="s">
        <v>1654</v>
      </c>
    </row>
    <row r="114" customFormat="false" ht="15" hidden="false" customHeight="false" outlineLevel="0" collapsed="false">
      <c r="A114" s="0" t="s">
        <v>1789</v>
      </c>
      <c r="B114" s="0" t="s">
        <v>126</v>
      </c>
      <c r="C114" s="0" t="s">
        <v>1785</v>
      </c>
      <c r="D114" s="0" t="n">
        <v>2013</v>
      </c>
      <c r="E114" s="0" t="s">
        <v>1646</v>
      </c>
      <c r="F114" s="0" t="n">
        <v>570511097</v>
      </c>
      <c r="G114" s="0" t="s">
        <v>1647</v>
      </c>
      <c r="H114" s="0" t="s">
        <v>1648</v>
      </c>
      <c r="I114" s="0" t="n">
        <v>570511.097</v>
      </c>
      <c r="J114" s="0" t="s">
        <v>1649</v>
      </c>
      <c r="M114" s="0" t="s">
        <v>1528</v>
      </c>
      <c r="N114" s="0" t="s">
        <v>127</v>
      </c>
      <c r="Q114" s="0" t="n">
        <v>57</v>
      </c>
      <c r="R114" s="0" t="n">
        <v>55</v>
      </c>
      <c r="U114" s="0" t="s">
        <v>1650</v>
      </c>
      <c r="V114" s="0" t="s">
        <v>1650</v>
      </c>
      <c r="Y114" s="0" t="s">
        <v>1651</v>
      </c>
      <c r="Z114" s="0" t="s">
        <v>1652</v>
      </c>
      <c r="AA114" s="0" t="s">
        <v>1746</v>
      </c>
      <c r="AC114" s="0" t="s">
        <v>1654</v>
      </c>
    </row>
    <row r="115" customFormat="false" ht="15" hidden="false" customHeight="false" outlineLevel="0" collapsed="false">
      <c r="A115" s="0" t="s">
        <v>1790</v>
      </c>
      <c r="B115" s="0" t="s">
        <v>126</v>
      </c>
      <c r="C115" s="0" t="s">
        <v>1785</v>
      </c>
      <c r="D115" s="0" t="n">
        <v>2013</v>
      </c>
      <c r="E115" s="0" t="s">
        <v>60</v>
      </c>
      <c r="F115" s="0" t="n">
        <v>328664904</v>
      </c>
      <c r="G115" s="0" t="s">
        <v>1647</v>
      </c>
      <c r="H115" s="0" t="s">
        <v>1648</v>
      </c>
      <c r="I115" s="0" t="n">
        <v>328664.904</v>
      </c>
      <c r="J115" s="0" t="s">
        <v>1649</v>
      </c>
      <c r="M115" s="0" t="s">
        <v>1528</v>
      </c>
      <c r="N115" s="0" t="s">
        <v>127</v>
      </c>
      <c r="Q115" s="0" t="n">
        <v>90</v>
      </c>
      <c r="R115" s="0" t="n">
        <v>88</v>
      </c>
      <c r="U115" s="0" t="s">
        <v>1650</v>
      </c>
      <c r="V115" s="0" t="s">
        <v>1650</v>
      </c>
      <c r="Y115" s="0" t="s">
        <v>1651</v>
      </c>
      <c r="Z115" s="0" t="s">
        <v>1652</v>
      </c>
      <c r="AA115" s="0" t="s">
        <v>1791</v>
      </c>
      <c r="AC115" s="0" t="s">
        <v>1654</v>
      </c>
    </row>
    <row r="116" customFormat="false" ht="15" hidden="false" customHeight="false" outlineLevel="0" collapsed="false">
      <c r="A116" s="0" t="s">
        <v>1792</v>
      </c>
      <c r="B116" s="0" t="s">
        <v>126</v>
      </c>
      <c r="C116" s="0" t="s">
        <v>1785</v>
      </c>
      <c r="D116" s="0" t="n">
        <v>2013</v>
      </c>
      <c r="E116" s="0" t="s">
        <v>63</v>
      </c>
      <c r="F116" s="0" t="n">
        <v>8259094</v>
      </c>
      <c r="G116" s="0" t="s">
        <v>1647</v>
      </c>
      <c r="H116" s="0" t="s">
        <v>1648</v>
      </c>
      <c r="I116" s="0" t="n">
        <v>8259.094</v>
      </c>
      <c r="J116" s="0" t="s">
        <v>1649</v>
      </c>
      <c r="M116" s="0" t="s">
        <v>1528</v>
      </c>
      <c r="N116" s="0" t="s">
        <v>127</v>
      </c>
      <c r="Q116" s="0" t="n">
        <v>56</v>
      </c>
      <c r="R116" s="0" t="n">
        <v>54</v>
      </c>
      <c r="U116" s="0" t="s">
        <v>1650</v>
      </c>
      <c r="V116" s="0" t="s">
        <v>1650</v>
      </c>
      <c r="Y116" s="0" t="s">
        <v>1651</v>
      </c>
      <c r="Z116" s="0" t="s">
        <v>1652</v>
      </c>
      <c r="AA116" s="0" t="s">
        <v>1793</v>
      </c>
      <c r="AC116" s="0" t="s">
        <v>1654</v>
      </c>
    </row>
    <row r="117" customFormat="false" ht="15" hidden="false" customHeight="false" outlineLevel="0" collapsed="false">
      <c r="A117" s="0" t="s">
        <v>1794</v>
      </c>
      <c r="B117" s="0" t="s">
        <v>126</v>
      </c>
      <c r="C117" s="0" t="s">
        <v>1785</v>
      </c>
      <c r="D117" s="0" t="n">
        <v>2013</v>
      </c>
      <c r="E117" s="0" t="s">
        <v>404</v>
      </c>
      <c r="F117" s="0" t="n">
        <v>4392026</v>
      </c>
      <c r="G117" s="0" t="s">
        <v>1647</v>
      </c>
      <c r="H117" s="0" t="s">
        <v>1648</v>
      </c>
      <c r="I117" s="0" t="n">
        <v>4392.026</v>
      </c>
      <c r="J117" s="0" t="s">
        <v>1649</v>
      </c>
      <c r="M117" s="0" t="s">
        <v>1528</v>
      </c>
      <c r="N117" s="0" t="s">
        <v>127</v>
      </c>
      <c r="Q117" s="0" t="n">
        <v>89</v>
      </c>
      <c r="R117" s="0" t="n">
        <v>87</v>
      </c>
      <c r="U117" s="0" t="s">
        <v>1650</v>
      </c>
      <c r="V117" s="0" t="s">
        <v>1650</v>
      </c>
      <c r="Y117" s="0" t="s">
        <v>1651</v>
      </c>
      <c r="Z117" s="0" t="s">
        <v>1652</v>
      </c>
      <c r="AA117" s="0" t="s">
        <v>1788</v>
      </c>
      <c r="AC117" s="0" t="s">
        <v>1654</v>
      </c>
    </row>
    <row r="118" customFormat="false" ht="15" hidden="false" customHeight="false" outlineLevel="0" collapsed="false">
      <c r="A118" s="0" t="s">
        <v>1795</v>
      </c>
      <c r="B118" s="0" t="s">
        <v>126</v>
      </c>
      <c r="C118" s="0" t="s">
        <v>1785</v>
      </c>
      <c r="D118" s="0" t="n">
        <v>2013</v>
      </c>
      <c r="E118" s="0" t="s">
        <v>1796</v>
      </c>
      <c r="F118" s="0" t="n">
        <v>5466815</v>
      </c>
      <c r="G118" s="0" t="s">
        <v>1647</v>
      </c>
      <c r="H118" s="0" t="s">
        <v>1648</v>
      </c>
      <c r="I118" s="0" t="n">
        <v>5466.815</v>
      </c>
      <c r="J118" s="0" t="s">
        <v>1649</v>
      </c>
      <c r="M118" s="0" t="s">
        <v>1528</v>
      </c>
      <c r="N118" s="0" t="s">
        <v>127</v>
      </c>
      <c r="Q118" s="0" t="n">
        <v>90</v>
      </c>
      <c r="R118" s="0" t="n">
        <v>88</v>
      </c>
      <c r="U118" s="0" t="s">
        <v>1650</v>
      </c>
      <c r="V118" s="0" t="s">
        <v>1650</v>
      </c>
      <c r="Y118" s="0" t="s">
        <v>1651</v>
      </c>
      <c r="Z118" s="0" t="s">
        <v>1652</v>
      </c>
      <c r="AA118" s="0" t="s">
        <v>1797</v>
      </c>
      <c r="AC118" s="0" t="s">
        <v>1654</v>
      </c>
    </row>
    <row r="119" customFormat="false" ht="15" hidden="false" customHeight="false" outlineLevel="0" collapsed="false">
      <c r="A119" s="0" t="s">
        <v>1798</v>
      </c>
      <c r="B119" s="0" t="s">
        <v>126</v>
      </c>
      <c r="C119" s="0" t="s">
        <v>1785</v>
      </c>
      <c r="D119" s="0" t="n">
        <v>2013</v>
      </c>
      <c r="E119" s="0" t="s">
        <v>62</v>
      </c>
      <c r="F119" s="0" t="n">
        <v>321743748</v>
      </c>
      <c r="G119" s="0" t="s">
        <v>1647</v>
      </c>
      <c r="H119" s="0" t="s">
        <v>1648</v>
      </c>
      <c r="I119" s="0" t="n">
        <v>321743.748</v>
      </c>
      <c r="J119" s="0" t="s">
        <v>1649</v>
      </c>
      <c r="M119" s="0" t="s">
        <v>1528</v>
      </c>
      <c r="N119" s="0" t="s">
        <v>127</v>
      </c>
      <c r="Q119" s="0" t="n">
        <v>57</v>
      </c>
      <c r="R119" s="0" t="n">
        <v>55</v>
      </c>
      <c r="U119" s="0" t="s">
        <v>1650</v>
      </c>
      <c r="V119" s="0" t="s">
        <v>1650</v>
      </c>
      <c r="Y119" s="0" t="s">
        <v>1651</v>
      </c>
      <c r="Z119" s="0" t="s">
        <v>1652</v>
      </c>
      <c r="AA119" s="0" t="s">
        <v>1746</v>
      </c>
      <c r="AC119" s="0" t="s">
        <v>1654</v>
      </c>
    </row>
    <row r="120" customFormat="false" ht="15" hidden="false" customHeight="false" outlineLevel="0" collapsed="false">
      <c r="A120" s="0" t="s">
        <v>1799</v>
      </c>
      <c r="B120" s="0" t="s">
        <v>126</v>
      </c>
      <c r="C120" s="0" t="s">
        <v>1785</v>
      </c>
      <c r="D120" s="0" t="n">
        <v>2013</v>
      </c>
      <c r="E120" s="0" t="s">
        <v>58</v>
      </c>
      <c r="F120" s="0" t="n">
        <v>-41953972</v>
      </c>
      <c r="G120" s="0" t="s">
        <v>1647</v>
      </c>
      <c r="H120" s="0" t="s">
        <v>1648</v>
      </c>
      <c r="I120" s="0" t="n">
        <v>-41953.972</v>
      </c>
      <c r="J120" s="0" t="s">
        <v>1649</v>
      </c>
      <c r="M120" s="0" t="s">
        <v>1528</v>
      </c>
      <c r="N120" s="0" t="s">
        <v>127</v>
      </c>
      <c r="Q120" s="0" t="n">
        <v>60</v>
      </c>
      <c r="R120" s="0" t="n">
        <v>58</v>
      </c>
      <c r="U120" s="0" t="s">
        <v>1650</v>
      </c>
      <c r="V120" s="0" t="s">
        <v>1650</v>
      </c>
      <c r="Y120" s="0" t="s">
        <v>1651</v>
      </c>
      <c r="Z120" s="0" t="s">
        <v>1652</v>
      </c>
      <c r="AA120" s="0" t="s">
        <v>1746</v>
      </c>
      <c r="AC120" s="0" t="s">
        <v>1654</v>
      </c>
    </row>
    <row r="121" customFormat="false" ht="15" hidden="false" customHeight="false" outlineLevel="0" collapsed="false">
      <c r="A121" s="0" t="s">
        <v>1800</v>
      </c>
      <c r="B121" s="0" t="s">
        <v>126</v>
      </c>
      <c r="C121" s="0" t="s">
        <v>1785</v>
      </c>
      <c r="D121" s="0" t="n">
        <v>2013</v>
      </c>
      <c r="E121" s="0" t="s">
        <v>54</v>
      </c>
      <c r="F121" s="0" t="n">
        <v>8274864</v>
      </c>
      <c r="G121" s="0" t="s">
        <v>1647</v>
      </c>
      <c r="H121" s="0" t="s">
        <v>1648</v>
      </c>
      <c r="I121" s="0" t="n">
        <v>8274.864</v>
      </c>
      <c r="J121" s="0" t="s">
        <v>1649</v>
      </c>
      <c r="M121" s="0" t="s">
        <v>1528</v>
      </c>
      <c r="N121" s="0" t="s">
        <v>127</v>
      </c>
      <c r="Q121" s="0" t="n">
        <v>56</v>
      </c>
      <c r="R121" s="0" t="n">
        <v>54</v>
      </c>
      <c r="U121" s="0" t="s">
        <v>1650</v>
      </c>
      <c r="V121" s="0" t="s">
        <v>1650</v>
      </c>
      <c r="Y121" s="0" t="s">
        <v>1651</v>
      </c>
      <c r="Z121" s="0" t="s">
        <v>1652</v>
      </c>
      <c r="AA121" s="0" t="s">
        <v>1746</v>
      </c>
      <c r="AC121" s="0" t="s">
        <v>1654</v>
      </c>
    </row>
    <row r="122" customFormat="false" ht="15" hidden="false" customHeight="false" outlineLevel="0" collapsed="false">
      <c r="A122" s="0" t="s">
        <v>1801</v>
      </c>
      <c r="B122" s="0" t="s">
        <v>126</v>
      </c>
      <c r="C122" s="0" t="s">
        <v>1785</v>
      </c>
      <c r="D122" s="0" t="n">
        <v>2013</v>
      </c>
      <c r="E122" s="0" t="s">
        <v>65</v>
      </c>
      <c r="F122" s="0" t="n">
        <v>62978088</v>
      </c>
      <c r="G122" s="0" t="s">
        <v>1647</v>
      </c>
      <c r="H122" s="0" t="s">
        <v>1648</v>
      </c>
      <c r="I122" s="0" t="n">
        <v>62978.088</v>
      </c>
      <c r="J122" s="0" t="s">
        <v>1649</v>
      </c>
      <c r="M122" s="0" t="s">
        <v>1528</v>
      </c>
      <c r="N122" s="0" t="s">
        <v>127</v>
      </c>
      <c r="Q122" s="0" t="n">
        <v>132</v>
      </c>
      <c r="R122" s="0" t="n">
        <v>130</v>
      </c>
      <c r="U122" s="0" t="s">
        <v>1650</v>
      </c>
      <c r="V122" s="0" t="s">
        <v>1650</v>
      </c>
      <c r="Y122" s="0" t="s">
        <v>1651</v>
      </c>
      <c r="Z122" s="0" t="s">
        <v>1652</v>
      </c>
      <c r="AA122" s="0" t="s">
        <v>1788</v>
      </c>
      <c r="AC122" s="0" t="s">
        <v>1654</v>
      </c>
    </row>
    <row r="123" customFormat="false" ht="15" hidden="false" customHeight="false" outlineLevel="0" collapsed="false">
      <c r="A123" s="0" t="s">
        <v>1802</v>
      </c>
      <c r="B123" s="0" t="s">
        <v>126</v>
      </c>
      <c r="C123" s="0" t="s">
        <v>1785</v>
      </c>
      <c r="D123" s="0" t="n">
        <v>2013</v>
      </c>
      <c r="E123" s="0" t="s">
        <v>66</v>
      </c>
      <c r="F123" s="0" t="n">
        <v>448520341</v>
      </c>
      <c r="G123" s="0" t="s">
        <v>1647</v>
      </c>
      <c r="H123" s="0" t="s">
        <v>1648</v>
      </c>
      <c r="I123" s="0" t="n">
        <v>448520.341</v>
      </c>
      <c r="J123" s="0" t="s">
        <v>1649</v>
      </c>
      <c r="M123" s="0" t="s">
        <v>1528</v>
      </c>
      <c r="N123" s="0" t="s">
        <v>127</v>
      </c>
      <c r="Q123" s="0" t="n">
        <v>132</v>
      </c>
      <c r="R123" s="0" t="n">
        <v>130</v>
      </c>
      <c r="U123" s="0" t="s">
        <v>1650</v>
      </c>
      <c r="V123" s="0" t="s">
        <v>1650</v>
      </c>
      <c r="Y123" s="0" t="s">
        <v>1651</v>
      </c>
      <c r="Z123" s="0" t="s">
        <v>1652</v>
      </c>
      <c r="AA123" s="0" t="s">
        <v>1788</v>
      </c>
      <c r="AC123" s="0" t="s">
        <v>1654</v>
      </c>
    </row>
    <row r="124" customFormat="false" ht="15" hidden="false" customHeight="false" outlineLevel="0" collapsed="false">
      <c r="A124" s="0" t="s">
        <v>1803</v>
      </c>
      <c r="B124" s="0" t="s">
        <v>126</v>
      </c>
      <c r="C124" s="0" t="s">
        <v>1785</v>
      </c>
      <c r="D124" s="0" t="n">
        <v>2013</v>
      </c>
      <c r="E124" s="0" t="s">
        <v>55</v>
      </c>
      <c r="F124" s="0" t="n">
        <v>707797181</v>
      </c>
      <c r="G124" s="0" t="s">
        <v>1647</v>
      </c>
      <c r="H124" s="0" t="s">
        <v>1648</v>
      </c>
      <c r="I124" s="0" t="n">
        <v>707797.181</v>
      </c>
      <c r="J124" s="0" t="s">
        <v>1649</v>
      </c>
      <c r="M124" s="0" t="s">
        <v>1528</v>
      </c>
      <c r="N124" s="0" t="s">
        <v>127</v>
      </c>
      <c r="Q124" s="0" t="n">
        <v>57</v>
      </c>
      <c r="R124" s="0" t="n">
        <v>55</v>
      </c>
      <c r="U124" s="0" t="s">
        <v>1650</v>
      </c>
      <c r="V124" s="0" t="s">
        <v>1650</v>
      </c>
      <c r="Y124" s="0" t="s">
        <v>1651</v>
      </c>
      <c r="Z124" s="0" t="s">
        <v>1652</v>
      </c>
      <c r="AA124" s="0" t="s">
        <v>1746</v>
      </c>
      <c r="AC124" s="0" t="s">
        <v>1654</v>
      </c>
    </row>
    <row r="125" customFormat="false" ht="15" hidden="false" customHeight="false" outlineLevel="0" collapsed="false">
      <c r="A125" s="0" t="s">
        <v>1804</v>
      </c>
      <c r="B125" s="0" t="s">
        <v>126</v>
      </c>
      <c r="C125" s="0" t="s">
        <v>1785</v>
      </c>
      <c r="D125" s="0" t="n">
        <v>2013</v>
      </c>
      <c r="E125" s="0" t="s">
        <v>57</v>
      </c>
      <c r="F125" s="0" t="n">
        <v>63457896</v>
      </c>
      <c r="G125" s="0" t="s">
        <v>1647</v>
      </c>
      <c r="H125" s="0" t="s">
        <v>1648</v>
      </c>
      <c r="I125" s="0" t="n">
        <v>63457.896</v>
      </c>
      <c r="J125" s="0" t="s">
        <v>1649</v>
      </c>
      <c r="M125" s="0" t="s">
        <v>1528</v>
      </c>
      <c r="N125" s="0" t="s">
        <v>127</v>
      </c>
      <c r="Q125" s="0" t="n">
        <v>57</v>
      </c>
      <c r="R125" s="0" t="n">
        <v>55</v>
      </c>
      <c r="U125" s="0" t="s">
        <v>1650</v>
      </c>
      <c r="V125" s="0" t="s">
        <v>1650</v>
      </c>
      <c r="Y125" s="0" t="s">
        <v>1651</v>
      </c>
      <c r="Z125" s="0" t="s">
        <v>1652</v>
      </c>
      <c r="AA125" s="0" t="s">
        <v>1746</v>
      </c>
      <c r="AC125" s="0" t="s">
        <v>1654</v>
      </c>
    </row>
    <row r="126" customFormat="false" ht="15" hidden="false" customHeight="false" outlineLevel="0" collapsed="false">
      <c r="A126" s="0" t="s">
        <v>1805</v>
      </c>
      <c r="B126" s="0" t="s">
        <v>126</v>
      </c>
      <c r="C126" s="0" t="s">
        <v>1785</v>
      </c>
      <c r="D126" s="0" t="n">
        <v>2013</v>
      </c>
      <c r="E126" s="0" t="s">
        <v>56</v>
      </c>
      <c r="F126" s="0" t="n">
        <v>644339285</v>
      </c>
      <c r="G126" s="0" t="s">
        <v>1647</v>
      </c>
      <c r="H126" s="0" t="s">
        <v>1648</v>
      </c>
      <c r="I126" s="0" t="n">
        <v>644339.285</v>
      </c>
      <c r="J126" s="0" t="s">
        <v>1649</v>
      </c>
      <c r="M126" s="0" t="s">
        <v>1528</v>
      </c>
      <c r="N126" s="0" t="s">
        <v>127</v>
      </c>
      <c r="Q126" s="0" t="n">
        <v>57</v>
      </c>
      <c r="R126" s="0" t="n">
        <v>55</v>
      </c>
      <c r="U126" s="0" t="s">
        <v>1650</v>
      </c>
      <c r="V126" s="0" t="s">
        <v>1650</v>
      </c>
      <c r="Y126" s="0" t="s">
        <v>1651</v>
      </c>
      <c r="Z126" s="0" t="s">
        <v>1652</v>
      </c>
      <c r="AA126" s="0" t="s">
        <v>1746</v>
      </c>
      <c r="AC126" s="0" t="s">
        <v>1654</v>
      </c>
    </row>
    <row r="127" customFormat="false" ht="15" hidden="false" customHeight="false" outlineLevel="0" collapsed="false">
      <c r="A127" s="0" t="s">
        <v>1806</v>
      </c>
      <c r="B127" s="0" t="s">
        <v>126</v>
      </c>
      <c r="C127" s="0" t="s">
        <v>1785</v>
      </c>
      <c r="D127" s="0" t="n">
        <v>2014</v>
      </c>
      <c r="E127" s="0" t="s">
        <v>69</v>
      </c>
      <c r="F127" s="0" t="n">
        <v>14</v>
      </c>
      <c r="G127" s="0" t="s">
        <v>1659</v>
      </c>
      <c r="I127" s="0" t="n">
        <v>14</v>
      </c>
      <c r="J127" s="0" t="s">
        <v>1649</v>
      </c>
      <c r="M127" s="0" t="s">
        <v>1528</v>
      </c>
      <c r="N127" s="0" t="s">
        <v>127</v>
      </c>
      <c r="Q127" s="0" t="n">
        <v>132</v>
      </c>
      <c r="R127" s="0" t="n">
        <v>130</v>
      </c>
      <c r="U127" s="0" t="s">
        <v>1667</v>
      </c>
      <c r="V127" s="0" t="s">
        <v>1667</v>
      </c>
      <c r="Y127" s="0" t="s">
        <v>1651</v>
      </c>
      <c r="Z127" s="0" t="s">
        <v>1652</v>
      </c>
      <c r="AA127" s="0" t="s">
        <v>1786</v>
      </c>
      <c r="AC127" s="0" t="s">
        <v>1654</v>
      </c>
    </row>
    <row r="128" customFormat="false" ht="15" hidden="false" customHeight="false" outlineLevel="0" collapsed="false">
      <c r="A128" s="0" t="s">
        <v>1807</v>
      </c>
      <c r="B128" s="0" t="s">
        <v>126</v>
      </c>
      <c r="C128" s="0" t="s">
        <v>1785</v>
      </c>
      <c r="D128" s="0" t="n">
        <v>2014</v>
      </c>
      <c r="E128" s="0" t="s">
        <v>406</v>
      </c>
      <c r="F128" s="0" t="n">
        <v>3146674</v>
      </c>
      <c r="G128" s="0" t="s">
        <v>1647</v>
      </c>
      <c r="H128" s="0" t="s">
        <v>1648</v>
      </c>
      <c r="I128" s="0" t="n">
        <v>3146.674</v>
      </c>
      <c r="J128" s="0" t="s">
        <v>1649</v>
      </c>
      <c r="M128" s="0" t="s">
        <v>1528</v>
      </c>
      <c r="N128" s="0" t="s">
        <v>127</v>
      </c>
      <c r="Q128" s="0" t="n">
        <v>89</v>
      </c>
      <c r="R128" s="0" t="n">
        <v>87</v>
      </c>
      <c r="U128" s="0" t="s">
        <v>1667</v>
      </c>
      <c r="V128" s="0" t="s">
        <v>1667</v>
      </c>
      <c r="Y128" s="0" t="s">
        <v>1651</v>
      </c>
      <c r="Z128" s="0" t="s">
        <v>1652</v>
      </c>
      <c r="AA128" s="0" t="s">
        <v>1788</v>
      </c>
      <c r="AC128" s="0" t="s">
        <v>1654</v>
      </c>
    </row>
    <row r="129" customFormat="false" ht="15" hidden="false" customHeight="false" outlineLevel="0" collapsed="false">
      <c r="A129" s="0" t="s">
        <v>1808</v>
      </c>
      <c r="B129" s="0" t="s">
        <v>126</v>
      </c>
      <c r="C129" s="0" t="s">
        <v>1785</v>
      </c>
      <c r="D129" s="0" t="n">
        <v>2014</v>
      </c>
      <c r="E129" s="0" t="s">
        <v>1646</v>
      </c>
      <c r="F129" s="0" t="n">
        <v>655944127</v>
      </c>
      <c r="G129" s="0" t="s">
        <v>1647</v>
      </c>
      <c r="H129" s="0" t="s">
        <v>1648</v>
      </c>
      <c r="I129" s="0" t="n">
        <v>655944.127</v>
      </c>
      <c r="J129" s="0" t="s">
        <v>1649</v>
      </c>
      <c r="M129" s="0" t="s">
        <v>1528</v>
      </c>
      <c r="N129" s="0" t="s">
        <v>127</v>
      </c>
      <c r="Q129" s="0" t="n">
        <v>57</v>
      </c>
      <c r="R129" s="0" t="n">
        <v>55</v>
      </c>
      <c r="U129" s="0" t="s">
        <v>1667</v>
      </c>
      <c r="V129" s="0" t="s">
        <v>1667</v>
      </c>
      <c r="Y129" s="0" t="s">
        <v>1651</v>
      </c>
      <c r="Z129" s="0" t="s">
        <v>1652</v>
      </c>
      <c r="AA129" s="0" t="s">
        <v>1746</v>
      </c>
      <c r="AC129" s="0" t="s">
        <v>1654</v>
      </c>
    </row>
    <row r="130" customFormat="false" ht="15" hidden="false" customHeight="false" outlineLevel="0" collapsed="false">
      <c r="A130" s="0" t="s">
        <v>1809</v>
      </c>
      <c r="B130" s="0" t="s">
        <v>126</v>
      </c>
      <c r="C130" s="0" t="s">
        <v>1785</v>
      </c>
      <c r="D130" s="0" t="n">
        <v>2014</v>
      </c>
      <c r="E130" s="0" t="s">
        <v>60</v>
      </c>
      <c r="F130" s="0" t="n">
        <v>380924400</v>
      </c>
      <c r="G130" s="0" t="s">
        <v>1647</v>
      </c>
      <c r="H130" s="0" t="s">
        <v>1648</v>
      </c>
      <c r="I130" s="0" t="n">
        <v>380924.4</v>
      </c>
      <c r="J130" s="0" t="s">
        <v>1649</v>
      </c>
      <c r="M130" s="0" t="s">
        <v>1528</v>
      </c>
      <c r="N130" s="0" t="s">
        <v>127</v>
      </c>
      <c r="Q130" s="0" t="n">
        <v>90</v>
      </c>
      <c r="R130" s="0" t="n">
        <v>88</v>
      </c>
      <c r="U130" s="0" t="s">
        <v>1667</v>
      </c>
      <c r="V130" s="0" t="s">
        <v>1667</v>
      </c>
      <c r="Y130" s="0" t="s">
        <v>1651</v>
      </c>
      <c r="Z130" s="0" t="s">
        <v>1652</v>
      </c>
      <c r="AA130" s="0" t="s">
        <v>1791</v>
      </c>
      <c r="AC130" s="0" t="s">
        <v>1654</v>
      </c>
    </row>
    <row r="131" customFormat="false" ht="15" hidden="false" customHeight="false" outlineLevel="0" collapsed="false">
      <c r="A131" s="0" t="s">
        <v>1810</v>
      </c>
      <c r="B131" s="0" t="s">
        <v>126</v>
      </c>
      <c r="C131" s="0" t="s">
        <v>1785</v>
      </c>
      <c r="D131" s="0" t="n">
        <v>2014</v>
      </c>
      <c r="E131" s="0" t="s">
        <v>63</v>
      </c>
      <c r="F131" s="0" t="n">
        <v>7389159</v>
      </c>
      <c r="G131" s="0" t="s">
        <v>1647</v>
      </c>
      <c r="H131" s="0" t="s">
        <v>1648</v>
      </c>
      <c r="I131" s="0" t="n">
        <v>7389.159</v>
      </c>
      <c r="J131" s="0" t="s">
        <v>1649</v>
      </c>
      <c r="M131" s="0" t="s">
        <v>1528</v>
      </c>
      <c r="N131" s="0" t="s">
        <v>127</v>
      </c>
      <c r="Q131" s="0" t="n">
        <v>56</v>
      </c>
      <c r="R131" s="0" t="n">
        <v>54</v>
      </c>
      <c r="U131" s="0" t="s">
        <v>1667</v>
      </c>
      <c r="V131" s="0" t="s">
        <v>1667</v>
      </c>
      <c r="Y131" s="0" t="s">
        <v>1651</v>
      </c>
      <c r="Z131" s="0" t="s">
        <v>1652</v>
      </c>
      <c r="AA131" s="0" t="s">
        <v>1793</v>
      </c>
      <c r="AC131" s="0" t="s">
        <v>1654</v>
      </c>
    </row>
    <row r="132" customFormat="false" ht="15" hidden="false" customHeight="false" outlineLevel="0" collapsed="false">
      <c r="A132" s="0" t="s">
        <v>1811</v>
      </c>
      <c r="B132" s="0" t="s">
        <v>126</v>
      </c>
      <c r="C132" s="0" t="s">
        <v>1785</v>
      </c>
      <c r="D132" s="0" t="n">
        <v>2014</v>
      </c>
      <c r="E132" s="0" t="s">
        <v>404</v>
      </c>
      <c r="F132" s="0" t="n">
        <v>6531453</v>
      </c>
      <c r="G132" s="0" t="s">
        <v>1647</v>
      </c>
      <c r="H132" s="0" t="s">
        <v>1648</v>
      </c>
      <c r="I132" s="0" t="n">
        <v>6531.453</v>
      </c>
      <c r="J132" s="0" t="s">
        <v>1649</v>
      </c>
      <c r="M132" s="0" t="s">
        <v>1528</v>
      </c>
      <c r="N132" s="0" t="s">
        <v>127</v>
      </c>
      <c r="Q132" s="0" t="n">
        <v>89</v>
      </c>
      <c r="R132" s="0" t="n">
        <v>87</v>
      </c>
      <c r="U132" s="0" t="s">
        <v>1667</v>
      </c>
      <c r="V132" s="0" t="s">
        <v>1667</v>
      </c>
      <c r="Y132" s="0" t="s">
        <v>1651</v>
      </c>
      <c r="Z132" s="0" t="s">
        <v>1652</v>
      </c>
      <c r="AA132" s="0" t="s">
        <v>1788</v>
      </c>
      <c r="AC132" s="0" t="s">
        <v>1654</v>
      </c>
    </row>
    <row r="133" customFormat="false" ht="15" hidden="false" customHeight="false" outlineLevel="0" collapsed="false">
      <c r="A133" s="0" t="s">
        <v>1812</v>
      </c>
      <c r="B133" s="0" t="s">
        <v>126</v>
      </c>
      <c r="C133" s="0" t="s">
        <v>1785</v>
      </c>
      <c r="D133" s="0" t="n">
        <v>2014</v>
      </c>
      <c r="E133" s="0" t="s">
        <v>1796</v>
      </c>
      <c r="F133" s="0" t="n">
        <v>9853890</v>
      </c>
      <c r="G133" s="0" t="s">
        <v>1647</v>
      </c>
      <c r="H133" s="0" t="s">
        <v>1648</v>
      </c>
      <c r="I133" s="0" t="n">
        <v>9853.89</v>
      </c>
      <c r="J133" s="0" t="s">
        <v>1649</v>
      </c>
      <c r="M133" s="0" t="s">
        <v>1528</v>
      </c>
      <c r="N133" s="0" t="s">
        <v>127</v>
      </c>
      <c r="Q133" s="0" t="n">
        <v>90</v>
      </c>
      <c r="R133" s="0" t="n">
        <v>88</v>
      </c>
      <c r="U133" s="0" t="s">
        <v>1667</v>
      </c>
      <c r="V133" s="0" t="s">
        <v>1667</v>
      </c>
      <c r="Y133" s="0" t="s">
        <v>1651</v>
      </c>
      <c r="Z133" s="0" t="s">
        <v>1652</v>
      </c>
      <c r="AA133" s="0" t="s">
        <v>1797</v>
      </c>
      <c r="AC133" s="0" t="s">
        <v>1654</v>
      </c>
    </row>
    <row r="134" customFormat="false" ht="15" hidden="false" customHeight="false" outlineLevel="0" collapsed="false">
      <c r="A134" s="0" t="s">
        <v>1813</v>
      </c>
      <c r="B134" s="0" t="s">
        <v>126</v>
      </c>
      <c r="C134" s="0" t="s">
        <v>1785</v>
      </c>
      <c r="D134" s="0" t="n">
        <v>2014</v>
      </c>
      <c r="E134" s="0" t="s">
        <v>71</v>
      </c>
      <c r="F134" s="0" t="n">
        <v>34</v>
      </c>
      <c r="G134" s="0" t="s">
        <v>1659</v>
      </c>
      <c r="I134" s="0" t="n">
        <v>34</v>
      </c>
      <c r="J134" s="0" t="s">
        <v>1649</v>
      </c>
      <c r="M134" s="0" t="s">
        <v>1528</v>
      </c>
      <c r="N134" s="0" t="s">
        <v>127</v>
      </c>
      <c r="Q134" s="0" t="n">
        <v>32</v>
      </c>
      <c r="R134" s="0" t="n">
        <v>30</v>
      </c>
      <c r="U134" s="0" t="s">
        <v>1667</v>
      </c>
      <c r="V134" s="0" t="s">
        <v>1667</v>
      </c>
      <c r="Y134" s="0" t="s">
        <v>1651</v>
      </c>
      <c r="Z134" s="0" t="s">
        <v>1652</v>
      </c>
      <c r="AA134" s="0" t="s">
        <v>1814</v>
      </c>
      <c r="AC134" s="0" t="s">
        <v>1654</v>
      </c>
    </row>
    <row r="135" customFormat="false" ht="15" hidden="false" customHeight="false" outlineLevel="0" collapsed="false">
      <c r="A135" s="0" t="s">
        <v>1815</v>
      </c>
      <c r="B135" s="0" t="s">
        <v>126</v>
      </c>
      <c r="C135" s="0" t="s">
        <v>1785</v>
      </c>
      <c r="D135" s="0" t="n">
        <v>2014</v>
      </c>
      <c r="E135" s="0" t="s">
        <v>62</v>
      </c>
      <c r="F135" s="0" t="n">
        <v>371246273</v>
      </c>
      <c r="G135" s="0" t="s">
        <v>1647</v>
      </c>
      <c r="H135" s="0" t="s">
        <v>1648</v>
      </c>
      <c r="I135" s="0" t="n">
        <v>371246.273</v>
      </c>
      <c r="J135" s="0" t="s">
        <v>1649</v>
      </c>
      <c r="M135" s="0" t="s">
        <v>1528</v>
      </c>
      <c r="N135" s="0" t="s">
        <v>127</v>
      </c>
      <c r="Q135" s="0" t="n">
        <v>57</v>
      </c>
      <c r="R135" s="0" t="n">
        <v>55</v>
      </c>
      <c r="U135" s="0" t="s">
        <v>1667</v>
      </c>
      <c r="V135" s="0" t="s">
        <v>1667</v>
      </c>
      <c r="Y135" s="0" t="s">
        <v>1651</v>
      </c>
      <c r="Z135" s="0" t="s">
        <v>1652</v>
      </c>
      <c r="AA135" s="0" t="s">
        <v>1746</v>
      </c>
      <c r="AC135" s="0" t="s">
        <v>1654</v>
      </c>
    </row>
    <row r="136" customFormat="false" ht="15" hidden="false" customHeight="false" outlineLevel="0" collapsed="false">
      <c r="A136" s="0" t="s">
        <v>1816</v>
      </c>
      <c r="B136" s="0" t="s">
        <v>126</v>
      </c>
      <c r="C136" s="0" t="s">
        <v>1785</v>
      </c>
      <c r="D136" s="0" t="n">
        <v>2014</v>
      </c>
      <c r="E136" s="0" t="s">
        <v>58</v>
      </c>
      <c r="F136" s="0" t="n">
        <v>-755006</v>
      </c>
      <c r="G136" s="0" t="s">
        <v>1647</v>
      </c>
      <c r="H136" s="0" t="s">
        <v>1648</v>
      </c>
      <c r="I136" s="0" t="n">
        <v>-755.006</v>
      </c>
      <c r="J136" s="0" t="s">
        <v>1649</v>
      </c>
      <c r="M136" s="0" t="s">
        <v>1528</v>
      </c>
      <c r="N136" s="0" t="s">
        <v>127</v>
      </c>
      <c r="Q136" s="0" t="n">
        <v>60</v>
      </c>
      <c r="R136" s="0" t="n">
        <v>58</v>
      </c>
      <c r="U136" s="0" t="s">
        <v>1667</v>
      </c>
      <c r="V136" s="0" t="s">
        <v>1667</v>
      </c>
      <c r="Y136" s="0" t="s">
        <v>1651</v>
      </c>
      <c r="Z136" s="0" t="s">
        <v>1652</v>
      </c>
      <c r="AA136" s="0" t="s">
        <v>1746</v>
      </c>
      <c r="AC136" s="0" t="s">
        <v>1654</v>
      </c>
    </row>
    <row r="137" customFormat="false" ht="15" hidden="false" customHeight="false" outlineLevel="0" collapsed="false">
      <c r="A137" s="0" t="s">
        <v>1817</v>
      </c>
      <c r="B137" s="0" t="s">
        <v>126</v>
      </c>
      <c r="C137" s="0" t="s">
        <v>1785</v>
      </c>
      <c r="D137" s="0" t="n">
        <v>2014</v>
      </c>
      <c r="E137" s="0" t="s">
        <v>54</v>
      </c>
      <c r="F137" s="0" t="n">
        <v>9004973</v>
      </c>
      <c r="G137" s="0" t="s">
        <v>1647</v>
      </c>
      <c r="H137" s="0" t="s">
        <v>1648</v>
      </c>
      <c r="I137" s="0" t="n">
        <v>9004.973</v>
      </c>
      <c r="J137" s="0" t="s">
        <v>1649</v>
      </c>
      <c r="M137" s="0" t="s">
        <v>1528</v>
      </c>
      <c r="N137" s="0" t="s">
        <v>127</v>
      </c>
      <c r="Q137" s="0" t="n">
        <v>56</v>
      </c>
      <c r="R137" s="0" t="n">
        <v>54</v>
      </c>
      <c r="U137" s="0" t="s">
        <v>1667</v>
      </c>
      <c r="V137" s="0" t="s">
        <v>1667</v>
      </c>
      <c r="Y137" s="0" t="s">
        <v>1651</v>
      </c>
      <c r="Z137" s="0" t="s">
        <v>1652</v>
      </c>
      <c r="AA137" s="0" t="s">
        <v>1746</v>
      </c>
      <c r="AC137" s="0" t="s">
        <v>1654</v>
      </c>
    </row>
    <row r="138" customFormat="false" ht="15" hidden="false" customHeight="false" outlineLevel="0" collapsed="false">
      <c r="A138" s="0" t="s">
        <v>1818</v>
      </c>
      <c r="B138" s="0" t="s">
        <v>126</v>
      </c>
      <c r="C138" s="0" t="s">
        <v>1785</v>
      </c>
      <c r="D138" s="0" t="n">
        <v>2014</v>
      </c>
      <c r="E138" s="0" t="s">
        <v>65</v>
      </c>
      <c r="F138" s="0" t="n">
        <v>78426986</v>
      </c>
      <c r="G138" s="0" t="s">
        <v>1647</v>
      </c>
      <c r="H138" s="0" t="s">
        <v>1648</v>
      </c>
      <c r="I138" s="0" t="n">
        <v>78426.986</v>
      </c>
      <c r="J138" s="0" t="s">
        <v>1649</v>
      </c>
      <c r="M138" s="0" t="s">
        <v>1528</v>
      </c>
      <c r="N138" s="0" t="s">
        <v>127</v>
      </c>
      <c r="Q138" s="0" t="n">
        <v>132</v>
      </c>
      <c r="R138" s="0" t="n">
        <v>130</v>
      </c>
      <c r="U138" s="0" t="s">
        <v>1667</v>
      </c>
      <c r="V138" s="0" t="s">
        <v>1667</v>
      </c>
      <c r="Y138" s="0" t="s">
        <v>1651</v>
      </c>
      <c r="Z138" s="0" t="s">
        <v>1652</v>
      </c>
      <c r="AA138" s="0" t="s">
        <v>1788</v>
      </c>
      <c r="AC138" s="0" t="s">
        <v>1654</v>
      </c>
    </row>
    <row r="139" customFormat="false" ht="15" hidden="false" customHeight="false" outlineLevel="0" collapsed="false">
      <c r="A139" s="0" t="s">
        <v>1819</v>
      </c>
      <c r="B139" s="0" t="s">
        <v>126</v>
      </c>
      <c r="C139" s="0" t="s">
        <v>1785</v>
      </c>
      <c r="D139" s="0" t="n">
        <v>2014</v>
      </c>
      <c r="E139" s="0" t="s">
        <v>66</v>
      </c>
      <c r="F139" s="0" t="n">
        <v>566686606</v>
      </c>
      <c r="G139" s="0" t="s">
        <v>1647</v>
      </c>
      <c r="H139" s="0" t="s">
        <v>1648</v>
      </c>
      <c r="I139" s="0" t="n">
        <v>566686.606</v>
      </c>
      <c r="J139" s="0" t="s">
        <v>1649</v>
      </c>
      <c r="M139" s="0" t="s">
        <v>1528</v>
      </c>
      <c r="N139" s="0" t="s">
        <v>127</v>
      </c>
      <c r="Q139" s="0" t="n">
        <v>132</v>
      </c>
      <c r="R139" s="0" t="n">
        <v>130</v>
      </c>
      <c r="U139" s="0" t="s">
        <v>1667</v>
      </c>
      <c r="V139" s="0" t="s">
        <v>1667</v>
      </c>
      <c r="Y139" s="0" t="s">
        <v>1651</v>
      </c>
      <c r="Z139" s="0" t="s">
        <v>1652</v>
      </c>
      <c r="AA139" s="0" t="s">
        <v>1788</v>
      </c>
      <c r="AC139" s="0" t="s">
        <v>1654</v>
      </c>
    </row>
    <row r="140" customFormat="false" ht="15" hidden="false" customHeight="false" outlineLevel="0" collapsed="false">
      <c r="A140" s="0" t="s">
        <v>1820</v>
      </c>
      <c r="B140" s="0" t="s">
        <v>126</v>
      </c>
      <c r="C140" s="0" t="s">
        <v>1785</v>
      </c>
      <c r="D140" s="0" t="n">
        <v>2014</v>
      </c>
      <c r="E140" s="0" t="s">
        <v>55</v>
      </c>
      <c r="F140" s="0" t="n">
        <v>824539426</v>
      </c>
      <c r="G140" s="0" t="s">
        <v>1647</v>
      </c>
      <c r="H140" s="0" t="s">
        <v>1648</v>
      </c>
      <c r="I140" s="0" t="n">
        <v>824539.426</v>
      </c>
      <c r="J140" s="0" t="s">
        <v>1649</v>
      </c>
      <c r="M140" s="0" t="s">
        <v>1528</v>
      </c>
      <c r="N140" s="0" t="s">
        <v>127</v>
      </c>
      <c r="Q140" s="0" t="n">
        <v>57</v>
      </c>
      <c r="R140" s="0" t="n">
        <v>55</v>
      </c>
      <c r="U140" s="0" t="s">
        <v>1667</v>
      </c>
      <c r="V140" s="0" t="s">
        <v>1667</v>
      </c>
      <c r="Y140" s="0" t="s">
        <v>1651</v>
      </c>
      <c r="Z140" s="0" t="s">
        <v>1652</v>
      </c>
      <c r="AA140" s="0" t="s">
        <v>1746</v>
      </c>
      <c r="AC140" s="0" t="s">
        <v>1654</v>
      </c>
    </row>
    <row r="141" customFormat="false" ht="15" hidden="false" customHeight="false" outlineLevel="0" collapsed="false">
      <c r="A141" s="0" t="s">
        <v>1821</v>
      </c>
      <c r="B141" s="0" t="s">
        <v>126</v>
      </c>
      <c r="C141" s="0" t="s">
        <v>1785</v>
      </c>
      <c r="D141" s="0" t="n">
        <v>2014</v>
      </c>
      <c r="E141" s="0" t="s">
        <v>57</v>
      </c>
      <c r="F141" s="0" t="n">
        <v>84715285</v>
      </c>
      <c r="G141" s="0" t="s">
        <v>1647</v>
      </c>
      <c r="H141" s="0" t="s">
        <v>1648</v>
      </c>
      <c r="I141" s="0" t="n">
        <v>84715.285</v>
      </c>
      <c r="J141" s="0" t="s">
        <v>1649</v>
      </c>
      <c r="M141" s="0" t="s">
        <v>1528</v>
      </c>
      <c r="N141" s="0" t="s">
        <v>127</v>
      </c>
      <c r="Q141" s="0" t="n">
        <v>57</v>
      </c>
      <c r="R141" s="0" t="n">
        <v>55</v>
      </c>
      <c r="U141" s="0" t="s">
        <v>1667</v>
      </c>
      <c r="V141" s="0" t="s">
        <v>1667</v>
      </c>
      <c r="Y141" s="0" t="s">
        <v>1651</v>
      </c>
      <c r="Z141" s="0" t="s">
        <v>1652</v>
      </c>
      <c r="AA141" s="0" t="s">
        <v>1746</v>
      </c>
      <c r="AC141" s="0" t="s">
        <v>1654</v>
      </c>
    </row>
    <row r="142" customFormat="false" ht="15" hidden="false" customHeight="false" outlineLevel="0" collapsed="false">
      <c r="A142" s="0" t="s">
        <v>1822</v>
      </c>
      <c r="B142" s="0" t="s">
        <v>126</v>
      </c>
      <c r="C142" s="0" t="s">
        <v>1785</v>
      </c>
      <c r="D142" s="0" t="n">
        <v>2014</v>
      </c>
      <c r="E142" s="0" t="s">
        <v>56</v>
      </c>
      <c r="F142" s="0" t="n">
        <v>739824141</v>
      </c>
      <c r="G142" s="0" t="s">
        <v>1647</v>
      </c>
      <c r="H142" s="0" t="s">
        <v>1648</v>
      </c>
      <c r="I142" s="0" t="n">
        <v>739824.141</v>
      </c>
      <c r="J142" s="0" t="s">
        <v>1649</v>
      </c>
      <c r="M142" s="0" t="s">
        <v>1528</v>
      </c>
      <c r="N142" s="0" t="s">
        <v>127</v>
      </c>
      <c r="Q142" s="0" t="n">
        <v>57</v>
      </c>
      <c r="R142" s="0" t="n">
        <v>55</v>
      </c>
      <c r="U142" s="0" t="s">
        <v>1667</v>
      </c>
      <c r="V142" s="0" t="s">
        <v>1667</v>
      </c>
      <c r="Y142" s="0" t="s">
        <v>1651</v>
      </c>
      <c r="Z142" s="0" t="s">
        <v>1652</v>
      </c>
      <c r="AA142" s="0" t="s">
        <v>1746</v>
      </c>
      <c r="AC142" s="0" t="s">
        <v>1654</v>
      </c>
    </row>
    <row r="143" customFormat="false" ht="15" hidden="false" customHeight="false" outlineLevel="0" collapsed="false">
      <c r="A143" s="0" t="s">
        <v>1823</v>
      </c>
      <c r="B143" s="0" t="s">
        <v>126</v>
      </c>
      <c r="C143" s="0" t="s">
        <v>1785</v>
      </c>
      <c r="D143" s="0" t="n">
        <v>2018</v>
      </c>
      <c r="E143" s="0" t="s">
        <v>70</v>
      </c>
      <c r="F143" s="0" t="n">
        <v>10</v>
      </c>
      <c r="G143" s="0" t="s">
        <v>1723</v>
      </c>
      <c r="I143" s="0" t="n">
        <v>10</v>
      </c>
      <c r="J143" s="0" t="s">
        <v>1649</v>
      </c>
      <c r="M143" s="0" t="s">
        <v>1531</v>
      </c>
      <c r="N143" s="0" t="s">
        <v>128</v>
      </c>
      <c r="Q143" s="0" t="n">
        <v>184</v>
      </c>
      <c r="R143" s="0" t="n">
        <v>183</v>
      </c>
      <c r="U143" s="0" t="s">
        <v>1824</v>
      </c>
      <c r="V143" s="0" t="s">
        <v>1824</v>
      </c>
      <c r="Y143" s="0" t="s">
        <v>1651</v>
      </c>
      <c r="Z143" s="0" t="s">
        <v>1652</v>
      </c>
      <c r="AA143" s="0" t="s">
        <v>1825</v>
      </c>
      <c r="AC143" s="0" t="s">
        <v>1654</v>
      </c>
    </row>
    <row r="144" customFormat="false" ht="15" hidden="false" customHeight="false" outlineLevel="0" collapsed="false">
      <c r="A144" s="0" t="s">
        <v>1826</v>
      </c>
      <c r="B144" s="0" t="s">
        <v>126</v>
      </c>
      <c r="C144" s="0" t="s">
        <v>1785</v>
      </c>
      <c r="D144" s="0" t="n">
        <v>2018</v>
      </c>
      <c r="E144" s="0" t="s">
        <v>69</v>
      </c>
      <c r="F144" s="0" t="n">
        <v>12.86</v>
      </c>
      <c r="G144" s="0" t="s">
        <v>1723</v>
      </c>
      <c r="I144" s="0" t="n">
        <v>12.86</v>
      </c>
      <c r="J144" s="0" t="s">
        <v>1649</v>
      </c>
      <c r="M144" s="0" t="s">
        <v>1531</v>
      </c>
      <c r="N144" s="0" t="s">
        <v>128</v>
      </c>
      <c r="Q144" s="0" t="n">
        <v>185</v>
      </c>
      <c r="R144" s="0" t="n">
        <v>184</v>
      </c>
      <c r="U144" s="0" t="s">
        <v>1824</v>
      </c>
      <c r="V144" s="0" t="s">
        <v>1824</v>
      </c>
      <c r="Y144" s="0" t="s">
        <v>1651</v>
      </c>
      <c r="Z144" s="0" t="s">
        <v>1652</v>
      </c>
      <c r="AA144" s="0" t="s">
        <v>1827</v>
      </c>
      <c r="AC144" s="0" t="s">
        <v>1654</v>
      </c>
    </row>
    <row r="145" customFormat="false" ht="15" hidden="false" customHeight="false" outlineLevel="0" collapsed="false">
      <c r="A145" s="0" t="s">
        <v>1828</v>
      </c>
      <c r="B145" s="0" t="s">
        <v>126</v>
      </c>
      <c r="C145" s="0" t="s">
        <v>1785</v>
      </c>
      <c r="D145" s="0" t="n">
        <v>2018</v>
      </c>
      <c r="E145" s="0" t="s">
        <v>1829</v>
      </c>
      <c r="F145" s="0" t="n">
        <v>17991</v>
      </c>
      <c r="G145" s="0" t="s">
        <v>1681</v>
      </c>
      <c r="H145" s="0" t="s">
        <v>1648</v>
      </c>
      <c r="I145" s="0" t="n">
        <v>17991</v>
      </c>
      <c r="J145" s="0" t="s">
        <v>1649</v>
      </c>
      <c r="M145" s="0" t="s">
        <v>1531</v>
      </c>
      <c r="N145" s="0" t="s">
        <v>128</v>
      </c>
      <c r="Q145" s="0" t="n">
        <v>87</v>
      </c>
      <c r="R145" s="0" t="n">
        <v>86</v>
      </c>
      <c r="U145" s="0" t="s">
        <v>1824</v>
      </c>
      <c r="V145" s="0" t="s">
        <v>1824</v>
      </c>
      <c r="Y145" s="0" t="s">
        <v>1651</v>
      </c>
      <c r="Z145" s="0" t="s">
        <v>1652</v>
      </c>
      <c r="AA145" s="0" t="s">
        <v>1830</v>
      </c>
      <c r="AC145" s="0" t="s">
        <v>1654</v>
      </c>
    </row>
    <row r="146" customFormat="false" ht="15" hidden="false" customHeight="false" outlineLevel="0" collapsed="false">
      <c r="A146" s="0" t="s">
        <v>1831</v>
      </c>
      <c r="B146" s="0" t="s">
        <v>126</v>
      </c>
      <c r="C146" s="0" t="s">
        <v>1785</v>
      </c>
      <c r="D146" s="0" t="n">
        <v>2018</v>
      </c>
      <c r="E146" s="0" t="s">
        <v>1646</v>
      </c>
      <c r="F146" s="0" t="n">
        <v>760608</v>
      </c>
      <c r="G146" s="0" t="s">
        <v>1681</v>
      </c>
      <c r="H146" s="0" t="s">
        <v>1648</v>
      </c>
      <c r="I146" s="0" t="n">
        <v>760608</v>
      </c>
      <c r="J146" s="0" t="s">
        <v>1649</v>
      </c>
      <c r="M146" s="0" t="s">
        <v>1531</v>
      </c>
      <c r="N146" s="0" t="s">
        <v>128</v>
      </c>
      <c r="Q146" s="0" t="n">
        <v>33</v>
      </c>
      <c r="R146" s="0" t="n">
        <v>32</v>
      </c>
      <c r="U146" s="0" t="s">
        <v>1824</v>
      </c>
      <c r="V146" s="0" t="s">
        <v>1824</v>
      </c>
      <c r="Y146" s="0" t="s">
        <v>1651</v>
      </c>
      <c r="Z146" s="0" t="s">
        <v>1652</v>
      </c>
      <c r="AA146" s="0" t="s">
        <v>1830</v>
      </c>
      <c r="AC146" s="0" t="s">
        <v>1654</v>
      </c>
    </row>
    <row r="147" customFormat="false" ht="15" hidden="false" customHeight="false" outlineLevel="0" collapsed="false">
      <c r="A147" s="0" t="s">
        <v>1832</v>
      </c>
      <c r="B147" s="0" t="s">
        <v>126</v>
      </c>
      <c r="C147" s="0" t="s">
        <v>1785</v>
      </c>
      <c r="D147" s="0" t="n">
        <v>2018</v>
      </c>
      <c r="E147" s="0" t="s">
        <v>60</v>
      </c>
      <c r="F147" s="0" t="n">
        <v>640678</v>
      </c>
      <c r="G147" s="0" t="s">
        <v>1681</v>
      </c>
      <c r="H147" s="0" t="s">
        <v>1648</v>
      </c>
      <c r="I147" s="0" t="n">
        <v>640678</v>
      </c>
      <c r="J147" s="0" t="s">
        <v>1649</v>
      </c>
      <c r="M147" s="0" t="s">
        <v>1531</v>
      </c>
      <c r="N147" s="0" t="s">
        <v>128</v>
      </c>
      <c r="Q147" s="0" t="n">
        <v>87</v>
      </c>
      <c r="R147" s="0" t="n">
        <v>86</v>
      </c>
      <c r="U147" s="0" t="s">
        <v>1824</v>
      </c>
      <c r="V147" s="0" t="s">
        <v>1824</v>
      </c>
      <c r="Y147" s="0" t="s">
        <v>1651</v>
      </c>
      <c r="Z147" s="0" t="s">
        <v>1652</v>
      </c>
      <c r="AA147" s="0" t="s">
        <v>1830</v>
      </c>
      <c r="AC147" s="0" t="s">
        <v>1654</v>
      </c>
    </row>
    <row r="148" customFormat="false" ht="15" hidden="false" customHeight="false" outlineLevel="0" collapsed="false">
      <c r="A148" s="0" t="s">
        <v>1833</v>
      </c>
      <c r="B148" s="0" t="s">
        <v>126</v>
      </c>
      <c r="C148" s="0" t="s">
        <v>1785</v>
      </c>
      <c r="D148" s="0" t="n">
        <v>2018</v>
      </c>
      <c r="E148" s="0" t="s">
        <v>670</v>
      </c>
      <c r="F148" s="0" t="n">
        <v>147791</v>
      </c>
      <c r="G148" s="0" t="s">
        <v>1681</v>
      </c>
      <c r="H148" s="0" t="s">
        <v>1648</v>
      </c>
      <c r="I148" s="0" t="n">
        <v>147791</v>
      </c>
      <c r="J148" s="0" t="s">
        <v>1649</v>
      </c>
      <c r="M148" s="0" t="s">
        <v>1531</v>
      </c>
      <c r="N148" s="0" t="s">
        <v>128</v>
      </c>
      <c r="Q148" s="0" t="n">
        <v>200</v>
      </c>
      <c r="R148" s="0" t="n">
        <v>199</v>
      </c>
      <c r="U148" s="0" t="s">
        <v>1824</v>
      </c>
      <c r="V148" s="0" t="s">
        <v>1824</v>
      </c>
      <c r="Y148" s="0" t="s">
        <v>1651</v>
      </c>
      <c r="Z148" s="0" t="s">
        <v>1652</v>
      </c>
      <c r="AA148" s="0" t="s">
        <v>1830</v>
      </c>
      <c r="AC148" s="0" t="s">
        <v>1654</v>
      </c>
    </row>
    <row r="149" customFormat="false" ht="15" hidden="false" customHeight="false" outlineLevel="0" collapsed="false">
      <c r="A149" s="0" t="s">
        <v>1834</v>
      </c>
      <c r="B149" s="0" t="s">
        <v>126</v>
      </c>
      <c r="C149" s="0" t="s">
        <v>1785</v>
      </c>
      <c r="D149" s="0" t="n">
        <v>2018</v>
      </c>
      <c r="E149" s="0" t="s">
        <v>63</v>
      </c>
      <c r="F149" s="0" t="n">
        <v>5832</v>
      </c>
      <c r="G149" s="0" t="s">
        <v>1681</v>
      </c>
      <c r="H149" s="0" t="s">
        <v>1648</v>
      </c>
      <c r="I149" s="0" t="n">
        <v>5832</v>
      </c>
      <c r="J149" s="0" t="s">
        <v>1649</v>
      </c>
      <c r="M149" s="0" t="s">
        <v>1531</v>
      </c>
      <c r="N149" s="0" t="s">
        <v>128</v>
      </c>
      <c r="Q149" s="0" t="n">
        <v>32</v>
      </c>
      <c r="R149" s="0" t="n">
        <v>31</v>
      </c>
      <c r="U149" s="0" t="s">
        <v>1824</v>
      </c>
      <c r="V149" s="0" t="s">
        <v>1824</v>
      </c>
      <c r="Y149" s="0" t="s">
        <v>1651</v>
      </c>
      <c r="Z149" s="0" t="s">
        <v>1652</v>
      </c>
      <c r="AA149" s="0" t="s">
        <v>1830</v>
      </c>
      <c r="AC149" s="0" t="s">
        <v>1654</v>
      </c>
    </row>
    <row r="150" customFormat="false" ht="15" hidden="false" customHeight="false" outlineLevel="0" collapsed="false">
      <c r="A150" s="0" t="s">
        <v>1835</v>
      </c>
      <c r="B150" s="0" t="s">
        <v>126</v>
      </c>
      <c r="C150" s="0" t="s">
        <v>1785</v>
      </c>
      <c r="D150" s="0" t="n">
        <v>2018</v>
      </c>
      <c r="E150" s="0" t="s">
        <v>62</v>
      </c>
      <c r="F150" s="0" t="n">
        <v>621017</v>
      </c>
      <c r="G150" s="0" t="s">
        <v>1681</v>
      </c>
      <c r="H150" s="0" t="s">
        <v>1648</v>
      </c>
      <c r="I150" s="0" t="n">
        <v>621017</v>
      </c>
      <c r="J150" s="0" t="s">
        <v>1649</v>
      </c>
      <c r="M150" s="0" t="s">
        <v>1531</v>
      </c>
      <c r="N150" s="0" t="s">
        <v>128</v>
      </c>
      <c r="Q150" s="0" t="n">
        <v>33</v>
      </c>
      <c r="R150" s="0" t="n">
        <v>32</v>
      </c>
      <c r="U150" s="0" t="s">
        <v>1824</v>
      </c>
      <c r="V150" s="0" t="s">
        <v>1824</v>
      </c>
      <c r="Y150" s="0" t="s">
        <v>1651</v>
      </c>
      <c r="Z150" s="0" t="s">
        <v>1652</v>
      </c>
      <c r="AA150" s="0" t="s">
        <v>1830</v>
      </c>
      <c r="AC150" s="0" t="s">
        <v>1654</v>
      </c>
    </row>
    <row r="151" customFormat="false" ht="15" hidden="false" customHeight="false" outlineLevel="0" collapsed="false">
      <c r="A151" s="0" t="s">
        <v>1836</v>
      </c>
      <c r="B151" s="0" t="s">
        <v>126</v>
      </c>
      <c r="C151" s="0" t="s">
        <v>1785</v>
      </c>
      <c r="D151" s="0" t="n">
        <v>2018</v>
      </c>
      <c r="E151" s="0" t="s">
        <v>58</v>
      </c>
      <c r="F151" s="0" t="n">
        <v>35086</v>
      </c>
      <c r="G151" s="0" t="s">
        <v>1681</v>
      </c>
      <c r="H151" s="0" t="s">
        <v>1648</v>
      </c>
      <c r="I151" s="0" t="n">
        <v>35086</v>
      </c>
      <c r="J151" s="0" t="s">
        <v>1649</v>
      </c>
      <c r="M151" s="0" t="s">
        <v>1531</v>
      </c>
      <c r="N151" s="0" t="s">
        <v>128</v>
      </c>
      <c r="Q151" s="0" t="n">
        <v>38</v>
      </c>
      <c r="R151" s="0" t="n">
        <v>37</v>
      </c>
      <c r="U151" s="0" t="s">
        <v>1824</v>
      </c>
      <c r="V151" s="0" t="s">
        <v>1824</v>
      </c>
      <c r="Y151" s="0" t="s">
        <v>1651</v>
      </c>
      <c r="Z151" s="0" t="s">
        <v>1652</v>
      </c>
      <c r="AA151" s="0" t="s">
        <v>1830</v>
      </c>
      <c r="AC151" s="0" t="s">
        <v>1654</v>
      </c>
    </row>
    <row r="152" customFormat="false" ht="15" hidden="false" customHeight="false" outlineLevel="0" collapsed="false">
      <c r="A152" s="0" t="s">
        <v>1837</v>
      </c>
      <c r="B152" s="0" t="s">
        <v>126</v>
      </c>
      <c r="C152" s="0" t="s">
        <v>1785</v>
      </c>
      <c r="D152" s="0" t="n">
        <v>2018</v>
      </c>
      <c r="E152" s="0" t="s">
        <v>54</v>
      </c>
      <c r="F152" s="0" t="n">
        <v>9468</v>
      </c>
      <c r="G152" s="0" t="s">
        <v>1681</v>
      </c>
      <c r="H152" s="0" t="s">
        <v>1648</v>
      </c>
      <c r="I152" s="0" t="n">
        <v>9468</v>
      </c>
      <c r="J152" s="0" t="s">
        <v>1649</v>
      </c>
      <c r="M152" s="0" t="s">
        <v>1531</v>
      </c>
      <c r="N152" s="0" t="s">
        <v>128</v>
      </c>
      <c r="Q152" s="0" t="n">
        <v>32</v>
      </c>
      <c r="R152" s="0" t="n">
        <v>31</v>
      </c>
      <c r="U152" s="0" t="s">
        <v>1824</v>
      </c>
      <c r="V152" s="0" t="s">
        <v>1824</v>
      </c>
      <c r="Y152" s="0" t="s">
        <v>1651</v>
      </c>
      <c r="Z152" s="0" t="s">
        <v>1652</v>
      </c>
      <c r="AA152" s="0" t="s">
        <v>1830</v>
      </c>
      <c r="AC152" s="0" t="s">
        <v>1654</v>
      </c>
    </row>
    <row r="153" customFormat="false" ht="15" hidden="false" customHeight="false" outlineLevel="0" collapsed="false">
      <c r="A153" s="0" t="s">
        <v>1838</v>
      </c>
      <c r="B153" s="0" t="s">
        <v>126</v>
      </c>
      <c r="C153" s="0" t="s">
        <v>1785</v>
      </c>
      <c r="D153" s="0" t="n">
        <v>2018</v>
      </c>
      <c r="E153" s="0" t="s">
        <v>65</v>
      </c>
      <c r="F153" s="0" t="n">
        <v>91610</v>
      </c>
      <c r="G153" s="0" t="s">
        <v>1681</v>
      </c>
      <c r="H153" s="0" t="s">
        <v>1648</v>
      </c>
      <c r="I153" s="0" t="n">
        <v>91610</v>
      </c>
      <c r="J153" s="0" t="s">
        <v>1649</v>
      </c>
      <c r="M153" s="0" t="s">
        <v>1531</v>
      </c>
      <c r="N153" s="0" t="s">
        <v>128</v>
      </c>
      <c r="Q153" s="0" t="n">
        <v>185</v>
      </c>
      <c r="R153" s="0" t="n">
        <v>184</v>
      </c>
      <c r="U153" s="0" t="s">
        <v>1824</v>
      </c>
      <c r="V153" s="0" t="s">
        <v>1824</v>
      </c>
      <c r="Y153" s="0" t="s">
        <v>1651</v>
      </c>
      <c r="Z153" s="0" t="s">
        <v>1652</v>
      </c>
      <c r="AA153" s="0" t="s">
        <v>1830</v>
      </c>
      <c r="AC153" s="0" t="s">
        <v>1654</v>
      </c>
    </row>
    <row r="154" customFormat="false" ht="15" hidden="false" customHeight="false" outlineLevel="0" collapsed="false">
      <c r="A154" s="0" t="s">
        <v>1839</v>
      </c>
      <c r="B154" s="0" t="s">
        <v>126</v>
      </c>
      <c r="C154" s="0" t="s">
        <v>1785</v>
      </c>
      <c r="D154" s="0" t="n">
        <v>2018</v>
      </c>
      <c r="E154" s="0" t="s">
        <v>1840</v>
      </c>
      <c r="F154" s="0" t="n">
        <v>1670</v>
      </c>
      <c r="G154" s="0" t="s">
        <v>1681</v>
      </c>
      <c r="H154" s="0" t="s">
        <v>1648</v>
      </c>
      <c r="I154" s="0" t="n">
        <v>1670</v>
      </c>
      <c r="J154" s="0" t="s">
        <v>1649</v>
      </c>
      <c r="M154" s="0" t="s">
        <v>1531</v>
      </c>
      <c r="N154" s="0" t="s">
        <v>128</v>
      </c>
      <c r="Q154" s="0" t="n">
        <v>87</v>
      </c>
      <c r="R154" s="0" t="n">
        <v>86</v>
      </c>
      <c r="U154" s="0" t="s">
        <v>1824</v>
      </c>
      <c r="V154" s="0" t="s">
        <v>1824</v>
      </c>
      <c r="Y154" s="0" t="s">
        <v>1651</v>
      </c>
      <c r="Z154" s="0" t="s">
        <v>1652</v>
      </c>
      <c r="AA154" s="0" t="s">
        <v>1830</v>
      </c>
      <c r="AC154" s="0" t="s">
        <v>1654</v>
      </c>
    </row>
    <row r="155" customFormat="false" ht="15" hidden="false" customHeight="false" outlineLevel="0" collapsed="false">
      <c r="A155" s="0" t="s">
        <v>1841</v>
      </c>
      <c r="B155" s="0" t="s">
        <v>126</v>
      </c>
      <c r="C155" s="0" t="s">
        <v>1785</v>
      </c>
      <c r="D155" s="0" t="n">
        <v>2018</v>
      </c>
      <c r="E155" s="0" t="s">
        <v>66</v>
      </c>
      <c r="F155" s="0" t="n">
        <v>712253</v>
      </c>
      <c r="G155" s="0" t="s">
        <v>1681</v>
      </c>
      <c r="H155" s="0" t="s">
        <v>1648</v>
      </c>
      <c r="I155" s="0" t="n">
        <v>712253</v>
      </c>
      <c r="J155" s="0" t="s">
        <v>1649</v>
      </c>
      <c r="M155" s="0" t="s">
        <v>1531</v>
      </c>
      <c r="N155" s="0" t="s">
        <v>128</v>
      </c>
      <c r="Q155" s="0" t="n">
        <v>185</v>
      </c>
      <c r="R155" s="0" t="n">
        <v>184</v>
      </c>
      <c r="U155" s="0" t="s">
        <v>1824</v>
      </c>
      <c r="V155" s="0" t="s">
        <v>1824</v>
      </c>
      <c r="Y155" s="0" t="s">
        <v>1651</v>
      </c>
      <c r="Z155" s="0" t="s">
        <v>1652</v>
      </c>
      <c r="AA155" s="0" t="s">
        <v>1830</v>
      </c>
      <c r="AC155" s="0" t="s">
        <v>1654</v>
      </c>
    </row>
    <row r="156" customFormat="false" ht="15" hidden="false" customHeight="false" outlineLevel="0" collapsed="false">
      <c r="A156" s="0" t="s">
        <v>1842</v>
      </c>
      <c r="B156" s="0" t="s">
        <v>126</v>
      </c>
      <c r="C156" s="0" t="s">
        <v>1785</v>
      </c>
      <c r="D156" s="0" t="n">
        <v>2018</v>
      </c>
      <c r="E156" s="0" t="s">
        <v>55</v>
      </c>
      <c r="F156" s="0" t="n">
        <v>1085876</v>
      </c>
      <c r="G156" s="0" t="s">
        <v>1681</v>
      </c>
      <c r="H156" s="0" t="s">
        <v>1648</v>
      </c>
      <c r="I156" s="0" t="n">
        <v>1085876</v>
      </c>
      <c r="J156" s="0" t="s">
        <v>1649</v>
      </c>
      <c r="M156" s="0" t="s">
        <v>1531</v>
      </c>
      <c r="N156" s="0" t="s">
        <v>128</v>
      </c>
      <c r="Q156" s="0" t="n">
        <v>33</v>
      </c>
      <c r="R156" s="0" t="n">
        <v>32</v>
      </c>
      <c r="U156" s="0" t="s">
        <v>1824</v>
      </c>
      <c r="V156" s="0" t="s">
        <v>1824</v>
      </c>
      <c r="Y156" s="0" t="s">
        <v>1651</v>
      </c>
      <c r="Z156" s="0" t="s">
        <v>1652</v>
      </c>
      <c r="AA156" s="0" t="s">
        <v>1830</v>
      </c>
      <c r="AC156" s="0" t="s">
        <v>1654</v>
      </c>
    </row>
    <row r="157" customFormat="false" ht="15" hidden="false" customHeight="false" outlineLevel="0" collapsed="false">
      <c r="A157" s="0" t="s">
        <v>1843</v>
      </c>
      <c r="B157" s="0" t="s">
        <v>126</v>
      </c>
      <c r="C157" s="0" t="s">
        <v>1785</v>
      </c>
      <c r="D157" s="0" t="n">
        <v>2018</v>
      </c>
      <c r="E157" s="0" t="s">
        <v>57</v>
      </c>
      <c r="F157" s="0" t="n">
        <v>98009</v>
      </c>
      <c r="G157" s="0" t="s">
        <v>1681</v>
      </c>
      <c r="H157" s="0" t="s">
        <v>1648</v>
      </c>
      <c r="I157" s="0" t="n">
        <v>98009</v>
      </c>
      <c r="J157" s="0" t="s">
        <v>1649</v>
      </c>
      <c r="M157" s="0" t="s">
        <v>1531</v>
      </c>
      <c r="N157" s="0" t="s">
        <v>128</v>
      </c>
      <c r="Q157" s="0" t="n">
        <v>33</v>
      </c>
      <c r="R157" s="0" t="n">
        <v>32</v>
      </c>
      <c r="U157" s="0" t="s">
        <v>1824</v>
      </c>
      <c r="V157" s="0" t="s">
        <v>1824</v>
      </c>
      <c r="Y157" s="0" t="s">
        <v>1651</v>
      </c>
      <c r="Z157" s="0" t="s">
        <v>1652</v>
      </c>
      <c r="AA157" s="0" t="s">
        <v>1830</v>
      </c>
      <c r="AC157" s="0" t="s">
        <v>1654</v>
      </c>
    </row>
    <row r="158" customFormat="false" ht="15" hidden="false" customHeight="false" outlineLevel="0" collapsed="false">
      <c r="A158" s="0" t="s">
        <v>1844</v>
      </c>
      <c r="B158" s="0" t="s">
        <v>126</v>
      </c>
      <c r="C158" s="0" t="s">
        <v>1785</v>
      </c>
      <c r="D158" s="0" t="n">
        <v>2018</v>
      </c>
      <c r="E158" s="0" t="s">
        <v>56</v>
      </c>
      <c r="F158" s="0" t="n">
        <v>987867</v>
      </c>
      <c r="G158" s="0" t="s">
        <v>1681</v>
      </c>
      <c r="H158" s="0" t="s">
        <v>1648</v>
      </c>
      <c r="I158" s="0" t="n">
        <v>987867</v>
      </c>
      <c r="J158" s="0" t="s">
        <v>1649</v>
      </c>
      <c r="M158" s="0" t="s">
        <v>1531</v>
      </c>
      <c r="N158" s="0" t="s">
        <v>128</v>
      </c>
      <c r="Q158" s="0" t="n">
        <v>33</v>
      </c>
      <c r="R158" s="0" t="n">
        <v>32</v>
      </c>
      <c r="U158" s="0" t="s">
        <v>1824</v>
      </c>
      <c r="V158" s="0" t="s">
        <v>1824</v>
      </c>
      <c r="Y158" s="0" t="s">
        <v>1651</v>
      </c>
      <c r="Z158" s="0" t="s">
        <v>1652</v>
      </c>
      <c r="AA158" s="0" t="s">
        <v>1830</v>
      </c>
      <c r="AC158" s="0" t="s">
        <v>1654</v>
      </c>
    </row>
    <row r="159" customFormat="false" ht="15" hidden="false" customHeight="false" outlineLevel="0" collapsed="false">
      <c r="A159" s="0" t="s">
        <v>1845</v>
      </c>
      <c r="B159" s="0" t="s">
        <v>126</v>
      </c>
      <c r="C159" s="0" t="s">
        <v>1785</v>
      </c>
      <c r="D159" s="0" t="n">
        <v>2019</v>
      </c>
      <c r="E159" s="0" t="s">
        <v>70</v>
      </c>
      <c r="F159" s="0" t="n">
        <v>10</v>
      </c>
      <c r="G159" s="0" t="s">
        <v>1723</v>
      </c>
      <c r="I159" s="0" t="n">
        <v>10</v>
      </c>
      <c r="J159" s="0" t="s">
        <v>1649</v>
      </c>
      <c r="M159" s="0" t="s">
        <v>1531</v>
      </c>
      <c r="N159" s="0" t="s">
        <v>128</v>
      </c>
      <c r="Q159" s="0" t="n">
        <v>184</v>
      </c>
      <c r="R159" s="0" t="n">
        <v>183</v>
      </c>
      <c r="U159" s="0" t="s">
        <v>1776</v>
      </c>
      <c r="V159" s="0" t="s">
        <v>1776</v>
      </c>
      <c r="Y159" s="0" t="s">
        <v>1651</v>
      </c>
      <c r="Z159" s="0" t="s">
        <v>1652</v>
      </c>
      <c r="AA159" s="0" t="s">
        <v>1825</v>
      </c>
      <c r="AC159" s="0" t="s">
        <v>1654</v>
      </c>
    </row>
    <row r="160" customFormat="false" ht="15" hidden="false" customHeight="false" outlineLevel="0" collapsed="false">
      <c r="A160" s="0" t="s">
        <v>1846</v>
      </c>
      <c r="B160" s="0" t="s">
        <v>126</v>
      </c>
      <c r="C160" s="0" t="s">
        <v>1785</v>
      </c>
      <c r="D160" s="0" t="n">
        <v>2019</v>
      </c>
      <c r="E160" s="0" t="s">
        <v>69</v>
      </c>
      <c r="F160" s="0" t="n">
        <v>14.7</v>
      </c>
      <c r="G160" s="0" t="s">
        <v>1723</v>
      </c>
      <c r="I160" s="0" t="n">
        <v>14.7</v>
      </c>
      <c r="J160" s="0" t="s">
        <v>1649</v>
      </c>
      <c r="M160" s="0" t="s">
        <v>1531</v>
      </c>
      <c r="N160" s="0" t="s">
        <v>128</v>
      </c>
      <c r="Q160" s="0" t="n">
        <v>185</v>
      </c>
      <c r="R160" s="0" t="n">
        <v>184</v>
      </c>
      <c r="U160" s="0" t="s">
        <v>1776</v>
      </c>
      <c r="V160" s="0" t="s">
        <v>1776</v>
      </c>
      <c r="Y160" s="0" t="s">
        <v>1651</v>
      </c>
      <c r="Z160" s="0" t="s">
        <v>1652</v>
      </c>
      <c r="AA160" s="0" t="s">
        <v>1827</v>
      </c>
      <c r="AC160" s="0" t="s">
        <v>1654</v>
      </c>
    </row>
    <row r="161" customFormat="false" ht="15" hidden="false" customHeight="false" outlineLevel="0" collapsed="false">
      <c r="A161" s="0" t="s">
        <v>1847</v>
      </c>
      <c r="B161" s="0" t="s">
        <v>126</v>
      </c>
      <c r="C161" s="0" t="s">
        <v>1785</v>
      </c>
      <c r="D161" s="0" t="n">
        <v>2019</v>
      </c>
      <c r="E161" s="0" t="s">
        <v>1829</v>
      </c>
      <c r="F161" s="0" t="n">
        <v>11119</v>
      </c>
      <c r="G161" s="0" t="s">
        <v>1681</v>
      </c>
      <c r="H161" s="0" t="s">
        <v>1648</v>
      </c>
      <c r="I161" s="0" t="n">
        <v>11119</v>
      </c>
      <c r="J161" s="0" t="s">
        <v>1649</v>
      </c>
      <c r="M161" s="0" t="s">
        <v>1531</v>
      </c>
      <c r="N161" s="0" t="s">
        <v>128</v>
      </c>
      <c r="Q161" s="0" t="n">
        <v>87</v>
      </c>
      <c r="R161" s="0" t="n">
        <v>86</v>
      </c>
      <c r="U161" s="0" t="s">
        <v>1776</v>
      </c>
      <c r="V161" s="0" t="s">
        <v>1776</v>
      </c>
      <c r="Y161" s="0" t="s">
        <v>1651</v>
      </c>
      <c r="Z161" s="0" t="s">
        <v>1652</v>
      </c>
      <c r="AA161" s="0" t="s">
        <v>1830</v>
      </c>
      <c r="AC161" s="0" t="s">
        <v>1654</v>
      </c>
    </row>
    <row r="162" customFormat="false" ht="15" hidden="false" customHeight="false" outlineLevel="0" collapsed="false">
      <c r="A162" s="0" t="s">
        <v>1848</v>
      </c>
      <c r="B162" s="0" t="s">
        <v>126</v>
      </c>
      <c r="C162" s="0" t="s">
        <v>1785</v>
      </c>
      <c r="D162" s="0" t="n">
        <v>2019</v>
      </c>
      <c r="E162" s="0" t="s">
        <v>1646</v>
      </c>
      <c r="F162" s="0" t="n">
        <v>892660</v>
      </c>
      <c r="G162" s="0" t="s">
        <v>1681</v>
      </c>
      <c r="H162" s="0" t="s">
        <v>1648</v>
      </c>
      <c r="I162" s="0" t="n">
        <v>892660</v>
      </c>
      <c r="J162" s="0" t="s">
        <v>1649</v>
      </c>
      <c r="M162" s="0" t="s">
        <v>1531</v>
      </c>
      <c r="N162" s="0" t="s">
        <v>128</v>
      </c>
      <c r="Q162" s="0" t="n">
        <v>33</v>
      </c>
      <c r="R162" s="0" t="n">
        <v>32</v>
      </c>
      <c r="U162" s="0" t="s">
        <v>1776</v>
      </c>
      <c r="V162" s="0" t="s">
        <v>1776</v>
      </c>
      <c r="Y162" s="0" t="s">
        <v>1651</v>
      </c>
      <c r="Z162" s="0" t="s">
        <v>1652</v>
      </c>
      <c r="AA162" s="0" t="s">
        <v>1830</v>
      </c>
      <c r="AC162" s="0" t="s">
        <v>1654</v>
      </c>
    </row>
    <row r="163" customFormat="false" ht="15" hidden="false" customHeight="false" outlineLevel="0" collapsed="false">
      <c r="A163" s="0" t="s">
        <v>1849</v>
      </c>
      <c r="B163" s="0" t="s">
        <v>126</v>
      </c>
      <c r="C163" s="0" t="s">
        <v>1785</v>
      </c>
      <c r="D163" s="0" t="n">
        <v>2019</v>
      </c>
      <c r="E163" s="0" t="s">
        <v>60</v>
      </c>
      <c r="F163" s="0" t="n">
        <v>631698</v>
      </c>
      <c r="G163" s="0" t="s">
        <v>1681</v>
      </c>
      <c r="H163" s="0" t="s">
        <v>1648</v>
      </c>
      <c r="I163" s="0" t="n">
        <v>631698</v>
      </c>
      <c r="J163" s="0" t="s">
        <v>1649</v>
      </c>
      <c r="M163" s="0" t="s">
        <v>1531</v>
      </c>
      <c r="N163" s="0" t="s">
        <v>128</v>
      </c>
      <c r="Q163" s="0" t="n">
        <v>87</v>
      </c>
      <c r="R163" s="0" t="n">
        <v>86</v>
      </c>
      <c r="U163" s="0" t="s">
        <v>1776</v>
      </c>
      <c r="V163" s="0" t="s">
        <v>1776</v>
      </c>
      <c r="Y163" s="0" t="s">
        <v>1651</v>
      </c>
      <c r="Z163" s="0" t="s">
        <v>1652</v>
      </c>
      <c r="AA163" s="0" t="s">
        <v>1830</v>
      </c>
      <c r="AC163" s="0" t="s">
        <v>1654</v>
      </c>
    </row>
    <row r="164" customFormat="false" ht="15" hidden="false" customHeight="false" outlineLevel="0" collapsed="false">
      <c r="A164" s="0" t="s">
        <v>1850</v>
      </c>
      <c r="B164" s="0" t="s">
        <v>126</v>
      </c>
      <c r="C164" s="0" t="s">
        <v>1785</v>
      </c>
      <c r="D164" s="0" t="n">
        <v>2019</v>
      </c>
      <c r="E164" s="0" t="s">
        <v>670</v>
      </c>
      <c r="F164" s="0" t="n">
        <v>147439</v>
      </c>
      <c r="G164" s="0" t="s">
        <v>1681</v>
      </c>
      <c r="H164" s="0" t="s">
        <v>1648</v>
      </c>
      <c r="I164" s="0" t="n">
        <v>147439</v>
      </c>
      <c r="J164" s="0" t="s">
        <v>1649</v>
      </c>
      <c r="M164" s="0" t="s">
        <v>1531</v>
      </c>
      <c r="N164" s="0" t="s">
        <v>128</v>
      </c>
      <c r="Q164" s="0" t="n">
        <v>200</v>
      </c>
      <c r="R164" s="0" t="n">
        <v>199</v>
      </c>
      <c r="U164" s="0" t="s">
        <v>1776</v>
      </c>
      <c r="V164" s="0" t="s">
        <v>1776</v>
      </c>
      <c r="Y164" s="0" t="s">
        <v>1651</v>
      </c>
      <c r="Z164" s="0" t="s">
        <v>1652</v>
      </c>
      <c r="AA164" s="0" t="s">
        <v>1830</v>
      </c>
      <c r="AC164" s="0" t="s">
        <v>1654</v>
      </c>
    </row>
    <row r="165" customFormat="false" ht="15" hidden="false" customHeight="false" outlineLevel="0" collapsed="false">
      <c r="A165" s="0" t="s">
        <v>1851</v>
      </c>
      <c r="B165" s="0" t="s">
        <v>126</v>
      </c>
      <c r="C165" s="0" t="s">
        <v>1785</v>
      </c>
      <c r="D165" s="0" t="n">
        <v>2019</v>
      </c>
      <c r="E165" s="0" t="s">
        <v>63</v>
      </c>
      <c r="F165" s="0" t="n">
        <v>5842</v>
      </c>
      <c r="G165" s="0" t="s">
        <v>1681</v>
      </c>
      <c r="H165" s="0" t="s">
        <v>1648</v>
      </c>
      <c r="I165" s="0" t="n">
        <v>5842</v>
      </c>
      <c r="J165" s="0" t="s">
        <v>1649</v>
      </c>
      <c r="M165" s="0" t="s">
        <v>1531</v>
      </c>
      <c r="N165" s="0" t="s">
        <v>128</v>
      </c>
      <c r="Q165" s="0" t="n">
        <v>32</v>
      </c>
      <c r="R165" s="0" t="n">
        <v>31</v>
      </c>
      <c r="U165" s="0" t="s">
        <v>1776</v>
      </c>
      <c r="V165" s="0" t="s">
        <v>1776</v>
      </c>
      <c r="Y165" s="0" t="s">
        <v>1651</v>
      </c>
      <c r="Z165" s="0" t="s">
        <v>1652</v>
      </c>
      <c r="AA165" s="0" t="s">
        <v>1830</v>
      </c>
      <c r="AC165" s="0" t="s">
        <v>1654</v>
      </c>
    </row>
    <row r="166" customFormat="false" ht="15" hidden="false" customHeight="false" outlineLevel="0" collapsed="false">
      <c r="A166" s="0" t="s">
        <v>1852</v>
      </c>
      <c r="B166" s="0" t="s">
        <v>126</v>
      </c>
      <c r="C166" s="0" t="s">
        <v>1785</v>
      </c>
      <c r="D166" s="0" t="n">
        <v>2019</v>
      </c>
      <c r="E166" s="0" t="s">
        <v>62</v>
      </c>
      <c r="F166" s="0" t="n">
        <v>618732</v>
      </c>
      <c r="G166" s="0" t="s">
        <v>1681</v>
      </c>
      <c r="H166" s="0" t="s">
        <v>1648</v>
      </c>
      <c r="I166" s="0" t="n">
        <v>618732</v>
      </c>
      <c r="J166" s="0" t="s">
        <v>1649</v>
      </c>
      <c r="M166" s="0" t="s">
        <v>1531</v>
      </c>
      <c r="N166" s="0" t="s">
        <v>128</v>
      </c>
      <c r="Q166" s="0" t="n">
        <v>33</v>
      </c>
      <c r="R166" s="0" t="n">
        <v>32</v>
      </c>
      <c r="U166" s="0" t="s">
        <v>1776</v>
      </c>
      <c r="V166" s="0" t="s">
        <v>1776</v>
      </c>
      <c r="Y166" s="0" t="s">
        <v>1651</v>
      </c>
      <c r="Z166" s="0" t="s">
        <v>1652</v>
      </c>
      <c r="AA166" s="0" t="s">
        <v>1830</v>
      </c>
      <c r="AC166" s="0" t="s">
        <v>1654</v>
      </c>
    </row>
    <row r="167" customFormat="false" ht="15" hidden="false" customHeight="false" outlineLevel="0" collapsed="false">
      <c r="A167" s="0" t="s">
        <v>1853</v>
      </c>
      <c r="B167" s="0" t="s">
        <v>126</v>
      </c>
      <c r="C167" s="0" t="s">
        <v>1785</v>
      </c>
      <c r="D167" s="0" t="n">
        <v>2019</v>
      </c>
      <c r="E167" s="0" t="s">
        <v>58</v>
      </c>
      <c r="F167" s="0" t="n">
        <v>114414</v>
      </c>
      <c r="G167" s="0" t="s">
        <v>1681</v>
      </c>
      <c r="H167" s="0" t="s">
        <v>1648</v>
      </c>
      <c r="I167" s="0" t="n">
        <v>114414</v>
      </c>
      <c r="J167" s="0" t="s">
        <v>1649</v>
      </c>
      <c r="M167" s="0" t="s">
        <v>1531</v>
      </c>
      <c r="N167" s="0" t="s">
        <v>128</v>
      </c>
      <c r="Q167" s="0" t="n">
        <v>38</v>
      </c>
      <c r="R167" s="0" t="n">
        <v>37</v>
      </c>
      <c r="U167" s="0" t="s">
        <v>1776</v>
      </c>
      <c r="V167" s="0" t="s">
        <v>1776</v>
      </c>
      <c r="Y167" s="0" t="s">
        <v>1651</v>
      </c>
      <c r="Z167" s="0" t="s">
        <v>1652</v>
      </c>
      <c r="AA167" s="0" t="s">
        <v>1830</v>
      </c>
      <c r="AC167" s="0" t="s">
        <v>1654</v>
      </c>
    </row>
    <row r="168" customFormat="false" ht="15" hidden="false" customHeight="false" outlineLevel="0" collapsed="false">
      <c r="A168" s="0" t="s">
        <v>1854</v>
      </c>
      <c r="B168" s="0" t="s">
        <v>126</v>
      </c>
      <c r="C168" s="0" t="s">
        <v>1785</v>
      </c>
      <c r="D168" s="0" t="n">
        <v>2019</v>
      </c>
      <c r="E168" s="0" t="s">
        <v>54</v>
      </c>
      <c r="F168" s="0" t="n">
        <v>10163</v>
      </c>
      <c r="G168" s="0" t="s">
        <v>1681</v>
      </c>
      <c r="H168" s="0" t="s">
        <v>1648</v>
      </c>
      <c r="I168" s="0" t="n">
        <v>10163</v>
      </c>
      <c r="J168" s="0" t="s">
        <v>1649</v>
      </c>
      <c r="M168" s="0" t="s">
        <v>1531</v>
      </c>
      <c r="N168" s="0" t="s">
        <v>128</v>
      </c>
      <c r="Q168" s="0" t="n">
        <v>32</v>
      </c>
      <c r="R168" s="0" t="n">
        <v>31</v>
      </c>
      <c r="U168" s="0" t="s">
        <v>1776</v>
      </c>
      <c r="V168" s="0" t="s">
        <v>1776</v>
      </c>
      <c r="Y168" s="0" t="s">
        <v>1651</v>
      </c>
      <c r="Z168" s="0" t="s">
        <v>1652</v>
      </c>
      <c r="AA168" s="0" t="s">
        <v>1830</v>
      </c>
      <c r="AC168" s="0" t="s">
        <v>1654</v>
      </c>
    </row>
    <row r="169" customFormat="false" ht="15" hidden="false" customHeight="false" outlineLevel="0" collapsed="false">
      <c r="A169" s="0" t="s">
        <v>1855</v>
      </c>
      <c r="B169" s="0" t="s">
        <v>126</v>
      </c>
      <c r="C169" s="0" t="s">
        <v>1785</v>
      </c>
      <c r="D169" s="0" t="n">
        <v>2019</v>
      </c>
      <c r="E169" s="0" t="s">
        <v>65</v>
      </c>
      <c r="F169" s="0" t="n">
        <v>109992</v>
      </c>
      <c r="G169" s="0" t="s">
        <v>1681</v>
      </c>
      <c r="H169" s="0" t="s">
        <v>1648</v>
      </c>
      <c r="I169" s="0" t="n">
        <v>109992</v>
      </c>
      <c r="J169" s="0" t="s">
        <v>1649</v>
      </c>
      <c r="M169" s="0" t="s">
        <v>1531</v>
      </c>
      <c r="N169" s="0" t="s">
        <v>128</v>
      </c>
      <c r="Q169" s="0" t="n">
        <v>185</v>
      </c>
      <c r="R169" s="0" t="n">
        <v>184</v>
      </c>
      <c r="U169" s="0" t="s">
        <v>1776</v>
      </c>
      <c r="V169" s="0" t="s">
        <v>1776</v>
      </c>
      <c r="Y169" s="0" t="s">
        <v>1651</v>
      </c>
      <c r="Z169" s="0" t="s">
        <v>1652</v>
      </c>
      <c r="AA169" s="0" t="s">
        <v>1830</v>
      </c>
      <c r="AC169" s="0" t="s">
        <v>1654</v>
      </c>
    </row>
    <row r="170" customFormat="false" ht="15" hidden="false" customHeight="false" outlineLevel="0" collapsed="false">
      <c r="A170" s="0" t="s">
        <v>1856</v>
      </c>
      <c r="B170" s="0" t="s">
        <v>126</v>
      </c>
      <c r="C170" s="0" t="s">
        <v>1785</v>
      </c>
      <c r="D170" s="0" t="n">
        <v>2019</v>
      </c>
      <c r="E170" s="0" t="s">
        <v>1840</v>
      </c>
      <c r="F170" s="0" t="n">
        <v>1847</v>
      </c>
      <c r="G170" s="0" t="s">
        <v>1681</v>
      </c>
      <c r="H170" s="0" t="s">
        <v>1648</v>
      </c>
      <c r="I170" s="0" t="n">
        <v>1847</v>
      </c>
      <c r="J170" s="0" t="s">
        <v>1649</v>
      </c>
      <c r="M170" s="0" t="s">
        <v>1531</v>
      </c>
      <c r="N170" s="0" t="s">
        <v>128</v>
      </c>
      <c r="Q170" s="0" t="n">
        <v>87</v>
      </c>
      <c r="R170" s="0" t="n">
        <v>86</v>
      </c>
      <c r="U170" s="0" t="s">
        <v>1776</v>
      </c>
      <c r="V170" s="0" t="s">
        <v>1776</v>
      </c>
      <c r="Y170" s="0" t="s">
        <v>1651</v>
      </c>
      <c r="Z170" s="0" t="s">
        <v>1652</v>
      </c>
      <c r="AA170" s="0" t="s">
        <v>1830</v>
      </c>
      <c r="AC170" s="0" t="s">
        <v>1654</v>
      </c>
    </row>
    <row r="171" customFormat="false" ht="15" hidden="false" customHeight="false" outlineLevel="0" collapsed="false">
      <c r="A171" s="0" t="s">
        <v>1857</v>
      </c>
      <c r="B171" s="0" t="s">
        <v>126</v>
      </c>
      <c r="C171" s="0" t="s">
        <v>1785</v>
      </c>
      <c r="D171" s="0" t="n">
        <v>2019</v>
      </c>
      <c r="E171" s="0" t="s">
        <v>66</v>
      </c>
      <c r="F171" s="0" t="n">
        <v>748119</v>
      </c>
      <c r="G171" s="0" t="s">
        <v>1681</v>
      </c>
      <c r="H171" s="0" t="s">
        <v>1648</v>
      </c>
      <c r="I171" s="0" t="n">
        <v>748119</v>
      </c>
      <c r="J171" s="0" t="s">
        <v>1649</v>
      </c>
      <c r="M171" s="0" t="s">
        <v>1531</v>
      </c>
      <c r="N171" s="0" t="s">
        <v>128</v>
      </c>
      <c r="Q171" s="0" t="n">
        <v>185</v>
      </c>
      <c r="R171" s="0" t="n">
        <v>184</v>
      </c>
      <c r="U171" s="0" t="s">
        <v>1776</v>
      </c>
      <c r="V171" s="0" t="s">
        <v>1776</v>
      </c>
      <c r="Y171" s="0" t="s">
        <v>1651</v>
      </c>
      <c r="Z171" s="0" t="s">
        <v>1652</v>
      </c>
      <c r="AA171" s="0" t="s">
        <v>1830</v>
      </c>
      <c r="AC171" s="0" t="s">
        <v>1654</v>
      </c>
    </row>
    <row r="172" customFormat="false" ht="15" hidden="false" customHeight="false" outlineLevel="0" collapsed="false">
      <c r="A172" s="0" t="s">
        <v>1858</v>
      </c>
      <c r="B172" s="0" t="s">
        <v>126</v>
      </c>
      <c r="C172" s="0" t="s">
        <v>1785</v>
      </c>
      <c r="D172" s="0" t="n">
        <v>2019</v>
      </c>
      <c r="E172" s="0" t="s">
        <v>55</v>
      </c>
      <c r="F172" s="0" t="n">
        <v>1165509</v>
      </c>
      <c r="G172" s="0" t="s">
        <v>1681</v>
      </c>
      <c r="H172" s="0" t="s">
        <v>1648</v>
      </c>
      <c r="I172" s="0" t="n">
        <v>1165509</v>
      </c>
      <c r="J172" s="0" t="s">
        <v>1649</v>
      </c>
      <c r="M172" s="0" t="s">
        <v>1531</v>
      </c>
      <c r="N172" s="0" t="s">
        <v>128</v>
      </c>
      <c r="Q172" s="0" t="n">
        <v>33</v>
      </c>
      <c r="R172" s="0" t="n">
        <v>32</v>
      </c>
      <c r="U172" s="0" t="s">
        <v>1776</v>
      </c>
      <c r="V172" s="0" t="s">
        <v>1776</v>
      </c>
      <c r="Y172" s="0" t="s">
        <v>1651</v>
      </c>
      <c r="Z172" s="0" t="s">
        <v>1652</v>
      </c>
      <c r="AA172" s="0" t="s">
        <v>1830</v>
      </c>
      <c r="AC172" s="0" t="s">
        <v>1654</v>
      </c>
    </row>
    <row r="173" customFormat="false" ht="15" hidden="false" customHeight="false" outlineLevel="0" collapsed="false">
      <c r="A173" s="0" t="s">
        <v>1859</v>
      </c>
      <c r="B173" s="0" t="s">
        <v>126</v>
      </c>
      <c r="C173" s="0" t="s">
        <v>1785</v>
      </c>
      <c r="D173" s="0" t="n">
        <v>2019</v>
      </c>
      <c r="E173" s="0" t="s">
        <v>57</v>
      </c>
      <c r="F173" s="0" t="n">
        <v>119328</v>
      </c>
      <c r="G173" s="0" t="s">
        <v>1681</v>
      </c>
      <c r="H173" s="0" t="s">
        <v>1648</v>
      </c>
      <c r="I173" s="0" t="n">
        <v>119328</v>
      </c>
      <c r="J173" s="0" t="s">
        <v>1649</v>
      </c>
      <c r="M173" s="0" t="s">
        <v>1531</v>
      </c>
      <c r="N173" s="0" t="s">
        <v>128</v>
      </c>
      <c r="Q173" s="0" t="n">
        <v>33</v>
      </c>
      <c r="R173" s="0" t="n">
        <v>32</v>
      </c>
      <c r="U173" s="0" t="s">
        <v>1776</v>
      </c>
      <c r="V173" s="0" t="s">
        <v>1776</v>
      </c>
      <c r="Y173" s="0" t="s">
        <v>1651</v>
      </c>
      <c r="Z173" s="0" t="s">
        <v>1652</v>
      </c>
      <c r="AA173" s="0" t="s">
        <v>1830</v>
      </c>
      <c r="AC173" s="0" t="s">
        <v>1654</v>
      </c>
    </row>
    <row r="174" customFormat="false" ht="15" hidden="false" customHeight="false" outlineLevel="0" collapsed="false">
      <c r="A174" s="0" t="s">
        <v>1860</v>
      </c>
      <c r="B174" s="0" t="s">
        <v>126</v>
      </c>
      <c r="C174" s="0" t="s">
        <v>1785</v>
      </c>
      <c r="D174" s="0" t="n">
        <v>2019</v>
      </c>
      <c r="E174" s="0" t="s">
        <v>56</v>
      </c>
      <c r="F174" s="0" t="n">
        <v>1046181</v>
      </c>
      <c r="G174" s="0" t="s">
        <v>1681</v>
      </c>
      <c r="H174" s="0" t="s">
        <v>1648</v>
      </c>
      <c r="I174" s="0" t="n">
        <v>1046181</v>
      </c>
      <c r="J174" s="0" t="s">
        <v>1649</v>
      </c>
      <c r="M174" s="0" t="s">
        <v>1531</v>
      </c>
      <c r="N174" s="0" t="s">
        <v>128</v>
      </c>
      <c r="Q174" s="0" t="n">
        <v>33</v>
      </c>
      <c r="R174" s="0" t="n">
        <v>32</v>
      </c>
      <c r="U174" s="0" t="s">
        <v>1776</v>
      </c>
      <c r="V174" s="0" t="s">
        <v>1776</v>
      </c>
      <c r="Y174" s="0" t="s">
        <v>1651</v>
      </c>
      <c r="Z174" s="0" t="s">
        <v>1652</v>
      </c>
      <c r="AA174" s="0" t="s">
        <v>1830</v>
      </c>
      <c r="AC174" s="0" t="s">
        <v>1654</v>
      </c>
    </row>
    <row r="175" customFormat="false" ht="15" hidden="false" customHeight="false" outlineLevel="0" collapsed="false">
      <c r="A175" s="0" t="s">
        <v>1861</v>
      </c>
      <c r="B175" s="0" t="s">
        <v>154</v>
      </c>
      <c r="C175" s="0" t="s">
        <v>1862</v>
      </c>
      <c r="D175" s="0" t="n">
        <v>2015</v>
      </c>
      <c r="E175" s="0" t="s">
        <v>1646</v>
      </c>
      <c r="F175" s="0" t="n">
        <v>284977836</v>
      </c>
      <c r="G175" s="0" t="s">
        <v>1647</v>
      </c>
      <c r="H175" s="0" t="s">
        <v>1648</v>
      </c>
      <c r="I175" s="0" t="n">
        <v>284977.836</v>
      </c>
      <c r="J175" s="0" t="s">
        <v>1649</v>
      </c>
      <c r="M175" s="0" t="s">
        <v>1863</v>
      </c>
      <c r="N175" s="0" t="s">
        <v>157</v>
      </c>
      <c r="Q175" s="0" t="n">
        <v>66</v>
      </c>
      <c r="R175" s="0" t="n">
        <v>66</v>
      </c>
      <c r="U175" s="0" t="s">
        <v>1864</v>
      </c>
      <c r="V175" s="0" t="s">
        <v>1864</v>
      </c>
      <c r="Y175" s="0" t="s">
        <v>1651</v>
      </c>
      <c r="Z175" s="0" t="s">
        <v>1652</v>
      </c>
      <c r="AA175" s="0" t="s">
        <v>1865</v>
      </c>
      <c r="AC175" s="0" t="s">
        <v>1654</v>
      </c>
    </row>
    <row r="176" customFormat="false" ht="15" hidden="false" customHeight="false" outlineLevel="0" collapsed="false">
      <c r="A176" s="0" t="s">
        <v>1866</v>
      </c>
      <c r="B176" s="0" t="s">
        <v>154</v>
      </c>
      <c r="C176" s="0" t="s">
        <v>1862</v>
      </c>
      <c r="D176" s="0" t="n">
        <v>2015</v>
      </c>
      <c r="E176" s="0" t="s">
        <v>63</v>
      </c>
      <c r="F176" s="0" t="n">
        <v>-77640</v>
      </c>
      <c r="G176" s="0" t="s">
        <v>1647</v>
      </c>
      <c r="H176" s="0" t="s">
        <v>1648</v>
      </c>
      <c r="I176" s="0" t="n">
        <v>-77.64</v>
      </c>
      <c r="J176" s="0" t="s">
        <v>1649</v>
      </c>
      <c r="M176" s="0" t="s">
        <v>1863</v>
      </c>
      <c r="N176" s="0" t="s">
        <v>157</v>
      </c>
      <c r="Q176" s="0" t="n">
        <v>65</v>
      </c>
      <c r="R176" s="0" t="n">
        <v>65</v>
      </c>
      <c r="U176" s="0" t="s">
        <v>1864</v>
      </c>
      <c r="V176" s="0" t="s">
        <v>1864</v>
      </c>
      <c r="Y176" s="0" t="s">
        <v>1651</v>
      </c>
      <c r="Z176" s="0" t="s">
        <v>1652</v>
      </c>
      <c r="AA176" s="0" t="s">
        <v>1867</v>
      </c>
      <c r="AC176" s="0" t="s">
        <v>1654</v>
      </c>
    </row>
    <row r="177" customFormat="false" ht="15" hidden="false" customHeight="false" outlineLevel="0" collapsed="false">
      <c r="A177" s="0" t="s">
        <v>1868</v>
      </c>
      <c r="B177" s="0" t="s">
        <v>154</v>
      </c>
      <c r="C177" s="0" t="s">
        <v>1862</v>
      </c>
      <c r="D177" s="0" t="n">
        <v>2015</v>
      </c>
      <c r="E177" s="0" t="s">
        <v>62</v>
      </c>
      <c r="F177" s="0" t="n">
        <v>185596590</v>
      </c>
      <c r="G177" s="0" t="s">
        <v>1647</v>
      </c>
      <c r="H177" s="0" t="s">
        <v>1648</v>
      </c>
      <c r="I177" s="0" t="n">
        <v>185596.59</v>
      </c>
      <c r="J177" s="0" t="s">
        <v>1649</v>
      </c>
      <c r="M177" s="0" t="s">
        <v>1863</v>
      </c>
      <c r="N177" s="0" t="s">
        <v>157</v>
      </c>
      <c r="Q177" s="0" t="n">
        <v>66</v>
      </c>
      <c r="R177" s="0" t="n">
        <v>66</v>
      </c>
      <c r="U177" s="0" t="s">
        <v>1864</v>
      </c>
      <c r="V177" s="0" t="s">
        <v>1864</v>
      </c>
      <c r="Y177" s="0" t="s">
        <v>1651</v>
      </c>
      <c r="Z177" s="0" t="s">
        <v>1652</v>
      </c>
      <c r="AA177" s="0" t="s">
        <v>1865</v>
      </c>
      <c r="AC177" s="0" t="s">
        <v>1654</v>
      </c>
    </row>
    <row r="178" customFormat="false" ht="15" hidden="false" customHeight="false" outlineLevel="0" collapsed="false">
      <c r="A178" s="0" t="s">
        <v>1869</v>
      </c>
      <c r="B178" s="0" t="s">
        <v>154</v>
      </c>
      <c r="C178" s="0" t="s">
        <v>1862</v>
      </c>
      <c r="D178" s="0" t="n">
        <v>2015</v>
      </c>
      <c r="E178" s="0" t="s">
        <v>58</v>
      </c>
      <c r="F178" s="0" t="n">
        <v>14676273</v>
      </c>
      <c r="G178" s="0" t="s">
        <v>1647</v>
      </c>
      <c r="H178" s="0" t="s">
        <v>1648</v>
      </c>
      <c r="I178" s="0" t="n">
        <v>14676.273</v>
      </c>
      <c r="J178" s="0" t="s">
        <v>1649</v>
      </c>
      <c r="M178" s="0" t="s">
        <v>1863</v>
      </c>
      <c r="N178" s="0" t="s">
        <v>157</v>
      </c>
      <c r="Q178" s="0" t="n">
        <v>70</v>
      </c>
      <c r="R178" s="0" t="n">
        <v>70</v>
      </c>
      <c r="U178" s="0" t="s">
        <v>1864</v>
      </c>
      <c r="V178" s="0" t="s">
        <v>1864</v>
      </c>
      <c r="Y178" s="0" t="s">
        <v>1651</v>
      </c>
      <c r="Z178" s="0" t="s">
        <v>1652</v>
      </c>
      <c r="AA178" s="0" t="s">
        <v>1865</v>
      </c>
      <c r="AC178" s="0" t="s">
        <v>1654</v>
      </c>
    </row>
    <row r="179" customFormat="false" ht="15" hidden="false" customHeight="false" outlineLevel="0" collapsed="false">
      <c r="A179" s="0" t="s">
        <v>1870</v>
      </c>
      <c r="B179" s="0" t="s">
        <v>154</v>
      </c>
      <c r="C179" s="0" t="s">
        <v>1862</v>
      </c>
      <c r="D179" s="0" t="n">
        <v>2015</v>
      </c>
      <c r="E179" s="0" t="s">
        <v>54</v>
      </c>
      <c r="F179" s="0" t="n">
        <v>2273205</v>
      </c>
      <c r="G179" s="0" t="s">
        <v>1647</v>
      </c>
      <c r="H179" s="0" t="s">
        <v>1648</v>
      </c>
      <c r="I179" s="0" t="n">
        <v>2273.205</v>
      </c>
      <c r="J179" s="0" t="s">
        <v>1649</v>
      </c>
      <c r="M179" s="0" t="s">
        <v>1863</v>
      </c>
      <c r="N179" s="0" t="s">
        <v>157</v>
      </c>
      <c r="Q179" s="0" t="n">
        <v>65</v>
      </c>
      <c r="R179" s="0" t="n">
        <v>65</v>
      </c>
      <c r="U179" s="0" t="s">
        <v>1864</v>
      </c>
      <c r="V179" s="0" t="s">
        <v>1864</v>
      </c>
      <c r="Y179" s="0" t="s">
        <v>1651</v>
      </c>
      <c r="Z179" s="0" t="s">
        <v>1652</v>
      </c>
      <c r="AA179" s="0" t="s">
        <v>1865</v>
      </c>
      <c r="AC179" s="0" t="s">
        <v>1654</v>
      </c>
    </row>
    <row r="180" customFormat="false" ht="15" hidden="false" customHeight="false" outlineLevel="0" collapsed="false">
      <c r="A180" s="0" t="s">
        <v>1871</v>
      </c>
      <c r="B180" s="0" t="s">
        <v>154</v>
      </c>
      <c r="C180" s="0" t="s">
        <v>1862</v>
      </c>
      <c r="D180" s="0" t="n">
        <v>2015</v>
      </c>
      <c r="E180" s="0" t="s">
        <v>55</v>
      </c>
      <c r="F180" s="0" t="n">
        <v>396743314</v>
      </c>
      <c r="G180" s="0" t="s">
        <v>1647</v>
      </c>
      <c r="H180" s="0" t="s">
        <v>1648</v>
      </c>
      <c r="I180" s="0" t="n">
        <v>396743.314</v>
      </c>
      <c r="J180" s="0" t="s">
        <v>1649</v>
      </c>
      <c r="M180" s="0" t="s">
        <v>1863</v>
      </c>
      <c r="N180" s="0" t="s">
        <v>157</v>
      </c>
      <c r="Q180" s="0" t="n">
        <v>66</v>
      </c>
      <c r="R180" s="0" t="n">
        <v>66</v>
      </c>
      <c r="U180" s="0" t="s">
        <v>1864</v>
      </c>
      <c r="V180" s="0" t="s">
        <v>1864</v>
      </c>
      <c r="Y180" s="0" t="s">
        <v>1651</v>
      </c>
      <c r="Z180" s="0" t="s">
        <v>1652</v>
      </c>
      <c r="AA180" s="0" t="s">
        <v>1865</v>
      </c>
      <c r="AC180" s="0" t="s">
        <v>1654</v>
      </c>
    </row>
    <row r="181" customFormat="false" ht="15" hidden="false" customHeight="false" outlineLevel="0" collapsed="false">
      <c r="A181" s="0" t="s">
        <v>1872</v>
      </c>
      <c r="B181" s="0" t="s">
        <v>154</v>
      </c>
      <c r="C181" s="0" t="s">
        <v>1862</v>
      </c>
      <c r="D181" s="0" t="n">
        <v>2015</v>
      </c>
      <c r="E181" s="0" t="s">
        <v>57</v>
      </c>
      <c r="F181" s="0" t="n">
        <v>46064110</v>
      </c>
      <c r="G181" s="0" t="s">
        <v>1647</v>
      </c>
      <c r="H181" s="0" t="s">
        <v>1648</v>
      </c>
      <c r="I181" s="0" t="n">
        <v>46064.11</v>
      </c>
      <c r="J181" s="0" t="s">
        <v>1649</v>
      </c>
      <c r="M181" s="0" t="s">
        <v>1863</v>
      </c>
      <c r="N181" s="0" t="s">
        <v>157</v>
      </c>
      <c r="Q181" s="0" t="n">
        <v>66</v>
      </c>
      <c r="R181" s="0" t="n">
        <v>66</v>
      </c>
      <c r="U181" s="0" t="s">
        <v>1864</v>
      </c>
      <c r="V181" s="0" t="s">
        <v>1864</v>
      </c>
      <c r="Y181" s="0" t="s">
        <v>1651</v>
      </c>
      <c r="Z181" s="0" t="s">
        <v>1652</v>
      </c>
      <c r="AA181" s="0" t="s">
        <v>1865</v>
      </c>
      <c r="AC181" s="0" t="s">
        <v>1654</v>
      </c>
    </row>
    <row r="182" customFormat="false" ht="15" hidden="false" customHeight="false" outlineLevel="0" collapsed="false">
      <c r="A182" s="0" t="s">
        <v>1873</v>
      </c>
      <c r="B182" s="0" t="s">
        <v>154</v>
      </c>
      <c r="C182" s="0" t="s">
        <v>1862</v>
      </c>
      <c r="D182" s="0" t="n">
        <v>2015</v>
      </c>
      <c r="E182" s="0" t="s">
        <v>56</v>
      </c>
      <c r="F182" s="0" t="n">
        <v>350679204</v>
      </c>
      <c r="G182" s="0" t="s">
        <v>1647</v>
      </c>
      <c r="H182" s="0" t="s">
        <v>1648</v>
      </c>
      <c r="I182" s="0" t="n">
        <v>350679.204</v>
      </c>
      <c r="J182" s="0" t="s">
        <v>1649</v>
      </c>
      <c r="M182" s="0" t="s">
        <v>1863</v>
      </c>
      <c r="N182" s="0" t="s">
        <v>157</v>
      </c>
      <c r="Q182" s="0" t="n">
        <v>66</v>
      </c>
      <c r="R182" s="0" t="n">
        <v>66</v>
      </c>
      <c r="U182" s="0" t="s">
        <v>1864</v>
      </c>
      <c r="V182" s="0" t="s">
        <v>1864</v>
      </c>
      <c r="Y182" s="0" t="s">
        <v>1651</v>
      </c>
      <c r="Z182" s="0" t="s">
        <v>1652</v>
      </c>
      <c r="AA182" s="0" t="s">
        <v>1865</v>
      </c>
      <c r="AC182" s="0" t="s">
        <v>1654</v>
      </c>
    </row>
    <row r="183" customFormat="false" ht="15" hidden="false" customHeight="false" outlineLevel="0" collapsed="false">
      <c r="A183" s="0" t="s">
        <v>1874</v>
      </c>
      <c r="B183" s="0" t="s">
        <v>154</v>
      </c>
      <c r="C183" s="0" t="s">
        <v>1862</v>
      </c>
      <c r="D183" s="0" t="n">
        <v>2016</v>
      </c>
      <c r="E183" s="0" t="s">
        <v>1646</v>
      </c>
      <c r="F183" s="0" t="n">
        <v>283328215</v>
      </c>
      <c r="G183" s="0" t="s">
        <v>1647</v>
      </c>
      <c r="H183" s="0" t="s">
        <v>1648</v>
      </c>
      <c r="I183" s="0" t="n">
        <v>283328.215</v>
      </c>
      <c r="J183" s="0" t="s">
        <v>1649</v>
      </c>
      <c r="M183" s="0" t="s">
        <v>1863</v>
      </c>
      <c r="N183" s="0" t="s">
        <v>157</v>
      </c>
      <c r="Q183" s="0" t="n">
        <v>66</v>
      </c>
      <c r="R183" s="0" t="n">
        <v>66</v>
      </c>
      <c r="U183" s="0" t="s">
        <v>1875</v>
      </c>
      <c r="V183" s="0" t="s">
        <v>1875</v>
      </c>
      <c r="Y183" s="0" t="s">
        <v>1651</v>
      </c>
      <c r="Z183" s="0" t="s">
        <v>1652</v>
      </c>
      <c r="AA183" s="0" t="s">
        <v>1865</v>
      </c>
      <c r="AC183" s="0" t="s">
        <v>1654</v>
      </c>
    </row>
    <row r="184" customFormat="false" ht="15" hidden="false" customHeight="false" outlineLevel="0" collapsed="false">
      <c r="A184" s="0" t="s">
        <v>1876</v>
      </c>
      <c r="B184" s="0" t="s">
        <v>154</v>
      </c>
      <c r="C184" s="0" t="s">
        <v>1862</v>
      </c>
      <c r="D184" s="0" t="n">
        <v>2016</v>
      </c>
      <c r="E184" s="0" t="s">
        <v>63</v>
      </c>
      <c r="F184" s="0" t="n">
        <v>412401</v>
      </c>
      <c r="G184" s="0" t="s">
        <v>1647</v>
      </c>
      <c r="H184" s="0" t="s">
        <v>1648</v>
      </c>
      <c r="I184" s="0" t="n">
        <v>412.401</v>
      </c>
      <c r="J184" s="0" t="s">
        <v>1649</v>
      </c>
      <c r="M184" s="0" t="s">
        <v>1863</v>
      </c>
      <c r="N184" s="0" t="s">
        <v>157</v>
      </c>
      <c r="Q184" s="0" t="n">
        <v>65</v>
      </c>
      <c r="R184" s="0" t="n">
        <v>65</v>
      </c>
      <c r="U184" s="0" t="s">
        <v>1875</v>
      </c>
      <c r="V184" s="0" t="s">
        <v>1875</v>
      </c>
      <c r="Y184" s="0" t="s">
        <v>1651</v>
      </c>
      <c r="Z184" s="0" t="s">
        <v>1652</v>
      </c>
      <c r="AA184" s="0" t="s">
        <v>1867</v>
      </c>
      <c r="AC184" s="0" t="s">
        <v>1654</v>
      </c>
    </row>
    <row r="185" customFormat="false" ht="15" hidden="false" customHeight="false" outlineLevel="0" collapsed="false">
      <c r="A185" s="0" t="s">
        <v>1877</v>
      </c>
      <c r="B185" s="0" t="s">
        <v>154</v>
      </c>
      <c r="C185" s="0" t="s">
        <v>1862</v>
      </c>
      <c r="D185" s="0" t="n">
        <v>2016</v>
      </c>
      <c r="E185" s="0" t="s">
        <v>62</v>
      </c>
      <c r="F185" s="0" t="n">
        <v>227008550</v>
      </c>
      <c r="G185" s="0" t="s">
        <v>1647</v>
      </c>
      <c r="H185" s="0" t="s">
        <v>1648</v>
      </c>
      <c r="I185" s="0" t="n">
        <v>227008.55</v>
      </c>
      <c r="J185" s="0" t="s">
        <v>1649</v>
      </c>
      <c r="M185" s="0" t="s">
        <v>1863</v>
      </c>
      <c r="N185" s="0" t="s">
        <v>157</v>
      </c>
      <c r="Q185" s="0" t="n">
        <v>66</v>
      </c>
      <c r="R185" s="0" t="n">
        <v>66</v>
      </c>
      <c r="U185" s="0" t="s">
        <v>1875</v>
      </c>
      <c r="V185" s="0" t="s">
        <v>1875</v>
      </c>
      <c r="Y185" s="0" t="s">
        <v>1651</v>
      </c>
      <c r="Z185" s="0" t="s">
        <v>1652</v>
      </c>
      <c r="AA185" s="0" t="s">
        <v>1865</v>
      </c>
      <c r="AC185" s="0" t="s">
        <v>1654</v>
      </c>
    </row>
    <row r="186" customFormat="false" ht="15" hidden="false" customHeight="false" outlineLevel="0" collapsed="false">
      <c r="A186" s="0" t="s">
        <v>1878</v>
      </c>
      <c r="B186" s="0" t="s">
        <v>154</v>
      </c>
      <c r="C186" s="0" t="s">
        <v>1862</v>
      </c>
      <c r="D186" s="0" t="n">
        <v>2016</v>
      </c>
      <c r="E186" s="0" t="s">
        <v>58</v>
      </c>
      <c r="F186" s="0" t="n">
        <v>15892427</v>
      </c>
      <c r="G186" s="0" t="s">
        <v>1647</v>
      </c>
      <c r="H186" s="0" t="s">
        <v>1648</v>
      </c>
      <c r="I186" s="0" t="n">
        <v>15892.427</v>
      </c>
      <c r="J186" s="0" t="s">
        <v>1649</v>
      </c>
      <c r="M186" s="0" t="s">
        <v>1863</v>
      </c>
      <c r="N186" s="0" t="s">
        <v>157</v>
      </c>
      <c r="Q186" s="0" t="n">
        <v>70</v>
      </c>
      <c r="R186" s="0" t="n">
        <v>70</v>
      </c>
      <c r="U186" s="0" t="s">
        <v>1875</v>
      </c>
      <c r="V186" s="0" t="s">
        <v>1875</v>
      </c>
      <c r="Y186" s="0" t="s">
        <v>1651</v>
      </c>
      <c r="Z186" s="0" t="s">
        <v>1652</v>
      </c>
      <c r="AA186" s="0" t="s">
        <v>1865</v>
      </c>
      <c r="AC186" s="0" t="s">
        <v>1654</v>
      </c>
    </row>
    <row r="187" customFormat="false" ht="15" hidden="false" customHeight="false" outlineLevel="0" collapsed="false">
      <c r="A187" s="0" t="s">
        <v>1879</v>
      </c>
      <c r="B187" s="0" t="s">
        <v>154</v>
      </c>
      <c r="C187" s="0" t="s">
        <v>1862</v>
      </c>
      <c r="D187" s="0" t="n">
        <v>2016</v>
      </c>
      <c r="E187" s="0" t="s">
        <v>54</v>
      </c>
      <c r="F187" s="0" t="n">
        <v>2591800</v>
      </c>
      <c r="G187" s="0" t="s">
        <v>1647</v>
      </c>
      <c r="H187" s="0" t="s">
        <v>1648</v>
      </c>
      <c r="I187" s="0" t="n">
        <v>2591.8</v>
      </c>
      <c r="J187" s="0" t="s">
        <v>1649</v>
      </c>
      <c r="M187" s="0" t="s">
        <v>1863</v>
      </c>
      <c r="N187" s="0" t="s">
        <v>157</v>
      </c>
      <c r="Q187" s="0" t="n">
        <v>65</v>
      </c>
      <c r="R187" s="0" t="n">
        <v>65</v>
      </c>
      <c r="U187" s="0" t="s">
        <v>1875</v>
      </c>
      <c r="V187" s="0" t="s">
        <v>1875</v>
      </c>
      <c r="Y187" s="0" t="s">
        <v>1651</v>
      </c>
      <c r="Z187" s="0" t="s">
        <v>1652</v>
      </c>
      <c r="AA187" s="0" t="s">
        <v>1865</v>
      </c>
      <c r="AC187" s="0" t="s">
        <v>1654</v>
      </c>
    </row>
    <row r="188" customFormat="false" ht="15" hidden="false" customHeight="false" outlineLevel="0" collapsed="false">
      <c r="A188" s="0" t="s">
        <v>1880</v>
      </c>
      <c r="B188" s="0" t="s">
        <v>154</v>
      </c>
      <c r="C188" s="0" t="s">
        <v>1862</v>
      </c>
      <c r="D188" s="0" t="n">
        <v>2016</v>
      </c>
      <c r="E188" s="0" t="s">
        <v>55</v>
      </c>
      <c r="F188" s="0" t="n">
        <v>421221036</v>
      </c>
      <c r="G188" s="0" t="s">
        <v>1647</v>
      </c>
      <c r="H188" s="0" t="s">
        <v>1648</v>
      </c>
      <c r="I188" s="0" t="n">
        <v>421221.036</v>
      </c>
      <c r="J188" s="0" t="s">
        <v>1649</v>
      </c>
      <c r="M188" s="0" t="s">
        <v>1863</v>
      </c>
      <c r="N188" s="0" t="s">
        <v>157</v>
      </c>
      <c r="Q188" s="0" t="n">
        <v>66</v>
      </c>
      <c r="R188" s="0" t="n">
        <v>66</v>
      </c>
      <c r="U188" s="0" t="s">
        <v>1875</v>
      </c>
      <c r="V188" s="0" t="s">
        <v>1875</v>
      </c>
      <c r="Y188" s="0" t="s">
        <v>1651</v>
      </c>
      <c r="Z188" s="0" t="s">
        <v>1652</v>
      </c>
      <c r="AA188" s="0" t="s">
        <v>1865</v>
      </c>
      <c r="AC188" s="0" t="s">
        <v>1654</v>
      </c>
    </row>
    <row r="189" customFormat="false" ht="15" hidden="false" customHeight="false" outlineLevel="0" collapsed="false">
      <c r="A189" s="0" t="s">
        <v>1881</v>
      </c>
      <c r="B189" s="0" t="s">
        <v>154</v>
      </c>
      <c r="C189" s="0" t="s">
        <v>1862</v>
      </c>
      <c r="D189" s="0" t="n">
        <v>2016</v>
      </c>
      <c r="E189" s="0" t="s">
        <v>57</v>
      </c>
      <c r="F189" s="0" t="n">
        <v>48501954</v>
      </c>
      <c r="G189" s="0" t="s">
        <v>1647</v>
      </c>
      <c r="H189" s="0" t="s">
        <v>1648</v>
      </c>
      <c r="I189" s="0" t="n">
        <v>48501.954</v>
      </c>
      <c r="J189" s="0" t="s">
        <v>1649</v>
      </c>
      <c r="M189" s="0" t="s">
        <v>1863</v>
      </c>
      <c r="N189" s="0" t="s">
        <v>157</v>
      </c>
      <c r="Q189" s="0" t="n">
        <v>66</v>
      </c>
      <c r="R189" s="0" t="n">
        <v>66</v>
      </c>
      <c r="U189" s="0" t="s">
        <v>1875</v>
      </c>
      <c r="V189" s="0" t="s">
        <v>1875</v>
      </c>
      <c r="Y189" s="0" t="s">
        <v>1651</v>
      </c>
      <c r="Z189" s="0" t="s">
        <v>1652</v>
      </c>
      <c r="AA189" s="0" t="s">
        <v>1865</v>
      </c>
      <c r="AC189" s="0" t="s">
        <v>1654</v>
      </c>
    </row>
    <row r="190" customFormat="false" ht="15" hidden="false" customHeight="false" outlineLevel="0" collapsed="false">
      <c r="A190" s="0" t="s">
        <v>1882</v>
      </c>
      <c r="B190" s="0" t="s">
        <v>154</v>
      </c>
      <c r="C190" s="0" t="s">
        <v>1862</v>
      </c>
      <c r="D190" s="0" t="n">
        <v>2016</v>
      </c>
      <c r="E190" s="0" t="s">
        <v>56</v>
      </c>
      <c r="F190" s="0" t="n">
        <v>372719082</v>
      </c>
      <c r="G190" s="0" t="s">
        <v>1647</v>
      </c>
      <c r="H190" s="0" t="s">
        <v>1648</v>
      </c>
      <c r="I190" s="0" t="n">
        <v>372719.082</v>
      </c>
      <c r="J190" s="0" t="s">
        <v>1649</v>
      </c>
      <c r="M190" s="0" t="s">
        <v>1863</v>
      </c>
      <c r="N190" s="0" t="s">
        <v>157</v>
      </c>
      <c r="Q190" s="0" t="n">
        <v>66</v>
      </c>
      <c r="R190" s="0" t="n">
        <v>66</v>
      </c>
      <c r="U190" s="0" t="s">
        <v>1875</v>
      </c>
      <c r="V190" s="0" t="s">
        <v>1875</v>
      </c>
      <c r="Y190" s="0" t="s">
        <v>1651</v>
      </c>
      <c r="Z190" s="0" t="s">
        <v>1652</v>
      </c>
      <c r="AA190" s="0" t="s">
        <v>1865</v>
      </c>
      <c r="AC190" s="0" t="s">
        <v>1654</v>
      </c>
    </row>
    <row r="191" customFormat="false" ht="15" hidden="false" customHeight="false" outlineLevel="0" collapsed="false">
      <c r="A191" s="0" t="s">
        <v>1883</v>
      </c>
      <c r="B191" s="0" t="s">
        <v>154</v>
      </c>
      <c r="C191" s="0" t="s">
        <v>1862</v>
      </c>
      <c r="D191" s="0" t="n">
        <v>2017</v>
      </c>
      <c r="E191" s="0" t="s">
        <v>69</v>
      </c>
      <c r="F191" s="0" t="n">
        <v>14.32</v>
      </c>
      <c r="G191" s="0" t="s">
        <v>1659</v>
      </c>
      <c r="I191" s="0" t="n">
        <v>14.32</v>
      </c>
      <c r="J191" s="0" t="s">
        <v>1649</v>
      </c>
      <c r="M191" s="0" t="s">
        <v>1567</v>
      </c>
      <c r="N191" s="0" t="s">
        <v>158</v>
      </c>
      <c r="Q191" s="0" t="n">
        <v>176</v>
      </c>
      <c r="R191" s="0" t="n">
        <v>174</v>
      </c>
      <c r="U191" s="0" t="s">
        <v>1884</v>
      </c>
      <c r="V191" s="0" t="s">
        <v>1884</v>
      </c>
      <c r="Y191" s="0" t="s">
        <v>1651</v>
      </c>
      <c r="Z191" s="0" t="s">
        <v>1652</v>
      </c>
      <c r="AA191" s="0" t="s">
        <v>1885</v>
      </c>
      <c r="AC191" s="0" t="s">
        <v>1654</v>
      </c>
    </row>
    <row r="192" customFormat="false" ht="15" hidden="false" customHeight="false" outlineLevel="0" collapsed="false">
      <c r="A192" s="0" t="s">
        <v>1886</v>
      </c>
      <c r="B192" s="0" t="s">
        <v>154</v>
      </c>
      <c r="C192" s="0" t="s">
        <v>1862</v>
      </c>
      <c r="D192" s="0" t="n">
        <v>2017</v>
      </c>
      <c r="E192" s="0" t="s">
        <v>1646</v>
      </c>
      <c r="F192" s="0" t="n">
        <v>254487050</v>
      </c>
      <c r="G192" s="0" t="s">
        <v>1647</v>
      </c>
      <c r="H192" s="0" t="s">
        <v>1648</v>
      </c>
      <c r="I192" s="0" t="n">
        <v>254487.05</v>
      </c>
      <c r="J192" s="0" t="s">
        <v>1649</v>
      </c>
      <c r="M192" s="0" t="s">
        <v>1567</v>
      </c>
      <c r="N192" s="0" t="s">
        <v>158</v>
      </c>
      <c r="Q192" s="0" t="n">
        <v>53</v>
      </c>
      <c r="R192" s="0" t="n">
        <v>51</v>
      </c>
      <c r="U192" s="0" t="s">
        <v>1884</v>
      </c>
      <c r="V192" s="0" t="s">
        <v>1884</v>
      </c>
      <c r="Y192" s="0" t="s">
        <v>1651</v>
      </c>
      <c r="Z192" s="0" t="s">
        <v>1652</v>
      </c>
      <c r="AA192" s="0" t="s">
        <v>1887</v>
      </c>
      <c r="AC192" s="0" t="s">
        <v>1654</v>
      </c>
    </row>
    <row r="193" customFormat="false" ht="15" hidden="false" customHeight="false" outlineLevel="0" collapsed="false">
      <c r="A193" s="0" t="s">
        <v>1888</v>
      </c>
      <c r="B193" s="0" t="s">
        <v>154</v>
      </c>
      <c r="C193" s="0" t="s">
        <v>1862</v>
      </c>
      <c r="D193" s="0" t="n">
        <v>2017</v>
      </c>
      <c r="E193" s="0" t="s">
        <v>60</v>
      </c>
      <c r="F193" s="0" t="n">
        <v>220076031</v>
      </c>
      <c r="G193" s="0" t="s">
        <v>1647</v>
      </c>
      <c r="H193" s="0" t="s">
        <v>1648</v>
      </c>
      <c r="I193" s="0" t="n">
        <v>220076.031</v>
      </c>
      <c r="J193" s="0" t="s">
        <v>1649</v>
      </c>
      <c r="M193" s="0" t="s">
        <v>1567</v>
      </c>
      <c r="N193" s="0" t="s">
        <v>158</v>
      </c>
      <c r="Q193" s="0" t="n">
        <v>109</v>
      </c>
      <c r="R193" s="0" t="n">
        <v>107</v>
      </c>
      <c r="U193" s="0" t="s">
        <v>1884</v>
      </c>
      <c r="V193" s="0" t="s">
        <v>1884</v>
      </c>
      <c r="Y193" s="0" t="s">
        <v>1651</v>
      </c>
      <c r="Z193" s="0" t="s">
        <v>1652</v>
      </c>
      <c r="AA193" s="0" t="s">
        <v>1887</v>
      </c>
      <c r="AC193" s="0" t="s">
        <v>1654</v>
      </c>
    </row>
    <row r="194" customFormat="false" ht="15" hidden="false" customHeight="false" outlineLevel="0" collapsed="false">
      <c r="A194" s="0" t="s">
        <v>1889</v>
      </c>
      <c r="B194" s="0" t="s">
        <v>154</v>
      </c>
      <c r="C194" s="0" t="s">
        <v>1862</v>
      </c>
      <c r="D194" s="0" t="n">
        <v>2017</v>
      </c>
      <c r="E194" s="0" t="s">
        <v>670</v>
      </c>
      <c r="F194" s="0" t="n">
        <v>64858369</v>
      </c>
      <c r="G194" s="0" t="s">
        <v>1647</v>
      </c>
      <c r="H194" s="0" t="s">
        <v>1648</v>
      </c>
      <c r="I194" s="0" t="n">
        <v>64858.369</v>
      </c>
      <c r="J194" s="0" t="s">
        <v>1649</v>
      </c>
      <c r="M194" s="0" t="s">
        <v>1567</v>
      </c>
      <c r="N194" s="0" t="s">
        <v>158</v>
      </c>
      <c r="Q194" s="0" t="n">
        <v>38</v>
      </c>
      <c r="R194" s="0" t="n">
        <v>36</v>
      </c>
      <c r="U194" s="0" t="s">
        <v>1884</v>
      </c>
      <c r="V194" s="0" t="s">
        <v>1884</v>
      </c>
      <c r="Y194" s="0" t="s">
        <v>1651</v>
      </c>
      <c r="Z194" s="0" t="s">
        <v>1652</v>
      </c>
      <c r="AA194" s="0" t="s">
        <v>1890</v>
      </c>
      <c r="AC194" s="0" t="s">
        <v>1654</v>
      </c>
    </row>
    <row r="195" customFormat="false" ht="15" hidden="false" customHeight="false" outlineLevel="0" collapsed="false">
      <c r="A195" s="0" t="s">
        <v>1891</v>
      </c>
      <c r="B195" s="0" t="s">
        <v>154</v>
      </c>
      <c r="C195" s="0" t="s">
        <v>1862</v>
      </c>
      <c r="D195" s="0" t="n">
        <v>2017</v>
      </c>
      <c r="E195" s="0" t="s">
        <v>63</v>
      </c>
      <c r="F195" s="0" t="n">
        <v>2179798</v>
      </c>
      <c r="G195" s="0" t="s">
        <v>1647</v>
      </c>
      <c r="H195" s="0" t="s">
        <v>1648</v>
      </c>
      <c r="I195" s="0" t="n">
        <v>2179.798</v>
      </c>
      <c r="J195" s="0" t="s">
        <v>1649</v>
      </c>
      <c r="M195" s="0" t="s">
        <v>1567</v>
      </c>
      <c r="N195" s="0" t="s">
        <v>158</v>
      </c>
      <c r="Q195" s="0" t="n">
        <v>52</v>
      </c>
      <c r="R195" s="0" t="n">
        <v>50</v>
      </c>
      <c r="U195" s="0" t="s">
        <v>1884</v>
      </c>
      <c r="V195" s="0" t="s">
        <v>1884</v>
      </c>
      <c r="Y195" s="0" t="s">
        <v>1651</v>
      </c>
      <c r="Z195" s="0" t="s">
        <v>1652</v>
      </c>
      <c r="AA195" s="0" t="s">
        <v>1887</v>
      </c>
      <c r="AC195" s="0" t="s">
        <v>1654</v>
      </c>
    </row>
    <row r="196" customFormat="false" ht="15" hidden="false" customHeight="false" outlineLevel="0" collapsed="false">
      <c r="A196" s="0" t="s">
        <v>1892</v>
      </c>
      <c r="B196" s="0" t="s">
        <v>154</v>
      </c>
      <c r="C196" s="0" t="s">
        <v>1862</v>
      </c>
      <c r="D196" s="0" t="n">
        <v>2017</v>
      </c>
      <c r="E196" s="0" t="s">
        <v>71</v>
      </c>
      <c r="F196" s="0" t="n">
        <v>26.25</v>
      </c>
      <c r="G196" s="0" t="s">
        <v>1659</v>
      </c>
      <c r="I196" s="0" t="n">
        <v>26.25</v>
      </c>
      <c r="J196" s="0" t="s">
        <v>1649</v>
      </c>
      <c r="M196" s="0" t="s">
        <v>1567</v>
      </c>
      <c r="N196" s="0" t="s">
        <v>158</v>
      </c>
      <c r="Q196" s="0" t="n">
        <v>158</v>
      </c>
      <c r="R196" s="0" t="n">
        <v>156</v>
      </c>
      <c r="U196" s="0" t="s">
        <v>1884</v>
      </c>
      <c r="V196" s="0" t="s">
        <v>1884</v>
      </c>
      <c r="Y196" s="0" t="s">
        <v>1651</v>
      </c>
      <c r="Z196" s="0" t="s">
        <v>1652</v>
      </c>
      <c r="AA196" s="0" t="s">
        <v>1893</v>
      </c>
      <c r="AC196" s="0" t="s">
        <v>1654</v>
      </c>
    </row>
    <row r="197" customFormat="false" ht="15" hidden="false" customHeight="false" outlineLevel="0" collapsed="false">
      <c r="A197" s="0" t="s">
        <v>1894</v>
      </c>
      <c r="B197" s="0" t="s">
        <v>154</v>
      </c>
      <c r="C197" s="0" t="s">
        <v>1862</v>
      </c>
      <c r="D197" s="0" t="n">
        <v>2017</v>
      </c>
      <c r="E197" s="0" t="s">
        <v>61</v>
      </c>
      <c r="F197" s="0" t="n">
        <v>4236001</v>
      </c>
      <c r="G197" s="0" t="s">
        <v>1647</v>
      </c>
      <c r="H197" s="0" t="s">
        <v>1648</v>
      </c>
      <c r="I197" s="0" t="n">
        <v>4236.001</v>
      </c>
      <c r="J197" s="0" t="s">
        <v>1649</v>
      </c>
      <c r="M197" s="0" t="s">
        <v>1567</v>
      </c>
      <c r="N197" s="0" t="s">
        <v>158</v>
      </c>
      <c r="Q197" s="0" t="n">
        <v>109</v>
      </c>
      <c r="R197" s="0" t="n">
        <v>107</v>
      </c>
      <c r="U197" s="0" t="s">
        <v>1884</v>
      </c>
      <c r="V197" s="0" t="s">
        <v>1884</v>
      </c>
      <c r="Y197" s="0" t="s">
        <v>1651</v>
      </c>
      <c r="Z197" s="0" t="s">
        <v>1652</v>
      </c>
      <c r="AA197" s="0" t="s">
        <v>1887</v>
      </c>
      <c r="AC197" s="0" t="s">
        <v>1654</v>
      </c>
    </row>
    <row r="198" customFormat="false" ht="15" hidden="false" customHeight="false" outlineLevel="0" collapsed="false">
      <c r="A198" s="0" t="s">
        <v>1895</v>
      </c>
      <c r="B198" s="0" t="s">
        <v>154</v>
      </c>
      <c r="C198" s="0" t="s">
        <v>1862</v>
      </c>
      <c r="D198" s="0" t="n">
        <v>2017</v>
      </c>
      <c r="E198" s="0" t="s">
        <v>266</v>
      </c>
      <c r="F198" s="0" t="n">
        <v>3.52</v>
      </c>
      <c r="G198" s="0" t="s">
        <v>1659</v>
      </c>
      <c r="I198" s="0" t="n">
        <v>3.52</v>
      </c>
      <c r="J198" s="0" t="s">
        <v>1649</v>
      </c>
      <c r="M198" s="0" t="s">
        <v>1567</v>
      </c>
      <c r="N198" s="0" t="s">
        <v>158</v>
      </c>
      <c r="Q198" s="0" t="n">
        <v>38</v>
      </c>
      <c r="R198" s="0" t="n">
        <v>36</v>
      </c>
      <c r="U198" s="0" t="s">
        <v>1884</v>
      </c>
      <c r="V198" s="0" t="s">
        <v>1884</v>
      </c>
      <c r="Y198" s="0" t="s">
        <v>1651</v>
      </c>
      <c r="Z198" s="0" t="s">
        <v>1652</v>
      </c>
      <c r="AA198" s="0" t="s">
        <v>1896</v>
      </c>
      <c r="AC198" s="0" t="s">
        <v>1654</v>
      </c>
    </row>
    <row r="199" customFormat="false" ht="15" hidden="false" customHeight="false" outlineLevel="0" collapsed="false">
      <c r="A199" s="0" t="s">
        <v>1897</v>
      </c>
      <c r="B199" s="0" t="s">
        <v>154</v>
      </c>
      <c r="C199" s="0" t="s">
        <v>1862</v>
      </c>
      <c r="D199" s="0" t="n">
        <v>2017</v>
      </c>
      <c r="E199" s="0" t="s">
        <v>62</v>
      </c>
      <c r="F199" s="0" t="n">
        <v>215840031</v>
      </c>
      <c r="G199" s="0" t="s">
        <v>1647</v>
      </c>
      <c r="H199" s="0" t="s">
        <v>1648</v>
      </c>
      <c r="I199" s="0" t="n">
        <v>215840.031</v>
      </c>
      <c r="J199" s="0" t="s">
        <v>1649</v>
      </c>
      <c r="M199" s="0" t="s">
        <v>1567</v>
      </c>
      <c r="N199" s="0" t="s">
        <v>158</v>
      </c>
      <c r="Q199" s="0" t="n">
        <v>53</v>
      </c>
      <c r="R199" s="0" t="n">
        <v>51</v>
      </c>
      <c r="U199" s="0" t="s">
        <v>1884</v>
      </c>
      <c r="V199" s="0" t="s">
        <v>1884</v>
      </c>
      <c r="Y199" s="0" t="s">
        <v>1651</v>
      </c>
      <c r="Z199" s="0" t="s">
        <v>1652</v>
      </c>
      <c r="AA199" s="0" t="s">
        <v>1887</v>
      </c>
      <c r="AC199" s="0" t="s">
        <v>1654</v>
      </c>
    </row>
    <row r="200" customFormat="false" ht="15" hidden="false" customHeight="false" outlineLevel="0" collapsed="false">
      <c r="A200" s="0" t="s">
        <v>1898</v>
      </c>
      <c r="B200" s="0" t="s">
        <v>154</v>
      </c>
      <c r="C200" s="0" t="s">
        <v>1862</v>
      </c>
      <c r="D200" s="0" t="n">
        <v>2017</v>
      </c>
      <c r="E200" s="0" t="s">
        <v>58</v>
      </c>
      <c r="F200" s="0" t="n">
        <v>-25950964</v>
      </c>
      <c r="G200" s="0" t="s">
        <v>1647</v>
      </c>
      <c r="H200" s="0" t="s">
        <v>1648</v>
      </c>
      <c r="I200" s="0" t="n">
        <v>-25950.964</v>
      </c>
      <c r="J200" s="0" t="s">
        <v>1649</v>
      </c>
      <c r="M200" s="0" t="s">
        <v>1567</v>
      </c>
      <c r="N200" s="0" t="s">
        <v>158</v>
      </c>
      <c r="Q200" s="0" t="n">
        <v>59</v>
      </c>
      <c r="R200" s="0" t="n">
        <v>57</v>
      </c>
      <c r="U200" s="0" t="s">
        <v>1884</v>
      </c>
      <c r="V200" s="0" t="s">
        <v>1884</v>
      </c>
      <c r="Y200" s="0" t="s">
        <v>1651</v>
      </c>
      <c r="Z200" s="0" t="s">
        <v>1652</v>
      </c>
      <c r="AA200" s="0" t="s">
        <v>1887</v>
      </c>
      <c r="AC200" s="0" t="s">
        <v>1654</v>
      </c>
    </row>
    <row r="201" customFormat="false" ht="15" hidden="false" customHeight="false" outlineLevel="0" collapsed="false">
      <c r="A201" s="0" t="s">
        <v>1899</v>
      </c>
      <c r="B201" s="0" t="s">
        <v>154</v>
      </c>
      <c r="C201" s="0" t="s">
        <v>1862</v>
      </c>
      <c r="D201" s="0" t="n">
        <v>2017</v>
      </c>
      <c r="E201" s="0" t="s">
        <v>54</v>
      </c>
      <c r="F201" s="0" t="n">
        <v>2301158</v>
      </c>
      <c r="G201" s="0" t="s">
        <v>1647</v>
      </c>
      <c r="H201" s="0" t="s">
        <v>1648</v>
      </c>
      <c r="I201" s="0" t="n">
        <v>2301.158</v>
      </c>
      <c r="J201" s="0" t="s">
        <v>1649</v>
      </c>
      <c r="M201" s="0" t="s">
        <v>1567</v>
      </c>
      <c r="N201" s="0" t="s">
        <v>158</v>
      </c>
      <c r="Q201" s="0" t="n">
        <v>52</v>
      </c>
      <c r="R201" s="0" t="n">
        <v>50</v>
      </c>
      <c r="U201" s="0" t="s">
        <v>1884</v>
      </c>
      <c r="V201" s="0" t="s">
        <v>1884</v>
      </c>
      <c r="Y201" s="0" t="s">
        <v>1651</v>
      </c>
      <c r="Z201" s="0" t="s">
        <v>1652</v>
      </c>
      <c r="AA201" s="0" t="s">
        <v>1887</v>
      </c>
      <c r="AC201" s="0" t="s">
        <v>1654</v>
      </c>
    </row>
    <row r="202" customFormat="false" ht="15" hidden="false" customHeight="false" outlineLevel="0" collapsed="false">
      <c r="A202" s="0" t="s">
        <v>1900</v>
      </c>
      <c r="B202" s="0" t="s">
        <v>154</v>
      </c>
      <c r="C202" s="0" t="s">
        <v>1862</v>
      </c>
      <c r="D202" s="0" t="n">
        <v>2017</v>
      </c>
      <c r="E202" s="0" t="s">
        <v>65</v>
      </c>
      <c r="F202" s="0" t="n">
        <v>25172806</v>
      </c>
      <c r="G202" s="0" t="s">
        <v>1647</v>
      </c>
      <c r="H202" s="0" t="s">
        <v>1648</v>
      </c>
      <c r="I202" s="0" t="n">
        <v>25172.806</v>
      </c>
      <c r="J202" s="0" t="s">
        <v>1649</v>
      </c>
      <c r="M202" s="0" t="s">
        <v>1567</v>
      </c>
      <c r="N202" s="0" t="s">
        <v>158</v>
      </c>
      <c r="Q202" s="0" t="n">
        <v>176</v>
      </c>
      <c r="R202" s="0" t="n">
        <v>174</v>
      </c>
      <c r="U202" s="0" t="s">
        <v>1884</v>
      </c>
      <c r="V202" s="0" t="s">
        <v>1884</v>
      </c>
      <c r="Y202" s="0" t="s">
        <v>1651</v>
      </c>
      <c r="Z202" s="0" t="s">
        <v>1652</v>
      </c>
      <c r="AA202" s="0" t="s">
        <v>1746</v>
      </c>
      <c r="AC202" s="0" t="s">
        <v>1654</v>
      </c>
    </row>
    <row r="203" customFormat="false" ht="15" hidden="false" customHeight="false" outlineLevel="0" collapsed="false">
      <c r="A203" s="0" t="s">
        <v>1901</v>
      </c>
      <c r="B203" s="0" t="s">
        <v>154</v>
      </c>
      <c r="C203" s="0" t="s">
        <v>1862</v>
      </c>
      <c r="D203" s="0" t="n">
        <v>2017</v>
      </c>
      <c r="E203" s="0" t="s">
        <v>66</v>
      </c>
      <c r="F203" s="0" t="n">
        <v>174776788</v>
      </c>
      <c r="G203" s="0" t="s">
        <v>1647</v>
      </c>
      <c r="H203" s="0" t="s">
        <v>1648</v>
      </c>
      <c r="I203" s="0" t="n">
        <v>174776.788</v>
      </c>
      <c r="J203" s="0" t="s">
        <v>1649</v>
      </c>
      <c r="M203" s="0" t="s">
        <v>1567</v>
      </c>
      <c r="N203" s="0" t="s">
        <v>158</v>
      </c>
      <c r="Q203" s="0" t="n">
        <v>176</v>
      </c>
      <c r="R203" s="0" t="n">
        <v>174</v>
      </c>
      <c r="U203" s="0" t="s">
        <v>1884</v>
      </c>
      <c r="V203" s="0" t="s">
        <v>1884</v>
      </c>
      <c r="Y203" s="0" t="s">
        <v>1651</v>
      </c>
      <c r="Z203" s="0" t="s">
        <v>1652</v>
      </c>
      <c r="AA203" s="0" t="s">
        <v>1746</v>
      </c>
      <c r="AC203" s="0" t="s">
        <v>1654</v>
      </c>
    </row>
    <row r="204" customFormat="false" ht="15" hidden="false" customHeight="false" outlineLevel="0" collapsed="false">
      <c r="A204" s="0" t="s">
        <v>1902</v>
      </c>
      <c r="B204" s="0" t="s">
        <v>154</v>
      </c>
      <c r="C204" s="0" t="s">
        <v>1862</v>
      </c>
      <c r="D204" s="0" t="n">
        <v>2017</v>
      </c>
      <c r="E204" s="0" t="s">
        <v>55</v>
      </c>
      <c r="F204" s="0" t="n">
        <v>384779809</v>
      </c>
      <c r="G204" s="0" t="s">
        <v>1647</v>
      </c>
      <c r="H204" s="0" t="s">
        <v>1648</v>
      </c>
      <c r="I204" s="0" t="n">
        <v>384779.809</v>
      </c>
      <c r="J204" s="0" t="s">
        <v>1649</v>
      </c>
      <c r="M204" s="0" t="s">
        <v>1567</v>
      </c>
      <c r="N204" s="0" t="s">
        <v>158</v>
      </c>
      <c r="Q204" s="0" t="n">
        <v>53</v>
      </c>
      <c r="R204" s="0" t="n">
        <v>51</v>
      </c>
      <c r="U204" s="0" t="s">
        <v>1884</v>
      </c>
      <c r="V204" s="0" t="s">
        <v>1884</v>
      </c>
      <c r="Y204" s="0" t="s">
        <v>1651</v>
      </c>
      <c r="Z204" s="0" t="s">
        <v>1652</v>
      </c>
      <c r="AA204" s="0" t="s">
        <v>1887</v>
      </c>
      <c r="AC204" s="0" t="s">
        <v>1654</v>
      </c>
    </row>
    <row r="205" customFormat="false" ht="15" hidden="false" customHeight="false" outlineLevel="0" collapsed="false">
      <c r="A205" s="0" t="s">
        <v>1903</v>
      </c>
      <c r="B205" s="0" t="s">
        <v>154</v>
      </c>
      <c r="C205" s="0" t="s">
        <v>1862</v>
      </c>
      <c r="D205" s="0" t="n">
        <v>2017</v>
      </c>
      <c r="E205" s="0" t="s">
        <v>57</v>
      </c>
      <c r="F205" s="0" t="n">
        <v>49692140</v>
      </c>
      <c r="G205" s="0" t="s">
        <v>1647</v>
      </c>
      <c r="H205" s="0" t="s">
        <v>1648</v>
      </c>
      <c r="I205" s="0" t="n">
        <v>49692.14</v>
      </c>
      <c r="J205" s="0" t="s">
        <v>1649</v>
      </c>
      <c r="M205" s="0" t="s">
        <v>1567</v>
      </c>
      <c r="N205" s="0" t="s">
        <v>158</v>
      </c>
      <c r="Q205" s="0" t="n">
        <v>53</v>
      </c>
      <c r="R205" s="0" t="n">
        <v>51</v>
      </c>
      <c r="U205" s="0" t="s">
        <v>1884</v>
      </c>
      <c r="V205" s="0" t="s">
        <v>1884</v>
      </c>
      <c r="Y205" s="0" t="s">
        <v>1651</v>
      </c>
      <c r="Z205" s="0" t="s">
        <v>1652</v>
      </c>
      <c r="AA205" s="0" t="s">
        <v>1887</v>
      </c>
      <c r="AC205" s="0" t="s">
        <v>1654</v>
      </c>
    </row>
    <row r="206" customFormat="false" ht="15" hidden="false" customHeight="false" outlineLevel="0" collapsed="false">
      <c r="A206" s="0" t="s">
        <v>1904</v>
      </c>
      <c r="B206" s="0" t="s">
        <v>154</v>
      </c>
      <c r="C206" s="0" t="s">
        <v>1862</v>
      </c>
      <c r="D206" s="0" t="n">
        <v>2017</v>
      </c>
      <c r="E206" s="0" t="s">
        <v>56</v>
      </c>
      <c r="F206" s="0" t="n">
        <v>335087669</v>
      </c>
      <c r="G206" s="0" t="s">
        <v>1647</v>
      </c>
      <c r="H206" s="0" t="s">
        <v>1648</v>
      </c>
      <c r="I206" s="0" t="n">
        <v>335087.669</v>
      </c>
      <c r="J206" s="0" t="s">
        <v>1649</v>
      </c>
      <c r="M206" s="0" t="s">
        <v>1567</v>
      </c>
      <c r="N206" s="0" t="s">
        <v>158</v>
      </c>
      <c r="Q206" s="0" t="n">
        <v>53</v>
      </c>
      <c r="R206" s="0" t="n">
        <v>51</v>
      </c>
      <c r="U206" s="0" t="s">
        <v>1884</v>
      </c>
      <c r="V206" s="0" t="s">
        <v>1884</v>
      </c>
      <c r="Y206" s="0" t="s">
        <v>1651</v>
      </c>
      <c r="Z206" s="0" t="s">
        <v>1652</v>
      </c>
      <c r="AA206" s="0" t="s">
        <v>1887</v>
      </c>
      <c r="AC206" s="0" t="s">
        <v>1654</v>
      </c>
    </row>
    <row r="207" customFormat="false" ht="15" hidden="false" customHeight="false" outlineLevel="0" collapsed="false">
      <c r="A207" s="0" t="s">
        <v>1905</v>
      </c>
      <c r="B207" s="0" t="s">
        <v>154</v>
      </c>
      <c r="C207" s="0" t="s">
        <v>1862</v>
      </c>
      <c r="D207" s="0" t="n">
        <v>2018</v>
      </c>
      <c r="E207" s="0" t="s">
        <v>1906</v>
      </c>
      <c r="F207" s="0" t="s">
        <v>994</v>
      </c>
      <c r="G207" s="0" t="s">
        <v>1907</v>
      </c>
      <c r="I207" s="0" t="s">
        <v>994</v>
      </c>
      <c r="J207" s="0" t="s">
        <v>1649</v>
      </c>
      <c r="M207" s="0" t="s">
        <v>1567</v>
      </c>
      <c r="N207" s="0" t="s">
        <v>158</v>
      </c>
      <c r="Q207" s="0" t="n">
        <v>50</v>
      </c>
      <c r="R207" s="0" t="n">
        <v>49</v>
      </c>
      <c r="U207" s="0" t="s">
        <v>1908</v>
      </c>
      <c r="V207" s="0" t="s">
        <v>1908</v>
      </c>
      <c r="Y207" s="0" t="s">
        <v>1651</v>
      </c>
      <c r="Z207" s="0" t="s">
        <v>1652</v>
      </c>
      <c r="AA207" s="0" t="s">
        <v>1909</v>
      </c>
      <c r="AC207" s="0" t="s">
        <v>1654</v>
      </c>
    </row>
    <row r="208" customFormat="false" ht="15" hidden="false" customHeight="false" outlineLevel="0" collapsed="false">
      <c r="A208" s="0" t="s">
        <v>1910</v>
      </c>
      <c r="B208" s="0" t="s">
        <v>154</v>
      </c>
      <c r="C208" s="0" t="s">
        <v>1862</v>
      </c>
      <c r="D208" s="0" t="n">
        <v>2018</v>
      </c>
      <c r="E208" s="0" t="s">
        <v>69</v>
      </c>
      <c r="F208" s="0" t="n">
        <v>18.01</v>
      </c>
      <c r="G208" s="0" t="s">
        <v>1659</v>
      </c>
      <c r="I208" s="0" t="n">
        <v>18.01</v>
      </c>
      <c r="J208" s="0" t="s">
        <v>1649</v>
      </c>
      <c r="M208" s="0" t="s">
        <v>1567</v>
      </c>
      <c r="N208" s="0" t="s">
        <v>158</v>
      </c>
      <c r="Q208" s="0" t="n">
        <v>176</v>
      </c>
      <c r="R208" s="0" t="n">
        <v>174</v>
      </c>
      <c r="U208" s="0" t="s">
        <v>1908</v>
      </c>
      <c r="V208" s="0" t="s">
        <v>1908</v>
      </c>
      <c r="Y208" s="0" t="s">
        <v>1651</v>
      </c>
      <c r="Z208" s="0" t="s">
        <v>1652</v>
      </c>
      <c r="AA208" s="0" t="s">
        <v>1885</v>
      </c>
      <c r="AC208" s="0" t="s">
        <v>1654</v>
      </c>
    </row>
    <row r="209" customFormat="false" ht="15" hidden="false" customHeight="false" outlineLevel="0" collapsed="false">
      <c r="A209" s="0" t="s">
        <v>1911</v>
      </c>
      <c r="B209" s="0" t="s">
        <v>154</v>
      </c>
      <c r="C209" s="0" t="s">
        <v>1862</v>
      </c>
      <c r="D209" s="0" t="n">
        <v>2018</v>
      </c>
      <c r="E209" s="0" t="s">
        <v>1646</v>
      </c>
      <c r="F209" s="0" t="n">
        <v>369314164</v>
      </c>
      <c r="G209" s="0" t="s">
        <v>1647</v>
      </c>
      <c r="H209" s="0" t="s">
        <v>1648</v>
      </c>
      <c r="I209" s="0" t="n">
        <v>369314.164</v>
      </c>
      <c r="J209" s="0" t="s">
        <v>1649</v>
      </c>
      <c r="M209" s="0" t="s">
        <v>1567</v>
      </c>
      <c r="N209" s="0" t="s">
        <v>158</v>
      </c>
      <c r="Q209" s="0" t="n">
        <v>53</v>
      </c>
      <c r="R209" s="0" t="n">
        <v>51</v>
      </c>
      <c r="U209" s="0" t="s">
        <v>1908</v>
      </c>
      <c r="V209" s="0" t="s">
        <v>1908</v>
      </c>
      <c r="Y209" s="0" t="s">
        <v>1651</v>
      </c>
      <c r="Z209" s="0" t="s">
        <v>1652</v>
      </c>
      <c r="AA209" s="0" t="s">
        <v>1887</v>
      </c>
      <c r="AC209" s="0" t="s">
        <v>1654</v>
      </c>
    </row>
    <row r="210" customFormat="false" ht="15" hidden="false" customHeight="false" outlineLevel="0" collapsed="false">
      <c r="A210" s="0" t="s">
        <v>1912</v>
      </c>
      <c r="B210" s="0" t="s">
        <v>154</v>
      </c>
      <c r="C210" s="0" t="s">
        <v>1862</v>
      </c>
      <c r="D210" s="0" t="n">
        <v>2018</v>
      </c>
      <c r="E210" s="0" t="s">
        <v>73</v>
      </c>
      <c r="F210" s="0" t="n">
        <v>0</v>
      </c>
      <c r="G210" s="0" t="s">
        <v>1913</v>
      </c>
      <c r="I210" s="0" t="n">
        <v>0</v>
      </c>
      <c r="J210" s="0" t="s">
        <v>1649</v>
      </c>
      <c r="M210" s="0" t="s">
        <v>1567</v>
      </c>
      <c r="N210" s="0" t="s">
        <v>158</v>
      </c>
      <c r="Q210" s="0" t="n">
        <v>45</v>
      </c>
      <c r="R210" s="0" t="s">
        <v>1914</v>
      </c>
      <c r="U210" s="0" t="s">
        <v>1908</v>
      </c>
      <c r="V210" s="0" t="s">
        <v>1908</v>
      </c>
      <c r="Y210" s="0" t="s">
        <v>1651</v>
      </c>
      <c r="Z210" s="0" t="s">
        <v>1652</v>
      </c>
      <c r="AA210" s="0" t="s">
        <v>1915</v>
      </c>
      <c r="AC210" s="0" t="s">
        <v>1654</v>
      </c>
    </row>
    <row r="211" customFormat="false" ht="15" hidden="false" customHeight="false" outlineLevel="0" collapsed="false">
      <c r="A211" s="0" t="s">
        <v>1916</v>
      </c>
      <c r="B211" s="0" t="s">
        <v>154</v>
      </c>
      <c r="C211" s="0" t="s">
        <v>1862</v>
      </c>
      <c r="D211" s="0" t="n">
        <v>2018</v>
      </c>
      <c r="E211" s="0" t="s">
        <v>60</v>
      </c>
      <c r="F211" s="0" t="n">
        <v>261583723</v>
      </c>
      <c r="G211" s="0" t="s">
        <v>1647</v>
      </c>
      <c r="H211" s="0" t="s">
        <v>1648</v>
      </c>
      <c r="I211" s="0" t="n">
        <v>261583.723</v>
      </c>
      <c r="J211" s="0" t="s">
        <v>1649</v>
      </c>
      <c r="M211" s="0" t="s">
        <v>1567</v>
      </c>
      <c r="N211" s="0" t="s">
        <v>158</v>
      </c>
      <c r="Q211" s="0" t="n">
        <v>109</v>
      </c>
      <c r="R211" s="0" t="n">
        <v>107</v>
      </c>
      <c r="U211" s="0" t="s">
        <v>1908</v>
      </c>
      <c r="V211" s="0" t="s">
        <v>1908</v>
      </c>
      <c r="Y211" s="0" t="s">
        <v>1651</v>
      </c>
      <c r="Z211" s="0" t="s">
        <v>1652</v>
      </c>
      <c r="AA211" s="0" t="s">
        <v>1917</v>
      </c>
      <c r="AC211" s="0" t="s">
        <v>1654</v>
      </c>
    </row>
    <row r="212" customFormat="false" ht="15" hidden="false" customHeight="false" outlineLevel="0" collapsed="false">
      <c r="A212" s="0" t="s">
        <v>1918</v>
      </c>
      <c r="B212" s="0" t="s">
        <v>154</v>
      </c>
      <c r="C212" s="0" t="s">
        <v>1862</v>
      </c>
      <c r="D212" s="0" t="n">
        <v>2018</v>
      </c>
      <c r="E212" s="0" t="s">
        <v>670</v>
      </c>
      <c r="F212" s="0" t="n">
        <v>70907759</v>
      </c>
      <c r="G212" s="0" t="s">
        <v>1647</v>
      </c>
      <c r="H212" s="0" t="s">
        <v>1648</v>
      </c>
      <c r="I212" s="0" t="n">
        <v>70907.759</v>
      </c>
      <c r="J212" s="0" t="s">
        <v>1649</v>
      </c>
      <c r="M212" s="0" t="s">
        <v>1567</v>
      </c>
      <c r="N212" s="0" t="s">
        <v>158</v>
      </c>
      <c r="Q212" s="0" t="n">
        <v>38</v>
      </c>
      <c r="R212" s="0" t="n">
        <v>36</v>
      </c>
      <c r="U212" s="0" t="s">
        <v>1908</v>
      </c>
      <c r="V212" s="0" t="s">
        <v>1908</v>
      </c>
      <c r="Y212" s="0" t="s">
        <v>1651</v>
      </c>
      <c r="Z212" s="0" t="s">
        <v>1652</v>
      </c>
      <c r="AA212" s="0" t="s">
        <v>1890</v>
      </c>
      <c r="AC212" s="0" t="s">
        <v>1654</v>
      </c>
    </row>
    <row r="213" customFormat="false" ht="15" hidden="false" customHeight="false" outlineLevel="0" collapsed="false">
      <c r="A213" s="0" t="s">
        <v>1919</v>
      </c>
      <c r="B213" s="0" t="s">
        <v>154</v>
      </c>
      <c r="C213" s="0" t="s">
        <v>1862</v>
      </c>
      <c r="D213" s="0" t="n">
        <v>2018</v>
      </c>
      <c r="E213" s="0" t="s">
        <v>63</v>
      </c>
      <c r="F213" s="0" t="n">
        <v>3510537</v>
      </c>
      <c r="G213" s="0" t="s">
        <v>1647</v>
      </c>
      <c r="H213" s="0" t="s">
        <v>1648</v>
      </c>
      <c r="I213" s="0" t="n">
        <v>3510.537</v>
      </c>
      <c r="J213" s="0" t="s">
        <v>1649</v>
      </c>
      <c r="M213" s="0" t="s">
        <v>1567</v>
      </c>
      <c r="N213" s="0" t="s">
        <v>158</v>
      </c>
      <c r="Q213" s="0" t="n">
        <v>52</v>
      </c>
      <c r="R213" s="0" t="n">
        <v>50</v>
      </c>
      <c r="U213" s="0" t="s">
        <v>1908</v>
      </c>
      <c r="V213" s="0" t="s">
        <v>1908</v>
      </c>
      <c r="Y213" s="0" t="s">
        <v>1651</v>
      </c>
      <c r="Z213" s="0" t="s">
        <v>1652</v>
      </c>
      <c r="AA213" s="0" t="s">
        <v>1887</v>
      </c>
      <c r="AC213" s="0" t="s">
        <v>1654</v>
      </c>
    </row>
    <row r="214" customFormat="false" ht="15" hidden="false" customHeight="false" outlineLevel="0" collapsed="false">
      <c r="A214" s="0" t="s">
        <v>1920</v>
      </c>
      <c r="B214" s="0" t="s">
        <v>154</v>
      </c>
      <c r="C214" s="0" t="s">
        <v>1862</v>
      </c>
      <c r="D214" s="0" t="n">
        <v>2018</v>
      </c>
      <c r="E214" s="0" t="s">
        <v>71</v>
      </c>
      <c r="F214" s="0" t="n">
        <v>34.64</v>
      </c>
      <c r="G214" s="0" t="s">
        <v>1659</v>
      </c>
      <c r="I214" s="0" t="n">
        <v>34.64</v>
      </c>
      <c r="J214" s="0" t="s">
        <v>1649</v>
      </c>
      <c r="M214" s="0" t="s">
        <v>1567</v>
      </c>
      <c r="N214" s="0" t="s">
        <v>158</v>
      </c>
      <c r="Q214" s="0" t="n">
        <v>158</v>
      </c>
      <c r="R214" s="0" t="n">
        <v>156</v>
      </c>
      <c r="U214" s="0" t="s">
        <v>1908</v>
      </c>
      <c r="V214" s="0" t="s">
        <v>1908</v>
      </c>
      <c r="Y214" s="0" t="s">
        <v>1651</v>
      </c>
      <c r="Z214" s="0" t="s">
        <v>1652</v>
      </c>
      <c r="AA214" s="0" t="s">
        <v>1893</v>
      </c>
      <c r="AC214" s="0" t="s">
        <v>1654</v>
      </c>
    </row>
    <row r="215" customFormat="false" ht="15" hidden="false" customHeight="false" outlineLevel="0" collapsed="false">
      <c r="A215" s="0" t="s">
        <v>1921</v>
      </c>
      <c r="B215" s="0" t="s">
        <v>154</v>
      </c>
      <c r="C215" s="0" t="s">
        <v>1862</v>
      </c>
      <c r="D215" s="0" t="n">
        <v>2018</v>
      </c>
      <c r="E215" s="0" t="s">
        <v>61</v>
      </c>
      <c r="F215" s="0" t="n">
        <v>9394110</v>
      </c>
      <c r="G215" s="0" t="s">
        <v>1647</v>
      </c>
      <c r="H215" s="0" t="s">
        <v>1648</v>
      </c>
      <c r="I215" s="0" t="n">
        <v>9394.11</v>
      </c>
      <c r="J215" s="0" t="s">
        <v>1649</v>
      </c>
      <c r="M215" s="0" t="s">
        <v>1567</v>
      </c>
      <c r="N215" s="0" t="s">
        <v>158</v>
      </c>
      <c r="Q215" s="0" t="n">
        <v>109</v>
      </c>
      <c r="R215" s="0" t="n">
        <v>107</v>
      </c>
      <c r="U215" s="0" t="s">
        <v>1908</v>
      </c>
      <c r="V215" s="0" t="s">
        <v>1908</v>
      </c>
      <c r="Y215" s="0" t="s">
        <v>1651</v>
      </c>
      <c r="Z215" s="0" t="s">
        <v>1652</v>
      </c>
      <c r="AA215" s="0" t="s">
        <v>1887</v>
      </c>
      <c r="AC215" s="0" t="s">
        <v>1654</v>
      </c>
    </row>
    <row r="216" customFormat="false" ht="15" hidden="false" customHeight="false" outlineLevel="0" collapsed="false">
      <c r="A216" s="0" t="s">
        <v>1922</v>
      </c>
      <c r="B216" s="0" t="s">
        <v>154</v>
      </c>
      <c r="C216" s="0" t="s">
        <v>1862</v>
      </c>
      <c r="D216" s="0" t="n">
        <v>2018</v>
      </c>
      <c r="E216" s="0" t="s">
        <v>266</v>
      </c>
      <c r="F216" s="0" t="n">
        <v>4.98</v>
      </c>
      <c r="G216" s="0" t="s">
        <v>1659</v>
      </c>
      <c r="I216" s="0" t="n">
        <v>4.98</v>
      </c>
      <c r="J216" s="0" t="s">
        <v>1649</v>
      </c>
      <c r="M216" s="0" t="s">
        <v>1567</v>
      </c>
      <c r="N216" s="0" t="s">
        <v>158</v>
      </c>
      <c r="Q216" s="0" t="n">
        <v>38</v>
      </c>
      <c r="R216" s="0" t="n">
        <v>36</v>
      </c>
      <c r="U216" s="0" t="s">
        <v>1908</v>
      </c>
      <c r="V216" s="0" t="s">
        <v>1908</v>
      </c>
      <c r="Y216" s="0" t="s">
        <v>1651</v>
      </c>
      <c r="Z216" s="0" t="s">
        <v>1652</v>
      </c>
      <c r="AA216" s="0" t="s">
        <v>1896</v>
      </c>
      <c r="AC216" s="0" t="s">
        <v>1654</v>
      </c>
    </row>
    <row r="217" customFormat="false" ht="15" hidden="false" customHeight="false" outlineLevel="0" collapsed="false">
      <c r="A217" s="0" t="s">
        <v>1923</v>
      </c>
      <c r="B217" s="0" t="s">
        <v>154</v>
      </c>
      <c r="C217" s="0" t="s">
        <v>1862</v>
      </c>
      <c r="D217" s="0" t="n">
        <v>2018</v>
      </c>
      <c r="E217" s="0" t="s">
        <v>62</v>
      </c>
      <c r="F217" s="0" t="n">
        <v>252189613</v>
      </c>
      <c r="G217" s="0" t="s">
        <v>1647</v>
      </c>
      <c r="H217" s="0" t="s">
        <v>1648</v>
      </c>
      <c r="I217" s="0" t="n">
        <v>252189.613</v>
      </c>
      <c r="J217" s="0" t="s">
        <v>1649</v>
      </c>
      <c r="M217" s="0" t="s">
        <v>1567</v>
      </c>
      <c r="N217" s="0" t="s">
        <v>158</v>
      </c>
      <c r="Q217" s="0" t="n">
        <v>53</v>
      </c>
      <c r="R217" s="0" t="n">
        <v>51</v>
      </c>
      <c r="U217" s="0" t="s">
        <v>1908</v>
      </c>
      <c r="V217" s="0" t="s">
        <v>1908</v>
      </c>
      <c r="Y217" s="0" t="s">
        <v>1651</v>
      </c>
      <c r="Z217" s="0" t="s">
        <v>1652</v>
      </c>
      <c r="AA217" s="0" t="s">
        <v>1887</v>
      </c>
      <c r="AC217" s="0" t="s">
        <v>1654</v>
      </c>
    </row>
    <row r="218" customFormat="false" ht="15" hidden="false" customHeight="false" outlineLevel="0" collapsed="false">
      <c r="A218" s="0" t="s">
        <v>1924</v>
      </c>
      <c r="B218" s="0" t="s">
        <v>154</v>
      </c>
      <c r="C218" s="0" t="s">
        <v>1862</v>
      </c>
      <c r="D218" s="0" t="n">
        <v>2018</v>
      </c>
      <c r="E218" s="0" t="s">
        <v>58</v>
      </c>
      <c r="F218" s="0" t="n">
        <v>49309182</v>
      </c>
      <c r="G218" s="0" t="s">
        <v>1647</v>
      </c>
      <c r="H218" s="0" t="s">
        <v>1648</v>
      </c>
      <c r="I218" s="0" t="n">
        <v>49309.182</v>
      </c>
      <c r="J218" s="0" t="s">
        <v>1649</v>
      </c>
      <c r="M218" s="0" t="s">
        <v>1567</v>
      </c>
      <c r="N218" s="0" t="s">
        <v>158</v>
      </c>
      <c r="Q218" s="0" t="n">
        <v>59</v>
      </c>
      <c r="R218" s="0" t="n">
        <v>57</v>
      </c>
      <c r="U218" s="0" t="s">
        <v>1908</v>
      </c>
      <c r="V218" s="0" t="s">
        <v>1908</v>
      </c>
      <c r="Y218" s="0" t="s">
        <v>1651</v>
      </c>
      <c r="Z218" s="0" t="s">
        <v>1652</v>
      </c>
      <c r="AA218" s="0" t="s">
        <v>1887</v>
      </c>
      <c r="AC218" s="0" t="s">
        <v>1654</v>
      </c>
    </row>
    <row r="219" customFormat="false" ht="15" hidden="false" customHeight="false" outlineLevel="0" collapsed="false">
      <c r="A219" s="0" t="s">
        <v>1925</v>
      </c>
      <c r="B219" s="0" t="s">
        <v>154</v>
      </c>
      <c r="C219" s="0" t="s">
        <v>1862</v>
      </c>
      <c r="D219" s="0" t="n">
        <v>2018</v>
      </c>
      <c r="E219" s="0" t="s">
        <v>54</v>
      </c>
      <c r="F219" s="0" t="n">
        <v>3359259</v>
      </c>
      <c r="G219" s="0" t="s">
        <v>1647</v>
      </c>
      <c r="H219" s="0" t="s">
        <v>1648</v>
      </c>
      <c r="I219" s="0" t="n">
        <v>3359.259</v>
      </c>
      <c r="J219" s="0" t="s">
        <v>1649</v>
      </c>
      <c r="M219" s="0" t="s">
        <v>1567</v>
      </c>
      <c r="N219" s="0" t="s">
        <v>158</v>
      </c>
      <c r="Q219" s="0" t="n">
        <v>52</v>
      </c>
      <c r="R219" s="0" t="n">
        <v>50</v>
      </c>
      <c r="U219" s="0" t="s">
        <v>1908</v>
      </c>
      <c r="V219" s="0" t="s">
        <v>1908</v>
      </c>
      <c r="Y219" s="0" t="s">
        <v>1651</v>
      </c>
      <c r="Z219" s="0" t="s">
        <v>1652</v>
      </c>
      <c r="AA219" s="0" t="s">
        <v>1887</v>
      </c>
      <c r="AC219" s="0" t="s">
        <v>1654</v>
      </c>
    </row>
    <row r="220" customFormat="false" ht="15" hidden="false" customHeight="false" outlineLevel="0" collapsed="false">
      <c r="A220" s="0" t="s">
        <v>1926</v>
      </c>
      <c r="B220" s="0" t="s">
        <v>154</v>
      </c>
      <c r="C220" s="0" t="s">
        <v>1862</v>
      </c>
      <c r="D220" s="0" t="n">
        <v>2018</v>
      </c>
      <c r="E220" s="0" t="s">
        <v>65</v>
      </c>
      <c r="F220" s="0" t="n">
        <v>34136938</v>
      </c>
      <c r="G220" s="0" t="s">
        <v>1647</v>
      </c>
      <c r="H220" s="0" t="s">
        <v>1648</v>
      </c>
      <c r="I220" s="0" t="n">
        <v>34136.938</v>
      </c>
      <c r="J220" s="0" t="s">
        <v>1649</v>
      </c>
      <c r="M220" s="0" t="s">
        <v>1567</v>
      </c>
      <c r="N220" s="0" t="s">
        <v>158</v>
      </c>
      <c r="Q220" s="0" t="n">
        <v>176</v>
      </c>
      <c r="R220" s="0" t="n">
        <v>174</v>
      </c>
      <c r="U220" s="0" t="s">
        <v>1908</v>
      </c>
      <c r="V220" s="0" t="s">
        <v>1908</v>
      </c>
      <c r="Y220" s="0" t="s">
        <v>1651</v>
      </c>
      <c r="Z220" s="0" t="s">
        <v>1652</v>
      </c>
      <c r="AA220" s="0" t="s">
        <v>1746</v>
      </c>
      <c r="AC220" s="0" t="s">
        <v>1654</v>
      </c>
    </row>
    <row r="221" customFormat="false" ht="15" hidden="false" customHeight="false" outlineLevel="0" collapsed="false">
      <c r="A221" s="0" t="s">
        <v>1927</v>
      </c>
      <c r="B221" s="0" t="s">
        <v>154</v>
      </c>
      <c r="C221" s="0" t="s">
        <v>1862</v>
      </c>
      <c r="D221" s="0" t="n">
        <v>2018</v>
      </c>
      <c r="E221" s="0" t="s">
        <v>66</v>
      </c>
      <c r="F221" s="0" t="n">
        <v>189521657</v>
      </c>
      <c r="G221" s="0" t="s">
        <v>1647</v>
      </c>
      <c r="H221" s="0" t="s">
        <v>1648</v>
      </c>
      <c r="I221" s="0" t="n">
        <v>189521.657</v>
      </c>
      <c r="J221" s="0" t="s">
        <v>1649</v>
      </c>
      <c r="M221" s="0" t="s">
        <v>1567</v>
      </c>
      <c r="N221" s="0" t="s">
        <v>158</v>
      </c>
      <c r="Q221" s="0" t="n">
        <v>176</v>
      </c>
      <c r="R221" s="0" t="n">
        <v>174</v>
      </c>
      <c r="U221" s="0" t="s">
        <v>1908</v>
      </c>
      <c r="V221" s="0" t="s">
        <v>1908</v>
      </c>
      <c r="Y221" s="0" t="s">
        <v>1651</v>
      </c>
      <c r="Z221" s="0" t="s">
        <v>1652</v>
      </c>
      <c r="AA221" s="0" t="s">
        <v>1746</v>
      </c>
      <c r="AC221" s="0" t="s">
        <v>1654</v>
      </c>
    </row>
    <row r="222" customFormat="false" ht="15" hidden="false" customHeight="false" outlineLevel="0" collapsed="false">
      <c r="A222" s="0" t="s">
        <v>1928</v>
      </c>
      <c r="B222" s="0" t="s">
        <v>154</v>
      </c>
      <c r="C222" s="0" t="s">
        <v>1862</v>
      </c>
      <c r="D222" s="0" t="n">
        <v>2018</v>
      </c>
      <c r="E222" s="0" t="s">
        <v>67</v>
      </c>
      <c r="F222" s="0" t="n">
        <v>13115753</v>
      </c>
      <c r="G222" s="0" t="s">
        <v>1647</v>
      </c>
      <c r="H222" s="0" t="s">
        <v>1648</v>
      </c>
      <c r="I222" s="0" t="n">
        <v>13115.753</v>
      </c>
      <c r="J222" s="0" t="s">
        <v>1649</v>
      </c>
      <c r="M222" s="0" t="s">
        <v>1567</v>
      </c>
      <c r="N222" s="0" t="s">
        <v>158</v>
      </c>
      <c r="Q222" s="0" t="n">
        <v>109</v>
      </c>
      <c r="R222" s="0" t="n">
        <v>107</v>
      </c>
      <c r="U222" s="0" t="s">
        <v>1908</v>
      </c>
      <c r="V222" s="0" t="s">
        <v>1908</v>
      </c>
      <c r="Y222" s="0" t="s">
        <v>1651</v>
      </c>
      <c r="Z222" s="0" t="s">
        <v>1652</v>
      </c>
      <c r="AA222" s="0" t="s">
        <v>1929</v>
      </c>
      <c r="AC222" s="0" t="s">
        <v>1654</v>
      </c>
    </row>
    <row r="223" customFormat="false" ht="15" hidden="false" customHeight="false" outlineLevel="0" collapsed="false">
      <c r="A223" s="0" t="s">
        <v>1930</v>
      </c>
      <c r="B223" s="0" t="s">
        <v>154</v>
      </c>
      <c r="C223" s="0" t="s">
        <v>1862</v>
      </c>
      <c r="D223" s="0" t="n">
        <v>2018</v>
      </c>
      <c r="E223" s="0" t="s">
        <v>68</v>
      </c>
      <c r="F223" s="0" t="n">
        <v>7698510</v>
      </c>
      <c r="G223" s="0" t="s">
        <v>1647</v>
      </c>
      <c r="H223" s="0" t="s">
        <v>1648</v>
      </c>
      <c r="I223" s="0" t="n">
        <v>7698.51</v>
      </c>
      <c r="J223" s="0" t="s">
        <v>1649</v>
      </c>
      <c r="M223" s="0" t="s">
        <v>1567</v>
      </c>
      <c r="N223" s="0" t="s">
        <v>158</v>
      </c>
      <c r="Q223" s="0" t="n">
        <v>109</v>
      </c>
      <c r="R223" s="0" t="n">
        <v>107</v>
      </c>
      <c r="U223" s="0" t="s">
        <v>1908</v>
      </c>
      <c r="V223" s="0" t="s">
        <v>1908</v>
      </c>
      <c r="Y223" s="0" t="s">
        <v>1651</v>
      </c>
      <c r="Z223" s="0" t="s">
        <v>1652</v>
      </c>
      <c r="AA223" s="0" t="s">
        <v>1931</v>
      </c>
      <c r="AC223" s="0" t="s">
        <v>1654</v>
      </c>
    </row>
    <row r="224" customFormat="false" ht="15" hidden="false" customHeight="false" outlineLevel="0" collapsed="false">
      <c r="A224" s="0" t="s">
        <v>1932</v>
      </c>
      <c r="B224" s="0" t="s">
        <v>154</v>
      </c>
      <c r="C224" s="0" t="s">
        <v>1862</v>
      </c>
      <c r="D224" s="0" t="n">
        <v>2018</v>
      </c>
      <c r="E224" s="0" t="s">
        <v>55</v>
      </c>
      <c r="F224" s="0" t="n">
        <v>477915742</v>
      </c>
      <c r="G224" s="0" t="s">
        <v>1647</v>
      </c>
      <c r="H224" s="0" t="s">
        <v>1648</v>
      </c>
      <c r="I224" s="0" t="n">
        <v>477915.742</v>
      </c>
      <c r="J224" s="0" t="s">
        <v>1649</v>
      </c>
      <c r="M224" s="0" t="s">
        <v>1567</v>
      </c>
      <c r="N224" s="0" t="s">
        <v>158</v>
      </c>
      <c r="Q224" s="0" t="n">
        <v>53</v>
      </c>
      <c r="R224" s="0" t="n">
        <v>51</v>
      </c>
      <c r="U224" s="0" t="s">
        <v>1908</v>
      </c>
      <c r="V224" s="0" t="s">
        <v>1908</v>
      </c>
      <c r="Y224" s="0" t="s">
        <v>1651</v>
      </c>
      <c r="Z224" s="0" t="s">
        <v>1652</v>
      </c>
      <c r="AA224" s="0" t="s">
        <v>1887</v>
      </c>
      <c r="AC224" s="0" t="s">
        <v>1654</v>
      </c>
    </row>
    <row r="225" customFormat="false" ht="15" hidden="false" customHeight="false" outlineLevel="0" collapsed="false">
      <c r="A225" s="0" t="s">
        <v>1933</v>
      </c>
      <c r="B225" s="0" t="s">
        <v>154</v>
      </c>
      <c r="C225" s="0" t="s">
        <v>1862</v>
      </c>
      <c r="D225" s="0" t="n">
        <v>2018</v>
      </c>
      <c r="E225" s="0" t="s">
        <v>57</v>
      </c>
      <c r="F225" s="0" t="n">
        <v>50998879</v>
      </c>
      <c r="G225" s="0" t="s">
        <v>1647</v>
      </c>
      <c r="H225" s="0" t="s">
        <v>1648</v>
      </c>
      <c r="I225" s="0" t="n">
        <v>50998.879</v>
      </c>
      <c r="J225" s="0" t="s">
        <v>1649</v>
      </c>
      <c r="M225" s="0" t="s">
        <v>1567</v>
      </c>
      <c r="N225" s="0" t="s">
        <v>158</v>
      </c>
      <c r="Q225" s="0" t="n">
        <v>53</v>
      </c>
      <c r="R225" s="0" t="n">
        <v>51</v>
      </c>
      <c r="U225" s="0" t="s">
        <v>1908</v>
      </c>
      <c r="V225" s="0" t="s">
        <v>1908</v>
      </c>
      <c r="Y225" s="0" t="s">
        <v>1651</v>
      </c>
      <c r="Z225" s="0" t="s">
        <v>1652</v>
      </c>
      <c r="AA225" s="0" t="s">
        <v>1887</v>
      </c>
      <c r="AC225" s="0" t="s">
        <v>1654</v>
      </c>
    </row>
    <row r="226" customFormat="false" ht="15" hidden="false" customHeight="false" outlineLevel="0" collapsed="false">
      <c r="A226" s="0" t="s">
        <v>1934</v>
      </c>
      <c r="B226" s="0" t="s">
        <v>154</v>
      </c>
      <c r="C226" s="0" t="s">
        <v>1862</v>
      </c>
      <c r="D226" s="0" t="n">
        <v>2018</v>
      </c>
      <c r="E226" s="0" t="s">
        <v>56</v>
      </c>
      <c r="F226" s="0" t="n">
        <v>426916863</v>
      </c>
      <c r="G226" s="0" t="s">
        <v>1647</v>
      </c>
      <c r="H226" s="0" t="s">
        <v>1648</v>
      </c>
      <c r="I226" s="0" t="n">
        <v>426916.863</v>
      </c>
      <c r="J226" s="0" t="s">
        <v>1649</v>
      </c>
      <c r="M226" s="0" t="s">
        <v>1567</v>
      </c>
      <c r="N226" s="0" t="s">
        <v>158</v>
      </c>
      <c r="Q226" s="0" t="n">
        <v>53</v>
      </c>
      <c r="R226" s="0" t="n">
        <v>51</v>
      </c>
      <c r="U226" s="0" t="s">
        <v>1908</v>
      </c>
      <c r="V226" s="0" t="s">
        <v>1908</v>
      </c>
      <c r="Y226" s="0" t="s">
        <v>1651</v>
      </c>
      <c r="Z226" s="0" t="s">
        <v>1652</v>
      </c>
      <c r="AA226" s="0" t="s">
        <v>1887</v>
      </c>
      <c r="AC226" s="0" t="s">
        <v>1654</v>
      </c>
    </row>
    <row r="227" customFormat="false" ht="15" hidden="false" customHeight="false" outlineLevel="0" collapsed="false">
      <c r="A227" s="0" t="s">
        <v>1935</v>
      </c>
      <c r="B227" s="0" t="s">
        <v>152</v>
      </c>
      <c r="C227" s="0" t="s">
        <v>1936</v>
      </c>
      <c r="D227" s="0" t="n">
        <v>2018</v>
      </c>
      <c r="E227" s="0" t="s">
        <v>1937</v>
      </c>
      <c r="F227" s="0" t="n">
        <v>-214.8</v>
      </c>
      <c r="G227" s="0" t="s">
        <v>1723</v>
      </c>
      <c r="I227" s="0" t="n">
        <v>-214.8</v>
      </c>
      <c r="J227" s="0" t="s">
        <v>1649</v>
      </c>
      <c r="M227" s="0" t="s">
        <v>1559</v>
      </c>
      <c r="N227" s="0" t="s">
        <v>153</v>
      </c>
      <c r="Q227" s="0" t="n">
        <v>83</v>
      </c>
      <c r="R227" s="0" t="n">
        <v>81</v>
      </c>
      <c r="U227" s="0" t="s">
        <v>1938</v>
      </c>
      <c r="V227" s="0" t="s">
        <v>1938</v>
      </c>
      <c r="Y227" s="0" t="s">
        <v>1651</v>
      </c>
      <c r="Z227" s="0" t="s">
        <v>1652</v>
      </c>
      <c r="AA227" s="0" t="s">
        <v>1939</v>
      </c>
      <c r="AC227" s="0" t="s">
        <v>1654</v>
      </c>
    </row>
    <row r="228" customFormat="false" ht="15" hidden="false" customHeight="false" outlineLevel="0" collapsed="false">
      <c r="A228" s="0" t="s">
        <v>1940</v>
      </c>
      <c r="B228" s="0" t="s">
        <v>152</v>
      </c>
      <c r="C228" s="0" t="s">
        <v>1936</v>
      </c>
      <c r="D228" s="0" t="n">
        <v>2018</v>
      </c>
      <c r="E228" s="0" t="s">
        <v>70</v>
      </c>
      <c r="F228" s="0" t="n">
        <v>10</v>
      </c>
      <c r="G228" s="0" t="s">
        <v>1723</v>
      </c>
      <c r="I228" s="0" t="n">
        <v>10</v>
      </c>
      <c r="J228" s="0" t="s">
        <v>1649</v>
      </c>
      <c r="M228" s="0" t="s">
        <v>1559</v>
      </c>
      <c r="N228" s="0" t="s">
        <v>153</v>
      </c>
      <c r="Q228" s="0" t="n">
        <v>82</v>
      </c>
      <c r="R228" s="0" t="n">
        <v>80</v>
      </c>
      <c r="U228" s="0" t="s">
        <v>1938</v>
      </c>
      <c r="V228" s="0" t="s">
        <v>1938</v>
      </c>
      <c r="Y228" s="0" t="s">
        <v>1651</v>
      </c>
      <c r="Z228" s="0" t="s">
        <v>1652</v>
      </c>
      <c r="AA228" s="0" t="s">
        <v>1941</v>
      </c>
      <c r="AC228" s="0" t="s">
        <v>1654</v>
      </c>
    </row>
    <row r="229" customFormat="false" ht="15" hidden="false" customHeight="false" outlineLevel="0" collapsed="false">
      <c r="A229" s="0" t="s">
        <v>1942</v>
      </c>
      <c r="B229" s="0" t="s">
        <v>152</v>
      </c>
      <c r="C229" s="0" t="s">
        <v>1936</v>
      </c>
      <c r="D229" s="0" t="n">
        <v>2018</v>
      </c>
      <c r="E229" s="0" t="s">
        <v>591</v>
      </c>
      <c r="F229" s="0" t="n">
        <v>-213.68</v>
      </c>
      <c r="G229" s="0" t="s">
        <v>1723</v>
      </c>
      <c r="I229" s="0" t="n">
        <v>-213.68</v>
      </c>
      <c r="J229" s="0" t="s">
        <v>1649</v>
      </c>
      <c r="M229" s="0" t="s">
        <v>1559</v>
      </c>
      <c r="N229" s="0" t="s">
        <v>153</v>
      </c>
      <c r="Q229" s="0" t="n">
        <v>83</v>
      </c>
      <c r="R229" s="0" t="n">
        <v>81</v>
      </c>
      <c r="U229" s="0" t="s">
        <v>1938</v>
      </c>
      <c r="V229" s="0" t="s">
        <v>1938</v>
      </c>
      <c r="Y229" s="0" t="s">
        <v>1651</v>
      </c>
      <c r="Z229" s="0" t="s">
        <v>1652</v>
      </c>
      <c r="AA229" s="0" t="s">
        <v>1939</v>
      </c>
      <c r="AC229" s="0" t="s">
        <v>1654</v>
      </c>
    </row>
    <row r="230" customFormat="false" ht="15" hidden="false" customHeight="false" outlineLevel="0" collapsed="false">
      <c r="A230" s="0" t="s">
        <v>1943</v>
      </c>
      <c r="B230" s="0" t="s">
        <v>152</v>
      </c>
      <c r="C230" s="0" t="s">
        <v>1936</v>
      </c>
      <c r="D230" s="0" t="n">
        <v>2018</v>
      </c>
      <c r="E230" s="0" t="s">
        <v>1646</v>
      </c>
      <c r="F230" s="0" t="n">
        <v>247630264</v>
      </c>
      <c r="G230" s="0" t="s">
        <v>1647</v>
      </c>
      <c r="H230" s="0" t="s">
        <v>1648</v>
      </c>
      <c r="I230" s="0" t="n">
        <v>247630.264</v>
      </c>
      <c r="J230" s="0" t="s">
        <v>1649</v>
      </c>
      <c r="M230" s="0" t="s">
        <v>1559</v>
      </c>
      <c r="N230" s="0" t="s">
        <v>153</v>
      </c>
      <c r="Q230" s="0" t="n">
        <v>24</v>
      </c>
      <c r="R230" s="0" t="n">
        <v>22</v>
      </c>
      <c r="U230" s="0" t="s">
        <v>1938</v>
      </c>
      <c r="V230" s="0" t="s">
        <v>1938</v>
      </c>
      <c r="Y230" s="0" t="s">
        <v>1651</v>
      </c>
      <c r="Z230" s="0" t="s">
        <v>1652</v>
      </c>
      <c r="AA230" s="0" t="s">
        <v>1944</v>
      </c>
      <c r="AC230" s="0" t="s">
        <v>1654</v>
      </c>
    </row>
    <row r="231" customFormat="false" ht="15" hidden="false" customHeight="false" outlineLevel="0" collapsed="false">
      <c r="A231" s="0" t="s">
        <v>1945</v>
      </c>
      <c r="B231" s="0" t="s">
        <v>152</v>
      </c>
      <c r="C231" s="0" t="s">
        <v>1936</v>
      </c>
      <c r="D231" s="0" t="n">
        <v>2018</v>
      </c>
      <c r="E231" s="0" t="s">
        <v>60</v>
      </c>
      <c r="F231" s="0" t="n">
        <v>44841156</v>
      </c>
      <c r="G231" s="0" t="s">
        <v>1647</v>
      </c>
      <c r="H231" s="0" t="s">
        <v>1648</v>
      </c>
      <c r="I231" s="0" t="n">
        <v>44841.156</v>
      </c>
      <c r="J231" s="0" t="s">
        <v>1649</v>
      </c>
      <c r="M231" s="0" t="s">
        <v>1559</v>
      </c>
      <c r="N231" s="0" t="s">
        <v>153</v>
      </c>
      <c r="Q231" s="0" t="n">
        <v>65</v>
      </c>
      <c r="R231" s="0" t="n">
        <v>63</v>
      </c>
      <c r="U231" s="0" t="s">
        <v>1938</v>
      </c>
      <c r="V231" s="0" t="s">
        <v>1938</v>
      </c>
      <c r="Y231" s="0" t="s">
        <v>1651</v>
      </c>
      <c r="Z231" s="0" t="s">
        <v>1652</v>
      </c>
      <c r="AA231" s="0" t="s">
        <v>1946</v>
      </c>
      <c r="AC231" s="0" t="s">
        <v>1654</v>
      </c>
    </row>
    <row r="232" customFormat="false" ht="15" hidden="false" customHeight="false" outlineLevel="0" collapsed="false">
      <c r="A232" s="0" t="s">
        <v>1947</v>
      </c>
      <c r="B232" s="0" t="s">
        <v>152</v>
      </c>
      <c r="C232" s="0" t="s">
        <v>1936</v>
      </c>
      <c r="D232" s="0" t="n">
        <v>2018</v>
      </c>
      <c r="E232" s="0" t="s">
        <v>670</v>
      </c>
      <c r="F232" s="0" t="n">
        <v>34653783</v>
      </c>
      <c r="G232" s="0" t="s">
        <v>1647</v>
      </c>
      <c r="H232" s="0" t="s">
        <v>1648</v>
      </c>
      <c r="I232" s="0" t="n">
        <v>34653.783</v>
      </c>
      <c r="J232" s="0" t="s">
        <v>1649</v>
      </c>
      <c r="M232" s="0" t="s">
        <v>1559</v>
      </c>
      <c r="N232" s="0" t="s">
        <v>153</v>
      </c>
      <c r="Q232" s="0" t="n">
        <v>23</v>
      </c>
      <c r="R232" s="0" t="n">
        <v>21</v>
      </c>
      <c r="U232" s="0" t="s">
        <v>1938</v>
      </c>
      <c r="V232" s="0" t="s">
        <v>1938</v>
      </c>
      <c r="Y232" s="0" t="s">
        <v>1651</v>
      </c>
      <c r="Z232" s="0" t="s">
        <v>1652</v>
      </c>
      <c r="AA232" s="0" t="s">
        <v>1944</v>
      </c>
      <c r="AC232" s="0" t="s">
        <v>1654</v>
      </c>
    </row>
    <row r="233" customFormat="false" ht="15" hidden="false" customHeight="false" outlineLevel="0" collapsed="false">
      <c r="A233" s="0" t="s">
        <v>1948</v>
      </c>
      <c r="B233" s="0" t="s">
        <v>152</v>
      </c>
      <c r="C233" s="0" t="s">
        <v>1936</v>
      </c>
      <c r="D233" s="0" t="n">
        <v>2018</v>
      </c>
      <c r="E233" s="0" t="s">
        <v>711</v>
      </c>
      <c r="F233" s="0" t="n">
        <v>1489021</v>
      </c>
      <c r="G233" s="0" t="s">
        <v>1647</v>
      </c>
      <c r="H233" s="0" t="s">
        <v>1648</v>
      </c>
      <c r="I233" s="0" t="n">
        <v>1489.021</v>
      </c>
      <c r="J233" s="0" t="s">
        <v>1649</v>
      </c>
      <c r="M233" s="0" t="s">
        <v>1559</v>
      </c>
      <c r="N233" s="0" t="s">
        <v>153</v>
      </c>
      <c r="Q233" s="0" t="n">
        <v>83</v>
      </c>
      <c r="R233" s="0" t="n">
        <v>81</v>
      </c>
      <c r="U233" s="0" t="s">
        <v>1938</v>
      </c>
      <c r="V233" s="0" t="s">
        <v>1938</v>
      </c>
      <c r="Y233" s="0" t="s">
        <v>1651</v>
      </c>
      <c r="Z233" s="0" t="s">
        <v>1652</v>
      </c>
      <c r="AA233" s="0" t="s">
        <v>1949</v>
      </c>
      <c r="AC233" s="0" t="s">
        <v>1654</v>
      </c>
    </row>
    <row r="234" customFormat="false" ht="15" hidden="false" customHeight="false" outlineLevel="0" collapsed="false">
      <c r="A234" s="0" t="s">
        <v>1950</v>
      </c>
      <c r="B234" s="0" t="s">
        <v>152</v>
      </c>
      <c r="C234" s="0" t="s">
        <v>1936</v>
      </c>
      <c r="D234" s="0" t="n">
        <v>2018</v>
      </c>
      <c r="E234" s="0" t="s">
        <v>63</v>
      </c>
      <c r="F234" s="0" t="n">
        <v>5958492</v>
      </c>
      <c r="G234" s="0" t="s">
        <v>1647</v>
      </c>
      <c r="H234" s="0" t="s">
        <v>1648</v>
      </c>
      <c r="I234" s="0" t="n">
        <v>5958.492</v>
      </c>
      <c r="J234" s="0" t="s">
        <v>1649</v>
      </c>
      <c r="M234" s="0" t="s">
        <v>1559</v>
      </c>
      <c r="N234" s="0" t="s">
        <v>153</v>
      </c>
      <c r="Q234" s="0" t="n">
        <v>23</v>
      </c>
      <c r="R234" s="0" t="n">
        <v>21</v>
      </c>
      <c r="U234" s="0" t="s">
        <v>1938</v>
      </c>
      <c r="V234" s="0" t="s">
        <v>1938</v>
      </c>
      <c r="Y234" s="0" t="s">
        <v>1651</v>
      </c>
      <c r="Z234" s="0" t="s">
        <v>1652</v>
      </c>
      <c r="AA234" s="0" t="s">
        <v>1944</v>
      </c>
      <c r="AC234" s="0" t="s">
        <v>1654</v>
      </c>
    </row>
    <row r="235" customFormat="false" ht="15" hidden="false" customHeight="false" outlineLevel="0" collapsed="false">
      <c r="A235" s="0" t="s">
        <v>1951</v>
      </c>
      <c r="B235" s="0" t="s">
        <v>152</v>
      </c>
      <c r="C235" s="0" t="s">
        <v>1936</v>
      </c>
      <c r="D235" s="0" t="n">
        <v>2018</v>
      </c>
      <c r="E235" s="0" t="s">
        <v>61</v>
      </c>
      <c r="F235" s="0" t="n">
        <v>744197</v>
      </c>
      <c r="G235" s="0" t="s">
        <v>1647</v>
      </c>
      <c r="H235" s="0" t="s">
        <v>1648</v>
      </c>
      <c r="I235" s="0" t="n">
        <v>744.197</v>
      </c>
      <c r="J235" s="0" t="s">
        <v>1649</v>
      </c>
      <c r="M235" s="0" t="s">
        <v>1559</v>
      </c>
      <c r="N235" s="0" t="s">
        <v>153</v>
      </c>
      <c r="Q235" s="0" t="n">
        <v>65</v>
      </c>
      <c r="R235" s="0" t="n">
        <v>63</v>
      </c>
      <c r="U235" s="0" t="s">
        <v>1938</v>
      </c>
      <c r="V235" s="0" t="s">
        <v>1938</v>
      </c>
      <c r="Y235" s="0" t="s">
        <v>1651</v>
      </c>
      <c r="Z235" s="0" t="s">
        <v>1652</v>
      </c>
      <c r="AA235" s="0" t="s">
        <v>1946</v>
      </c>
      <c r="AC235" s="0" t="s">
        <v>1654</v>
      </c>
    </row>
    <row r="236" customFormat="false" ht="15" hidden="false" customHeight="false" outlineLevel="0" collapsed="false">
      <c r="A236" s="0" t="s">
        <v>1952</v>
      </c>
      <c r="B236" s="0" t="s">
        <v>152</v>
      </c>
      <c r="C236" s="0" t="s">
        <v>1936</v>
      </c>
      <c r="D236" s="0" t="n">
        <v>2018</v>
      </c>
      <c r="E236" s="0" t="s">
        <v>62</v>
      </c>
      <c r="F236" s="0" t="n">
        <v>44096959</v>
      </c>
      <c r="G236" s="0" t="s">
        <v>1647</v>
      </c>
      <c r="H236" s="0" t="s">
        <v>1648</v>
      </c>
      <c r="I236" s="0" t="n">
        <v>44096.959</v>
      </c>
      <c r="J236" s="0" t="s">
        <v>1649</v>
      </c>
      <c r="M236" s="0" t="s">
        <v>1559</v>
      </c>
      <c r="N236" s="0" t="s">
        <v>153</v>
      </c>
      <c r="Q236" s="0" t="n">
        <v>24</v>
      </c>
      <c r="R236" s="0" t="n">
        <v>22</v>
      </c>
      <c r="U236" s="0" t="s">
        <v>1938</v>
      </c>
      <c r="V236" s="0" t="s">
        <v>1938</v>
      </c>
      <c r="Y236" s="0" t="s">
        <v>1651</v>
      </c>
      <c r="Z236" s="0" t="s">
        <v>1652</v>
      </c>
      <c r="AA236" s="0" t="s">
        <v>1944</v>
      </c>
      <c r="AC236" s="0" t="s">
        <v>1654</v>
      </c>
    </row>
    <row r="237" customFormat="false" ht="15" hidden="false" customHeight="false" outlineLevel="0" collapsed="false">
      <c r="A237" s="0" t="s">
        <v>1953</v>
      </c>
      <c r="B237" s="0" t="s">
        <v>152</v>
      </c>
      <c r="C237" s="0" t="s">
        <v>1936</v>
      </c>
      <c r="D237" s="0" t="n">
        <v>2018</v>
      </c>
      <c r="E237" s="0" t="s">
        <v>1954</v>
      </c>
      <c r="F237" s="0" t="n">
        <v>134957181</v>
      </c>
      <c r="G237" s="0" t="s">
        <v>1647</v>
      </c>
      <c r="H237" s="0" t="s">
        <v>1648</v>
      </c>
      <c r="I237" s="0" t="n">
        <v>134957.181</v>
      </c>
      <c r="J237" s="0" t="s">
        <v>1649</v>
      </c>
      <c r="M237" s="0" t="s">
        <v>1559</v>
      </c>
      <c r="N237" s="0" t="s">
        <v>153</v>
      </c>
      <c r="Q237" s="0" t="n">
        <v>24</v>
      </c>
      <c r="R237" s="0" t="n">
        <v>22</v>
      </c>
      <c r="U237" s="0" t="s">
        <v>1938</v>
      </c>
      <c r="V237" s="0" t="s">
        <v>1938</v>
      </c>
      <c r="Y237" s="0" t="s">
        <v>1651</v>
      </c>
      <c r="Z237" s="0" t="s">
        <v>1652</v>
      </c>
      <c r="AA237" s="0" t="s">
        <v>1955</v>
      </c>
      <c r="AC237" s="0" t="s">
        <v>1654</v>
      </c>
    </row>
    <row r="238" customFormat="false" ht="15" hidden="false" customHeight="false" outlineLevel="0" collapsed="false">
      <c r="A238" s="0" t="s">
        <v>1956</v>
      </c>
      <c r="B238" s="0" t="s">
        <v>152</v>
      </c>
      <c r="C238" s="0" t="s">
        <v>1936</v>
      </c>
      <c r="D238" s="0" t="n">
        <v>2018</v>
      </c>
      <c r="E238" s="0" t="s">
        <v>1957</v>
      </c>
      <c r="F238" s="0" t="n">
        <v>-270916087</v>
      </c>
      <c r="G238" s="0" t="s">
        <v>1647</v>
      </c>
      <c r="H238" s="0" t="s">
        <v>1648</v>
      </c>
      <c r="I238" s="0" t="n">
        <v>-270916.087</v>
      </c>
      <c r="J238" s="0" t="s">
        <v>1649</v>
      </c>
      <c r="M238" s="0" t="s">
        <v>1559</v>
      </c>
      <c r="N238" s="0" t="s">
        <v>153</v>
      </c>
      <c r="Q238" s="0" t="n">
        <v>24</v>
      </c>
      <c r="R238" s="0" t="n">
        <v>22</v>
      </c>
      <c r="U238" s="0" t="s">
        <v>1938</v>
      </c>
      <c r="V238" s="0" t="s">
        <v>1938</v>
      </c>
      <c r="Y238" s="0" t="s">
        <v>1651</v>
      </c>
      <c r="Z238" s="0" t="s">
        <v>1652</v>
      </c>
      <c r="AA238" s="0" t="s">
        <v>1955</v>
      </c>
      <c r="AC238" s="0" t="s">
        <v>1654</v>
      </c>
    </row>
    <row r="239" customFormat="false" ht="15" hidden="false" customHeight="false" outlineLevel="0" collapsed="false">
      <c r="A239" s="0" t="s">
        <v>1958</v>
      </c>
      <c r="B239" s="0" t="s">
        <v>152</v>
      </c>
      <c r="C239" s="0" t="s">
        <v>1936</v>
      </c>
      <c r="D239" s="0" t="n">
        <v>2018</v>
      </c>
      <c r="E239" s="0" t="s">
        <v>58</v>
      </c>
      <c r="F239" s="0" t="n">
        <v>-442603</v>
      </c>
      <c r="G239" s="0" t="s">
        <v>1647</v>
      </c>
      <c r="H239" s="0" t="s">
        <v>1648</v>
      </c>
      <c r="I239" s="0" t="n">
        <v>-442.603</v>
      </c>
      <c r="J239" s="0" t="s">
        <v>1649</v>
      </c>
      <c r="M239" s="0" t="s">
        <v>1559</v>
      </c>
      <c r="N239" s="0" t="s">
        <v>153</v>
      </c>
      <c r="Q239" s="0" t="n">
        <v>26</v>
      </c>
      <c r="R239" s="0" t="n">
        <v>24</v>
      </c>
      <c r="U239" s="0" t="s">
        <v>1938</v>
      </c>
      <c r="V239" s="0" t="s">
        <v>1938</v>
      </c>
      <c r="Y239" s="0" t="s">
        <v>1651</v>
      </c>
      <c r="Z239" s="0" t="s">
        <v>1652</v>
      </c>
      <c r="AA239" s="0" t="s">
        <v>1944</v>
      </c>
      <c r="AC239" s="0" t="s">
        <v>1654</v>
      </c>
    </row>
    <row r="240" customFormat="false" ht="15" hidden="false" customHeight="false" outlineLevel="0" collapsed="false">
      <c r="A240" s="0" t="s">
        <v>1959</v>
      </c>
      <c r="B240" s="0" t="s">
        <v>152</v>
      </c>
      <c r="C240" s="0" t="s">
        <v>1936</v>
      </c>
      <c r="D240" s="0" t="n">
        <v>2018</v>
      </c>
      <c r="E240" s="0" t="s">
        <v>54</v>
      </c>
      <c r="F240" s="0" t="n">
        <v>-7695320</v>
      </c>
      <c r="G240" s="0" t="s">
        <v>1647</v>
      </c>
      <c r="H240" s="0" t="s">
        <v>1648</v>
      </c>
      <c r="I240" s="0" t="n">
        <v>-7695.32</v>
      </c>
      <c r="J240" s="0" t="s">
        <v>1649</v>
      </c>
      <c r="M240" s="0" t="s">
        <v>1559</v>
      </c>
      <c r="N240" s="0" t="s">
        <v>153</v>
      </c>
      <c r="Q240" s="0" t="n">
        <v>23</v>
      </c>
      <c r="R240" s="0" t="n">
        <v>21</v>
      </c>
      <c r="U240" s="0" t="s">
        <v>1938</v>
      </c>
      <c r="V240" s="0" t="s">
        <v>1938</v>
      </c>
      <c r="Y240" s="0" t="s">
        <v>1651</v>
      </c>
      <c r="Z240" s="0" t="s">
        <v>1652</v>
      </c>
      <c r="AA240" s="0" t="s">
        <v>1944</v>
      </c>
      <c r="AC240" s="0" t="s">
        <v>1654</v>
      </c>
    </row>
    <row r="241" customFormat="false" ht="15" hidden="false" customHeight="false" outlineLevel="0" collapsed="false">
      <c r="A241" s="0" t="s">
        <v>1960</v>
      </c>
      <c r="B241" s="0" t="s">
        <v>152</v>
      </c>
      <c r="C241" s="0" t="s">
        <v>1936</v>
      </c>
      <c r="D241" s="0" t="n">
        <v>2018</v>
      </c>
      <c r="E241" s="0" t="s">
        <v>1961</v>
      </c>
      <c r="F241" s="0" t="n">
        <v>1269435</v>
      </c>
      <c r="G241" s="0" t="s">
        <v>1647</v>
      </c>
      <c r="H241" s="0" t="s">
        <v>1648</v>
      </c>
      <c r="I241" s="0" t="n">
        <v>1269.435</v>
      </c>
      <c r="J241" s="0" t="s">
        <v>1649</v>
      </c>
      <c r="M241" s="0" t="s">
        <v>1559</v>
      </c>
      <c r="N241" s="0" t="s">
        <v>153</v>
      </c>
      <c r="Q241" s="0" t="n">
        <v>85</v>
      </c>
      <c r="R241" s="0" t="n">
        <v>83</v>
      </c>
      <c r="U241" s="0" t="s">
        <v>1938</v>
      </c>
      <c r="V241" s="0" t="s">
        <v>1938</v>
      </c>
      <c r="Y241" s="0" t="s">
        <v>1651</v>
      </c>
      <c r="Z241" s="0" t="s">
        <v>1652</v>
      </c>
      <c r="AA241" s="0" t="s">
        <v>1962</v>
      </c>
      <c r="AC241" s="0" t="s">
        <v>1654</v>
      </c>
    </row>
    <row r="242" customFormat="false" ht="15" hidden="false" customHeight="false" outlineLevel="0" collapsed="false">
      <c r="A242" s="0" t="s">
        <v>1963</v>
      </c>
      <c r="B242" s="0" t="s">
        <v>152</v>
      </c>
      <c r="C242" s="0" t="s">
        <v>1936</v>
      </c>
      <c r="D242" s="0" t="n">
        <v>2018</v>
      </c>
      <c r="E242" s="0" t="s">
        <v>1964</v>
      </c>
      <c r="F242" s="0" t="n">
        <v>-8964755</v>
      </c>
      <c r="G242" s="0" t="s">
        <v>1647</v>
      </c>
      <c r="H242" s="0" t="s">
        <v>1648</v>
      </c>
      <c r="I242" s="0" t="n">
        <v>-8964.755</v>
      </c>
      <c r="J242" s="0" t="s">
        <v>1649</v>
      </c>
      <c r="M242" s="0" t="s">
        <v>1559</v>
      </c>
      <c r="N242" s="0" t="s">
        <v>153</v>
      </c>
      <c r="Q242" s="0" t="n">
        <v>85</v>
      </c>
      <c r="R242" s="0" t="n">
        <v>83</v>
      </c>
      <c r="U242" s="0" t="s">
        <v>1938</v>
      </c>
      <c r="V242" s="0" t="s">
        <v>1938</v>
      </c>
      <c r="Y242" s="0" t="s">
        <v>1651</v>
      </c>
      <c r="Z242" s="0" t="s">
        <v>1652</v>
      </c>
      <c r="AA242" s="0" t="s">
        <v>1962</v>
      </c>
      <c r="AC242" s="0" t="s">
        <v>1654</v>
      </c>
    </row>
    <row r="243" customFormat="false" ht="15" hidden="false" customHeight="false" outlineLevel="0" collapsed="false">
      <c r="A243" s="0" t="s">
        <v>1965</v>
      </c>
      <c r="B243" s="0" t="s">
        <v>152</v>
      </c>
      <c r="C243" s="0" t="s">
        <v>1936</v>
      </c>
      <c r="D243" s="0" t="n">
        <v>2018</v>
      </c>
      <c r="E243" s="0" t="s">
        <v>1966</v>
      </c>
      <c r="F243" s="0" t="n">
        <v>-284423546</v>
      </c>
      <c r="G243" s="0" t="s">
        <v>1647</v>
      </c>
      <c r="H243" s="0" t="s">
        <v>1648</v>
      </c>
      <c r="I243" s="0" t="n">
        <v>-284423.546</v>
      </c>
      <c r="J243" s="0" t="s">
        <v>1649</v>
      </c>
      <c r="M243" s="0" t="s">
        <v>1559</v>
      </c>
      <c r="N243" s="0" t="s">
        <v>153</v>
      </c>
      <c r="Q243" s="0" t="n">
        <v>83</v>
      </c>
      <c r="R243" s="0" t="n">
        <v>81</v>
      </c>
      <c r="U243" s="0" t="s">
        <v>1938</v>
      </c>
      <c r="V243" s="0" t="s">
        <v>1938</v>
      </c>
      <c r="Y243" s="0" t="s">
        <v>1651</v>
      </c>
      <c r="Z243" s="0" t="s">
        <v>1652</v>
      </c>
      <c r="AA243" s="0" t="s">
        <v>1949</v>
      </c>
      <c r="AC243" s="0" t="s">
        <v>1654</v>
      </c>
    </row>
    <row r="244" customFormat="false" ht="15" hidden="false" customHeight="false" outlineLevel="0" collapsed="false">
      <c r="A244" s="0" t="s">
        <v>1967</v>
      </c>
      <c r="B244" s="0" t="s">
        <v>152</v>
      </c>
      <c r="C244" s="0" t="s">
        <v>1936</v>
      </c>
      <c r="D244" s="0" t="n">
        <v>2018</v>
      </c>
      <c r="E244" s="0" t="s">
        <v>595</v>
      </c>
      <c r="F244" s="0" t="n">
        <v>-282934524</v>
      </c>
      <c r="G244" s="0" t="s">
        <v>1647</v>
      </c>
      <c r="H244" s="0" t="s">
        <v>1648</v>
      </c>
      <c r="I244" s="0" t="n">
        <v>-282934.524</v>
      </c>
      <c r="J244" s="0" t="s">
        <v>1649</v>
      </c>
      <c r="M244" s="0" t="s">
        <v>1559</v>
      </c>
      <c r="N244" s="0" t="s">
        <v>153</v>
      </c>
      <c r="Q244" s="0" t="n">
        <v>83</v>
      </c>
      <c r="R244" s="0" t="n">
        <v>81</v>
      </c>
      <c r="U244" s="0" t="s">
        <v>1938</v>
      </c>
      <c r="V244" s="0" t="s">
        <v>1938</v>
      </c>
      <c r="Y244" s="0" t="s">
        <v>1651</v>
      </c>
      <c r="Z244" s="0" t="s">
        <v>1652</v>
      </c>
      <c r="AA244" s="0" t="s">
        <v>1949</v>
      </c>
      <c r="AC244" s="0" t="s">
        <v>1654</v>
      </c>
    </row>
    <row r="245" customFormat="false" ht="15" hidden="false" customHeight="false" outlineLevel="0" collapsed="false">
      <c r="A245" s="0" t="s">
        <v>1968</v>
      </c>
      <c r="B245" s="0" t="s">
        <v>152</v>
      </c>
      <c r="C245" s="0" t="s">
        <v>1936</v>
      </c>
      <c r="D245" s="0" t="n">
        <v>2018</v>
      </c>
      <c r="E245" s="0" t="s">
        <v>66</v>
      </c>
      <c r="F245" s="0" t="n">
        <v>132410592</v>
      </c>
      <c r="G245" s="0" t="s">
        <v>1647</v>
      </c>
      <c r="H245" s="0" t="s">
        <v>1648</v>
      </c>
      <c r="I245" s="0" t="n">
        <v>132410.592</v>
      </c>
      <c r="J245" s="0" t="s">
        <v>1649</v>
      </c>
      <c r="M245" s="0" t="s">
        <v>1559</v>
      </c>
      <c r="N245" s="0" t="s">
        <v>153</v>
      </c>
      <c r="Q245" s="0" t="n">
        <v>83</v>
      </c>
      <c r="R245" s="0" t="n">
        <v>81</v>
      </c>
      <c r="U245" s="0" t="s">
        <v>1938</v>
      </c>
      <c r="V245" s="0" t="s">
        <v>1938</v>
      </c>
      <c r="Y245" s="0" t="s">
        <v>1651</v>
      </c>
      <c r="Z245" s="0" t="s">
        <v>1652</v>
      </c>
      <c r="AA245" s="0" t="s">
        <v>1949</v>
      </c>
      <c r="AC245" s="0" t="s">
        <v>1654</v>
      </c>
    </row>
    <row r="246" customFormat="false" ht="15" hidden="false" customHeight="false" outlineLevel="0" collapsed="false">
      <c r="A246" s="0" t="s">
        <v>1969</v>
      </c>
      <c r="B246" s="0" t="s">
        <v>152</v>
      </c>
      <c r="C246" s="0" t="s">
        <v>1936</v>
      </c>
      <c r="D246" s="0" t="n">
        <v>2018</v>
      </c>
      <c r="E246" s="0" t="s">
        <v>55</v>
      </c>
      <c r="F246" s="0" t="n">
        <v>210800841</v>
      </c>
      <c r="G246" s="0" t="s">
        <v>1647</v>
      </c>
      <c r="H246" s="0" t="s">
        <v>1648</v>
      </c>
      <c r="I246" s="0" t="n">
        <v>210800.841</v>
      </c>
      <c r="J246" s="0" t="s">
        <v>1649</v>
      </c>
      <c r="M246" s="0" t="s">
        <v>1559</v>
      </c>
      <c r="N246" s="0" t="s">
        <v>153</v>
      </c>
      <c r="Q246" s="0" t="n">
        <v>24</v>
      </c>
      <c r="R246" s="0" t="n">
        <v>22</v>
      </c>
      <c r="U246" s="0" t="s">
        <v>1938</v>
      </c>
      <c r="V246" s="0" t="s">
        <v>1938</v>
      </c>
      <c r="Y246" s="0" t="s">
        <v>1651</v>
      </c>
      <c r="Z246" s="0" t="s">
        <v>1652</v>
      </c>
      <c r="AA246" s="0" t="s">
        <v>1944</v>
      </c>
      <c r="AC246" s="0" t="s">
        <v>1654</v>
      </c>
    </row>
    <row r="247" customFormat="false" ht="15" hidden="false" customHeight="false" outlineLevel="0" collapsed="false">
      <c r="A247" s="0" t="s">
        <v>1970</v>
      </c>
      <c r="B247" s="0" t="s">
        <v>152</v>
      </c>
      <c r="C247" s="0" t="s">
        <v>1936</v>
      </c>
      <c r="D247" s="0" t="n">
        <v>2018</v>
      </c>
      <c r="E247" s="0" t="s">
        <v>57</v>
      </c>
      <c r="F247" s="0" t="n">
        <v>-284374654</v>
      </c>
      <c r="G247" s="0" t="s">
        <v>1647</v>
      </c>
      <c r="H247" s="0" t="s">
        <v>1648</v>
      </c>
      <c r="I247" s="0" t="n">
        <v>-284374.654</v>
      </c>
      <c r="J247" s="0" t="s">
        <v>1649</v>
      </c>
      <c r="M247" s="0" t="s">
        <v>1559</v>
      </c>
      <c r="N247" s="0" t="s">
        <v>153</v>
      </c>
      <c r="Q247" s="0" t="n">
        <v>24</v>
      </c>
      <c r="R247" s="0" t="n">
        <v>22</v>
      </c>
      <c r="U247" s="0" t="s">
        <v>1938</v>
      </c>
      <c r="V247" s="0" t="s">
        <v>1938</v>
      </c>
      <c r="Y247" s="0" t="s">
        <v>1651</v>
      </c>
      <c r="Z247" s="0" t="s">
        <v>1652</v>
      </c>
      <c r="AA247" s="0" t="s">
        <v>1944</v>
      </c>
      <c r="AC247" s="0" t="s">
        <v>1654</v>
      </c>
    </row>
    <row r="248" customFormat="false" ht="15" hidden="false" customHeight="false" outlineLevel="0" collapsed="false">
      <c r="A248" s="0" t="s">
        <v>1971</v>
      </c>
      <c r="B248" s="0" t="s">
        <v>152</v>
      </c>
      <c r="C248" s="0" t="s">
        <v>1936</v>
      </c>
      <c r="D248" s="0" t="n">
        <v>2018</v>
      </c>
      <c r="E248" s="0" t="s">
        <v>56</v>
      </c>
      <c r="F248" s="0" t="n">
        <v>495175495</v>
      </c>
      <c r="G248" s="0" t="s">
        <v>1647</v>
      </c>
      <c r="H248" s="0" t="s">
        <v>1648</v>
      </c>
      <c r="I248" s="0" t="n">
        <v>495175.495</v>
      </c>
      <c r="J248" s="0" t="s">
        <v>1649</v>
      </c>
      <c r="M248" s="0" t="s">
        <v>1559</v>
      </c>
      <c r="N248" s="0" t="s">
        <v>153</v>
      </c>
      <c r="Q248" s="0" t="n">
        <v>24</v>
      </c>
      <c r="R248" s="0" t="n">
        <v>22</v>
      </c>
      <c r="U248" s="0" t="s">
        <v>1938</v>
      </c>
      <c r="V248" s="0" t="s">
        <v>1938</v>
      </c>
      <c r="Y248" s="0" t="s">
        <v>1651</v>
      </c>
      <c r="Z248" s="0" t="s">
        <v>1652</v>
      </c>
      <c r="AA248" s="0" t="s">
        <v>1944</v>
      </c>
      <c r="AC248" s="0" t="s">
        <v>1654</v>
      </c>
    </row>
    <row r="249" customFormat="false" ht="15" hidden="false" customHeight="false" outlineLevel="0" collapsed="false">
      <c r="A249" s="0" t="s">
        <v>1972</v>
      </c>
      <c r="B249" s="0" t="s">
        <v>152</v>
      </c>
      <c r="C249" s="0" t="s">
        <v>1936</v>
      </c>
      <c r="D249" s="0" t="n">
        <v>2019</v>
      </c>
      <c r="E249" s="0" t="s">
        <v>1906</v>
      </c>
      <c r="F249" s="0" t="s">
        <v>1973</v>
      </c>
      <c r="G249" s="0" t="s">
        <v>1974</v>
      </c>
      <c r="I249" s="0" t="s">
        <v>1973</v>
      </c>
      <c r="J249" s="0" t="s">
        <v>1649</v>
      </c>
      <c r="M249" s="0" t="s">
        <v>1559</v>
      </c>
      <c r="N249" s="0" t="s">
        <v>153</v>
      </c>
      <c r="Q249" s="0" t="n">
        <v>18</v>
      </c>
      <c r="R249" s="0" t="n">
        <v>16</v>
      </c>
      <c r="U249" s="0" t="s">
        <v>1776</v>
      </c>
      <c r="V249" s="0" t="s">
        <v>1776</v>
      </c>
      <c r="Y249" s="0" t="s">
        <v>1651</v>
      </c>
      <c r="Z249" s="0" t="s">
        <v>1652</v>
      </c>
      <c r="AA249" s="0" t="s">
        <v>1975</v>
      </c>
      <c r="AC249" s="0" t="s">
        <v>1654</v>
      </c>
    </row>
    <row r="250" customFormat="false" ht="15" hidden="false" customHeight="false" outlineLevel="0" collapsed="false">
      <c r="A250" s="0" t="s">
        <v>1976</v>
      </c>
      <c r="B250" s="0" t="s">
        <v>152</v>
      </c>
      <c r="C250" s="0" t="s">
        <v>1936</v>
      </c>
      <c r="D250" s="0" t="n">
        <v>2019</v>
      </c>
      <c r="E250" s="0" t="s">
        <v>1937</v>
      </c>
      <c r="F250" s="0" t="n">
        <v>-201.59</v>
      </c>
      <c r="G250" s="0" t="s">
        <v>1723</v>
      </c>
      <c r="I250" s="0" t="n">
        <v>-201.59</v>
      </c>
      <c r="J250" s="0" t="s">
        <v>1649</v>
      </c>
      <c r="M250" s="0" t="s">
        <v>1559</v>
      </c>
      <c r="N250" s="0" t="s">
        <v>153</v>
      </c>
      <c r="Q250" s="0" t="n">
        <v>83</v>
      </c>
      <c r="R250" s="0" t="n">
        <v>81</v>
      </c>
      <c r="U250" s="0" t="s">
        <v>1776</v>
      </c>
      <c r="V250" s="0" t="s">
        <v>1776</v>
      </c>
      <c r="Y250" s="0" t="s">
        <v>1651</v>
      </c>
      <c r="Z250" s="0" t="s">
        <v>1652</v>
      </c>
      <c r="AA250" s="0" t="s">
        <v>1939</v>
      </c>
      <c r="AC250" s="0" t="s">
        <v>1654</v>
      </c>
    </row>
    <row r="251" customFormat="false" ht="15" hidden="false" customHeight="false" outlineLevel="0" collapsed="false">
      <c r="A251" s="0" t="s">
        <v>1977</v>
      </c>
      <c r="B251" s="0" t="s">
        <v>152</v>
      </c>
      <c r="C251" s="0" t="s">
        <v>1936</v>
      </c>
      <c r="D251" s="0" t="n">
        <v>2019</v>
      </c>
      <c r="E251" s="0" t="s">
        <v>70</v>
      </c>
      <c r="F251" s="0" t="n">
        <v>10</v>
      </c>
      <c r="G251" s="0" t="s">
        <v>1723</v>
      </c>
      <c r="I251" s="0" t="n">
        <v>10</v>
      </c>
      <c r="J251" s="0" t="s">
        <v>1649</v>
      </c>
      <c r="M251" s="0" t="s">
        <v>1559</v>
      </c>
      <c r="N251" s="0" t="s">
        <v>153</v>
      </c>
      <c r="Q251" s="0" t="n">
        <v>82</v>
      </c>
      <c r="R251" s="0" t="n">
        <v>80</v>
      </c>
      <c r="U251" s="0" t="s">
        <v>1776</v>
      </c>
      <c r="V251" s="0" t="s">
        <v>1776</v>
      </c>
      <c r="Y251" s="0" t="s">
        <v>1651</v>
      </c>
      <c r="Z251" s="0" t="s">
        <v>1652</v>
      </c>
      <c r="AA251" s="0" t="s">
        <v>1941</v>
      </c>
      <c r="AC251" s="0" t="s">
        <v>1654</v>
      </c>
    </row>
    <row r="252" customFormat="false" ht="15" hidden="false" customHeight="false" outlineLevel="0" collapsed="false">
      <c r="A252" s="0" t="s">
        <v>1978</v>
      </c>
      <c r="B252" s="0" t="s">
        <v>152</v>
      </c>
      <c r="C252" s="0" t="s">
        <v>1936</v>
      </c>
      <c r="D252" s="0" t="n">
        <v>2019</v>
      </c>
      <c r="E252" s="0" t="s">
        <v>591</v>
      </c>
      <c r="F252" s="0" t="n">
        <v>-200.88</v>
      </c>
      <c r="G252" s="0" t="s">
        <v>1723</v>
      </c>
      <c r="I252" s="0" t="n">
        <v>-200.88</v>
      </c>
      <c r="J252" s="0" t="s">
        <v>1649</v>
      </c>
      <c r="M252" s="0" t="s">
        <v>1559</v>
      </c>
      <c r="N252" s="0" t="s">
        <v>153</v>
      </c>
      <c r="Q252" s="0" t="n">
        <v>83</v>
      </c>
      <c r="R252" s="0" t="n">
        <v>81</v>
      </c>
      <c r="U252" s="0" t="s">
        <v>1776</v>
      </c>
      <c r="V252" s="0" t="s">
        <v>1776</v>
      </c>
      <c r="Y252" s="0" t="s">
        <v>1651</v>
      </c>
      <c r="Z252" s="0" t="s">
        <v>1652</v>
      </c>
      <c r="AA252" s="0" t="s">
        <v>1939</v>
      </c>
      <c r="AC252" s="0" t="s">
        <v>1654</v>
      </c>
    </row>
    <row r="253" customFormat="false" ht="15" hidden="false" customHeight="false" outlineLevel="0" collapsed="false">
      <c r="A253" s="0" t="s">
        <v>1979</v>
      </c>
      <c r="B253" s="0" t="s">
        <v>152</v>
      </c>
      <c r="C253" s="0" t="s">
        <v>1936</v>
      </c>
      <c r="D253" s="0" t="n">
        <v>2019</v>
      </c>
      <c r="E253" s="0" t="s">
        <v>1646</v>
      </c>
      <c r="F253" s="0" t="n">
        <v>257691182</v>
      </c>
      <c r="G253" s="0" t="s">
        <v>1647</v>
      </c>
      <c r="H253" s="0" t="s">
        <v>1648</v>
      </c>
      <c r="I253" s="0" t="n">
        <v>257691.182</v>
      </c>
      <c r="J253" s="0" t="s">
        <v>1649</v>
      </c>
      <c r="M253" s="0" t="s">
        <v>1559</v>
      </c>
      <c r="N253" s="0" t="s">
        <v>153</v>
      </c>
      <c r="Q253" s="0" t="n">
        <v>24</v>
      </c>
      <c r="R253" s="0" t="n">
        <v>22</v>
      </c>
      <c r="U253" s="0" t="s">
        <v>1776</v>
      </c>
      <c r="V253" s="0" t="s">
        <v>1776</v>
      </c>
      <c r="Y253" s="0" t="s">
        <v>1651</v>
      </c>
      <c r="Z253" s="0" t="s">
        <v>1652</v>
      </c>
      <c r="AA253" s="0" t="s">
        <v>1944</v>
      </c>
      <c r="AC253" s="0" t="s">
        <v>1654</v>
      </c>
    </row>
    <row r="254" customFormat="false" ht="15" hidden="false" customHeight="false" outlineLevel="0" collapsed="false">
      <c r="A254" s="0" t="s">
        <v>1980</v>
      </c>
      <c r="B254" s="0" t="s">
        <v>152</v>
      </c>
      <c r="C254" s="0" t="s">
        <v>1936</v>
      </c>
      <c r="D254" s="0" t="n">
        <v>2019</v>
      </c>
      <c r="E254" s="0" t="s">
        <v>73</v>
      </c>
      <c r="F254" s="0" t="n">
        <v>1</v>
      </c>
      <c r="G254" s="0" t="s">
        <v>1981</v>
      </c>
      <c r="I254" s="0" t="n">
        <v>1</v>
      </c>
      <c r="J254" s="0" t="s">
        <v>1649</v>
      </c>
      <c r="M254" s="0" t="s">
        <v>1559</v>
      </c>
      <c r="N254" s="0" t="s">
        <v>153</v>
      </c>
      <c r="Q254" s="0" t="n">
        <v>18</v>
      </c>
      <c r="R254" s="0" t="n">
        <v>16</v>
      </c>
      <c r="U254" s="0" t="s">
        <v>1776</v>
      </c>
      <c r="V254" s="0" t="s">
        <v>1776</v>
      </c>
      <c r="Y254" s="0" t="s">
        <v>1651</v>
      </c>
      <c r="Z254" s="0" t="s">
        <v>1652</v>
      </c>
      <c r="AA254" s="0" t="s">
        <v>1982</v>
      </c>
      <c r="AC254" s="0" t="s">
        <v>1654</v>
      </c>
    </row>
    <row r="255" customFormat="false" ht="15" hidden="false" customHeight="false" outlineLevel="0" collapsed="false">
      <c r="A255" s="0" t="s">
        <v>1983</v>
      </c>
      <c r="B255" s="0" t="s">
        <v>152</v>
      </c>
      <c r="C255" s="0" t="s">
        <v>1936</v>
      </c>
      <c r="D255" s="0" t="n">
        <v>2019</v>
      </c>
      <c r="E255" s="0" t="s">
        <v>60</v>
      </c>
      <c r="F255" s="0" t="n">
        <v>106913813</v>
      </c>
      <c r="G255" s="0" t="s">
        <v>1647</v>
      </c>
      <c r="H255" s="0" t="s">
        <v>1648</v>
      </c>
      <c r="I255" s="0" t="n">
        <v>106913.813</v>
      </c>
      <c r="J255" s="0" t="s">
        <v>1649</v>
      </c>
      <c r="M255" s="0" t="s">
        <v>1559</v>
      </c>
      <c r="N255" s="0" t="s">
        <v>153</v>
      </c>
      <c r="Q255" s="0" t="n">
        <v>65</v>
      </c>
      <c r="R255" s="0" t="n">
        <v>63</v>
      </c>
      <c r="U255" s="0" t="s">
        <v>1776</v>
      </c>
      <c r="V255" s="0" t="s">
        <v>1776</v>
      </c>
      <c r="Y255" s="0" t="s">
        <v>1651</v>
      </c>
      <c r="Z255" s="0" t="s">
        <v>1652</v>
      </c>
      <c r="AA255" s="0" t="s">
        <v>1946</v>
      </c>
      <c r="AC255" s="0" t="s">
        <v>1654</v>
      </c>
    </row>
    <row r="256" customFormat="false" ht="15" hidden="false" customHeight="false" outlineLevel="0" collapsed="false">
      <c r="A256" s="0" t="s">
        <v>1984</v>
      </c>
      <c r="B256" s="0" t="s">
        <v>152</v>
      </c>
      <c r="C256" s="0" t="s">
        <v>1936</v>
      </c>
      <c r="D256" s="0" t="n">
        <v>2019</v>
      </c>
      <c r="E256" s="0" t="s">
        <v>670</v>
      </c>
      <c r="F256" s="0" t="n">
        <v>44587271</v>
      </c>
      <c r="G256" s="0" t="s">
        <v>1647</v>
      </c>
      <c r="H256" s="0" t="s">
        <v>1648</v>
      </c>
      <c r="I256" s="0" t="n">
        <v>44587.271</v>
      </c>
      <c r="J256" s="0" t="s">
        <v>1649</v>
      </c>
      <c r="M256" s="0" t="s">
        <v>1559</v>
      </c>
      <c r="N256" s="0" t="s">
        <v>153</v>
      </c>
      <c r="Q256" s="0" t="n">
        <v>23</v>
      </c>
      <c r="R256" s="0" t="n">
        <v>21</v>
      </c>
      <c r="U256" s="0" t="s">
        <v>1776</v>
      </c>
      <c r="V256" s="0" t="s">
        <v>1776</v>
      </c>
      <c r="Y256" s="0" t="s">
        <v>1651</v>
      </c>
      <c r="Z256" s="0" t="s">
        <v>1652</v>
      </c>
      <c r="AA256" s="0" t="s">
        <v>1944</v>
      </c>
      <c r="AC256" s="0" t="s">
        <v>1654</v>
      </c>
    </row>
    <row r="257" customFormat="false" ht="15" hidden="false" customHeight="false" outlineLevel="0" collapsed="false">
      <c r="A257" s="0" t="s">
        <v>1985</v>
      </c>
      <c r="B257" s="0" t="s">
        <v>152</v>
      </c>
      <c r="C257" s="0" t="s">
        <v>1936</v>
      </c>
      <c r="D257" s="0" t="n">
        <v>2019</v>
      </c>
      <c r="E257" s="0" t="s">
        <v>711</v>
      </c>
      <c r="F257" s="0" t="n">
        <v>992681</v>
      </c>
      <c r="G257" s="0" t="s">
        <v>1647</v>
      </c>
      <c r="H257" s="0" t="s">
        <v>1648</v>
      </c>
      <c r="I257" s="0" t="n">
        <v>992.681</v>
      </c>
      <c r="J257" s="0" t="s">
        <v>1649</v>
      </c>
      <c r="M257" s="0" t="s">
        <v>1559</v>
      </c>
      <c r="N257" s="0" t="s">
        <v>153</v>
      </c>
      <c r="Q257" s="0" t="n">
        <v>83</v>
      </c>
      <c r="R257" s="0" t="n">
        <v>81</v>
      </c>
      <c r="U257" s="0" t="s">
        <v>1776</v>
      </c>
      <c r="V257" s="0" t="s">
        <v>1776</v>
      </c>
      <c r="Y257" s="0" t="s">
        <v>1651</v>
      </c>
      <c r="Z257" s="0" t="s">
        <v>1652</v>
      </c>
      <c r="AA257" s="0" t="s">
        <v>1949</v>
      </c>
      <c r="AC257" s="0" t="s">
        <v>1654</v>
      </c>
    </row>
    <row r="258" customFormat="false" ht="15" hidden="false" customHeight="false" outlineLevel="0" collapsed="false">
      <c r="A258" s="0" t="s">
        <v>1986</v>
      </c>
      <c r="B258" s="0" t="s">
        <v>152</v>
      </c>
      <c r="C258" s="0" t="s">
        <v>1936</v>
      </c>
      <c r="D258" s="0" t="n">
        <v>2019</v>
      </c>
      <c r="E258" s="0" t="s">
        <v>63</v>
      </c>
      <c r="F258" s="0" t="n">
        <v>1921923</v>
      </c>
      <c r="G258" s="0" t="s">
        <v>1647</v>
      </c>
      <c r="H258" s="0" t="s">
        <v>1648</v>
      </c>
      <c r="I258" s="0" t="n">
        <v>1921.923</v>
      </c>
      <c r="J258" s="0" t="s">
        <v>1649</v>
      </c>
      <c r="M258" s="0" t="s">
        <v>1559</v>
      </c>
      <c r="N258" s="0" t="s">
        <v>153</v>
      </c>
      <c r="Q258" s="0" t="n">
        <v>23</v>
      </c>
      <c r="R258" s="0" t="n">
        <v>21</v>
      </c>
      <c r="U258" s="0" t="s">
        <v>1776</v>
      </c>
      <c r="V258" s="0" t="s">
        <v>1776</v>
      </c>
      <c r="Y258" s="0" t="s">
        <v>1651</v>
      </c>
      <c r="Z258" s="0" t="s">
        <v>1652</v>
      </c>
      <c r="AA258" s="0" t="s">
        <v>1944</v>
      </c>
      <c r="AC258" s="0" t="s">
        <v>1654</v>
      </c>
    </row>
    <row r="259" customFormat="false" ht="15" hidden="false" customHeight="false" outlineLevel="0" collapsed="false">
      <c r="A259" s="0" t="s">
        <v>1987</v>
      </c>
      <c r="B259" s="0" t="s">
        <v>152</v>
      </c>
      <c r="C259" s="0" t="s">
        <v>1936</v>
      </c>
      <c r="D259" s="0" t="n">
        <v>2019</v>
      </c>
      <c r="E259" s="0" t="s">
        <v>61</v>
      </c>
      <c r="F259" s="0" t="n">
        <v>2896088</v>
      </c>
      <c r="G259" s="0" t="s">
        <v>1647</v>
      </c>
      <c r="H259" s="0" t="s">
        <v>1648</v>
      </c>
      <c r="I259" s="0" t="n">
        <v>2896.088</v>
      </c>
      <c r="J259" s="0" t="s">
        <v>1649</v>
      </c>
      <c r="M259" s="0" t="s">
        <v>1559</v>
      </c>
      <c r="N259" s="0" t="s">
        <v>153</v>
      </c>
      <c r="Q259" s="0" t="n">
        <v>65</v>
      </c>
      <c r="R259" s="0" t="n">
        <v>63</v>
      </c>
      <c r="U259" s="0" t="s">
        <v>1776</v>
      </c>
      <c r="V259" s="0" t="s">
        <v>1776</v>
      </c>
      <c r="Y259" s="0" t="s">
        <v>1651</v>
      </c>
      <c r="Z259" s="0" t="s">
        <v>1652</v>
      </c>
      <c r="AA259" s="0" t="s">
        <v>1946</v>
      </c>
      <c r="AC259" s="0" t="s">
        <v>1654</v>
      </c>
    </row>
    <row r="260" customFormat="false" ht="15" hidden="false" customHeight="false" outlineLevel="0" collapsed="false">
      <c r="A260" s="0" t="s">
        <v>1988</v>
      </c>
      <c r="B260" s="0" t="s">
        <v>152</v>
      </c>
      <c r="C260" s="0" t="s">
        <v>1936</v>
      </c>
      <c r="D260" s="0" t="n">
        <v>2019</v>
      </c>
      <c r="E260" s="0" t="s">
        <v>62</v>
      </c>
      <c r="F260" s="0" t="n">
        <v>104017725</v>
      </c>
      <c r="G260" s="0" t="s">
        <v>1647</v>
      </c>
      <c r="H260" s="0" t="s">
        <v>1648</v>
      </c>
      <c r="I260" s="0" t="n">
        <v>104017.725</v>
      </c>
      <c r="J260" s="0" t="s">
        <v>1649</v>
      </c>
      <c r="M260" s="0" t="s">
        <v>1559</v>
      </c>
      <c r="N260" s="0" t="s">
        <v>153</v>
      </c>
      <c r="Q260" s="0" t="n">
        <v>24</v>
      </c>
      <c r="R260" s="0" t="n">
        <v>22</v>
      </c>
      <c r="U260" s="0" t="s">
        <v>1776</v>
      </c>
      <c r="V260" s="0" t="s">
        <v>1776</v>
      </c>
      <c r="Y260" s="0" t="s">
        <v>1651</v>
      </c>
      <c r="Z260" s="0" t="s">
        <v>1652</v>
      </c>
      <c r="AA260" s="0" t="s">
        <v>1944</v>
      </c>
      <c r="AC260" s="0" t="s">
        <v>1654</v>
      </c>
    </row>
    <row r="261" customFormat="false" ht="15" hidden="false" customHeight="false" outlineLevel="0" collapsed="false">
      <c r="A261" s="0" t="s">
        <v>1989</v>
      </c>
      <c r="B261" s="0" t="s">
        <v>152</v>
      </c>
      <c r="C261" s="0" t="s">
        <v>1936</v>
      </c>
      <c r="D261" s="0" t="n">
        <v>2019</v>
      </c>
      <c r="E261" s="0" t="s">
        <v>58</v>
      </c>
      <c r="F261" s="0" t="n">
        <v>-39427662</v>
      </c>
      <c r="G261" s="0" t="s">
        <v>1647</v>
      </c>
      <c r="H261" s="0" t="s">
        <v>1648</v>
      </c>
      <c r="I261" s="0" t="n">
        <v>-39427.662</v>
      </c>
      <c r="J261" s="0" t="s">
        <v>1649</v>
      </c>
      <c r="M261" s="0" t="s">
        <v>1559</v>
      </c>
      <c r="N261" s="0" t="s">
        <v>153</v>
      </c>
      <c r="Q261" s="0" t="n">
        <v>26</v>
      </c>
      <c r="R261" s="0" t="n">
        <v>24</v>
      </c>
      <c r="U261" s="0" t="s">
        <v>1776</v>
      </c>
      <c r="V261" s="0" t="s">
        <v>1776</v>
      </c>
      <c r="Y261" s="0" t="s">
        <v>1651</v>
      </c>
      <c r="Z261" s="0" t="s">
        <v>1652</v>
      </c>
      <c r="AA261" s="0" t="s">
        <v>1944</v>
      </c>
      <c r="AC261" s="0" t="s">
        <v>1654</v>
      </c>
    </row>
    <row r="262" customFormat="false" ht="15" hidden="false" customHeight="false" outlineLevel="0" collapsed="false">
      <c r="A262" s="0" t="s">
        <v>1990</v>
      </c>
      <c r="B262" s="0" t="s">
        <v>152</v>
      </c>
      <c r="C262" s="0" t="s">
        <v>1936</v>
      </c>
      <c r="D262" s="0" t="n">
        <v>2019</v>
      </c>
      <c r="E262" s="0" t="s">
        <v>54</v>
      </c>
      <c r="F262" s="0" t="n">
        <v>3383189</v>
      </c>
      <c r="G262" s="0" t="s">
        <v>1647</v>
      </c>
      <c r="H262" s="0" t="s">
        <v>1648</v>
      </c>
      <c r="I262" s="0" t="n">
        <v>3383.189</v>
      </c>
      <c r="J262" s="0" t="s">
        <v>1649</v>
      </c>
      <c r="M262" s="0" t="s">
        <v>1559</v>
      </c>
      <c r="N262" s="0" t="s">
        <v>153</v>
      </c>
      <c r="Q262" s="0" t="n">
        <v>23</v>
      </c>
      <c r="R262" s="0" t="n">
        <v>21</v>
      </c>
      <c r="U262" s="0" t="s">
        <v>1776</v>
      </c>
      <c r="V262" s="0" t="s">
        <v>1776</v>
      </c>
      <c r="Y262" s="0" t="s">
        <v>1651</v>
      </c>
      <c r="Z262" s="0" t="s">
        <v>1652</v>
      </c>
      <c r="AA262" s="0" t="s">
        <v>1944</v>
      </c>
      <c r="AC262" s="0" t="s">
        <v>1654</v>
      </c>
    </row>
    <row r="263" customFormat="false" ht="15" hidden="false" customHeight="false" outlineLevel="0" collapsed="false">
      <c r="A263" s="0" t="s">
        <v>1991</v>
      </c>
      <c r="B263" s="0" t="s">
        <v>152</v>
      </c>
      <c r="C263" s="0" t="s">
        <v>1936</v>
      </c>
      <c r="D263" s="0" t="n">
        <v>2019</v>
      </c>
      <c r="E263" s="0" t="s">
        <v>1966</v>
      </c>
      <c r="F263" s="0" t="n">
        <v>-281095692</v>
      </c>
      <c r="G263" s="0" t="s">
        <v>1647</v>
      </c>
      <c r="H263" s="0" t="s">
        <v>1648</v>
      </c>
      <c r="I263" s="0" t="n">
        <v>-281095.692</v>
      </c>
      <c r="J263" s="0" t="s">
        <v>1649</v>
      </c>
      <c r="M263" s="0" t="s">
        <v>1559</v>
      </c>
      <c r="N263" s="0" t="s">
        <v>153</v>
      </c>
      <c r="Q263" s="0" t="n">
        <v>83</v>
      </c>
      <c r="R263" s="0" t="n">
        <v>81</v>
      </c>
      <c r="U263" s="0" t="s">
        <v>1776</v>
      </c>
      <c r="V263" s="0" t="s">
        <v>1776</v>
      </c>
      <c r="Y263" s="0" t="s">
        <v>1651</v>
      </c>
      <c r="Z263" s="0" t="s">
        <v>1652</v>
      </c>
      <c r="AA263" s="0" t="s">
        <v>1949</v>
      </c>
      <c r="AC263" s="0" t="s">
        <v>1654</v>
      </c>
    </row>
    <row r="264" customFormat="false" ht="15" hidden="false" customHeight="false" outlineLevel="0" collapsed="false">
      <c r="A264" s="0" t="s">
        <v>1992</v>
      </c>
      <c r="B264" s="0" t="s">
        <v>152</v>
      </c>
      <c r="C264" s="0" t="s">
        <v>1936</v>
      </c>
      <c r="D264" s="0" t="n">
        <v>2019</v>
      </c>
      <c r="E264" s="0" t="s">
        <v>595</v>
      </c>
      <c r="F264" s="0" t="n">
        <v>-280103011</v>
      </c>
      <c r="G264" s="0" t="s">
        <v>1647</v>
      </c>
      <c r="H264" s="0" t="s">
        <v>1648</v>
      </c>
      <c r="I264" s="0" t="n">
        <v>-280103.011</v>
      </c>
      <c r="J264" s="0" t="s">
        <v>1649</v>
      </c>
      <c r="M264" s="0" t="s">
        <v>1559</v>
      </c>
      <c r="N264" s="0" t="s">
        <v>153</v>
      </c>
      <c r="Q264" s="0" t="n">
        <v>83</v>
      </c>
      <c r="R264" s="0" t="n">
        <v>81</v>
      </c>
      <c r="U264" s="0" t="s">
        <v>1776</v>
      </c>
      <c r="V264" s="0" t="s">
        <v>1776</v>
      </c>
      <c r="Y264" s="0" t="s">
        <v>1651</v>
      </c>
      <c r="Z264" s="0" t="s">
        <v>1652</v>
      </c>
      <c r="AA264" s="0" t="s">
        <v>1949</v>
      </c>
      <c r="AC264" s="0" t="s">
        <v>1654</v>
      </c>
    </row>
    <row r="265" customFormat="false" ht="15" hidden="false" customHeight="false" outlineLevel="0" collapsed="false">
      <c r="A265" s="0" t="s">
        <v>1993</v>
      </c>
      <c r="B265" s="0" t="s">
        <v>152</v>
      </c>
      <c r="C265" s="0" t="s">
        <v>1936</v>
      </c>
      <c r="D265" s="0" t="n">
        <v>2019</v>
      </c>
      <c r="E265" s="0" t="s">
        <v>66</v>
      </c>
      <c r="F265" s="0" t="n">
        <v>139438437</v>
      </c>
      <c r="G265" s="0" t="s">
        <v>1647</v>
      </c>
      <c r="H265" s="0" t="s">
        <v>1648</v>
      </c>
      <c r="I265" s="0" t="n">
        <v>139438.437</v>
      </c>
      <c r="J265" s="0" t="s">
        <v>1649</v>
      </c>
      <c r="M265" s="0" t="s">
        <v>1559</v>
      </c>
      <c r="N265" s="0" t="s">
        <v>153</v>
      </c>
      <c r="Q265" s="0" t="n">
        <v>83</v>
      </c>
      <c r="R265" s="0" t="n">
        <v>81</v>
      </c>
      <c r="U265" s="0" t="s">
        <v>1776</v>
      </c>
      <c r="V265" s="0" t="s">
        <v>1776</v>
      </c>
      <c r="Y265" s="0" t="s">
        <v>1651</v>
      </c>
      <c r="Z265" s="0" t="s">
        <v>1652</v>
      </c>
      <c r="AA265" s="0" t="s">
        <v>1949</v>
      </c>
      <c r="AC265" s="0" t="s">
        <v>1654</v>
      </c>
    </row>
    <row r="266" customFormat="false" ht="15" hidden="false" customHeight="false" outlineLevel="0" collapsed="false">
      <c r="A266" s="0" t="s">
        <v>1994</v>
      </c>
      <c r="B266" s="0" t="s">
        <v>152</v>
      </c>
      <c r="C266" s="0" t="s">
        <v>1936</v>
      </c>
      <c r="D266" s="0" t="n">
        <v>2019</v>
      </c>
      <c r="E266" s="0" t="s">
        <v>55</v>
      </c>
      <c r="F266" s="0" t="n">
        <v>293052070</v>
      </c>
      <c r="G266" s="0" t="s">
        <v>1647</v>
      </c>
      <c r="H266" s="0" t="s">
        <v>1648</v>
      </c>
      <c r="I266" s="0" t="n">
        <v>293052.07</v>
      </c>
      <c r="J266" s="0" t="s">
        <v>1649</v>
      </c>
      <c r="M266" s="0" t="s">
        <v>1559</v>
      </c>
      <c r="N266" s="0" t="s">
        <v>153</v>
      </c>
      <c r="Q266" s="0" t="n">
        <v>24</v>
      </c>
      <c r="R266" s="0" t="n">
        <v>22</v>
      </c>
      <c r="U266" s="0" t="s">
        <v>1776</v>
      </c>
      <c r="V266" s="0" t="s">
        <v>1776</v>
      </c>
      <c r="Y266" s="0" t="s">
        <v>1651</v>
      </c>
      <c r="Z266" s="0" t="s">
        <v>1652</v>
      </c>
      <c r="AA266" s="0" t="s">
        <v>1944</v>
      </c>
      <c r="AC266" s="0" t="s">
        <v>1654</v>
      </c>
    </row>
    <row r="267" customFormat="false" ht="15" hidden="false" customHeight="false" outlineLevel="0" collapsed="false">
      <c r="A267" s="0" t="s">
        <v>1995</v>
      </c>
      <c r="B267" s="0" t="s">
        <v>152</v>
      </c>
      <c r="C267" s="0" t="s">
        <v>1936</v>
      </c>
      <c r="D267" s="0" t="n">
        <v>2019</v>
      </c>
      <c r="E267" s="0" t="s">
        <v>57</v>
      </c>
      <c r="F267" s="0" t="n">
        <v>-278855888</v>
      </c>
      <c r="G267" s="0" t="s">
        <v>1647</v>
      </c>
      <c r="H267" s="0" t="s">
        <v>1648</v>
      </c>
      <c r="I267" s="0" t="n">
        <v>-278855.888</v>
      </c>
      <c r="J267" s="0" t="s">
        <v>1649</v>
      </c>
      <c r="M267" s="0" t="s">
        <v>1559</v>
      </c>
      <c r="N267" s="0" t="s">
        <v>153</v>
      </c>
      <c r="Q267" s="0" t="n">
        <v>24</v>
      </c>
      <c r="R267" s="0" t="n">
        <v>22</v>
      </c>
      <c r="U267" s="0" t="s">
        <v>1776</v>
      </c>
      <c r="V267" s="0" t="s">
        <v>1776</v>
      </c>
      <c r="Y267" s="0" t="s">
        <v>1651</v>
      </c>
      <c r="Z267" s="0" t="s">
        <v>1652</v>
      </c>
      <c r="AA267" s="0" t="s">
        <v>1944</v>
      </c>
      <c r="AC267" s="0" t="s">
        <v>1654</v>
      </c>
    </row>
    <row r="268" customFormat="false" ht="15" hidden="false" customHeight="false" outlineLevel="0" collapsed="false">
      <c r="A268" s="0" t="s">
        <v>1996</v>
      </c>
      <c r="B268" s="0" t="s">
        <v>152</v>
      </c>
      <c r="C268" s="0" t="s">
        <v>1936</v>
      </c>
      <c r="D268" s="0" t="n">
        <v>2019</v>
      </c>
      <c r="E268" s="0" t="s">
        <v>56</v>
      </c>
      <c r="F268" s="0" t="n">
        <v>571907958</v>
      </c>
      <c r="G268" s="0" t="s">
        <v>1647</v>
      </c>
      <c r="H268" s="0" t="s">
        <v>1648</v>
      </c>
      <c r="I268" s="0" t="n">
        <v>571907.958</v>
      </c>
      <c r="J268" s="0" t="s">
        <v>1649</v>
      </c>
      <c r="M268" s="0" t="s">
        <v>1559</v>
      </c>
      <c r="N268" s="0" t="s">
        <v>153</v>
      </c>
      <c r="Q268" s="0" t="n">
        <v>24</v>
      </c>
      <c r="R268" s="0" t="n">
        <v>22</v>
      </c>
      <c r="U268" s="0" t="s">
        <v>1776</v>
      </c>
      <c r="V268" s="0" t="s">
        <v>1776</v>
      </c>
      <c r="Y268" s="0" t="s">
        <v>1651</v>
      </c>
      <c r="Z268" s="0" t="s">
        <v>1652</v>
      </c>
      <c r="AA268" s="0" t="s">
        <v>1944</v>
      </c>
      <c r="AC268" s="0" t="s">
        <v>1654</v>
      </c>
    </row>
    <row r="269" customFormat="false" ht="15" hidden="false" customHeight="false" outlineLevel="0" collapsed="false">
      <c r="A269" s="0" t="s">
        <v>1997</v>
      </c>
      <c r="B269" s="0" t="s">
        <v>126</v>
      </c>
      <c r="C269" s="0" t="s">
        <v>1785</v>
      </c>
      <c r="D269" s="0" t="n">
        <v>2014</v>
      </c>
      <c r="E269" s="0" t="s">
        <v>670</v>
      </c>
      <c r="F269" s="0" t="n">
        <v>103679220</v>
      </c>
      <c r="G269" s="0" t="s">
        <v>1647</v>
      </c>
      <c r="H269" s="0" t="s">
        <v>1648</v>
      </c>
      <c r="I269" s="0" t="n">
        <v>103679.22</v>
      </c>
      <c r="J269" s="0" t="s">
        <v>1649</v>
      </c>
      <c r="M269" s="0" t="s">
        <v>1528</v>
      </c>
      <c r="N269" s="0" t="s">
        <v>127</v>
      </c>
      <c r="Q269" s="0" t="n">
        <v>39</v>
      </c>
      <c r="R269" s="0" t="n">
        <v>37</v>
      </c>
      <c r="U269" s="0" t="s">
        <v>1667</v>
      </c>
      <c r="V269" s="0" t="s">
        <v>1667</v>
      </c>
      <c r="Y269" s="0" t="s">
        <v>1651</v>
      </c>
      <c r="Z269" s="0" t="s">
        <v>1652</v>
      </c>
      <c r="AA269" s="0" t="s">
        <v>1998</v>
      </c>
      <c r="AC269" s="0" t="s">
        <v>1654</v>
      </c>
    </row>
    <row r="270" customFormat="false" ht="15" hidden="false" customHeight="false" outlineLevel="0" collapsed="false">
      <c r="A270" s="0" t="s">
        <v>1999</v>
      </c>
      <c r="B270" s="0" t="s">
        <v>126</v>
      </c>
      <c r="C270" s="0" t="s">
        <v>1785</v>
      </c>
      <c r="D270" s="0" t="n">
        <v>2014</v>
      </c>
      <c r="E270" s="0" t="s">
        <v>266</v>
      </c>
      <c r="F270" s="0" t="n">
        <v>3.1</v>
      </c>
      <c r="G270" s="0" t="s">
        <v>1723</v>
      </c>
      <c r="I270" s="0" t="n">
        <v>3.1</v>
      </c>
      <c r="J270" s="0" t="s">
        <v>1649</v>
      </c>
      <c r="M270" s="0" t="s">
        <v>1528</v>
      </c>
      <c r="N270" s="0" t="s">
        <v>127</v>
      </c>
      <c r="Q270" s="0" t="n">
        <v>39</v>
      </c>
      <c r="R270" s="0" t="n">
        <v>37</v>
      </c>
      <c r="U270" s="0" t="s">
        <v>1667</v>
      </c>
      <c r="V270" s="0" t="s">
        <v>1667</v>
      </c>
      <c r="Y270" s="0" t="s">
        <v>1651</v>
      </c>
      <c r="Z270" s="0" t="s">
        <v>1652</v>
      </c>
      <c r="AA270" s="0" t="s">
        <v>2000</v>
      </c>
      <c r="AC270" s="0" t="s">
        <v>1654</v>
      </c>
    </row>
    <row r="271" customFormat="false" ht="15" hidden="false" customHeight="false" outlineLevel="0" collapsed="false">
      <c r="A271" s="0" t="s">
        <v>2001</v>
      </c>
      <c r="B271" s="0" t="s">
        <v>126</v>
      </c>
      <c r="C271" s="0" t="s">
        <v>1785</v>
      </c>
      <c r="D271" s="0" t="n">
        <v>2013</v>
      </c>
      <c r="E271" s="0" t="s">
        <v>670</v>
      </c>
      <c r="F271" s="0" t="n">
        <v>91742770</v>
      </c>
      <c r="G271" s="0" t="s">
        <v>1647</v>
      </c>
      <c r="H271" s="0" t="s">
        <v>1648</v>
      </c>
      <c r="I271" s="0" t="n">
        <v>91742.77</v>
      </c>
      <c r="J271" s="0" t="s">
        <v>1649</v>
      </c>
      <c r="M271" s="0" t="s">
        <v>1528</v>
      </c>
      <c r="N271" s="0" t="s">
        <v>127</v>
      </c>
      <c r="Q271" s="0" t="n">
        <v>39</v>
      </c>
      <c r="R271" s="0" t="n">
        <v>37</v>
      </c>
      <c r="U271" s="0" t="s">
        <v>1650</v>
      </c>
      <c r="V271" s="0" t="s">
        <v>1650</v>
      </c>
      <c r="Y271" s="0" t="s">
        <v>1651</v>
      </c>
      <c r="Z271" s="0" t="s">
        <v>1652</v>
      </c>
      <c r="AA271" s="0" t="s">
        <v>1998</v>
      </c>
      <c r="AC271" s="0" t="s">
        <v>1654</v>
      </c>
    </row>
    <row r="272" customFormat="false" ht="15" hidden="false" customHeight="false" outlineLevel="0" collapsed="false">
      <c r="A272" s="0" t="s">
        <v>2002</v>
      </c>
      <c r="B272" s="0" t="s">
        <v>126</v>
      </c>
      <c r="C272" s="0" t="s">
        <v>1785</v>
      </c>
      <c r="D272" s="0" t="n">
        <v>2013</v>
      </c>
      <c r="E272" s="0" t="s">
        <v>266</v>
      </c>
      <c r="F272" s="0" t="n">
        <v>2.1</v>
      </c>
      <c r="G272" s="0" t="s">
        <v>1723</v>
      </c>
      <c r="I272" s="0" t="n">
        <v>2.1</v>
      </c>
      <c r="J272" s="0" t="s">
        <v>1649</v>
      </c>
      <c r="M272" s="0" t="s">
        <v>1528</v>
      </c>
      <c r="N272" s="0" t="s">
        <v>127</v>
      </c>
      <c r="Q272" s="0" t="n">
        <v>39</v>
      </c>
      <c r="R272" s="0" t="n">
        <v>37</v>
      </c>
      <c r="U272" s="0" t="s">
        <v>1650</v>
      </c>
      <c r="V272" s="0" t="s">
        <v>1650</v>
      </c>
      <c r="Y272" s="0" t="s">
        <v>1651</v>
      </c>
      <c r="Z272" s="0" t="s">
        <v>1652</v>
      </c>
      <c r="AA272" s="0" t="s">
        <v>2000</v>
      </c>
      <c r="AC272" s="0" t="s">
        <v>1654</v>
      </c>
    </row>
    <row r="273" customFormat="false" ht="15" hidden="false" customHeight="false" outlineLevel="0" collapsed="false">
      <c r="A273" s="0" t="s">
        <v>2003</v>
      </c>
      <c r="B273" s="0" t="s">
        <v>104</v>
      </c>
      <c r="C273" s="0" t="s">
        <v>2004</v>
      </c>
      <c r="D273" s="0" t="n">
        <v>2014</v>
      </c>
      <c r="E273" s="0" t="s">
        <v>54</v>
      </c>
      <c r="F273" s="0" t="n">
        <v>79351</v>
      </c>
      <c r="G273" s="0" t="s">
        <v>1681</v>
      </c>
      <c r="H273" s="0" t="s">
        <v>1648</v>
      </c>
      <c r="I273" s="0" t="n">
        <v>79351</v>
      </c>
      <c r="J273" s="0" t="s">
        <v>2005</v>
      </c>
      <c r="M273" s="0" t="s">
        <v>1522</v>
      </c>
      <c r="N273" s="0" t="s">
        <v>105</v>
      </c>
      <c r="Q273" s="0" t="n">
        <v>150</v>
      </c>
      <c r="R273" s="0" t="n">
        <v>150</v>
      </c>
      <c r="U273" s="0" t="s">
        <v>2006</v>
      </c>
      <c r="V273" s="0" t="s">
        <v>2006</v>
      </c>
      <c r="Y273" s="0" t="s">
        <v>1651</v>
      </c>
      <c r="Z273" s="0" t="s">
        <v>1652</v>
      </c>
      <c r="AA273" s="0" t="s">
        <v>2007</v>
      </c>
      <c r="AC273" s="0" t="s">
        <v>1654</v>
      </c>
    </row>
    <row r="274" customFormat="false" ht="15" hidden="false" customHeight="false" outlineLevel="0" collapsed="false">
      <c r="A274" s="0" t="s">
        <v>2008</v>
      </c>
      <c r="B274" s="0" t="s">
        <v>104</v>
      </c>
      <c r="C274" s="0" t="s">
        <v>2004</v>
      </c>
      <c r="D274" s="0" t="n">
        <v>2014</v>
      </c>
      <c r="E274" s="0" t="s">
        <v>2009</v>
      </c>
      <c r="F274" s="0" t="n">
        <v>75175</v>
      </c>
      <c r="G274" s="0" t="s">
        <v>1681</v>
      </c>
      <c r="H274" s="0" t="s">
        <v>1648</v>
      </c>
      <c r="I274" s="0" t="n">
        <v>75175</v>
      </c>
      <c r="J274" s="0" t="s">
        <v>2005</v>
      </c>
      <c r="M274" s="0" t="s">
        <v>1522</v>
      </c>
      <c r="N274" s="0" t="s">
        <v>105</v>
      </c>
      <c r="Q274" s="0" t="n">
        <v>150</v>
      </c>
      <c r="R274" s="0" t="n">
        <v>150</v>
      </c>
      <c r="U274" s="0" t="s">
        <v>2006</v>
      </c>
      <c r="V274" s="0" t="s">
        <v>2006</v>
      </c>
      <c r="Y274" s="0" t="s">
        <v>1651</v>
      </c>
      <c r="Z274" s="0" t="s">
        <v>1652</v>
      </c>
      <c r="AA274" s="0" t="s">
        <v>2010</v>
      </c>
      <c r="AC274" s="0" t="s">
        <v>1654</v>
      </c>
    </row>
    <row r="275" customFormat="false" ht="15" hidden="false" customHeight="false" outlineLevel="0" collapsed="false">
      <c r="A275" s="0" t="s">
        <v>2011</v>
      </c>
      <c r="B275" s="0" t="s">
        <v>104</v>
      </c>
      <c r="C275" s="0" t="s">
        <v>2004</v>
      </c>
      <c r="D275" s="0" t="n">
        <v>2014</v>
      </c>
      <c r="E275" s="0" t="s">
        <v>63</v>
      </c>
      <c r="F275" s="0" t="n">
        <v>20924</v>
      </c>
      <c r="G275" s="0" t="s">
        <v>1681</v>
      </c>
      <c r="H275" s="0" t="s">
        <v>1648</v>
      </c>
      <c r="I275" s="0" t="n">
        <v>20924</v>
      </c>
      <c r="J275" s="0" t="s">
        <v>2005</v>
      </c>
      <c r="M275" s="0" t="s">
        <v>1522</v>
      </c>
      <c r="N275" s="0" t="s">
        <v>105</v>
      </c>
      <c r="Q275" s="0" t="n">
        <v>150</v>
      </c>
      <c r="R275" s="0" t="n">
        <v>150</v>
      </c>
      <c r="U275" s="0" t="s">
        <v>2006</v>
      </c>
      <c r="V275" s="0" t="s">
        <v>2006</v>
      </c>
      <c r="Y275" s="0" t="s">
        <v>1651</v>
      </c>
      <c r="Z275" s="0" t="s">
        <v>1652</v>
      </c>
      <c r="AA275" s="0" t="s">
        <v>2012</v>
      </c>
      <c r="AC275" s="0" t="s">
        <v>1654</v>
      </c>
    </row>
    <row r="276" customFormat="false" ht="15" hidden="false" customHeight="false" outlineLevel="0" collapsed="false">
      <c r="A276" s="0" t="s">
        <v>2013</v>
      </c>
      <c r="B276" s="0" t="s">
        <v>104</v>
      </c>
      <c r="C276" s="0" t="s">
        <v>2004</v>
      </c>
      <c r="D276" s="0" t="n">
        <v>2014</v>
      </c>
      <c r="E276" s="0" t="s">
        <v>55</v>
      </c>
      <c r="F276" s="0" t="n">
        <v>3490871</v>
      </c>
      <c r="G276" s="0" t="s">
        <v>1681</v>
      </c>
      <c r="H276" s="0" t="s">
        <v>1648</v>
      </c>
      <c r="I276" s="0" t="n">
        <v>3490871</v>
      </c>
      <c r="J276" s="0" t="s">
        <v>2005</v>
      </c>
      <c r="M276" s="0" t="s">
        <v>1522</v>
      </c>
      <c r="N276" s="0" t="s">
        <v>105</v>
      </c>
      <c r="Q276" s="0" t="n">
        <v>152</v>
      </c>
      <c r="R276" s="0" t="n">
        <v>152</v>
      </c>
      <c r="U276" s="0" t="s">
        <v>2006</v>
      </c>
      <c r="V276" s="0" t="s">
        <v>2006</v>
      </c>
      <c r="Y276" s="0" t="s">
        <v>1651</v>
      </c>
      <c r="Z276" s="0" t="s">
        <v>1652</v>
      </c>
      <c r="AA276" s="0" t="s">
        <v>2014</v>
      </c>
      <c r="AC276" s="0" t="s">
        <v>1654</v>
      </c>
    </row>
    <row r="277" customFormat="false" ht="15" hidden="false" customHeight="false" outlineLevel="0" collapsed="false">
      <c r="A277" s="0" t="s">
        <v>2015</v>
      </c>
      <c r="B277" s="0" t="s">
        <v>104</v>
      </c>
      <c r="C277" s="0" t="s">
        <v>2004</v>
      </c>
      <c r="D277" s="0" t="n">
        <v>2014</v>
      </c>
      <c r="E277" s="0" t="s">
        <v>56</v>
      </c>
      <c r="F277" s="0" t="n">
        <v>3067824</v>
      </c>
      <c r="G277" s="0" t="s">
        <v>1681</v>
      </c>
      <c r="H277" s="0" t="s">
        <v>1648</v>
      </c>
      <c r="I277" s="0" t="n">
        <v>3067824</v>
      </c>
      <c r="J277" s="0" t="s">
        <v>2005</v>
      </c>
      <c r="M277" s="0" t="s">
        <v>1522</v>
      </c>
      <c r="N277" s="0" t="s">
        <v>105</v>
      </c>
      <c r="Q277" s="0" t="n">
        <v>152</v>
      </c>
      <c r="R277" s="0" t="n">
        <v>152</v>
      </c>
      <c r="U277" s="0" t="s">
        <v>2006</v>
      </c>
      <c r="V277" s="0" t="s">
        <v>2006</v>
      </c>
      <c r="Y277" s="0" t="s">
        <v>1651</v>
      </c>
      <c r="Z277" s="0" t="s">
        <v>1652</v>
      </c>
      <c r="AA277" s="0" t="s">
        <v>2014</v>
      </c>
      <c r="AC277" s="0" t="s">
        <v>1654</v>
      </c>
    </row>
    <row r="278" customFormat="false" ht="15" hidden="false" customHeight="false" outlineLevel="0" collapsed="false">
      <c r="A278" s="0" t="s">
        <v>2016</v>
      </c>
      <c r="B278" s="0" t="s">
        <v>104</v>
      </c>
      <c r="C278" s="0" t="s">
        <v>2004</v>
      </c>
      <c r="D278" s="0" t="n">
        <v>2014</v>
      </c>
      <c r="E278" s="0" t="s">
        <v>57</v>
      </c>
      <c r="F278" s="0" t="n">
        <v>423047</v>
      </c>
      <c r="G278" s="0" t="s">
        <v>1681</v>
      </c>
      <c r="H278" s="0" t="s">
        <v>1648</v>
      </c>
      <c r="I278" s="0" t="n">
        <v>423047</v>
      </c>
      <c r="J278" s="0" t="s">
        <v>2005</v>
      </c>
      <c r="M278" s="0" t="s">
        <v>1522</v>
      </c>
      <c r="N278" s="0" t="s">
        <v>105</v>
      </c>
      <c r="Q278" s="0" t="n">
        <v>153</v>
      </c>
      <c r="R278" s="0" t="n">
        <v>153</v>
      </c>
      <c r="U278" s="0" t="s">
        <v>2006</v>
      </c>
      <c r="V278" s="0" t="s">
        <v>2006</v>
      </c>
      <c r="Y278" s="0" t="s">
        <v>1651</v>
      </c>
      <c r="Z278" s="0" t="s">
        <v>1652</v>
      </c>
      <c r="AA278" s="0" t="s">
        <v>2014</v>
      </c>
      <c r="AC278" s="0" t="s">
        <v>1654</v>
      </c>
    </row>
    <row r="279" customFormat="false" ht="15" hidden="false" customHeight="false" outlineLevel="0" collapsed="false">
      <c r="A279" s="0" t="s">
        <v>2017</v>
      </c>
      <c r="B279" s="0" t="s">
        <v>104</v>
      </c>
      <c r="C279" s="0" t="s">
        <v>2004</v>
      </c>
      <c r="D279" s="0" t="n">
        <v>2014</v>
      </c>
      <c r="E279" s="0" t="s">
        <v>62</v>
      </c>
      <c r="F279" s="0" t="n">
        <v>1794037</v>
      </c>
      <c r="G279" s="0" t="s">
        <v>1681</v>
      </c>
      <c r="H279" s="0" t="s">
        <v>1648</v>
      </c>
      <c r="I279" s="0" t="n">
        <v>1794037</v>
      </c>
      <c r="J279" s="0" t="s">
        <v>2005</v>
      </c>
      <c r="M279" s="0" t="s">
        <v>1522</v>
      </c>
      <c r="N279" s="0" t="s">
        <v>105</v>
      </c>
      <c r="Q279" s="0" t="n">
        <v>152</v>
      </c>
      <c r="R279" s="0" t="n">
        <v>152</v>
      </c>
      <c r="U279" s="0" t="s">
        <v>2006</v>
      </c>
      <c r="V279" s="0" t="s">
        <v>2006</v>
      </c>
      <c r="Y279" s="0" t="s">
        <v>1651</v>
      </c>
      <c r="Z279" s="0" t="s">
        <v>1652</v>
      </c>
      <c r="AA279" s="0" t="s">
        <v>2018</v>
      </c>
      <c r="AC279" s="0" t="s">
        <v>1654</v>
      </c>
    </row>
    <row r="280" customFormat="false" ht="15" hidden="false" customHeight="false" outlineLevel="0" collapsed="false">
      <c r="A280" s="0" t="s">
        <v>2019</v>
      </c>
      <c r="B280" s="0" t="s">
        <v>104</v>
      </c>
      <c r="C280" s="0" t="s">
        <v>2004</v>
      </c>
      <c r="D280" s="0" t="n">
        <v>2014</v>
      </c>
      <c r="E280" s="0" t="s">
        <v>58</v>
      </c>
      <c r="F280" s="0" t="n">
        <v>-506665</v>
      </c>
      <c r="G280" s="0" t="s">
        <v>1681</v>
      </c>
      <c r="H280" s="0" t="s">
        <v>1648</v>
      </c>
      <c r="I280" s="0" t="n">
        <v>-506665</v>
      </c>
      <c r="J280" s="0" t="s">
        <v>2005</v>
      </c>
      <c r="M280" s="0" t="s">
        <v>1522</v>
      </c>
      <c r="N280" s="0" t="s">
        <v>105</v>
      </c>
      <c r="Q280" s="0" t="n">
        <v>156</v>
      </c>
      <c r="R280" s="0" t="n">
        <v>156</v>
      </c>
      <c r="U280" s="0" t="s">
        <v>2006</v>
      </c>
      <c r="V280" s="0" t="s">
        <v>2006</v>
      </c>
      <c r="Y280" s="0" t="s">
        <v>1651</v>
      </c>
      <c r="Z280" s="0" t="s">
        <v>1652</v>
      </c>
      <c r="AA280" s="0" t="s">
        <v>2020</v>
      </c>
      <c r="AC280" s="0" t="s">
        <v>1654</v>
      </c>
    </row>
    <row r="281" customFormat="false" ht="15" hidden="false" customHeight="false" outlineLevel="0" collapsed="false">
      <c r="A281" s="0" t="s">
        <v>2021</v>
      </c>
      <c r="B281" s="0" t="s">
        <v>104</v>
      </c>
      <c r="C281" s="0" t="s">
        <v>2004</v>
      </c>
      <c r="D281" s="0" t="n">
        <v>2013</v>
      </c>
      <c r="E281" s="0" t="s">
        <v>54</v>
      </c>
      <c r="F281" s="0" t="n">
        <v>59365</v>
      </c>
      <c r="G281" s="0" t="s">
        <v>1681</v>
      </c>
      <c r="H281" s="0" t="s">
        <v>1648</v>
      </c>
      <c r="I281" s="0" t="n">
        <v>59365</v>
      </c>
      <c r="J281" s="0" t="s">
        <v>2005</v>
      </c>
      <c r="M281" s="0" t="s">
        <v>1522</v>
      </c>
      <c r="N281" s="0" t="s">
        <v>105</v>
      </c>
      <c r="Q281" s="0" t="n">
        <v>150</v>
      </c>
      <c r="R281" s="0" t="n">
        <v>150</v>
      </c>
      <c r="U281" s="0" t="s">
        <v>2022</v>
      </c>
      <c r="V281" s="0" t="s">
        <v>2022</v>
      </c>
      <c r="Y281" s="0" t="s">
        <v>1651</v>
      </c>
      <c r="Z281" s="0" t="s">
        <v>1652</v>
      </c>
      <c r="AA281" s="0" t="s">
        <v>2007</v>
      </c>
      <c r="AC281" s="0" t="s">
        <v>1654</v>
      </c>
    </row>
    <row r="282" customFormat="false" ht="15" hidden="false" customHeight="false" outlineLevel="0" collapsed="false">
      <c r="A282" s="0" t="s">
        <v>2023</v>
      </c>
      <c r="B282" s="0" t="s">
        <v>104</v>
      </c>
      <c r="C282" s="0" t="s">
        <v>2004</v>
      </c>
      <c r="D282" s="0" t="n">
        <v>2013</v>
      </c>
      <c r="E282" s="0" t="s">
        <v>2009</v>
      </c>
      <c r="F282" s="0" t="n">
        <v>59365</v>
      </c>
      <c r="G282" s="0" t="s">
        <v>1681</v>
      </c>
      <c r="H282" s="0" t="s">
        <v>1648</v>
      </c>
      <c r="I282" s="0" t="n">
        <v>59365</v>
      </c>
      <c r="J282" s="0" t="s">
        <v>2005</v>
      </c>
      <c r="M282" s="0" t="s">
        <v>1522</v>
      </c>
      <c r="N282" s="0" t="s">
        <v>105</v>
      </c>
      <c r="Q282" s="0" t="n">
        <v>150</v>
      </c>
      <c r="R282" s="0" t="n">
        <v>150</v>
      </c>
      <c r="U282" s="0" t="s">
        <v>2022</v>
      </c>
      <c r="V282" s="0" t="s">
        <v>2022</v>
      </c>
      <c r="Y282" s="0" t="s">
        <v>1651</v>
      </c>
      <c r="Z282" s="0" t="s">
        <v>1652</v>
      </c>
      <c r="AA282" s="0" t="s">
        <v>2010</v>
      </c>
      <c r="AC282" s="0" t="s">
        <v>1654</v>
      </c>
    </row>
    <row r="283" customFormat="false" ht="15" hidden="false" customHeight="false" outlineLevel="0" collapsed="false">
      <c r="A283" s="0" t="s">
        <v>2024</v>
      </c>
      <c r="B283" s="0" t="s">
        <v>104</v>
      </c>
      <c r="C283" s="0" t="s">
        <v>2004</v>
      </c>
      <c r="D283" s="0" t="n">
        <v>2013</v>
      </c>
      <c r="E283" s="0" t="s">
        <v>63</v>
      </c>
      <c r="F283" s="0" t="n">
        <v>19838</v>
      </c>
      <c r="G283" s="0" t="s">
        <v>1681</v>
      </c>
      <c r="H283" s="0" t="s">
        <v>1648</v>
      </c>
      <c r="I283" s="0" t="n">
        <v>19838</v>
      </c>
      <c r="J283" s="0" t="s">
        <v>2005</v>
      </c>
      <c r="M283" s="0" t="s">
        <v>1522</v>
      </c>
      <c r="N283" s="0" t="s">
        <v>105</v>
      </c>
      <c r="Q283" s="0" t="n">
        <v>150</v>
      </c>
      <c r="R283" s="0" t="n">
        <v>150</v>
      </c>
      <c r="U283" s="0" t="s">
        <v>2022</v>
      </c>
      <c r="V283" s="0" t="s">
        <v>2022</v>
      </c>
      <c r="Y283" s="0" t="s">
        <v>1651</v>
      </c>
      <c r="Z283" s="0" t="s">
        <v>1652</v>
      </c>
      <c r="AA283" s="0" t="s">
        <v>2012</v>
      </c>
      <c r="AC283" s="0" t="s">
        <v>1654</v>
      </c>
    </row>
    <row r="284" customFormat="false" ht="15" hidden="false" customHeight="false" outlineLevel="0" collapsed="false">
      <c r="A284" s="0" t="s">
        <v>2025</v>
      </c>
      <c r="B284" s="0" t="s">
        <v>104</v>
      </c>
      <c r="C284" s="0" t="s">
        <v>2004</v>
      </c>
      <c r="D284" s="0" t="n">
        <v>2013</v>
      </c>
      <c r="E284" s="0" t="s">
        <v>55</v>
      </c>
      <c r="F284" s="0" t="n">
        <v>3246579</v>
      </c>
      <c r="G284" s="0" t="s">
        <v>1681</v>
      </c>
      <c r="H284" s="0" t="s">
        <v>1648</v>
      </c>
      <c r="I284" s="0" t="n">
        <v>3246579</v>
      </c>
      <c r="J284" s="0" t="s">
        <v>2005</v>
      </c>
      <c r="M284" s="0" t="s">
        <v>1522</v>
      </c>
      <c r="N284" s="0" t="s">
        <v>105</v>
      </c>
      <c r="Q284" s="0" t="n">
        <v>152</v>
      </c>
      <c r="R284" s="0" t="n">
        <v>152</v>
      </c>
      <c r="U284" s="0" t="s">
        <v>2022</v>
      </c>
      <c r="V284" s="0" t="s">
        <v>2022</v>
      </c>
      <c r="Y284" s="0" t="s">
        <v>1651</v>
      </c>
      <c r="Z284" s="0" t="s">
        <v>1652</v>
      </c>
      <c r="AA284" s="0" t="s">
        <v>2014</v>
      </c>
      <c r="AC284" s="0" t="s">
        <v>1654</v>
      </c>
    </row>
    <row r="285" customFormat="false" ht="15" hidden="false" customHeight="false" outlineLevel="0" collapsed="false">
      <c r="A285" s="0" t="s">
        <v>2026</v>
      </c>
      <c r="B285" s="0" t="s">
        <v>104</v>
      </c>
      <c r="C285" s="0" t="s">
        <v>2004</v>
      </c>
      <c r="D285" s="0" t="n">
        <v>2013</v>
      </c>
      <c r="E285" s="0" t="s">
        <v>56</v>
      </c>
      <c r="F285" s="0" t="n">
        <v>2895870</v>
      </c>
      <c r="G285" s="0" t="s">
        <v>1681</v>
      </c>
      <c r="H285" s="0" t="s">
        <v>1648</v>
      </c>
      <c r="I285" s="0" t="n">
        <v>2895870</v>
      </c>
      <c r="J285" s="0" t="s">
        <v>2005</v>
      </c>
      <c r="M285" s="0" t="s">
        <v>1522</v>
      </c>
      <c r="N285" s="0" t="s">
        <v>105</v>
      </c>
      <c r="Q285" s="0" t="n">
        <v>152</v>
      </c>
      <c r="R285" s="0" t="n">
        <v>152</v>
      </c>
      <c r="U285" s="0" t="s">
        <v>2022</v>
      </c>
      <c r="V285" s="0" t="s">
        <v>2022</v>
      </c>
      <c r="Y285" s="0" t="s">
        <v>1651</v>
      </c>
      <c r="Z285" s="0" t="s">
        <v>1652</v>
      </c>
      <c r="AA285" s="0" t="s">
        <v>2014</v>
      </c>
      <c r="AC285" s="0" t="s">
        <v>1654</v>
      </c>
    </row>
    <row r="286" customFormat="false" ht="15" hidden="false" customHeight="false" outlineLevel="0" collapsed="false">
      <c r="A286" s="0" t="s">
        <v>2027</v>
      </c>
      <c r="B286" s="0" t="s">
        <v>104</v>
      </c>
      <c r="C286" s="0" t="s">
        <v>2004</v>
      </c>
      <c r="D286" s="0" t="n">
        <v>2013</v>
      </c>
      <c r="E286" s="0" t="s">
        <v>57</v>
      </c>
      <c r="F286" s="0" t="n">
        <v>350709</v>
      </c>
      <c r="G286" s="0" t="s">
        <v>1681</v>
      </c>
      <c r="H286" s="0" t="s">
        <v>1648</v>
      </c>
      <c r="I286" s="0" t="n">
        <v>350709</v>
      </c>
      <c r="J286" s="0" t="s">
        <v>2005</v>
      </c>
      <c r="M286" s="0" t="s">
        <v>1522</v>
      </c>
      <c r="N286" s="0" t="s">
        <v>105</v>
      </c>
      <c r="Q286" s="0" t="n">
        <v>153</v>
      </c>
      <c r="R286" s="0" t="n">
        <v>153</v>
      </c>
      <c r="U286" s="0" t="s">
        <v>2022</v>
      </c>
      <c r="V286" s="0" t="s">
        <v>2022</v>
      </c>
      <c r="Y286" s="0" t="s">
        <v>1651</v>
      </c>
      <c r="Z286" s="0" t="s">
        <v>1652</v>
      </c>
      <c r="AA286" s="0" t="s">
        <v>2014</v>
      </c>
      <c r="AC286" s="0" t="s">
        <v>1654</v>
      </c>
    </row>
    <row r="287" customFormat="false" ht="15" hidden="false" customHeight="false" outlineLevel="0" collapsed="false">
      <c r="A287" s="0" t="s">
        <v>2028</v>
      </c>
      <c r="B287" s="0" t="s">
        <v>104</v>
      </c>
      <c r="C287" s="0" t="s">
        <v>2004</v>
      </c>
      <c r="D287" s="0" t="n">
        <v>2013</v>
      </c>
      <c r="E287" s="0" t="s">
        <v>62</v>
      </c>
      <c r="F287" s="0" t="n">
        <v>1473839</v>
      </c>
      <c r="G287" s="0" t="s">
        <v>1681</v>
      </c>
      <c r="H287" s="0" t="s">
        <v>1648</v>
      </c>
      <c r="I287" s="0" t="n">
        <v>1473839</v>
      </c>
      <c r="J287" s="0" t="s">
        <v>2005</v>
      </c>
      <c r="M287" s="0" t="s">
        <v>1522</v>
      </c>
      <c r="N287" s="0" t="s">
        <v>105</v>
      </c>
      <c r="Q287" s="0" t="n">
        <v>152</v>
      </c>
      <c r="R287" s="0" t="n">
        <v>152</v>
      </c>
      <c r="U287" s="0" t="s">
        <v>2022</v>
      </c>
      <c r="V287" s="0" t="s">
        <v>2022</v>
      </c>
      <c r="Y287" s="0" t="s">
        <v>1651</v>
      </c>
      <c r="Z287" s="0" t="s">
        <v>1652</v>
      </c>
      <c r="AA287" s="0" t="s">
        <v>2018</v>
      </c>
      <c r="AC287" s="0" t="s">
        <v>1654</v>
      </c>
    </row>
    <row r="288" customFormat="false" ht="15" hidden="false" customHeight="false" outlineLevel="0" collapsed="false">
      <c r="A288" s="0" t="s">
        <v>2029</v>
      </c>
      <c r="B288" s="0" t="s">
        <v>104</v>
      </c>
      <c r="C288" s="0" t="s">
        <v>2004</v>
      </c>
      <c r="D288" s="0" t="n">
        <v>2013</v>
      </c>
      <c r="E288" s="0" t="s">
        <v>58</v>
      </c>
      <c r="F288" s="0" t="n">
        <v>179950</v>
      </c>
      <c r="G288" s="0" t="s">
        <v>1681</v>
      </c>
      <c r="H288" s="0" t="s">
        <v>1648</v>
      </c>
      <c r="I288" s="0" t="n">
        <v>179950</v>
      </c>
      <c r="J288" s="0" t="s">
        <v>2005</v>
      </c>
      <c r="M288" s="0" t="s">
        <v>1522</v>
      </c>
      <c r="N288" s="0" t="s">
        <v>105</v>
      </c>
      <c r="Q288" s="0" t="n">
        <v>156</v>
      </c>
      <c r="R288" s="0" t="n">
        <v>156</v>
      </c>
      <c r="U288" s="0" t="s">
        <v>2022</v>
      </c>
      <c r="V288" s="0" t="s">
        <v>2022</v>
      </c>
      <c r="Y288" s="0" t="s">
        <v>1651</v>
      </c>
      <c r="Z288" s="0" t="s">
        <v>1652</v>
      </c>
      <c r="AA288" s="0" t="s">
        <v>2020</v>
      </c>
      <c r="AC288" s="0" t="s">
        <v>1654</v>
      </c>
    </row>
    <row r="289" customFormat="false" ht="15" hidden="false" customHeight="false" outlineLevel="0" collapsed="false">
      <c r="A289" s="0" t="s">
        <v>2030</v>
      </c>
      <c r="B289" s="0" t="s">
        <v>154</v>
      </c>
      <c r="C289" s="0" t="s">
        <v>1862</v>
      </c>
      <c r="D289" s="0" t="n">
        <v>2014</v>
      </c>
      <c r="E289" s="0" t="s">
        <v>54</v>
      </c>
      <c r="F289" s="0" t="n">
        <v>2372445</v>
      </c>
      <c r="G289" s="0" t="s">
        <v>1647</v>
      </c>
      <c r="H289" s="0" t="s">
        <v>1648</v>
      </c>
      <c r="I289" s="0" t="n">
        <v>2372.445</v>
      </c>
      <c r="J289" s="0" t="s">
        <v>2005</v>
      </c>
      <c r="M289" s="0" t="s">
        <v>1562</v>
      </c>
      <c r="N289" s="0" t="s">
        <v>155</v>
      </c>
      <c r="Q289" s="0" t="n">
        <v>64</v>
      </c>
      <c r="R289" s="0" t="n">
        <v>64</v>
      </c>
      <c r="U289" s="0" t="s">
        <v>2031</v>
      </c>
      <c r="V289" s="0" t="s">
        <v>2031</v>
      </c>
      <c r="Y289" s="0" t="s">
        <v>1651</v>
      </c>
      <c r="Z289" s="0" t="s">
        <v>1652</v>
      </c>
      <c r="AA289" s="0" t="s">
        <v>2014</v>
      </c>
      <c r="AC289" s="0" t="s">
        <v>1654</v>
      </c>
    </row>
    <row r="290" customFormat="false" ht="15" hidden="false" customHeight="false" outlineLevel="0" collapsed="false">
      <c r="A290" s="0" t="s">
        <v>2032</v>
      </c>
      <c r="B290" s="0" t="s">
        <v>154</v>
      </c>
      <c r="C290" s="0" t="s">
        <v>1862</v>
      </c>
      <c r="D290" s="0" t="n">
        <v>2014</v>
      </c>
      <c r="E290" s="0" t="s">
        <v>63</v>
      </c>
      <c r="F290" s="0" t="n">
        <v>88173</v>
      </c>
      <c r="G290" s="0" t="s">
        <v>1647</v>
      </c>
      <c r="H290" s="0" t="s">
        <v>1648</v>
      </c>
      <c r="I290" s="0" t="n">
        <v>88.173</v>
      </c>
      <c r="J290" s="0" t="s">
        <v>2005</v>
      </c>
      <c r="M290" s="0" t="s">
        <v>1562</v>
      </c>
      <c r="N290" s="0" t="s">
        <v>155</v>
      </c>
      <c r="Q290" s="0" t="n">
        <v>64</v>
      </c>
      <c r="R290" s="0" t="n">
        <v>64</v>
      </c>
      <c r="U290" s="0" t="s">
        <v>2031</v>
      </c>
      <c r="V290" s="0" t="s">
        <v>2031</v>
      </c>
      <c r="Y290" s="0" t="s">
        <v>1651</v>
      </c>
      <c r="Z290" s="0" t="s">
        <v>1652</v>
      </c>
      <c r="AA290" s="0" t="s">
        <v>2033</v>
      </c>
      <c r="AC290" s="0" t="s">
        <v>1654</v>
      </c>
    </row>
    <row r="291" customFormat="false" ht="15" hidden="false" customHeight="false" outlineLevel="0" collapsed="false">
      <c r="A291" s="0" t="s">
        <v>2034</v>
      </c>
      <c r="B291" s="0" t="s">
        <v>154</v>
      </c>
      <c r="C291" s="0" t="s">
        <v>1862</v>
      </c>
      <c r="D291" s="0" t="n">
        <v>2014</v>
      </c>
      <c r="E291" s="0" t="s">
        <v>55</v>
      </c>
      <c r="F291" s="0" t="n">
        <v>382562312</v>
      </c>
      <c r="G291" s="0" t="s">
        <v>1647</v>
      </c>
      <c r="H291" s="0" t="s">
        <v>1648</v>
      </c>
      <c r="I291" s="0" t="n">
        <v>382562.312</v>
      </c>
      <c r="J291" s="0" t="s">
        <v>2005</v>
      </c>
      <c r="M291" s="0" t="s">
        <v>1562</v>
      </c>
      <c r="N291" s="0" t="s">
        <v>155</v>
      </c>
      <c r="Q291" s="0" t="n">
        <v>65</v>
      </c>
      <c r="R291" s="0" t="n">
        <v>65</v>
      </c>
      <c r="U291" s="0" t="s">
        <v>2031</v>
      </c>
      <c r="V291" s="0" t="s">
        <v>2031</v>
      </c>
      <c r="Y291" s="0" t="s">
        <v>1651</v>
      </c>
      <c r="Z291" s="0" t="s">
        <v>1652</v>
      </c>
      <c r="AA291" s="0" t="s">
        <v>2014</v>
      </c>
      <c r="AC291" s="0" t="s">
        <v>1654</v>
      </c>
    </row>
    <row r="292" customFormat="false" ht="15" hidden="false" customHeight="false" outlineLevel="0" collapsed="false">
      <c r="A292" s="0" t="s">
        <v>2035</v>
      </c>
      <c r="B292" s="0" t="s">
        <v>154</v>
      </c>
      <c r="C292" s="0" t="s">
        <v>1862</v>
      </c>
      <c r="D292" s="0" t="n">
        <v>2014</v>
      </c>
      <c r="E292" s="0" t="s">
        <v>56</v>
      </c>
      <c r="F292" s="0" t="n">
        <v>338793663</v>
      </c>
      <c r="G292" s="0" t="s">
        <v>1647</v>
      </c>
      <c r="H292" s="0" t="s">
        <v>1648</v>
      </c>
      <c r="I292" s="0" t="n">
        <v>338793.663</v>
      </c>
      <c r="J292" s="0" t="s">
        <v>2005</v>
      </c>
      <c r="M292" s="0" t="s">
        <v>1562</v>
      </c>
      <c r="N292" s="0" t="s">
        <v>155</v>
      </c>
      <c r="Q292" s="0" t="n">
        <v>65</v>
      </c>
      <c r="R292" s="0" t="n">
        <v>65</v>
      </c>
      <c r="U292" s="0" t="s">
        <v>2031</v>
      </c>
      <c r="V292" s="0" t="s">
        <v>2031</v>
      </c>
      <c r="Y292" s="0" t="s">
        <v>1651</v>
      </c>
      <c r="Z292" s="0" t="s">
        <v>1652</v>
      </c>
      <c r="AA292" s="0" t="s">
        <v>2014</v>
      </c>
      <c r="AC292" s="0" t="s">
        <v>1654</v>
      </c>
    </row>
    <row r="293" customFormat="false" ht="15" hidden="false" customHeight="false" outlineLevel="0" collapsed="false">
      <c r="A293" s="0" t="s">
        <v>2036</v>
      </c>
      <c r="B293" s="0" t="s">
        <v>154</v>
      </c>
      <c r="C293" s="0" t="s">
        <v>1862</v>
      </c>
      <c r="D293" s="0" t="n">
        <v>2014</v>
      </c>
      <c r="E293" s="0" t="s">
        <v>57</v>
      </c>
      <c r="F293" s="0" t="n">
        <v>43768649</v>
      </c>
      <c r="G293" s="0" t="s">
        <v>1647</v>
      </c>
      <c r="H293" s="0" t="s">
        <v>1648</v>
      </c>
      <c r="I293" s="0" t="n">
        <v>43768.649</v>
      </c>
      <c r="J293" s="0" t="s">
        <v>2005</v>
      </c>
      <c r="M293" s="0" t="s">
        <v>1562</v>
      </c>
      <c r="N293" s="0" t="s">
        <v>155</v>
      </c>
      <c r="Q293" s="0" t="n">
        <v>65</v>
      </c>
      <c r="R293" s="0" t="n">
        <v>65</v>
      </c>
      <c r="U293" s="0" t="s">
        <v>2031</v>
      </c>
      <c r="V293" s="0" t="s">
        <v>2031</v>
      </c>
      <c r="Y293" s="0" t="s">
        <v>1651</v>
      </c>
      <c r="Z293" s="0" t="s">
        <v>1652</v>
      </c>
      <c r="AA293" s="0" t="s">
        <v>2014</v>
      </c>
      <c r="AC293" s="0" t="s">
        <v>1654</v>
      </c>
    </row>
    <row r="294" customFormat="false" ht="15" hidden="false" customHeight="false" outlineLevel="0" collapsed="false">
      <c r="A294" s="0" t="s">
        <v>2037</v>
      </c>
      <c r="B294" s="0" t="s">
        <v>154</v>
      </c>
      <c r="C294" s="0" t="s">
        <v>1862</v>
      </c>
      <c r="D294" s="0" t="n">
        <v>2014</v>
      </c>
      <c r="E294" s="0" t="s">
        <v>62</v>
      </c>
      <c r="F294" s="0" t="n">
        <v>149293849</v>
      </c>
      <c r="G294" s="0" t="s">
        <v>1647</v>
      </c>
      <c r="H294" s="0" t="s">
        <v>1648</v>
      </c>
      <c r="I294" s="0" t="n">
        <v>149293.849</v>
      </c>
      <c r="J294" s="0" t="s">
        <v>2005</v>
      </c>
      <c r="M294" s="0" t="s">
        <v>1562</v>
      </c>
      <c r="N294" s="0" t="s">
        <v>155</v>
      </c>
      <c r="Q294" s="0" t="n">
        <v>65</v>
      </c>
      <c r="R294" s="0" t="n">
        <v>65</v>
      </c>
      <c r="U294" s="0" t="s">
        <v>2031</v>
      </c>
      <c r="V294" s="0" t="s">
        <v>2031</v>
      </c>
      <c r="Y294" s="0" t="s">
        <v>1651</v>
      </c>
      <c r="Z294" s="0" t="s">
        <v>1652</v>
      </c>
      <c r="AA294" s="0" t="s">
        <v>2038</v>
      </c>
      <c r="AC294" s="0" t="s">
        <v>1654</v>
      </c>
    </row>
    <row r="295" customFormat="false" ht="15" hidden="false" customHeight="false" outlineLevel="0" collapsed="false">
      <c r="A295" s="0" t="s">
        <v>2039</v>
      </c>
      <c r="B295" s="0" t="s">
        <v>154</v>
      </c>
      <c r="C295" s="0" t="s">
        <v>1862</v>
      </c>
      <c r="D295" s="0" t="n">
        <v>2014</v>
      </c>
      <c r="E295" s="0" t="s">
        <v>58</v>
      </c>
      <c r="F295" s="0" t="n">
        <v>-40148459</v>
      </c>
      <c r="G295" s="0" t="s">
        <v>1647</v>
      </c>
      <c r="H295" s="0" t="s">
        <v>1648</v>
      </c>
      <c r="I295" s="0" t="n">
        <v>-40148.459</v>
      </c>
      <c r="J295" s="0" t="s">
        <v>2005</v>
      </c>
      <c r="M295" s="0" t="s">
        <v>1562</v>
      </c>
      <c r="N295" s="0" t="s">
        <v>155</v>
      </c>
      <c r="Q295" s="0" t="n">
        <v>68</v>
      </c>
      <c r="R295" s="0" t="n">
        <v>68</v>
      </c>
      <c r="U295" s="0" t="s">
        <v>2031</v>
      </c>
      <c r="V295" s="0" t="s">
        <v>2031</v>
      </c>
      <c r="Y295" s="0" t="s">
        <v>1651</v>
      </c>
      <c r="Z295" s="0" t="s">
        <v>1652</v>
      </c>
      <c r="AA295" s="0" t="s">
        <v>2040</v>
      </c>
      <c r="AC295" s="0" t="s">
        <v>1654</v>
      </c>
    </row>
    <row r="296" customFormat="false" ht="15" hidden="false" customHeight="false" outlineLevel="0" collapsed="false">
      <c r="A296" s="0" t="s">
        <v>2041</v>
      </c>
      <c r="B296" s="0" t="s">
        <v>104</v>
      </c>
      <c r="C296" s="0" t="s">
        <v>2004</v>
      </c>
      <c r="D296" s="0" t="n">
        <v>2014</v>
      </c>
      <c r="E296" s="0" t="s">
        <v>2042</v>
      </c>
      <c r="F296" s="0" t="n">
        <v>407882</v>
      </c>
      <c r="G296" s="0" t="s">
        <v>1681</v>
      </c>
      <c r="H296" s="0" t="s">
        <v>1648</v>
      </c>
      <c r="I296" s="0" t="n">
        <v>407882</v>
      </c>
      <c r="J296" s="0" t="s">
        <v>2005</v>
      </c>
      <c r="M296" s="0" t="s">
        <v>1522</v>
      </c>
      <c r="N296" s="0" t="s">
        <v>105</v>
      </c>
      <c r="Q296" s="0" t="n">
        <v>218</v>
      </c>
      <c r="R296" s="0" t="n">
        <v>218</v>
      </c>
      <c r="U296" s="0" t="s">
        <v>2043</v>
      </c>
      <c r="V296" s="0" t="s">
        <v>2043</v>
      </c>
      <c r="Y296" s="0" t="s">
        <v>1651</v>
      </c>
      <c r="Z296" s="0" t="s">
        <v>1652</v>
      </c>
      <c r="AA296" s="0" t="s">
        <v>2014</v>
      </c>
      <c r="AC296" s="0" t="s">
        <v>1654</v>
      </c>
    </row>
    <row r="297" customFormat="false" ht="15" hidden="false" customHeight="false" outlineLevel="0" collapsed="false">
      <c r="A297" s="0" t="s">
        <v>2044</v>
      </c>
      <c r="B297" s="0" t="s">
        <v>104</v>
      </c>
      <c r="C297" s="0" t="s">
        <v>2004</v>
      </c>
      <c r="D297" s="0" t="n">
        <v>2014</v>
      </c>
      <c r="E297" s="0" t="s">
        <v>2045</v>
      </c>
      <c r="F297" s="0" t="n">
        <v>2585214</v>
      </c>
      <c r="G297" s="0" t="s">
        <v>1681</v>
      </c>
      <c r="H297" s="0" t="s">
        <v>1648</v>
      </c>
      <c r="I297" s="0" t="n">
        <v>2585214</v>
      </c>
      <c r="J297" s="0" t="s">
        <v>2005</v>
      </c>
      <c r="M297" s="0" t="s">
        <v>1522</v>
      </c>
      <c r="N297" s="0" t="s">
        <v>105</v>
      </c>
      <c r="Q297" s="0" t="n">
        <v>218</v>
      </c>
      <c r="R297" s="0" t="n">
        <v>218</v>
      </c>
      <c r="U297" s="0" t="s">
        <v>2043</v>
      </c>
      <c r="V297" s="0" t="s">
        <v>2043</v>
      </c>
      <c r="Y297" s="0" t="s">
        <v>1651</v>
      </c>
      <c r="Z297" s="0" t="s">
        <v>1652</v>
      </c>
      <c r="AA297" s="0" t="s">
        <v>2014</v>
      </c>
      <c r="AC297" s="0" t="s">
        <v>1654</v>
      </c>
    </row>
    <row r="298" customFormat="false" ht="15" hidden="false" customHeight="false" outlineLevel="0" collapsed="false">
      <c r="A298" s="0" t="s">
        <v>2046</v>
      </c>
      <c r="B298" s="0" t="s">
        <v>104</v>
      </c>
      <c r="C298" s="0" t="s">
        <v>2004</v>
      </c>
      <c r="D298" s="0" t="n">
        <v>2014</v>
      </c>
      <c r="E298" s="0" t="s">
        <v>2047</v>
      </c>
      <c r="F298" s="0" t="n">
        <v>15.78</v>
      </c>
      <c r="G298" s="0" t="s">
        <v>1723</v>
      </c>
      <c r="I298" s="0" t="n">
        <v>15.78</v>
      </c>
      <c r="J298" s="0" t="s">
        <v>2005</v>
      </c>
      <c r="M298" s="0" t="s">
        <v>1522</v>
      </c>
      <c r="N298" s="0" t="s">
        <v>105</v>
      </c>
      <c r="Q298" s="0" t="n">
        <v>218</v>
      </c>
      <c r="R298" s="0" t="n">
        <v>218</v>
      </c>
      <c r="U298" s="0" t="s">
        <v>2048</v>
      </c>
      <c r="V298" s="0" t="s">
        <v>2048</v>
      </c>
      <c r="Y298" s="0" t="s">
        <v>1651</v>
      </c>
      <c r="Z298" s="0" t="s">
        <v>1652</v>
      </c>
      <c r="AA298" s="0" t="s">
        <v>2049</v>
      </c>
      <c r="AC298" s="0" t="s">
        <v>1654</v>
      </c>
    </row>
    <row r="299" customFormat="false" ht="15" hidden="false" customHeight="false" outlineLevel="0" collapsed="false">
      <c r="A299" s="0" t="s">
        <v>2050</v>
      </c>
      <c r="B299" s="0" t="s">
        <v>104</v>
      </c>
      <c r="C299" s="0" t="s">
        <v>2004</v>
      </c>
      <c r="D299" s="0" t="n">
        <v>2013</v>
      </c>
      <c r="E299" s="0" t="s">
        <v>2042</v>
      </c>
      <c r="F299" s="0" t="n">
        <v>328255</v>
      </c>
      <c r="G299" s="0" t="s">
        <v>1681</v>
      </c>
      <c r="H299" s="0" t="s">
        <v>1648</v>
      </c>
      <c r="I299" s="0" t="n">
        <v>328255</v>
      </c>
      <c r="J299" s="0" t="s">
        <v>2005</v>
      </c>
      <c r="M299" s="0" t="s">
        <v>1522</v>
      </c>
      <c r="N299" s="0" t="s">
        <v>105</v>
      </c>
      <c r="Q299" s="0" t="n">
        <v>218</v>
      </c>
      <c r="R299" s="0" t="n">
        <v>218</v>
      </c>
      <c r="U299" s="0" t="s">
        <v>2043</v>
      </c>
      <c r="V299" s="0" t="s">
        <v>2043</v>
      </c>
      <c r="Y299" s="0" t="s">
        <v>1651</v>
      </c>
      <c r="Z299" s="0" t="s">
        <v>1652</v>
      </c>
      <c r="AA299" s="0" t="s">
        <v>2014</v>
      </c>
      <c r="AC299" s="0" t="s">
        <v>1654</v>
      </c>
    </row>
    <row r="300" customFormat="false" ht="15" hidden="false" customHeight="false" outlineLevel="0" collapsed="false">
      <c r="A300" s="0" t="s">
        <v>2051</v>
      </c>
      <c r="B300" s="0" t="s">
        <v>104</v>
      </c>
      <c r="C300" s="0" t="s">
        <v>2004</v>
      </c>
      <c r="D300" s="0" t="n">
        <v>2013</v>
      </c>
      <c r="E300" s="0" t="s">
        <v>2045</v>
      </c>
      <c r="F300" s="0" t="n">
        <v>2424481</v>
      </c>
      <c r="G300" s="0" t="s">
        <v>1681</v>
      </c>
      <c r="H300" s="0" t="s">
        <v>1648</v>
      </c>
      <c r="I300" s="0" t="n">
        <v>2424481</v>
      </c>
      <c r="J300" s="0" t="s">
        <v>2005</v>
      </c>
      <c r="M300" s="0" t="s">
        <v>1522</v>
      </c>
      <c r="N300" s="0" t="s">
        <v>105</v>
      </c>
      <c r="Q300" s="0" t="n">
        <v>218</v>
      </c>
      <c r="R300" s="0" t="n">
        <v>218</v>
      </c>
      <c r="U300" s="0" t="s">
        <v>2043</v>
      </c>
      <c r="V300" s="0" t="s">
        <v>2043</v>
      </c>
      <c r="Y300" s="0" t="s">
        <v>1651</v>
      </c>
      <c r="Z300" s="0" t="s">
        <v>1652</v>
      </c>
      <c r="AA300" s="0" t="s">
        <v>2014</v>
      </c>
      <c r="AC300" s="0" t="s">
        <v>1654</v>
      </c>
    </row>
    <row r="301" customFormat="false" ht="15" hidden="false" customHeight="false" outlineLevel="0" collapsed="false">
      <c r="A301" s="0" t="s">
        <v>2052</v>
      </c>
      <c r="B301" s="0" t="s">
        <v>104</v>
      </c>
      <c r="C301" s="0" t="s">
        <v>2004</v>
      </c>
      <c r="D301" s="0" t="n">
        <v>2013</v>
      </c>
      <c r="E301" s="0" t="s">
        <v>2047</v>
      </c>
      <c r="F301" s="0" t="n">
        <v>13.54</v>
      </c>
      <c r="G301" s="0" t="s">
        <v>1723</v>
      </c>
      <c r="I301" s="0" t="n">
        <v>13.54</v>
      </c>
      <c r="J301" s="0" t="s">
        <v>2005</v>
      </c>
      <c r="M301" s="0" t="s">
        <v>1522</v>
      </c>
      <c r="N301" s="0" t="s">
        <v>105</v>
      </c>
      <c r="Q301" s="0" t="n">
        <v>218</v>
      </c>
      <c r="R301" s="0" t="n">
        <v>218</v>
      </c>
      <c r="U301" s="0" t="s">
        <v>2048</v>
      </c>
      <c r="V301" s="0" t="s">
        <v>2048</v>
      </c>
      <c r="Y301" s="0" t="s">
        <v>1651</v>
      </c>
      <c r="Z301" s="0" t="s">
        <v>1652</v>
      </c>
      <c r="AA301" s="0" t="s">
        <v>2049</v>
      </c>
      <c r="AC301" s="0" t="s">
        <v>1654</v>
      </c>
    </row>
    <row r="302" customFormat="false" ht="15" hidden="false" customHeight="false" outlineLevel="0" collapsed="false">
      <c r="A302" s="0" t="s">
        <v>2053</v>
      </c>
      <c r="B302" s="0" t="s">
        <v>104</v>
      </c>
      <c r="C302" s="0" t="s">
        <v>2004</v>
      </c>
      <c r="D302" s="0" t="n">
        <v>2013</v>
      </c>
      <c r="E302" s="0" t="s">
        <v>2054</v>
      </c>
      <c r="F302" s="0" t="n">
        <v>16.76</v>
      </c>
      <c r="G302" s="0" t="s">
        <v>1723</v>
      </c>
      <c r="I302" s="0" t="n">
        <v>16.76</v>
      </c>
      <c r="J302" s="0" t="s">
        <v>2005</v>
      </c>
      <c r="M302" s="0" t="s">
        <v>1522</v>
      </c>
      <c r="N302" s="0" t="s">
        <v>105</v>
      </c>
      <c r="Q302" s="0" t="n">
        <v>218</v>
      </c>
      <c r="R302" s="0" t="n">
        <v>218</v>
      </c>
      <c r="U302" s="0" t="s">
        <v>2055</v>
      </c>
      <c r="V302" s="0" t="s">
        <v>2055</v>
      </c>
      <c r="Y302" s="0" t="s">
        <v>1651</v>
      </c>
      <c r="Z302" s="0" t="s">
        <v>1652</v>
      </c>
      <c r="AA302" s="0" t="s">
        <v>2056</v>
      </c>
      <c r="AC302" s="0" t="s">
        <v>1654</v>
      </c>
    </row>
    <row r="303" customFormat="false" ht="15" hidden="false" customHeight="false" outlineLevel="0" collapsed="false">
      <c r="A303" s="0" t="s">
        <v>2057</v>
      </c>
      <c r="B303" s="0" t="s">
        <v>163</v>
      </c>
      <c r="C303" s="0" t="s">
        <v>2058</v>
      </c>
      <c r="D303" s="0" t="n">
        <v>2014</v>
      </c>
      <c r="E303" s="0" t="s">
        <v>54</v>
      </c>
      <c r="F303" s="0" t="n">
        <v>92479</v>
      </c>
      <c r="G303" s="0" t="s">
        <v>1681</v>
      </c>
      <c r="H303" s="0" t="s">
        <v>1648</v>
      </c>
      <c r="I303" s="0" t="n">
        <v>92479</v>
      </c>
      <c r="J303" s="0" t="s">
        <v>2005</v>
      </c>
      <c r="M303" s="0" t="s">
        <v>1576</v>
      </c>
      <c r="N303" s="0" t="s">
        <v>164</v>
      </c>
      <c r="Q303" s="0" t="n">
        <v>24</v>
      </c>
      <c r="R303" s="0" t="n">
        <v>23</v>
      </c>
      <c r="U303" s="0" t="s">
        <v>2043</v>
      </c>
      <c r="V303" s="0" t="s">
        <v>2043</v>
      </c>
      <c r="Y303" s="0" t="s">
        <v>1651</v>
      </c>
      <c r="Z303" s="0" t="s">
        <v>1652</v>
      </c>
      <c r="AA303" s="0" t="s">
        <v>2014</v>
      </c>
      <c r="AC303" s="0" t="s">
        <v>1654</v>
      </c>
    </row>
    <row r="304" customFormat="false" ht="15" hidden="false" customHeight="false" outlineLevel="0" collapsed="false">
      <c r="A304" s="0" t="s">
        <v>2059</v>
      </c>
      <c r="B304" s="0" t="s">
        <v>163</v>
      </c>
      <c r="C304" s="0" t="s">
        <v>2058</v>
      </c>
      <c r="D304" s="0" t="n">
        <v>2014</v>
      </c>
      <c r="E304" s="0" t="s">
        <v>670</v>
      </c>
      <c r="F304" s="0" t="n">
        <v>372015</v>
      </c>
      <c r="G304" s="0" t="s">
        <v>1681</v>
      </c>
      <c r="H304" s="0" t="s">
        <v>1648</v>
      </c>
      <c r="I304" s="0" t="n">
        <v>372015</v>
      </c>
      <c r="J304" s="0" t="s">
        <v>2005</v>
      </c>
      <c r="M304" s="0" t="s">
        <v>1576</v>
      </c>
      <c r="N304" s="0" t="s">
        <v>164</v>
      </c>
      <c r="Q304" s="0" t="n">
        <v>24</v>
      </c>
      <c r="R304" s="0" t="n">
        <v>23</v>
      </c>
      <c r="U304" s="0" t="s">
        <v>2043</v>
      </c>
      <c r="V304" s="0" t="s">
        <v>2043</v>
      </c>
      <c r="Y304" s="0" t="s">
        <v>1651</v>
      </c>
      <c r="Z304" s="0" t="s">
        <v>1652</v>
      </c>
      <c r="AA304" s="0" t="s">
        <v>2014</v>
      </c>
      <c r="AC304" s="0" t="s">
        <v>1654</v>
      </c>
    </row>
    <row r="305" customFormat="false" ht="15" hidden="false" customHeight="false" outlineLevel="0" collapsed="false">
      <c r="A305" s="0" t="s">
        <v>2060</v>
      </c>
      <c r="B305" s="0" t="s">
        <v>163</v>
      </c>
      <c r="C305" s="0" t="s">
        <v>2058</v>
      </c>
      <c r="D305" s="0" t="n">
        <v>2014</v>
      </c>
      <c r="E305" s="0" t="s">
        <v>63</v>
      </c>
      <c r="F305" s="0" t="n">
        <v>12392</v>
      </c>
      <c r="G305" s="0" t="s">
        <v>1681</v>
      </c>
      <c r="H305" s="0" t="s">
        <v>1648</v>
      </c>
      <c r="I305" s="0" t="n">
        <v>12392</v>
      </c>
      <c r="J305" s="0" t="s">
        <v>2005</v>
      </c>
      <c r="M305" s="0" t="s">
        <v>1576</v>
      </c>
      <c r="N305" s="0" t="s">
        <v>164</v>
      </c>
      <c r="Q305" s="0" t="n">
        <v>24</v>
      </c>
      <c r="R305" s="0" t="n">
        <v>23</v>
      </c>
      <c r="U305" s="0" t="s">
        <v>2043</v>
      </c>
      <c r="V305" s="0" t="s">
        <v>2043</v>
      </c>
      <c r="Y305" s="0" t="s">
        <v>1651</v>
      </c>
      <c r="Z305" s="0" t="s">
        <v>1652</v>
      </c>
      <c r="AA305" s="0" t="s">
        <v>2061</v>
      </c>
      <c r="AC305" s="0" t="s">
        <v>1654</v>
      </c>
    </row>
    <row r="306" customFormat="false" ht="15" hidden="false" customHeight="false" outlineLevel="0" collapsed="false">
      <c r="A306" s="0" t="s">
        <v>2062</v>
      </c>
      <c r="B306" s="0" t="s">
        <v>163</v>
      </c>
      <c r="C306" s="0" t="s">
        <v>2058</v>
      </c>
      <c r="D306" s="0" t="n">
        <v>2014</v>
      </c>
      <c r="E306" s="0" t="s">
        <v>55</v>
      </c>
      <c r="F306" s="0" t="n">
        <v>3423819</v>
      </c>
      <c r="G306" s="0" t="s">
        <v>1681</v>
      </c>
      <c r="H306" s="0" t="s">
        <v>1648</v>
      </c>
      <c r="I306" s="0" t="n">
        <v>3423819</v>
      </c>
      <c r="J306" s="0" t="s">
        <v>2005</v>
      </c>
      <c r="M306" s="0" t="s">
        <v>1576</v>
      </c>
      <c r="N306" s="0" t="s">
        <v>164</v>
      </c>
      <c r="Q306" s="0" t="n">
        <v>25</v>
      </c>
      <c r="R306" s="0" t="n">
        <v>24</v>
      </c>
      <c r="U306" s="0" t="s">
        <v>2043</v>
      </c>
      <c r="V306" s="0" t="s">
        <v>2043</v>
      </c>
      <c r="Y306" s="0" t="s">
        <v>1651</v>
      </c>
      <c r="Z306" s="0" t="s">
        <v>1652</v>
      </c>
      <c r="AA306" s="0" t="s">
        <v>2014</v>
      </c>
      <c r="AC306" s="0" t="s">
        <v>1654</v>
      </c>
    </row>
    <row r="307" customFormat="false" ht="15" hidden="false" customHeight="false" outlineLevel="0" collapsed="false">
      <c r="A307" s="0" t="s">
        <v>2063</v>
      </c>
      <c r="B307" s="0" t="s">
        <v>163</v>
      </c>
      <c r="C307" s="0" t="s">
        <v>2058</v>
      </c>
      <c r="D307" s="0" t="n">
        <v>2014</v>
      </c>
      <c r="E307" s="0" t="s">
        <v>56</v>
      </c>
      <c r="F307" s="0" t="n">
        <v>2911112</v>
      </c>
      <c r="G307" s="0" t="s">
        <v>1681</v>
      </c>
      <c r="H307" s="0" t="s">
        <v>1648</v>
      </c>
      <c r="I307" s="0" t="n">
        <v>2911112</v>
      </c>
      <c r="J307" s="0" t="s">
        <v>2005</v>
      </c>
      <c r="M307" s="0" t="s">
        <v>1576</v>
      </c>
      <c r="N307" s="0" t="s">
        <v>164</v>
      </c>
      <c r="Q307" s="0" t="n">
        <v>25</v>
      </c>
      <c r="R307" s="0" t="n">
        <v>24</v>
      </c>
      <c r="U307" s="0" t="s">
        <v>2043</v>
      </c>
      <c r="V307" s="0" t="s">
        <v>2043</v>
      </c>
      <c r="Y307" s="0" t="s">
        <v>1651</v>
      </c>
      <c r="Z307" s="0" t="s">
        <v>1652</v>
      </c>
      <c r="AA307" s="0" t="s">
        <v>2014</v>
      </c>
      <c r="AC307" s="0" t="s">
        <v>1654</v>
      </c>
    </row>
    <row r="308" customFormat="false" ht="15" hidden="false" customHeight="false" outlineLevel="0" collapsed="false">
      <c r="A308" s="0" t="s">
        <v>2064</v>
      </c>
      <c r="B308" s="0" t="s">
        <v>163</v>
      </c>
      <c r="C308" s="0" t="s">
        <v>2058</v>
      </c>
      <c r="D308" s="0" t="n">
        <v>2014</v>
      </c>
      <c r="E308" s="0" t="s">
        <v>57</v>
      </c>
      <c r="F308" s="0" t="n">
        <v>512707</v>
      </c>
      <c r="G308" s="0" t="s">
        <v>1681</v>
      </c>
      <c r="H308" s="0" t="s">
        <v>1648</v>
      </c>
      <c r="I308" s="0" t="n">
        <v>512707</v>
      </c>
      <c r="J308" s="0" t="s">
        <v>2005</v>
      </c>
      <c r="M308" s="0" t="s">
        <v>1576</v>
      </c>
      <c r="N308" s="0" t="s">
        <v>164</v>
      </c>
      <c r="Q308" s="0" t="n">
        <v>25</v>
      </c>
      <c r="R308" s="0" t="n">
        <v>24</v>
      </c>
      <c r="U308" s="0" t="s">
        <v>2043</v>
      </c>
      <c r="V308" s="0" t="s">
        <v>2043</v>
      </c>
      <c r="Y308" s="0" t="s">
        <v>1651</v>
      </c>
      <c r="Z308" s="0" t="s">
        <v>1652</v>
      </c>
      <c r="AA308" s="0" t="s">
        <v>2014</v>
      </c>
      <c r="AC308" s="0" t="s">
        <v>1654</v>
      </c>
    </row>
    <row r="309" customFormat="false" ht="15" hidden="false" customHeight="false" outlineLevel="0" collapsed="false">
      <c r="A309" s="0" t="s">
        <v>2065</v>
      </c>
      <c r="B309" s="0" t="s">
        <v>163</v>
      </c>
      <c r="C309" s="0" t="s">
        <v>2058</v>
      </c>
      <c r="D309" s="0" t="n">
        <v>2014</v>
      </c>
      <c r="E309" s="0" t="s">
        <v>62</v>
      </c>
      <c r="F309" s="0" t="n">
        <v>1580250</v>
      </c>
      <c r="G309" s="0" t="s">
        <v>1681</v>
      </c>
      <c r="H309" s="0" t="s">
        <v>1648</v>
      </c>
      <c r="I309" s="0" t="n">
        <v>1580250</v>
      </c>
      <c r="J309" s="0" t="s">
        <v>2005</v>
      </c>
      <c r="M309" s="0" t="s">
        <v>1576</v>
      </c>
      <c r="N309" s="0" t="s">
        <v>164</v>
      </c>
      <c r="Q309" s="0" t="n">
        <v>25</v>
      </c>
      <c r="R309" s="0" t="n">
        <v>24</v>
      </c>
      <c r="U309" s="0" t="s">
        <v>2043</v>
      </c>
      <c r="V309" s="0" t="s">
        <v>2043</v>
      </c>
      <c r="Y309" s="0" t="s">
        <v>1651</v>
      </c>
      <c r="Z309" s="0" t="s">
        <v>1652</v>
      </c>
      <c r="AA309" s="0" t="s">
        <v>2014</v>
      </c>
      <c r="AC309" s="0" t="s">
        <v>1654</v>
      </c>
    </row>
    <row r="310" customFormat="false" ht="15" hidden="false" customHeight="false" outlineLevel="0" collapsed="false">
      <c r="A310" s="0" t="s">
        <v>2066</v>
      </c>
      <c r="B310" s="0" t="s">
        <v>163</v>
      </c>
      <c r="C310" s="0" t="s">
        <v>2058</v>
      </c>
      <c r="D310" s="0" t="n">
        <v>2014</v>
      </c>
      <c r="E310" s="0" t="s">
        <v>1646</v>
      </c>
      <c r="F310" s="0" t="n">
        <v>2265262</v>
      </c>
      <c r="G310" s="0" t="s">
        <v>1681</v>
      </c>
      <c r="H310" s="0" t="s">
        <v>1648</v>
      </c>
      <c r="I310" s="0" t="n">
        <v>2265262</v>
      </c>
      <c r="J310" s="0" t="s">
        <v>2005</v>
      </c>
      <c r="M310" s="0" t="s">
        <v>1576</v>
      </c>
      <c r="N310" s="0" t="s">
        <v>164</v>
      </c>
      <c r="Q310" s="0" t="n">
        <v>25</v>
      </c>
      <c r="R310" s="0" t="n">
        <v>24</v>
      </c>
      <c r="U310" s="0" t="s">
        <v>2043</v>
      </c>
      <c r="V310" s="0" t="s">
        <v>2043</v>
      </c>
      <c r="Y310" s="0" t="s">
        <v>1651</v>
      </c>
      <c r="Z310" s="0" t="s">
        <v>1652</v>
      </c>
      <c r="AA310" s="0" t="s">
        <v>2014</v>
      </c>
      <c r="AC310" s="0" t="s">
        <v>1654</v>
      </c>
    </row>
    <row r="311" customFormat="false" ht="15" hidden="false" customHeight="false" outlineLevel="0" collapsed="false">
      <c r="A311" s="0" t="s">
        <v>2067</v>
      </c>
      <c r="B311" s="0" t="s">
        <v>163</v>
      </c>
      <c r="C311" s="0" t="s">
        <v>2058</v>
      </c>
      <c r="D311" s="0" t="n">
        <v>2014</v>
      </c>
      <c r="E311" s="0" t="s">
        <v>58</v>
      </c>
      <c r="F311" s="0" t="n">
        <v>-145986</v>
      </c>
      <c r="G311" s="0" t="s">
        <v>1681</v>
      </c>
      <c r="H311" s="0" t="s">
        <v>1648</v>
      </c>
      <c r="I311" s="0" t="n">
        <v>-145986</v>
      </c>
      <c r="J311" s="0" t="s">
        <v>2005</v>
      </c>
      <c r="M311" s="0" t="s">
        <v>1576</v>
      </c>
      <c r="N311" s="0" t="s">
        <v>164</v>
      </c>
      <c r="Q311" s="0" t="n">
        <v>28</v>
      </c>
      <c r="R311" s="0" t="n">
        <v>27</v>
      </c>
      <c r="U311" s="0" t="s">
        <v>2043</v>
      </c>
      <c r="V311" s="0" t="s">
        <v>2043</v>
      </c>
      <c r="Y311" s="0" t="s">
        <v>1651</v>
      </c>
      <c r="Z311" s="0" t="s">
        <v>1652</v>
      </c>
      <c r="AA311" s="0" t="s">
        <v>2014</v>
      </c>
      <c r="AC311" s="0" t="s">
        <v>1654</v>
      </c>
    </row>
    <row r="312" customFormat="false" ht="15" hidden="false" customHeight="false" outlineLevel="0" collapsed="false">
      <c r="A312" s="0" t="s">
        <v>2068</v>
      </c>
      <c r="B312" s="0" t="s">
        <v>163</v>
      </c>
      <c r="C312" s="0" t="s">
        <v>2058</v>
      </c>
      <c r="D312" s="0" t="n">
        <v>2014</v>
      </c>
      <c r="E312" s="0" t="s">
        <v>60</v>
      </c>
      <c r="F312" s="0" t="n">
        <v>1605581</v>
      </c>
      <c r="G312" s="0" t="s">
        <v>1681</v>
      </c>
      <c r="H312" s="0" t="s">
        <v>1648</v>
      </c>
      <c r="I312" s="0" t="n">
        <v>1605581</v>
      </c>
      <c r="J312" s="0" t="s">
        <v>2005</v>
      </c>
      <c r="M312" s="0" t="s">
        <v>1576</v>
      </c>
      <c r="N312" s="0" t="s">
        <v>164</v>
      </c>
      <c r="Q312" s="0" t="n">
        <v>104</v>
      </c>
      <c r="R312" s="0" t="n">
        <v>103</v>
      </c>
      <c r="U312" s="0" t="s">
        <v>2043</v>
      </c>
      <c r="V312" s="0" t="s">
        <v>2043</v>
      </c>
      <c r="Y312" s="0" t="s">
        <v>1651</v>
      </c>
      <c r="Z312" s="0" t="s">
        <v>1652</v>
      </c>
      <c r="AA312" s="0" t="s">
        <v>2069</v>
      </c>
      <c r="AC312" s="0" t="s">
        <v>1654</v>
      </c>
    </row>
    <row r="313" customFormat="false" ht="15" hidden="false" customHeight="false" outlineLevel="0" collapsed="false">
      <c r="A313" s="0" t="s">
        <v>2070</v>
      </c>
      <c r="B313" s="0" t="s">
        <v>163</v>
      </c>
      <c r="C313" s="0" t="s">
        <v>2058</v>
      </c>
      <c r="D313" s="0" t="n">
        <v>2014</v>
      </c>
      <c r="E313" s="0" t="s">
        <v>61</v>
      </c>
      <c r="F313" s="0" t="n">
        <v>25331</v>
      </c>
      <c r="G313" s="0" t="s">
        <v>1681</v>
      </c>
      <c r="H313" s="0" t="s">
        <v>1648</v>
      </c>
      <c r="I313" s="0" t="n">
        <v>25331</v>
      </c>
      <c r="J313" s="0" t="s">
        <v>2005</v>
      </c>
      <c r="M313" s="0" t="s">
        <v>1576</v>
      </c>
      <c r="N313" s="0" t="s">
        <v>164</v>
      </c>
      <c r="Q313" s="0" t="n">
        <v>104</v>
      </c>
      <c r="R313" s="0" t="n">
        <v>103</v>
      </c>
      <c r="U313" s="0" t="s">
        <v>2043</v>
      </c>
      <c r="V313" s="0" t="s">
        <v>2043</v>
      </c>
      <c r="Y313" s="0" t="s">
        <v>1651</v>
      </c>
      <c r="Z313" s="0" t="s">
        <v>1652</v>
      </c>
      <c r="AA313" s="0" t="s">
        <v>2014</v>
      </c>
      <c r="AC313" s="0" t="s">
        <v>1654</v>
      </c>
    </row>
    <row r="314" customFormat="false" ht="15" hidden="false" customHeight="false" outlineLevel="0" collapsed="false">
      <c r="A314" s="0" t="s">
        <v>2071</v>
      </c>
      <c r="B314" s="0" t="s">
        <v>163</v>
      </c>
      <c r="C314" s="0" t="s">
        <v>2058</v>
      </c>
      <c r="D314" s="0" t="n">
        <v>2014</v>
      </c>
      <c r="E314" s="0" t="s">
        <v>404</v>
      </c>
      <c r="F314" s="0" t="n">
        <v>7480</v>
      </c>
      <c r="G314" s="0" t="s">
        <v>1681</v>
      </c>
      <c r="H314" s="0" t="s">
        <v>1648</v>
      </c>
      <c r="I314" s="0" t="n">
        <v>7480</v>
      </c>
      <c r="J314" s="0" t="s">
        <v>2005</v>
      </c>
      <c r="M314" s="0" t="s">
        <v>1576</v>
      </c>
      <c r="N314" s="0" t="s">
        <v>164</v>
      </c>
      <c r="Q314" s="0" t="n">
        <v>104</v>
      </c>
      <c r="R314" s="0" t="n">
        <v>103</v>
      </c>
      <c r="U314" s="0" t="s">
        <v>2043</v>
      </c>
      <c r="V314" s="0" t="s">
        <v>2043</v>
      </c>
      <c r="Y314" s="0" t="s">
        <v>1651</v>
      </c>
      <c r="Z314" s="0" t="s">
        <v>1652</v>
      </c>
      <c r="AA314" s="0" t="s">
        <v>2014</v>
      </c>
      <c r="AC314" s="0" t="s">
        <v>1654</v>
      </c>
    </row>
    <row r="315" customFormat="false" ht="15" hidden="false" customHeight="false" outlineLevel="0" collapsed="false">
      <c r="A315" s="0" t="s">
        <v>2072</v>
      </c>
      <c r="B315" s="0" t="s">
        <v>163</v>
      </c>
      <c r="C315" s="0" t="s">
        <v>2058</v>
      </c>
      <c r="D315" s="0" t="n">
        <v>2014</v>
      </c>
      <c r="E315" s="0" t="s">
        <v>406</v>
      </c>
      <c r="F315" s="0" t="n">
        <v>17851</v>
      </c>
      <c r="G315" s="0" t="s">
        <v>1681</v>
      </c>
      <c r="H315" s="0" t="s">
        <v>1648</v>
      </c>
      <c r="I315" s="0" t="n">
        <v>17851</v>
      </c>
      <c r="J315" s="0" t="s">
        <v>2005</v>
      </c>
      <c r="M315" s="0" t="s">
        <v>1576</v>
      </c>
      <c r="N315" s="0" t="s">
        <v>164</v>
      </c>
      <c r="Q315" s="0" t="n">
        <v>104</v>
      </c>
      <c r="R315" s="0" t="n">
        <v>103</v>
      </c>
      <c r="U315" s="0" t="s">
        <v>2043</v>
      </c>
      <c r="V315" s="0" t="s">
        <v>2043</v>
      </c>
      <c r="Y315" s="0" t="s">
        <v>1651</v>
      </c>
      <c r="Z315" s="0" t="s">
        <v>1652</v>
      </c>
      <c r="AA315" s="0" t="s">
        <v>2014</v>
      </c>
      <c r="AC315" s="0" t="s">
        <v>1654</v>
      </c>
    </row>
    <row r="316" customFormat="false" ht="15" hidden="false" customHeight="false" outlineLevel="0" collapsed="false">
      <c r="A316" s="0" t="s">
        <v>2073</v>
      </c>
      <c r="B316" s="0" t="s">
        <v>163</v>
      </c>
      <c r="C316" s="0" t="s">
        <v>2058</v>
      </c>
      <c r="D316" s="0" t="n">
        <v>2014</v>
      </c>
      <c r="E316" s="0" t="s">
        <v>64</v>
      </c>
      <c r="F316" s="0" t="n">
        <v>26407</v>
      </c>
      <c r="G316" s="0" t="s">
        <v>1681</v>
      </c>
      <c r="H316" s="0" t="s">
        <v>1648</v>
      </c>
      <c r="I316" s="0" t="n">
        <v>26407</v>
      </c>
      <c r="J316" s="0" t="s">
        <v>2005</v>
      </c>
      <c r="M316" s="0" t="s">
        <v>1576</v>
      </c>
      <c r="N316" s="0" t="s">
        <v>164</v>
      </c>
      <c r="Q316" s="0" t="n">
        <v>57</v>
      </c>
      <c r="R316" s="0" t="n">
        <v>56</v>
      </c>
      <c r="U316" s="0" t="s">
        <v>2043</v>
      </c>
      <c r="V316" s="0" t="s">
        <v>2043</v>
      </c>
      <c r="Y316" s="0" t="s">
        <v>1651</v>
      </c>
      <c r="Z316" s="0" t="s">
        <v>1652</v>
      </c>
      <c r="AA316" s="0" t="s">
        <v>2014</v>
      </c>
      <c r="AC316" s="0" t="s">
        <v>1654</v>
      </c>
    </row>
    <row r="317" customFormat="false" ht="15" hidden="false" customHeight="false" outlineLevel="0" collapsed="false">
      <c r="A317" s="0" t="s">
        <v>2074</v>
      </c>
      <c r="B317" s="0" t="s">
        <v>163</v>
      </c>
      <c r="C317" s="0" t="s">
        <v>2058</v>
      </c>
      <c r="D317" s="0" t="n">
        <v>2014</v>
      </c>
      <c r="E317" s="0" t="s">
        <v>69</v>
      </c>
      <c r="F317" s="0" t="n">
        <v>19</v>
      </c>
      <c r="G317" s="0" t="s">
        <v>1723</v>
      </c>
      <c r="I317" s="0" t="n">
        <v>19</v>
      </c>
      <c r="J317" s="0" t="s">
        <v>2005</v>
      </c>
      <c r="M317" s="0" t="s">
        <v>1576</v>
      </c>
      <c r="N317" s="0" t="s">
        <v>164</v>
      </c>
      <c r="Q317" s="0" t="n">
        <v>84</v>
      </c>
      <c r="R317" s="0" t="n">
        <v>83</v>
      </c>
      <c r="U317" s="0" t="s">
        <v>2043</v>
      </c>
      <c r="V317" s="0" t="s">
        <v>2043</v>
      </c>
      <c r="Y317" s="0" t="s">
        <v>1651</v>
      </c>
      <c r="Z317" s="0" t="s">
        <v>1652</v>
      </c>
      <c r="AA317" s="0" t="s">
        <v>2075</v>
      </c>
      <c r="AC317" s="0" t="s">
        <v>1654</v>
      </c>
    </row>
    <row r="318" customFormat="false" ht="15" hidden="false" customHeight="false" outlineLevel="0" collapsed="false">
      <c r="A318" s="0" t="s">
        <v>2076</v>
      </c>
      <c r="B318" s="0" t="s">
        <v>163</v>
      </c>
      <c r="C318" s="0" t="s">
        <v>2058</v>
      </c>
      <c r="D318" s="0" t="n">
        <v>2014</v>
      </c>
      <c r="E318" s="0" t="s">
        <v>65</v>
      </c>
      <c r="F318" s="0" t="n">
        <v>463128</v>
      </c>
      <c r="G318" s="0" t="s">
        <v>1681</v>
      </c>
      <c r="H318" s="0" t="s">
        <v>1648</v>
      </c>
      <c r="I318" s="0" t="n">
        <v>463128</v>
      </c>
      <c r="J318" s="0" t="s">
        <v>2005</v>
      </c>
      <c r="M318" s="0" t="s">
        <v>1576</v>
      </c>
      <c r="N318" s="0" t="s">
        <v>164</v>
      </c>
      <c r="Q318" s="0" t="n">
        <v>84</v>
      </c>
      <c r="R318" s="0" t="n">
        <v>83</v>
      </c>
      <c r="U318" s="0" t="s">
        <v>2043</v>
      </c>
      <c r="V318" s="0" t="s">
        <v>2043</v>
      </c>
      <c r="Y318" s="0" t="s">
        <v>1651</v>
      </c>
      <c r="Z318" s="0" t="s">
        <v>1652</v>
      </c>
      <c r="AA318" s="0" t="s">
        <v>2014</v>
      </c>
      <c r="AC318" s="0" t="s">
        <v>1654</v>
      </c>
    </row>
    <row r="319" customFormat="false" ht="15" hidden="false" customHeight="false" outlineLevel="0" collapsed="false">
      <c r="A319" s="0" t="s">
        <v>2077</v>
      </c>
      <c r="B319" s="0" t="s">
        <v>163</v>
      </c>
      <c r="C319" s="0" t="s">
        <v>2058</v>
      </c>
      <c r="D319" s="0" t="n">
        <v>2014</v>
      </c>
      <c r="E319" s="0" t="s">
        <v>66</v>
      </c>
      <c r="F319" s="0" t="n">
        <v>2433162</v>
      </c>
      <c r="G319" s="0" t="s">
        <v>1681</v>
      </c>
      <c r="H319" s="0" t="s">
        <v>1648</v>
      </c>
      <c r="I319" s="0" t="n">
        <v>2433162</v>
      </c>
      <c r="J319" s="0" t="s">
        <v>2005</v>
      </c>
      <c r="M319" s="0" t="s">
        <v>1576</v>
      </c>
      <c r="N319" s="0" t="s">
        <v>164</v>
      </c>
      <c r="Q319" s="0" t="n">
        <v>84</v>
      </c>
      <c r="R319" s="0" t="n">
        <v>83</v>
      </c>
      <c r="U319" s="0" t="s">
        <v>2043</v>
      </c>
      <c r="V319" s="0" t="s">
        <v>2043</v>
      </c>
      <c r="Y319" s="0" t="s">
        <v>1651</v>
      </c>
      <c r="Z319" s="0" t="s">
        <v>1652</v>
      </c>
      <c r="AA319" s="0" t="s">
        <v>2014</v>
      </c>
      <c r="AC319" s="0" t="s">
        <v>1654</v>
      </c>
    </row>
    <row r="320" customFormat="false" ht="15" hidden="false" customHeight="false" outlineLevel="0" collapsed="false">
      <c r="A320" s="0" t="s">
        <v>2078</v>
      </c>
      <c r="B320" s="0" t="s">
        <v>163</v>
      </c>
      <c r="C320" s="0" t="s">
        <v>2058</v>
      </c>
      <c r="D320" s="0" t="n">
        <v>2015</v>
      </c>
      <c r="E320" s="0" t="s">
        <v>54</v>
      </c>
      <c r="F320" s="0" t="n">
        <v>98784</v>
      </c>
      <c r="G320" s="0" t="s">
        <v>1681</v>
      </c>
      <c r="H320" s="0" t="s">
        <v>1648</v>
      </c>
      <c r="I320" s="0" t="n">
        <v>98784</v>
      </c>
      <c r="J320" s="0" t="s">
        <v>2005</v>
      </c>
      <c r="M320" s="0" t="s">
        <v>1576</v>
      </c>
      <c r="N320" s="0" t="s">
        <v>164</v>
      </c>
      <c r="Q320" s="0" t="n">
        <v>24</v>
      </c>
      <c r="R320" s="0" t="n">
        <v>23</v>
      </c>
      <c r="U320" s="0" t="s">
        <v>2043</v>
      </c>
      <c r="V320" s="0" t="s">
        <v>2043</v>
      </c>
      <c r="Y320" s="0" t="s">
        <v>1651</v>
      </c>
      <c r="Z320" s="0" t="s">
        <v>1652</v>
      </c>
      <c r="AA320" s="0" t="s">
        <v>2014</v>
      </c>
      <c r="AC320" s="0" t="s">
        <v>1654</v>
      </c>
    </row>
    <row r="321" customFormat="false" ht="15" hidden="false" customHeight="false" outlineLevel="0" collapsed="false">
      <c r="A321" s="0" t="s">
        <v>2079</v>
      </c>
      <c r="B321" s="0" t="s">
        <v>163</v>
      </c>
      <c r="C321" s="0" t="s">
        <v>2058</v>
      </c>
      <c r="D321" s="0" t="n">
        <v>2015</v>
      </c>
      <c r="E321" s="0" t="s">
        <v>670</v>
      </c>
      <c r="F321" s="0" t="n">
        <v>396653</v>
      </c>
      <c r="G321" s="0" t="s">
        <v>1681</v>
      </c>
      <c r="H321" s="0" t="s">
        <v>1648</v>
      </c>
      <c r="I321" s="0" t="n">
        <v>396653</v>
      </c>
      <c r="J321" s="0" t="s">
        <v>2005</v>
      </c>
      <c r="M321" s="0" t="s">
        <v>1576</v>
      </c>
      <c r="N321" s="0" t="s">
        <v>164</v>
      </c>
      <c r="Q321" s="0" t="n">
        <v>24</v>
      </c>
      <c r="R321" s="0" t="n">
        <v>23</v>
      </c>
      <c r="U321" s="0" t="s">
        <v>2043</v>
      </c>
      <c r="V321" s="0" t="s">
        <v>2043</v>
      </c>
      <c r="Y321" s="0" t="s">
        <v>1651</v>
      </c>
      <c r="Z321" s="0" t="s">
        <v>1652</v>
      </c>
      <c r="AA321" s="0" t="s">
        <v>2014</v>
      </c>
      <c r="AC321" s="0" t="s">
        <v>1654</v>
      </c>
    </row>
    <row r="322" customFormat="false" ht="15" hidden="false" customHeight="false" outlineLevel="0" collapsed="false">
      <c r="A322" s="0" t="s">
        <v>2080</v>
      </c>
      <c r="B322" s="0" t="s">
        <v>163</v>
      </c>
      <c r="C322" s="0" t="s">
        <v>2058</v>
      </c>
      <c r="D322" s="0" t="n">
        <v>2015</v>
      </c>
      <c r="E322" s="0" t="s">
        <v>63</v>
      </c>
      <c r="F322" s="0" t="n">
        <v>11091</v>
      </c>
      <c r="G322" s="0" t="s">
        <v>1681</v>
      </c>
      <c r="H322" s="0" t="s">
        <v>1648</v>
      </c>
      <c r="I322" s="0" t="n">
        <v>11091</v>
      </c>
      <c r="J322" s="0" t="s">
        <v>2005</v>
      </c>
      <c r="M322" s="0" t="s">
        <v>1576</v>
      </c>
      <c r="N322" s="0" t="s">
        <v>164</v>
      </c>
      <c r="Q322" s="0" t="n">
        <v>24</v>
      </c>
      <c r="R322" s="0" t="n">
        <v>23</v>
      </c>
      <c r="U322" s="0" t="s">
        <v>2043</v>
      </c>
      <c r="V322" s="0" t="s">
        <v>2043</v>
      </c>
      <c r="Y322" s="0" t="s">
        <v>1651</v>
      </c>
      <c r="Z322" s="0" t="s">
        <v>1652</v>
      </c>
      <c r="AA322" s="0" t="s">
        <v>2061</v>
      </c>
      <c r="AC322" s="0" t="s">
        <v>1654</v>
      </c>
    </row>
    <row r="323" customFormat="false" ht="15" hidden="false" customHeight="false" outlineLevel="0" collapsed="false">
      <c r="A323" s="0" t="s">
        <v>2081</v>
      </c>
      <c r="B323" s="0" t="s">
        <v>163</v>
      </c>
      <c r="C323" s="0" t="s">
        <v>2058</v>
      </c>
      <c r="D323" s="0" t="n">
        <v>2015</v>
      </c>
      <c r="E323" s="0" t="s">
        <v>55</v>
      </c>
      <c r="F323" s="0" t="n">
        <v>3750327</v>
      </c>
      <c r="G323" s="0" t="s">
        <v>1681</v>
      </c>
      <c r="H323" s="0" t="s">
        <v>1648</v>
      </c>
      <c r="I323" s="0" t="n">
        <v>3750327</v>
      </c>
      <c r="J323" s="0" t="s">
        <v>2005</v>
      </c>
      <c r="M323" s="0" t="s">
        <v>1576</v>
      </c>
      <c r="N323" s="0" t="s">
        <v>164</v>
      </c>
      <c r="Q323" s="0" t="n">
        <v>25</v>
      </c>
      <c r="R323" s="0" t="n">
        <v>24</v>
      </c>
      <c r="U323" s="0" t="s">
        <v>2043</v>
      </c>
      <c r="V323" s="0" t="s">
        <v>2043</v>
      </c>
      <c r="Y323" s="0" t="s">
        <v>1651</v>
      </c>
      <c r="Z323" s="0" t="s">
        <v>1652</v>
      </c>
      <c r="AA323" s="0" t="s">
        <v>2014</v>
      </c>
      <c r="AC323" s="0" t="s">
        <v>1654</v>
      </c>
    </row>
    <row r="324" customFormat="false" ht="15" hidden="false" customHeight="false" outlineLevel="0" collapsed="false">
      <c r="A324" s="0" t="s">
        <v>2082</v>
      </c>
      <c r="B324" s="0" t="s">
        <v>163</v>
      </c>
      <c r="C324" s="0" t="s">
        <v>2058</v>
      </c>
      <c r="D324" s="0" t="n">
        <v>2015</v>
      </c>
      <c r="E324" s="0" t="s">
        <v>56</v>
      </c>
      <c r="F324" s="0" t="n">
        <v>3203381</v>
      </c>
      <c r="G324" s="0" t="s">
        <v>1681</v>
      </c>
      <c r="H324" s="0" t="s">
        <v>1648</v>
      </c>
      <c r="I324" s="0" t="n">
        <v>3203381</v>
      </c>
      <c r="J324" s="0" t="s">
        <v>2005</v>
      </c>
      <c r="M324" s="0" t="s">
        <v>1576</v>
      </c>
      <c r="N324" s="0" t="s">
        <v>164</v>
      </c>
      <c r="Q324" s="0" t="n">
        <v>25</v>
      </c>
      <c r="R324" s="0" t="n">
        <v>24</v>
      </c>
      <c r="U324" s="0" t="s">
        <v>2043</v>
      </c>
      <c r="V324" s="0" t="s">
        <v>2043</v>
      </c>
      <c r="Y324" s="0" t="s">
        <v>1651</v>
      </c>
      <c r="Z324" s="0" t="s">
        <v>1652</v>
      </c>
      <c r="AA324" s="0" t="s">
        <v>2014</v>
      </c>
      <c r="AC324" s="0" t="s">
        <v>1654</v>
      </c>
    </row>
    <row r="325" customFormat="false" ht="15" hidden="false" customHeight="false" outlineLevel="0" collapsed="false">
      <c r="A325" s="0" t="s">
        <v>2083</v>
      </c>
      <c r="B325" s="0" t="s">
        <v>163</v>
      </c>
      <c r="C325" s="0" t="s">
        <v>2058</v>
      </c>
      <c r="D325" s="0" t="n">
        <v>2015</v>
      </c>
      <c r="E325" s="0" t="s">
        <v>57</v>
      </c>
      <c r="F325" s="0" t="n">
        <v>546946</v>
      </c>
      <c r="G325" s="0" t="s">
        <v>1681</v>
      </c>
      <c r="H325" s="0" t="s">
        <v>1648</v>
      </c>
      <c r="I325" s="0" t="n">
        <v>546946</v>
      </c>
      <c r="J325" s="0" t="s">
        <v>2005</v>
      </c>
      <c r="M325" s="0" t="s">
        <v>1576</v>
      </c>
      <c r="N325" s="0" t="s">
        <v>164</v>
      </c>
      <c r="Q325" s="0" t="n">
        <v>25</v>
      </c>
      <c r="R325" s="0" t="n">
        <v>24</v>
      </c>
      <c r="U325" s="0" t="s">
        <v>2043</v>
      </c>
      <c r="V325" s="0" t="s">
        <v>2043</v>
      </c>
      <c r="Y325" s="0" t="s">
        <v>1651</v>
      </c>
      <c r="Z325" s="0" t="s">
        <v>1652</v>
      </c>
      <c r="AA325" s="0" t="s">
        <v>2014</v>
      </c>
      <c r="AC325" s="0" t="s">
        <v>1654</v>
      </c>
    </row>
    <row r="326" customFormat="false" ht="15" hidden="false" customHeight="false" outlineLevel="0" collapsed="false">
      <c r="A326" s="0" t="s">
        <v>2084</v>
      </c>
      <c r="B326" s="0" t="s">
        <v>163</v>
      </c>
      <c r="C326" s="0" t="s">
        <v>2058</v>
      </c>
      <c r="D326" s="0" t="n">
        <v>2015</v>
      </c>
      <c r="E326" s="0" t="s">
        <v>62</v>
      </c>
      <c r="F326" s="0" t="n">
        <v>1849225</v>
      </c>
      <c r="G326" s="0" t="s">
        <v>1681</v>
      </c>
      <c r="H326" s="0" t="s">
        <v>1648</v>
      </c>
      <c r="I326" s="0" t="n">
        <v>1849225</v>
      </c>
      <c r="J326" s="0" t="s">
        <v>2005</v>
      </c>
      <c r="M326" s="0" t="s">
        <v>1576</v>
      </c>
      <c r="N326" s="0" t="s">
        <v>164</v>
      </c>
      <c r="Q326" s="0" t="n">
        <v>25</v>
      </c>
      <c r="R326" s="0" t="n">
        <v>24</v>
      </c>
      <c r="U326" s="0" t="s">
        <v>2043</v>
      </c>
      <c r="V326" s="0" t="s">
        <v>2043</v>
      </c>
      <c r="Y326" s="0" t="s">
        <v>1651</v>
      </c>
      <c r="Z326" s="0" t="s">
        <v>1652</v>
      </c>
      <c r="AA326" s="0" t="s">
        <v>2014</v>
      </c>
      <c r="AC326" s="0" t="s">
        <v>1654</v>
      </c>
    </row>
    <row r="327" customFormat="false" ht="15" hidden="false" customHeight="false" outlineLevel="0" collapsed="false">
      <c r="A327" s="0" t="s">
        <v>2085</v>
      </c>
      <c r="B327" s="0" t="s">
        <v>163</v>
      </c>
      <c r="C327" s="0" t="s">
        <v>2058</v>
      </c>
      <c r="D327" s="0" t="n">
        <v>2015</v>
      </c>
      <c r="E327" s="0" t="s">
        <v>1646</v>
      </c>
      <c r="F327" s="0" t="n">
        <v>2333017</v>
      </c>
      <c r="G327" s="0" t="s">
        <v>1681</v>
      </c>
      <c r="H327" s="0" t="s">
        <v>1648</v>
      </c>
      <c r="I327" s="0" t="n">
        <v>2333017</v>
      </c>
      <c r="J327" s="0" t="s">
        <v>2005</v>
      </c>
      <c r="M327" s="0" t="s">
        <v>1576</v>
      </c>
      <c r="N327" s="0" t="s">
        <v>164</v>
      </c>
      <c r="Q327" s="0" t="n">
        <v>25</v>
      </c>
      <c r="R327" s="0" t="n">
        <v>24</v>
      </c>
      <c r="U327" s="0" t="s">
        <v>2043</v>
      </c>
      <c r="V327" s="0" t="s">
        <v>2043</v>
      </c>
      <c r="Y327" s="0" t="s">
        <v>1651</v>
      </c>
      <c r="Z327" s="0" t="s">
        <v>1652</v>
      </c>
      <c r="AA327" s="0" t="s">
        <v>2014</v>
      </c>
      <c r="AC327" s="0" t="s">
        <v>1654</v>
      </c>
    </row>
    <row r="328" customFormat="false" ht="15" hidden="false" customHeight="false" outlineLevel="0" collapsed="false">
      <c r="A328" s="0" t="s">
        <v>2086</v>
      </c>
      <c r="B328" s="0" t="s">
        <v>163</v>
      </c>
      <c r="C328" s="0" t="s">
        <v>2058</v>
      </c>
      <c r="D328" s="0" t="n">
        <v>2015</v>
      </c>
      <c r="E328" s="0" t="s">
        <v>58</v>
      </c>
      <c r="F328" s="0" t="n">
        <v>-415396</v>
      </c>
      <c r="G328" s="0" t="s">
        <v>1681</v>
      </c>
      <c r="H328" s="0" t="s">
        <v>1648</v>
      </c>
      <c r="I328" s="0" t="n">
        <v>-415396</v>
      </c>
      <c r="J328" s="0" t="s">
        <v>2005</v>
      </c>
      <c r="M328" s="0" t="s">
        <v>1576</v>
      </c>
      <c r="N328" s="0" t="s">
        <v>164</v>
      </c>
      <c r="Q328" s="0" t="n">
        <v>28</v>
      </c>
      <c r="R328" s="0" t="n">
        <v>27</v>
      </c>
      <c r="U328" s="0" t="s">
        <v>2043</v>
      </c>
      <c r="V328" s="0" t="s">
        <v>2043</v>
      </c>
      <c r="Y328" s="0" t="s">
        <v>1651</v>
      </c>
      <c r="Z328" s="0" t="s">
        <v>1652</v>
      </c>
      <c r="AA328" s="0" t="s">
        <v>2014</v>
      </c>
      <c r="AC328" s="0" t="s">
        <v>1654</v>
      </c>
    </row>
    <row r="329" customFormat="false" ht="15" hidden="false" customHeight="false" outlineLevel="0" collapsed="false">
      <c r="A329" s="0" t="s">
        <v>2087</v>
      </c>
      <c r="B329" s="0" t="s">
        <v>163</v>
      </c>
      <c r="C329" s="0" t="s">
        <v>2058</v>
      </c>
      <c r="D329" s="0" t="n">
        <v>2015</v>
      </c>
      <c r="E329" s="0" t="s">
        <v>60</v>
      </c>
      <c r="F329" s="0" t="n">
        <v>1884941</v>
      </c>
      <c r="G329" s="0" t="s">
        <v>1681</v>
      </c>
      <c r="H329" s="0" t="s">
        <v>1648</v>
      </c>
      <c r="I329" s="0" t="n">
        <v>1884941</v>
      </c>
      <c r="J329" s="0" t="s">
        <v>2005</v>
      </c>
      <c r="M329" s="0" t="s">
        <v>1576</v>
      </c>
      <c r="N329" s="0" t="s">
        <v>164</v>
      </c>
      <c r="Q329" s="0" t="n">
        <v>104</v>
      </c>
      <c r="R329" s="0" t="n">
        <v>103</v>
      </c>
      <c r="U329" s="0" t="s">
        <v>2043</v>
      </c>
      <c r="V329" s="0" t="s">
        <v>2043</v>
      </c>
      <c r="Y329" s="0" t="s">
        <v>1651</v>
      </c>
      <c r="Z329" s="0" t="s">
        <v>1652</v>
      </c>
      <c r="AA329" s="0" t="s">
        <v>2069</v>
      </c>
      <c r="AC329" s="0" t="s">
        <v>1654</v>
      </c>
    </row>
    <row r="330" customFormat="false" ht="15" hidden="false" customHeight="false" outlineLevel="0" collapsed="false">
      <c r="A330" s="0" t="s">
        <v>2088</v>
      </c>
      <c r="B330" s="0" t="s">
        <v>163</v>
      </c>
      <c r="C330" s="0" t="s">
        <v>2058</v>
      </c>
      <c r="D330" s="0" t="n">
        <v>2015</v>
      </c>
      <c r="E330" s="0" t="s">
        <v>61</v>
      </c>
      <c r="F330" s="0" t="n">
        <v>35716</v>
      </c>
      <c r="G330" s="0" t="s">
        <v>1681</v>
      </c>
      <c r="H330" s="0" t="s">
        <v>1648</v>
      </c>
      <c r="I330" s="0" t="n">
        <v>35716</v>
      </c>
      <c r="J330" s="0" t="s">
        <v>2005</v>
      </c>
      <c r="M330" s="0" t="s">
        <v>1576</v>
      </c>
      <c r="N330" s="0" t="s">
        <v>164</v>
      </c>
      <c r="Q330" s="0" t="n">
        <v>104</v>
      </c>
      <c r="R330" s="0" t="n">
        <v>103</v>
      </c>
      <c r="U330" s="0" t="s">
        <v>2043</v>
      </c>
      <c r="V330" s="0" t="s">
        <v>2043</v>
      </c>
      <c r="Y330" s="0" t="s">
        <v>1651</v>
      </c>
      <c r="Z330" s="0" t="s">
        <v>1652</v>
      </c>
      <c r="AA330" s="0" t="s">
        <v>2014</v>
      </c>
      <c r="AC330" s="0" t="s">
        <v>1654</v>
      </c>
    </row>
    <row r="331" customFormat="false" ht="15" hidden="false" customHeight="false" outlineLevel="0" collapsed="false">
      <c r="A331" s="0" t="s">
        <v>2089</v>
      </c>
      <c r="B331" s="0" t="s">
        <v>163</v>
      </c>
      <c r="C331" s="0" t="s">
        <v>2058</v>
      </c>
      <c r="D331" s="0" t="n">
        <v>2015</v>
      </c>
      <c r="E331" s="0" t="s">
        <v>404</v>
      </c>
      <c r="F331" s="0" t="n">
        <v>16116</v>
      </c>
      <c r="G331" s="0" t="s">
        <v>1681</v>
      </c>
      <c r="H331" s="0" t="s">
        <v>1648</v>
      </c>
      <c r="I331" s="0" t="n">
        <v>16116</v>
      </c>
      <c r="J331" s="0" t="s">
        <v>2005</v>
      </c>
      <c r="M331" s="0" t="s">
        <v>1576</v>
      </c>
      <c r="N331" s="0" t="s">
        <v>164</v>
      </c>
      <c r="Q331" s="0" t="n">
        <v>104</v>
      </c>
      <c r="R331" s="0" t="n">
        <v>103</v>
      </c>
      <c r="U331" s="0" t="s">
        <v>2043</v>
      </c>
      <c r="V331" s="0" t="s">
        <v>2043</v>
      </c>
      <c r="Y331" s="0" t="s">
        <v>1651</v>
      </c>
      <c r="Z331" s="0" t="s">
        <v>1652</v>
      </c>
      <c r="AA331" s="0" t="s">
        <v>2014</v>
      </c>
      <c r="AC331" s="0" t="s">
        <v>1654</v>
      </c>
    </row>
    <row r="332" customFormat="false" ht="15" hidden="false" customHeight="false" outlineLevel="0" collapsed="false">
      <c r="A332" s="0" t="s">
        <v>2090</v>
      </c>
      <c r="B332" s="0" t="s">
        <v>163</v>
      </c>
      <c r="C332" s="0" t="s">
        <v>2058</v>
      </c>
      <c r="D332" s="0" t="n">
        <v>2015</v>
      </c>
      <c r="E332" s="0" t="s">
        <v>406</v>
      </c>
      <c r="F332" s="0" t="n">
        <v>19600</v>
      </c>
      <c r="G332" s="0" t="s">
        <v>1681</v>
      </c>
      <c r="H332" s="0" t="s">
        <v>1648</v>
      </c>
      <c r="I332" s="0" t="n">
        <v>19600</v>
      </c>
      <c r="J332" s="0" t="s">
        <v>2005</v>
      </c>
      <c r="M332" s="0" t="s">
        <v>1576</v>
      </c>
      <c r="N332" s="0" t="s">
        <v>164</v>
      </c>
      <c r="Q332" s="0" t="n">
        <v>104</v>
      </c>
      <c r="R332" s="0" t="n">
        <v>103</v>
      </c>
      <c r="U332" s="0" t="s">
        <v>2043</v>
      </c>
      <c r="V332" s="0" t="s">
        <v>2043</v>
      </c>
      <c r="Y332" s="0" t="s">
        <v>1651</v>
      </c>
      <c r="Z332" s="0" t="s">
        <v>1652</v>
      </c>
      <c r="AA332" s="0" t="s">
        <v>2014</v>
      </c>
      <c r="AC332" s="0" t="s">
        <v>1654</v>
      </c>
    </row>
    <row r="333" customFormat="false" ht="15" hidden="false" customHeight="false" outlineLevel="0" collapsed="false">
      <c r="A333" s="0" t="s">
        <v>2091</v>
      </c>
      <c r="B333" s="0" t="s">
        <v>163</v>
      </c>
      <c r="C333" s="0" t="s">
        <v>2058</v>
      </c>
      <c r="D333" s="0" t="n">
        <v>2015</v>
      </c>
      <c r="E333" s="0" t="s">
        <v>64</v>
      </c>
      <c r="F333" s="0" t="n">
        <v>30871</v>
      </c>
      <c r="G333" s="0" t="s">
        <v>1681</v>
      </c>
      <c r="H333" s="0" t="s">
        <v>1648</v>
      </c>
      <c r="I333" s="0" t="n">
        <v>30871</v>
      </c>
      <c r="J333" s="0" t="s">
        <v>2005</v>
      </c>
      <c r="M333" s="0" t="s">
        <v>1576</v>
      </c>
      <c r="N333" s="0" t="s">
        <v>164</v>
      </c>
      <c r="Q333" s="0" t="n">
        <v>57</v>
      </c>
      <c r="R333" s="0" t="n">
        <v>56</v>
      </c>
      <c r="U333" s="0" t="s">
        <v>2043</v>
      </c>
      <c r="V333" s="0" t="s">
        <v>2043</v>
      </c>
      <c r="Y333" s="0" t="s">
        <v>1651</v>
      </c>
      <c r="Z333" s="0" t="s">
        <v>1652</v>
      </c>
      <c r="AA333" s="0" t="s">
        <v>2014</v>
      </c>
      <c r="AC333" s="0" t="s">
        <v>1654</v>
      </c>
    </row>
    <row r="334" customFormat="false" ht="15" hidden="false" customHeight="false" outlineLevel="0" collapsed="false">
      <c r="A334" s="0" t="s">
        <v>2092</v>
      </c>
      <c r="B334" s="0" t="s">
        <v>163</v>
      </c>
      <c r="C334" s="0" t="s">
        <v>2058</v>
      </c>
      <c r="D334" s="0" t="n">
        <v>2015</v>
      </c>
      <c r="E334" s="0" t="s">
        <v>69</v>
      </c>
      <c r="F334" s="0" t="n">
        <v>20</v>
      </c>
      <c r="G334" s="0" t="s">
        <v>1723</v>
      </c>
      <c r="I334" s="0" t="n">
        <v>20</v>
      </c>
      <c r="J334" s="0" t="s">
        <v>2005</v>
      </c>
      <c r="M334" s="0" t="s">
        <v>1576</v>
      </c>
      <c r="N334" s="0" t="s">
        <v>164</v>
      </c>
      <c r="Q334" s="0" t="n">
        <v>84</v>
      </c>
      <c r="R334" s="0" t="n">
        <v>83</v>
      </c>
      <c r="U334" s="0" t="s">
        <v>2043</v>
      </c>
      <c r="V334" s="0" t="s">
        <v>2043</v>
      </c>
      <c r="Y334" s="0" t="s">
        <v>1651</v>
      </c>
      <c r="Z334" s="0" t="s">
        <v>1652</v>
      </c>
      <c r="AA334" s="0" t="s">
        <v>2075</v>
      </c>
      <c r="AC334" s="0" t="s">
        <v>1654</v>
      </c>
    </row>
    <row r="335" customFormat="false" ht="15" hidden="false" customHeight="false" outlineLevel="0" collapsed="false">
      <c r="A335" s="0" t="s">
        <v>2093</v>
      </c>
      <c r="B335" s="0" t="s">
        <v>163</v>
      </c>
      <c r="C335" s="0" t="s">
        <v>2058</v>
      </c>
      <c r="D335" s="0" t="n">
        <v>2015</v>
      </c>
      <c r="E335" s="0" t="s">
        <v>65</v>
      </c>
      <c r="F335" s="0" t="n">
        <v>484709</v>
      </c>
      <c r="G335" s="0" t="s">
        <v>1681</v>
      </c>
      <c r="H335" s="0" t="s">
        <v>1648</v>
      </c>
      <c r="I335" s="0" t="n">
        <v>484709</v>
      </c>
      <c r="J335" s="0" t="s">
        <v>2005</v>
      </c>
      <c r="M335" s="0" t="s">
        <v>1576</v>
      </c>
      <c r="N335" s="0" t="s">
        <v>164</v>
      </c>
      <c r="Q335" s="0" t="n">
        <v>84</v>
      </c>
      <c r="R335" s="0" t="n">
        <v>83</v>
      </c>
      <c r="U335" s="0" t="s">
        <v>2043</v>
      </c>
      <c r="V335" s="0" t="s">
        <v>2043</v>
      </c>
      <c r="Y335" s="0" t="s">
        <v>1651</v>
      </c>
      <c r="Z335" s="0" t="s">
        <v>1652</v>
      </c>
      <c r="AA335" s="0" t="s">
        <v>2014</v>
      </c>
      <c r="AC335" s="0" t="s">
        <v>1654</v>
      </c>
    </row>
    <row r="336" customFormat="false" ht="15" hidden="false" customHeight="false" outlineLevel="0" collapsed="false">
      <c r="A336" s="0" t="s">
        <v>2094</v>
      </c>
      <c r="B336" s="0" t="s">
        <v>163</v>
      </c>
      <c r="C336" s="0" t="s">
        <v>2058</v>
      </c>
      <c r="D336" s="0" t="n">
        <v>2015</v>
      </c>
      <c r="E336" s="0" t="s">
        <v>66</v>
      </c>
      <c r="F336" s="0" t="n">
        <v>2392856</v>
      </c>
      <c r="G336" s="0" t="s">
        <v>1681</v>
      </c>
      <c r="H336" s="0" t="s">
        <v>1648</v>
      </c>
      <c r="I336" s="0" t="n">
        <v>2392856</v>
      </c>
      <c r="J336" s="0" t="s">
        <v>2005</v>
      </c>
      <c r="M336" s="0" t="s">
        <v>1576</v>
      </c>
      <c r="N336" s="0" t="s">
        <v>164</v>
      </c>
      <c r="Q336" s="0" t="n">
        <v>84</v>
      </c>
      <c r="R336" s="0" t="n">
        <v>83</v>
      </c>
      <c r="U336" s="0" t="s">
        <v>2043</v>
      </c>
      <c r="V336" s="0" t="s">
        <v>2043</v>
      </c>
      <c r="Y336" s="0" t="s">
        <v>1651</v>
      </c>
      <c r="Z336" s="0" t="s">
        <v>1652</v>
      </c>
      <c r="AA336" s="0" t="s">
        <v>2014</v>
      </c>
      <c r="AC336" s="0" t="s">
        <v>1654</v>
      </c>
    </row>
    <row r="337" customFormat="false" ht="15" hidden="false" customHeight="false" outlineLevel="0" collapsed="false">
      <c r="A337" s="0" t="s">
        <v>2095</v>
      </c>
      <c r="B337" s="0" t="s">
        <v>104</v>
      </c>
      <c r="C337" s="0" t="s">
        <v>2004</v>
      </c>
      <c r="D337" s="0" t="n">
        <v>2014</v>
      </c>
      <c r="E337" s="0" t="s">
        <v>60</v>
      </c>
      <c r="F337" s="0" t="n">
        <v>1832107</v>
      </c>
      <c r="G337" s="0" t="s">
        <v>1681</v>
      </c>
      <c r="H337" s="0" t="s">
        <v>1648</v>
      </c>
      <c r="I337" s="0" t="n">
        <v>1832107</v>
      </c>
      <c r="J337" s="0" t="s">
        <v>2005</v>
      </c>
      <c r="M337" s="0" t="s">
        <v>1522</v>
      </c>
      <c r="N337" s="0" t="s">
        <v>105</v>
      </c>
      <c r="Q337" s="0" t="n">
        <v>229</v>
      </c>
      <c r="R337" s="0" t="n">
        <v>229</v>
      </c>
      <c r="U337" s="0" t="s">
        <v>2043</v>
      </c>
      <c r="V337" s="0" t="s">
        <v>2043</v>
      </c>
      <c r="Y337" s="0" t="s">
        <v>1651</v>
      </c>
      <c r="Z337" s="0" t="s">
        <v>1652</v>
      </c>
      <c r="AA337" s="0" t="s">
        <v>2096</v>
      </c>
      <c r="AC337" s="0" t="s">
        <v>1654</v>
      </c>
    </row>
    <row r="338" customFormat="false" ht="15" hidden="false" customHeight="false" outlineLevel="0" collapsed="false">
      <c r="A338" s="0" t="s">
        <v>2097</v>
      </c>
      <c r="B338" s="0" t="s">
        <v>104</v>
      </c>
      <c r="C338" s="0" t="s">
        <v>2004</v>
      </c>
      <c r="D338" s="0" t="n">
        <v>2014</v>
      </c>
      <c r="E338" s="0" t="s">
        <v>61</v>
      </c>
      <c r="F338" s="0" t="n">
        <v>38070</v>
      </c>
      <c r="G338" s="0" t="s">
        <v>1681</v>
      </c>
      <c r="H338" s="0" t="s">
        <v>1648</v>
      </c>
      <c r="I338" s="0" t="n">
        <v>38070</v>
      </c>
      <c r="J338" s="0" t="s">
        <v>2005</v>
      </c>
      <c r="M338" s="0" t="s">
        <v>1522</v>
      </c>
      <c r="N338" s="0" t="s">
        <v>105</v>
      </c>
      <c r="Q338" s="0" t="n">
        <v>229</v>
      </c>
      <c r="R338" s="0" t="n">
        <v>229</v>
      </c>
      <c r="U338" s="0" t="s">
        <v>2043</v>
      </c>
      <c r="V338" s="0" t="s">
        <v>2043</v>
      </c>
      <c r="Y338" s="0" t="s">
        <v>1651</v>
      </c>
      <c r="Z338" s="0" t="s">
        <v>1652</v>
      </c>
      <c r="AA338" s="0" t="s">
        <v>2096</v>
      </c>
      <c r="AC338" s="0" t="s">
        <v>1654</v>
      </c>
    </row>
    <row r="339" customFormat="false" ht="15" hidden="false" customHeight="false" outlineLevel="0" collapsed="false">
      <c r="A339" s="0" t="s">
        <v>2098</v>
      </c>
      <c r="B339" s="0" t="s">
        <v>104</v>
      </c>
      <c r="C339" s="0" t="s">
        <v>2004</v>
      </c>
      <c r="D339" s="0" t="n">
        <v>2014</v>
      </c>
      <c r="E339" s="0" t="s">
        <v>404</v>
      </c>
      <c r="F339" s="0" t="n">
        <v>26156</v>
      </c>
      <c r="G339" s="0" t="s">
        <v>1681</v>
      </c>
      <c r="H339" s="0" t="s">
        <v>1648</v>
      </c>
      <c r="I339" s="0" t="n">
        <v>26156</v>
      </c>
      <c r="J339" s="0" t="s">
        <v>2005</v>
      </c>
      <c r="M339" s="0" t="s">
        <v>1522</v>
      </c>
      <c r="N339" s="0" t="s">
        <v>105</v>
      </c>
      <c r="Q339" s="0" t="n">
        <v>229</v>
      </c>
      <c r="R339" s="0" t="n">
        <v>229</v>
      </c>
      <c r="U339" s="0" t="s">
        <v>2043</v>
      </c>
      <c r="V339" s="0" t="s">
        <v>2043</v>
      </c>
      <c r="Y339" s="0" t="s">
        <v>1651</v>
      </c>
      <c r="Z339" s="0" t="s">
        <v>1652</v>
      </c>
      <c r="AA339" s="0" t="s">
        <v>2096</v>
      </c>
      <c r="AC339" s="0" t="s">
        <v>1654</v>
      </c>
    </row>
    <row r="340" customFormat="false" ht="15" hidden="false" customHeight="false" outlineLevel="0" collapsed="false">
      <c r="A340" s="0" t="s">
        <v>2099</v>
      </c>
      <c r="B340" s="0" t="s">
        <v>104</v>
      </c>
      <c r="C340" s="0" t="s">
        <v>2004</v>
      </c>
      <c r="D340" s="0" t="n">
        <v>2014</v>
      </c>
      <c r="E340" s="0" t="s">
        <v>406</v>
      </c>
      <c r="F340" s="0" t="n">
        <v>11914</v>
      </c>
      <c r="G340" s="0" t="s">
        <v>1681</v>
      </c>
      <c r="H340" s="0" t="s">
        <v>1648</v>
      </c>
      <c r="I340" s="0" t="n">
        <v>11914</v>
      </c>
      <c r="J340" s="0" t="s">
        <v>2005</v>
      </c>
      <c r="M340" s="0" t="s">
        <v>1522</v>
      </c>
      <c r="N340" s="0" t="s">
        <v>105</v>
      </c>
      <c r="Q340" s="0" t="n">
        <v>229</v>
      </c>
      <c r="R340" s="0" t="n">
        <v>229</v>
      </c>
      <c r="U340" s="0" t="s">
        <v>2043</v>
      </c>
      <c r="V340" s="0" t="s">
        <v>2043</v>
      </c>
      <c r="Y340" s="0" t="s">
        <v>1651</v>
      </c>
      <c r="Z340" s="0" t="s">
        <v>1652</v>
      </c>
      <c r="AA340" s="0" t="s">
        <v>2096</v>
      </c>
      <c r="AC340" s="0" t="s">
        <v>1654</v>
      </c>
    </row>
    <row r="341" customFormat="false" ht="15" hidden="false" customHeight="false" outlineLevel="0" collapsed="false">
      <c r="A341" s="0" t="s">
        <v>2100</v>
      </c>
      <c r="B341" s="0" t="s">
        <v>104</v>
      </c>
      <c r="C341" s="0" t="s">
        <v>2004</v>
      </c>
      <c r="D341" s="0" t="n">
        <v>2013</v>
      </c>
      <c r="E341" s="0" t="s">
        <v>60</v>
      </c>
      <c r="F341" s="0" t="n">
        <v>1515288</v>
      </c>
      <c r="G341" s="0" t="s">
        <v>1681</v>
      </c>
      <c r="H341" s="0" t="s">
        <v>1648</v>
      </c>
      <c r="I341" s="0" t="n">
        <v>1515288</v>
      </c>
      <c r="J341" s="0" t="s">
        <v>2005</v>
      </c>
      <c r="M341" s="0" t="s">
        <v>1522</v>
      </c>
      <c r="N341" s="0" t="s">
        <v>105</v>
      </c>
      <c r="Q341" s="0" t="n">
        <v>229</v>
      </c>
      <c r="R341" s="0" t="n">
        <v>229</v>
      </c>
      <c r="U341" s="0" t="s">
        <v>2043</v>
      </c>
      <c r="V341" s="0" t="s">
        <v>2043</v>
      </c>
      <c r="Y341" s="0" t="s">
        <v>1651</v>
      </c>
      <c r="Z341" s="0" t="s">
        <v>1652</v>
      </c>
      <c r="AA341" s="0" t="s">
        <v>2096</v>
      </c>
      <c r="AC341" s="0" t="s">
        <v>1654</v>
      </c>
    </row>
    <row r="342" customFormat="false" ht="15" hidden="false" customHeight="false" outlineLevel="0" collapsed="false">
      <c r="A342" s="0" t="s">
        <v>2101</v>
      </c>
      <c r="B342" s="0" t="s">
        <v>104</v>
      </c>
      <c r="C342" s="0" t="s">
        <v>2004</v>
      </c>
      <c r="D342" s="0" t="n">
        <v>2013</v>
      </c>
      <c r="E342" s="0" t="s">
        <v>61</v>
      </c>
      <c r="F342" s="0" t="n">
        <v>41449</v>
      </c>
      <c r="G342" s="0" t="s">
        <v>1681</v>
      </c>
      <c r="H342" s="0" t="s">
        <v>1648</v>
      </c>
      <c r="I342" s="0" t="n">
        <v>41449</v>
      </c>
      <c r="J342" s="0" t="s">
        <v>2005</v>
      </c>
      <c r="M342" s="0" t="s">
        <v>1522</v>
      </c>
      <c r="N342" s="0" t="s">
        <v>105</v>
      </c>
      <c r="Q342" s="0" t="n">
        <v>229</v>
      </c>
      <c r="R342" s="0" t="n">
        <v>229</v>
      </c>
      <c r="U342" s="0" t="s">
        <v>2043</v>
      </c>
      <c r="V342" s="0" t="s">
        <v>2043</v>
      </c>
      <c r="Y342" s="0" t="s">
        <v>1651</v>
      </c>
      <c r="Z342" s="0" t="s">
        <v>1652</v>
      </c>
      <c r="AA342" s="0" t="s">
        <v>2096</v>
      </c>
      <c r="AC342" s="0" t="s">
        <v>1654</v>
      </c>
    </row>
    <row r="343" customFormat="false" ht="15" hidden="false" customHeight="false" outlineLevel="0" collapsed="false">
      <c r="A343" s="0" t="s">
        <v>2102</v>
      </c>
      <c r="B343" s="0" t="s">
        <v>104</v>
      </c>
      <c r="C343" s="0" t="s">
        <v>2004</v>
      </c>
      <c r="D343" s="0" t="n">
        <v>2013</v>
      </c>
      <c r="E343" s="0" t="s">
        <v>404</v>
      </c>
      <c r="F343" s="0" t="n">
        <v>18015</v>
      </c>
      <c r="G343" s="0" t="s">
        <v>1681</v>
      </c>
      <c r="H343" s="0" t="s">
        <v>1648</v>
      </c>
      <c r="I343" s="0" t="n">
        <v>18015</v>
      </c>
      <c r="J343" s="0" t="s">
        <v>2005</v>
      </c>
      <c r="M343" s="0" t="s">
        <v>1522</v>
      </c>
      <c r="N343" s="0" t="s">
        <v>105</v>
      </c>
      <c r="Q343" s="0" t="n">
        <v>229</v>
      </c>
      <c r="R343" s="0" t="n">
        <v>229</v>
      </c>
      <c r="U343" s="0" t="s">
        <v>2043</v>
      </c>
      <c r="V343" s="0" t="s">
        <v>2043</v>
      </c>
      <c r="Y343" s="0" t="s">
        <v>1651</v>
      </c>
      <c r="Z343" s="0" t="s">
        <v>1652</v>
      </c>
      <c r="AA343" s="0" t="s">
        <v>2096</v>
      </c>
      <c r="AC343" s="0" t="s">
        <v>1654</v>
      </c>
    </row>
    <row r="344" customFormat="false" ht="15" hidden="false" customHeight="false" outlineLevel="0" collapsed="false">
      <c r="A344" s="0" t="s">
        <v>2103</v>
      </c>
      <c r="B344" s="0" t="s">
        <v>104</v>
      </c>
      <c r="C344" s="0" t="s">
        <v>2004</v>
      </c>
      <c r="D344" s="0" t="n">
        <v>2013</v>
      </c>
      <c r="E344" s="0" t="s">
        <v>406</v>
      </c>
      <c r="F344" s="0" t="n">
        <v>23433</v>
      </c>
      <c r="G344" s="0" t="s">
        <v>1681</v>
      </c>
      <c r="H344" s="0" t="s">
        <v>1648</v>
      </c>
      <c r="I344" s="0" t="n">
        <v>23433</v>
      </c>
      <c r="J344" s="0" t="s">
        <v>2005</v>
      </c>
      <c r="M344" s="0" t="s">
        <v>1522</v>
      </c>
      <c r="N344" s="0" t="s">
        <v>105</v>
      </c>
      <c r="Q344" s="0" t="n">
        <v>229</v>
      </c>
      <c r="R344" s="0" t="n">
        <v>229</v>
      </c>
      <c r="U344" s="0" t="s">
        <v>2043</v>
      </c>
      <c r="V344" s="0" t="s">
        <v>2043</v>
      </c>
      <c r="Y344" s="0" t="s">
        <v>1651</v>
      </c>
      <c r="Z344" s="0" t="s">
        <v>1652</v>
      </c>
      <c r="AA344" s="0" t="s">
        <v>2096</v>
      </c>
      <c r="AC344" s="0" t="s">
        <v>1654</v>
      </c>
    </row>
    <row r="345" customFormat="false" ht="15" hidden="false" customHeight="false" outlineLevel="0" collapsed="false">
      <c r="A345" s="0" t="s">
        <v>2104</v>
      </c>
      <c r="B345" s="0" t="s">
        <v>138</v>
      </c>
      <c r="C345" s="0" t="s">
        <v>2105</v>
      </c>
      <c r="D345" s="0" t="n">
        <v>2014</v>
      </c>
      <c r="E345" s="0" t="s">
        <v>54</v>
      </c>
      <c r="F345" s="0" t="n">
        <v>20486</v>
      </c>
      <c r="G345" s="0" t="s">
        <v>1681</v>
      </c>
      <c r="H345" s="0" t="s">
        <v>1648</v>
      </c>
      <c r="I345" s="0" t="n">
        <v>20486</v>
      </c>
      <c r="J345" s="0" t="s">
        <v>2005</v>
      </c>
      <c r="M345" s="0" t="s">
        <v>1548</v>
      </c>
      <c r="N345" s="0" t="s">
        <v>139</v>
      </c>
      <c r="Q345" s="0" t="n">
        <v>30</v>
      </c>
      <c r="R345" s="0" t="n">
        <v>29</v>
      </c>
      <c r="U345" s="0" t="s">
        <v>2043</v>
      </c>
      <c r="V345" s="0" t="s">
        <v>2043</v>
      </c>
      <c r="Y345" s="0" t="s">
        <v>1651</v>
      </c>
      <c r="Z345" s="0" t="s">
        <v>1652</v>
      </c>
      <c r="AA345" s="0" t="s">
        <v>2014</v>
      </c>
      <c r="AC345" s="0" t="s">
        <v>1654</v>
      </c>
    </row>
    <row r="346" customFormat="false" ht="15" hidden="false" customHeight="false" outlineLevel="0" collapsed="false">
      <c r="A346" s="0" t="s">
        <v>2106</v>
      </c>
      <c r="B346" s="0" t="s">
        <v>138</v>
      </c>
      <c r="C346" s="0" t="s">
        <v>2105</v>
      </c>
      <c r="D346" s="0" t="n">
        <v>2014</v>
      </c>
      <c r="E346" s="0" t="s">
        <v>670</v>
      </c>
      <c r="F346" s="0" t="n">
        <v>109821</v>
      </c>
      <c r="G346" s="0" t="s">
        <v>1681</v>
      </c>
      <c r="H346" s="0" t="s">
        <v>1648</v>
      </c>
      <c r="I346" s="0" t="n">
        <v>109821</v>
      </c>
      <c r="J346" s="0" t="s">
        <v>2005</v>
      </c>
      <c r="M346" s="0" t="s">
        <v>1548</v>
      </c>
      <c r="N346" s="0" t="s">
        <v>139</v>
      </c>
      <c r="Q346" s="0" t="n">
        <v>30</v>
      </c>
      <c r="R346" s="0" t="n">
        <v>29</v>
      </c>
      <c r="U346" s="0" t="s">
        <v>2043</v>
      </c>
      <c r="V346" s="0" t="s">
        <v>2043</v>
      </c>
      <c r="Y346" s="0" t="s">
        <v>1651</v>
      </c>
      <c r="Z346" s="0" t="s">
        <v>1652</v>
      </c>
      <c r="AA346" s="0" t="s">
        <v>2014</v>
      </c>
      <c r="AC346" s="0" t="s">
        <v>1654</v>
      </c>
    </row>
    <row r="347" customFormat="false" ht="15" hidden="false" customHeight="false" outlineLevel="0" collapsed="false">
      <c r="A347" s="0" t="s">
        <v>2107</v>
      </c>
      <c r="B347" s="0" t="s">
        <v>138</v>
      </c>
      <c r="C347" s="0" t="s">
        <v>2105</v>
      </c>
      <c r="D347" s="0" t="n">
        <v>2014</v>
      </c>
      <c r="E347" s="0" t="s">
        <v>247</v>
      </c>
      <c r="F347" s="0" t="n">
        <v>3307</v>
      </c>
      <c r="G347" s="0" t="s">
        <v>1681</v>
      </c>
      <c r="H347" s="0" t="s">
        <v>1648</v>
      </c>
      <c r="I347" s="0" t="n">
        <v>3307</v>
      </c>
      <c r="J347" s="0" t="s">
        <v>2005</v>
      </c>
      <c r="M347" s="0" t="s">
        <v>1548</v>
      </c>
      <c r="N347" s="0" t="s">
        <v>139</v>
      </c>
      <c r="Q347" s="0" t="n">
        <v>30</v>
      </c>
      <c r="R347" s="0" t="n">
        <v>29</v>
      </c>
      <c r="U347" s="0" t="s">
        <v>2043</v>
      </c>
      <c r="V347" s="0" t="s">
        <v>2043</v>
      </c>
      <c r="Y347" s="0" t="s">
        <v>1651</v>
      </c>
      <c r="Z347" s="0" t="s">
        <v>1652</v>
      </c>
      <c r="AA347" s="0" t="s">
        <v>2108</v>
      </c>
      <c r="AC347" s="0" t="s">
        <v>1654</v>
      </c>
    </row>
    <row r="348" customFormat="false" ht="15" hidden="false" customHeight="false" outlineLevel="0" collapsed="false">
      <c r="A348" s="0" t="s">
        <v>2109</v>
      </c>
      <c r="B348" s="0" t="s">
        <v>138</v>
      </c>
      <c r="C348" s="0" t="s">
        <v>2105</v>
      </c>
      <c r="D348" s="0" t="n">
        <v>2014</v>
      </c>
      <c r="E348" s="0" t="s">
        <v>557</v>
      </c>
      <c r="F348" s="0" t="n">
        <v>4364</v>
      </c>
      <c r="G348" s="0" t="s">
        <v>1681</v>
      </c>
      <c r="H348" s="0" t="s">
        <v>1648</v>
      </c>
      <c r="I348" s="0" t="n">
        <v>4364</v>
      </c>
      <c r="J348" s="0" t="s">
        <v>2005</v>
      </c>
      <c r="M348" s="0" t="s">
        <v>1548</v>
      </c>
      <c r="N348" s="0" t="s">
        <v>139</v>
      </c>
      <c r="Q348" s="0" t="n">
        <v>30</v>
      </c>
      <c r="R348" s="0" t="n">
        <v>29</v>
      </c>
      <c r="U348" s="0" t="s">
        <v>2043</v>
      </c>
      <c r="V348" s="0" t="s">
        <v>2043</v>
      </c>
      <c r="Y348" s="0" t="s">
        <v>1651</v>
      </c>
      <c r="Z348" s="0" t="s">
        <v>1652</v>
      </c>
      <c r="AA348" s="0" t="s">
        <v>2108</v>
      </c>
      <c r="AC348" s="0" t="s">
        <v>1654</v>
      </c>
    </row>
    <row r="349" customFormat="false" ht="15" hidden="false" customHeight="false" outlineLevel="0" collapsed="false">
      <c r="A349" s="0" t="s">
        <v>2110</v>
      </c>
      <c r="B349" s="0" t="s">
        <v>138</v>
      </c>
      <c r="C349" s="0" t="s">
        <v>2105</v>
      </c>
      <c r="D349" s="0" t="n">
        <v>2014</v>
      </c>
      <c r="E349" s="0" t="s">
        <v>55</v>
      </c>
      <c r="F349" s="0" t="n">
        <v>920936</v>
      </c>
      <c r="G349" s="0" t="s">
        <v>1681</v>
      </c>
      <c r="H349" s="0" t="s">
        <v>1648</v>
      </c>
      <c r="I349" s="0" t="n">
        <v>920936</v>
      </c>
      <c r="J349" s="0" t="s">
        <v>2005</v>
      </c>
      <c r="M349" s="0" t="s">
        <v>1548</v>
      </c>
      <c r="N349" s="0" t="s">
        <v>139</v>
      </c>
      <c r="Q349" s="0" t="n">
        <v>32</v>
      </c>
      <c r="R349" s="0" t="n">
        <v>31</v>
      </c>
      <c r="U349" s="0" t="s">
        <v>2043</v>
      </c>
      <c r="V349" s="0" t="s">
        <v>2043</v>
      </c>
      <c r="Y349" s="0" t="s">
        <v>1651</v>
      </c>
      <c r="Z349" s="0" t="s">
        <v>1652</v>
      </c>
      <c r="AA349" s="0" t="s">
        <v>2014</v>
      </c>
      <c r="AC349" s="0" t="s">
        <v>1654</v>
      </c>
    </row>
    <row r="350" customFormat="false" ht="15" hidden="false" customHeight="false" outlineLevel="0" collapsed="false">
      <c r="A350" s="0" t="s">
        <v>2111</v>
      </c>
      <c r="B350" s="0" t="s">
        <v>138</v>
      </c>
      <c r="C350" s="0" t="s">
        <v>2105</v>
      </c>
      <c r="D350" s="0" t="n">
        <v>2014</v>
      </c>
      <c r="E350" s="0" t="s">
        <v>56</v>
      </c>
      <c r="F350" s="0" t="n">
        <v>714962</v>
      </c>
      <c r="G350" s="0" t="s">
        <v>1681</v>
      </c>
      <c r="H350" s="0" t="s">
        <v>1648</v>
      </c>
      <c r="I350" s="0" t="n">
        <v>714962</v>
      </c>
      <c r="J350" s="0" t="s">
        <v>2005</v>
      </c>
      <c r="M350" s="0" t="s">
        <v>1548</v>
      </c>
      <c r="N350" s="0" t="s">
        <v>139</v>
      </c>
      <c r="Q350" s="0" t="n">
        <v>32</v>
      </c>
      <c r="R350" s="0" t="n">
        <v>31</v>
      </c>
      <c r="U350" s="0" t="s">
        <v>2043</v>
      </c>
      <c r="V350" s="0" t="s">
        <v>2043</v>
      </c>
      <c r="Y350" s="0" t="s">
        <v>1651</v>
      </c>
      <c r="Z350" s="0" t="s">
        <v>1652</v>
      </c>
      <c r="AA350" s="0" t="s">
        <v>2014</v>
      </c>
      <c r="AC350" s="0" t="s">
        <v>1654</v>
      </c>
    </row>
    <row r="351" customFormat="false" ht="15" hidden="false" customHeight="false" outlineLevel="0" collapsed="false">
      <c r="A351" s="0" t="s">
        <v>2112</v>
      </c>
      <c r="B351" s="0" t="s">
        <v>138</v>
      </c>
      <c r="C351" s="0" t="s">
        <v>2105</v>
      </c>
      <c r="D351" s="0" t="n">
        <v>2014</v>
      </c>
      <c r="E351" s="0" t="s">
        <v>57</v>
      </c>
      <c r="F351" s="0" t="n">
        <v>205974</v>
      </c>
      <c r="G351" s="0" t="s">
        <v>1681</v>
      </c>
      <c r="H351" s="0" t="s">
        <v>1648</v>
      </c>
      <c r="I351" s="0" t="n">
        <v>205974</v>
      </c>
      <c r="J351" s="0" t="s">
        <v>2005</v>
      </c>
      <c r="M351" s="0" t="s">
        <v>1548</v>
      </c>
      <c r="N351" s="0" t="s">
        <v>139</v>
      </c>
      <c r="Q351" s="0" t="n">
        <v>32</v>
      </c>
      <c r="R351" s="0" t="n">
        <v>31</v>
      </c>
      <c r="U351" s="0" t="s">
        <v>2043</v>
      </c>
      <c r="V351" s="0" t="s">
        <v>2043</v>
      </c>
      <c r="Y351" s="0" t="s">
        <v>1651</v>
      </c>
      <c r="Z351" s="0" t="s">
        <v>1652</v>
      </c>
      <c r="AA351" s="0" t="s">
        <v>2014</v>
      </c>
      <c r="AC351" s="0" t="s">
        <v>1654</v>
      </c>
    </row>
    <row r="352" customFormat="false" ht="15" hidden="false" customHeight="false" outlineLevel="0" collapsed="false">
      <c r="A352" s="0" t="s">
        <v>2113</v>
      </c>
      <c r="B352" s="0" t="s">
        <v>138</v>
      </c>
      <c r="C352" s="0" t="s">
        <v>2105</v>
      </c>
      <c r="D352" s="0" t="n">
        <v>2014</v>
      </c>
      <c r="E352" s="0" t="s">
        <v>1646</v>
      </c>
      <c r="F352" s="0" t="n">
        <v>507431</v>
      </c>
      <c r="G352" s="0" t="s">
        <v>1681</v>
      </c>
      <c r="H352" s="0" t="s">
        <v>1648</v>
      </c>
      <c r="I352" s="0" t="n">
        <v>507431</v>
      </c>
      <c r="J352" s="0" t="s">
        <v>2005</v>
      </c>
      <c r="M352" s="0" t="s">
        <v>1548</v>
      </c>
      <c r="N352" s="0" t="s">
        <v>139</v>
      </c>
      <c r="Q352" s="0" t="n">
        <v>32</v>
      </c>
      <c r="R352" s="0" t="n">
        <v>31</v>
      </c>
      <c r="U352" s="0" t="s">
        <v>2043</v>
      </c>
      <c r="V352" s="0" t="s">
        <v>2043</v>
      </c>
      <c r="Y352" s="0" t="s">
        <v>1651</v>
      </c>
      <c r="Z352" s="0" t="s">
        <v>1652</v>
      </c>
      <c r="AA352" s="0" t="s">
        <v>2014</v>
      </c>
      <c r="AC352" s="0" t="s">
        <v>1654</v>
      </c>
    </row>
    <row r="353" customFormat="false" ht="15" hidden="false" customHeight="false" outlineLevel="0" collapsed="false">
      <c r="A353" s="0" t="s">
        <v>2114</v>
      </c>
      <c r="B353" s="0" t="s">
        <v>138</v>
      </c>
      <c r="C353" s="0" t="s">
        <v>2105</v>
      </c>
      <c r="D353" s="0" t="n">
        <v>2014</v>
      </c>
      <c r="E353" s="0" t="s">
        <v>62</v>
      </c>
      <c r="F353" s="0" t="n">
        <v>302372</v>
      </c>
      <c r="G353" s="0" t="s">
        <v>1681</v>
      </c>
      <c r="H353" s="0" t="s">
        <v>1648</v>
      </c>
      <c r="I353" s="0" t="n">
        <v>302372</v>
      </c>
      <c r="J353" s="0" t="s">
        <v>2005</v>
      </c>
      <c r="M353" s="0" t="s">
        <v>1548</v>
      </c>
      <c r="N353" s="0" t="s">
        <v>139</v>
      </c>
      <c r="Q353" s="0" t="n">
        <v>32</v>
      </c>
      <c r="R353" s="0" t="n">
        <v>31</v>
      </c>
      <c r="U353" s="0" t="s">
        <v>2043</v>
      </c>
      <c r="V353" s="0" t="s">
        <v>2043</v>
      </c>
      <c r="Y353" s="0" t="s">
        <v>1651</v>
      </c>
      <c r="Z353" s="0" t="s">
        <v>1652</v>
      </c>
      <c r="AA353" s="0" t="s">
        <v>2014</v>
      </c>
      <c r="AC353" s="0" t="s">
        <v>1654</v>
      </c>
    </row>
    <row r="354" customFormat="false" ht="15" hidden="false" customHeight="false" outlineLevel="0" collapsed="false">
      <c r="A354" s="0" t="s">
        <v>2115</v>
      </c>
      <c r="B354" s="0" t="s">
        <v>138</v>
      </c>
      <c r="C354" s="0" t="s">
        <v>2105</v>
      </c>
      <c r="D354" s="0" t="n">
        <v>2014</v>
      </c>
      <c r="E354" s="0" t="s">
        <v>58</v>
      </c>
      <c r="F354" s="0" t="n">
        <v>-121957</v>
      </c>
      <c r="G354" s="0" t="s">
        <v>1681</v>
      </c>
      <c r="H354" s="0" t="s">
        <v>1648</v>
      </c>
      <c r="I354" s="0" t="n">
        <v>-121957</v>
      </c>
      <c r="J354" s="0" t="s">
        <v>2005</v>
      </c>
      <c r="M354" s="0" t="s">
        <v>1548</v>
      </c>
      <c r="N354" s="0" t="s">
        <v>139</v>
      </c>
      <c r="Q354" s="0" t="n">
        <v>35</v>
      </c>
      <c r="R354" s="0" t="n">
        <v>34</v>
      </c>
      <c r="U354" s="0" t="s">
        <v>2043</v>
      </c>
      <c r="V354" s="0" t="s">
        <v>2043</v>
      </c>
      <c r="Y354" s="0" t="s">
        <v>1651</v>
      </c>
      <c r="Z354" s="0" t="s">
        <v>1652</v>
      </c>
      <c r="AA354" s="0" t="s">
        <v>2014</v>
      </c>
      <c r="AC354" s="0" t="s">
        <v>1654</v>
      </c>
    </row>
    <row r="355" customFormat="false" ht="15" hidden="false" customHeight="false" outlineLevel="0" collapsed="false">
      <c r="A355" s="0" t="s">
        <v>2116</v>
      </c>
      <c r="B355" s="0" t="s">
        <v>138</v>
      </c>
      <c r="C355" s="0" t="s">
        <v>2105</v>
      </c>
      <c r="D355" s="0" t="n">
        <v>2014</v>
      </c>
      <c r="E355" s="0" t="s">
        <v>60</v>
      </c>
      <c r="F355" s="0" t="n">
        <v>325748</v>
      </c>
      <c r="G355" s="0" t="s">
        <v>1681</v>
      </c>
      <c r="H355" s="0" t="s">
        <v>1648</v>
      </c>
      <c r="I355" s="0" t="n">
        <v>325748</v>
      </c>
      <c r="J355" s="0" t="s">
        <v>2005</v>
      </c>
      <c r="M355" s="0" t="s">
        <v>1548</v>
      </c>
      <c r="N355" s="0" t="s">
        <v>139</v>
      </c>
      <c r="Q355" s="0" t="n">
        <v>80</v>
      </c>
      <c r="R355" s="0" t="n">
        <v>79</v>
      </c>
      <c r="U355" s="0" t="s">
        <v>2043</v>
      </c>
      <c r="V355" s="0" t="s">
        <v>2043</v>
      </c>
      <c r="Y355" s="0" t="s">
        <v>1651</v>
      </c>
      <c r="Z355" s="0" t="s">
        <v>1652</v>
      </c>
      <c r="AA355" s="0" t="s">
        <v>2014</v>
      </c>
      <c r="AC355" s="0" t="s">
        <v>1654</v>
      </c>
    </row>
    <row r="356" customFormat="false" ht="15" hidden="false" customHeight="false" outlineLevel="0" collapsed="false">
      <c r="A356" s="0" t="s">
        <v>2117</v>
      </c>
      <c r="B356" s="0" t="s">
        <v>138</v>
      </c>
      <c r="C356" s="0" t="s">
        <v>2105</v>
      </c>
      <c r="D356" s="0" t="n">
        <v>2014</v>
      </c>
      <c r="E356" s="0" t="s">
        <v>61</v>
      </c>
      <c r="F356" s="0" t="n">
        <v>23376</v>
      </c>
      <c r="G356" s="0" t="s">
        <v>1681</v>
      </c>
      <c r="H356" s="0" t="s">
        <v>1648</v>
      </c>
      <c r="I356" s="0" t="n">
        <v>23376</v>
      </c>
      <c r="J356" s="0" t="s">
        <v>2005</v>
      </c>
      <c r="M356" s="0" t="s">
        <v>1548</v>
      </c>
      <c r="N356" s="0" t="s">
        <v>139</v>
      </c>
      <c r="Q356" s="0" t="n">
        <v>80</v>
      </c>
      <c r="R356" s="0" t="n">
        <v>79</v>
      </c>
      <c r="U356" s="0" t="s">
        <v>2043</v>
      </c>
      <c r="V356" s="0" t="s">
        <v>2043</v>
      </c>
      <c r="Y356" s="0" t="s">
        <v>1651</v>
      </c>
      <c r="Z356" s="0" t="s">
        <v>1652</v>
      </c>
      <c r="AA356" s="0" t="s">
        <v>2014</v>
      </c>
      <c r="AC356" s="0" t="s">
        <v>1654</v>
      </c>
    </row>
    <row r="357" customFormat="false" ht="15" hidden="false" customHeight="false" outlineLevel="0" collapsed="false">
      <c r="A357" s="0" t="s">
        <v>2118</v>
      </c>
      <c r="B357" s="0" t="s">
        <v>138</v>
      </c>
      <c r="C357" s="0" t="s">
        <v>2105</v>
      </c>
      <c r="D357" s="0" t="n">
        <v>2014</v>
      </c>
      <c r="E357" s="0" t="s">
        <v>404</v>
      </c>
      <c r="F357" s="0" t="n">
        <v>9753</v>
      </c>
      <c r="G357" s="0" t="s">
        <v>1681</v>
      </c>
      <c r="H357" s="0" t="s">
        <v>1648</v>
      </c>
      <c r="I357" s="0" t="n">
        <v>9753</v>
      </c>
      <c r="J357" s="0" t="s">
        <v>2005</v>
      </c>
      <c r="M357" s="0" t="s">
        <v>1548</v>
      </c>
      <c r="N357" s="0" t="s">
        <v>139</v>
      </c>
      <c r="Q357" s="0" t="n">
        <v>80</v>
      </c>
      <c r="R357" s="0" t="n">
        <v>79</v>
      </c>
      <c r="U357" s="0" t="s">
        <v>2043</v>
      </c>
      <c r="V357" s="0" t="s">
        <v>2043</v>
      </c>
      <c r="Y357" s="0" t="s">
        <v>1651</v>
      </c>
      <c r="Z357" s="0" t="s">
        <v>1652</v>
      </c>
      <c r="AA357" s="0" t="s">
        <v>2014</v>
      </c>
      <c r="AC357" s="0" t="s">
        <v>1654</v>
      </c>
    </row>
    <row r="358" customFormat="false" ht="15" hidden="false" customHeight="false" outlineLevel="0" collapsed="false">
      <c r="A358" s="0" t="s">
        <v>2119</v>
      </c>
      <c r="B358" s="0" t="s">
        <v>138</v>
      </c>
      <c r="C358" s="0" t="s">
        <v>2105</v>
      </c>
      <c r="D358" s="0" t="n">
        <v>2014</v>
      </c>
      <c r="E358" s="0" t="s">
        <v>406</v>
      </c>
      <c r="F358" s="0" t="n">
        <v>13623</v>
      </c>
      <c r="G358" s="0" t="s">
        <v>1681</v>
      </c>
      <c r="H358" s="0" t="s">
        <v>1648</v>
      </c>
      <c r="I358" s="0" t="n">
        <v>13623</v>
      </c>
      <c r="J358" s="0" t="s">
        <v>2005</v>
      </c>
      <c r="M358" s="0" t="s">
        <v>1548</v>
      </c>
      <c r="N358" s="0" t="s">
        <v>139</v>
      </c>
      <c r="Q358" s="0" t="n">
        <v>80</v>
      </c>
      <c r="R358" s="0" t="n">
        <v>79</v>
      </c>
      <c r="U358" s="0" t="s">
        <v>2043</v>
      </c>
      <c r="V358" s="0" t="s">
        <v>2043</v>
      </c>
      <c r="Y358" s="0" t="s">
        <v>1651</v>
      </c>
      <c r="Z358" s="0" t="s">
        <v>1652</v>
      </c>
      <c r="AA358" s="0" t="s">
        <v>2014</v>
      </c>
      <c r="AC358" s="0" t="s">
        <v>1654</v>
      </c>
    </row>
    <row r="359" customFormat="false" ht="15" hidden="false" customHeight="false" outlineLevel="0" collapsed="false">
      <c r="A359" s="0" t="s">
        <v>2120</v>
      </c>
      <c r="B359" s="0" t="s">
        <v>138</v>
      </c>
      <c r="C359" s="0" t="s">
        <v>2105</v>
      </c>
      <c r="D359" s="0" t="n">
        <v>2014</v>
      </c>
      <c r="E359" s="0" t="s">
        <v>64</v>
      </c>
      <c r="F359" s="0" t="n">
        <v>16756</v>
      </c>
      <c r="G359" s="0" t="s">
        <v>1681</v>
      </c>
      <c r="H359" s="0" t="s">
        <v>1648</v>
      </c>
      <c r="I359" s="0" t="n">
        <v>16756</v>
      </c>
      <c r="J359" s="0" t="s">
        <v>2005</v>
      </c>
      <c r="M359" s="0" t="s">
        <v>1548</v>
      </c>
      <c r="N359" s="0" t="s">
        <v>139</v>
      </c>
      <c r="Q359" s="0" t="n">
        <v>17</v>
      </c>
      <c r="R359" s="0" t="n">
        <v>16</v>
      </c>
      <c r="U359" s="0" t="s">
        <v>2043</v>
      </c>
      <c r="V359" s="0" t="s">
        <v>2043</v>
      </c>
      <c r="Y359" s="0" t="s">
        <v>1651</v>
      </c>
      <c r="Z359" s="0" t="s">
        <v>1652</v>
      </c>
      <c r="AA359" s="0" t="s">
        <v>2014</v>
      </c>
      <c r="AC359" s="0" t="s">
        <v>1654</v>
      </c>
    </row>
    <row r="360" customFormat="false" ht="15" hidden="false" customHeight="false" outlineLevel="0" collapsed="false">
      <c r="A360" s="0" t="s">
        <v>2121</v>
      </c>
      <c r="B360" s="0" t="s">
        <v>138</v>
      </c>
      <c r="C360" s="0" t="s">
        <v>2105</v>
      </c>
      <c r="D360" s="0" t="n">
        <v>2014</v>
      </c>
      <c r="E360" s="0" t="s">
        <v>266</v>
      </c>
      <c r="F360" s="0" t="n">
        <v>5.14</v>
      </c>
      <c r="G360" s="0" t="s">
        <v>1723</v>
      </c>
      <c r="I360" s="0" t="n">
        <v>5.14</v>
      </c>
      <c r="J360" s="0" t="s">
        <v>2005</v>
      </c>
      <c r="M360" s="0" t="s">
        <v>1548</v>
      </c>
      <c r="N360" s="0" t="s">
        <v>139</v>
      </c>
      <c r="Q360" s="0" t="n">
        <v>17</v>
      </c>
      <c r="R360" s="0" t="n">
        <v>16</v>
      </c>
      <c r="U360" s="0" t="s">
        <v>2043</v>
      </c>
      <c r="V360" s="0" t="s">
        <v>2043</v>
      </c>
      <c r="Y360" s="0" t="s">
        <v>1651</v>
      </c>
      <c r="Z360" s="0" t="s">
        <v>1652</v>
      </c>
      <c r="AA360" s="0" t="s">
        <v>2014</v>
      </c>
      <c r="AC360" s="0" t="s">
        <v>1654</v>
      </c>
    </row>
    <row r="361" customFormat="false" ht="15" hidden="false" customHeight="false" outlineLevel="0" collapsed="false">
      <c r="A361" s="0" t="s">
        <v>2122</v>
      </c>
      <c r="B361" s="0" t="s">
        <v>138</v>
      </c>
      <c r="C361" s="0" t="s">
        <v>2105</v>
      </c>
      <c r="D361" s="0" t="n">
        <v>2014</v>
      </c>
      <c r="E361" s="0" t="s">
        <v>69</v>
      </c>
      <c r="F361" s="0" t="n">
        <v>16.39</v>
      </c>
      <c r="G361" s="0" t="s">
        <v>1723</v>
      </c>
      <c r="I361" s="0" t="n">
        <v>16.39</v>
      </c>
      <c r="J361" s="0" t="s">
        <v>2005</v>
      </c>
      <c r="M361" s="0" t="s">
        <v>1548</v>
      </c>
      <c r="N361" s="0" t="s">
        <v>139</v>
      </c>
      <c r="Q361" s="0" t="n">
        <v>68</v>
      </c>
      <c r="R361" s="0" t="n">
        <v>67</v>
      </c>
      <c r="U361" s="0" t="s">
        <v>2043</v>
      </c>
      <c r="V361" s="0" t="s">
        <v>2043</v>
      </c>
      <c r="Y361" s="0" t="s">
        <v>1651</v>
      </c>
      <c r="Z361" s="0" t="s">
        <v>1652</v>
      </c>
      <c r="AA361" s="0" t="s">
        <v>2123</v>
      </c>
      <c r="AC361" s="0" t="s">
        <v>1654</v>
      </c>
    </row>
    <row r="362" customFormat="false" ht="15" hidden="false" customHeight="false" outlineLevel="0" collapsed="false">
      <c r="A362" s="0" t="s">
        <v>2124</v>
      </c>
      <c r="B362" s="0" t="s">
        <v>138</v>
      </c>
      <c r="C362" s="0" t="s">
        <v>2105</v>
      </c>
      <c r="D362" s="0" t="n">
        <v>2014</v>
      </c>
      <c r="E362" s="0" t="s">
        <v>65</v>
      </c>
      <c r="F362" s="0" t="n">
        <v>90989</v>
      </c>
      <c r="G362" s="0" t="s">
        <v>1681</v>
      </c>
      <c r="H362" s="0" t="s">
        <v>1648</v>
      </c>
      <c r="I362" s="0" t="n">
        <v>90989</v>
      </c>
      <c r="J362" s="0" t="s">
        <v>2005</v>
      </c>
      <c r="M362" s="0" t="s">
        <v>1548</v>
      </c>
      <c r="N362" s="0" t="s">
        <v>139</v>
      </c>
      <c r="Q362" s="0" t="n">
        <v>68</v>
      </c>
      <c r="R362" s="0" t="n">
        <v>67</v>
      </c>
      <c r="U362" s="0" t="s">
        <v>2043</v>
      </c>
      <c r="V362" s="0" t="s">
        <v>2043</v>
      </c>
      <c r="Y362" s="0" t="s">
        <v>1651</v>
      </c>
      <c r="Z362" s="0" t="s">
        <v>1652</v>
      </c>
      <c r="AA362" s="0" t="s">
        <v>2123</v>
      </c>
      <c r="AC362" s="0" t="s">
        <v>1654</v>
      </c>
    </row>
    <row r="363" customFormat="false" ht="15" hidden="false" customHeight="false" outlineLevel="0" collapsed="false">
      <c r="A363" s="0" t="s">
        <v>2125</v>
      </c>
      <c r="B363" s="0" t="s">
        <v>138</v>
      </c>
      <c r="C363" s="0" t="s">
        <v>2105</v>
      </c>
      <c r="D363" s="0" t="n">
        <v>2014</v>
      </c>
      <c r="E363" s="0" t="s">
        <v>66</v>
      </c>
      <c r="F363" s="0" t="n">
        <v>555197</v>
      </c>
      <c r="G363" s="0" t="s">
        <v>1681</v>
      </c>
      <c r="H363" s="0" t="s">
        <v>1648</v>
      </c>
      <c r="I363" s="0" t="n">
        <v>555197</v>
      </c>
      <c r="J363" s="0" t="s">
        <v>2005</v>
      </c>
      <c r="M363" s="0" t="s">
        <v>1548</v>
      </c>
      <c r="N363" s="0" t="s">
        <v>139</v>
      </c>
      <c r="Q363" s="0" t="n">
        <v>68</v>
      </c>
      <c r="R363" s="0" t="n">
        <v>67</v>
      </c>
      <c r="U363" s="0" t="s">
        <v>2043</v>
      </c>
      <c r="V363" s="0" t="s">
        <v>2043</v>
      </c>
      <c r="Y363" s="0" t="s">
        <v>1651</v>
      </c>
      <c r="Z363" s="0" t="s">
        <v>1652</v>
      </c>
      <c r="AA363" s="0" t="s">
        <v>2123</v>
      </c>
      <c r="AC363" s="0" t="s">
        <v>1654</v>
      </c>
    </row>
    <row r="364" customFormat="false" ht="15" hidden="false" customHeight="false" outlineLevel="0" collapsed="false">
      <c r="A364" s="0" t="s">
        <v>2126</v>
      </c>
      <c r="B364" s="0" t="s">
        <v>138</v>
      </c>
      <c r="C364" s="0" t="s">
        <v>2105</v>
      </c>
      <c r="D364" s="0" t="n">
        <v>2013</v>
      </c>
      <c r="E364" s="0" t="s">
        <v>54</v>
      </c>
      <c r="F364" s="0" t="n">
        <v>5121</v>
      </c>
      <c r="G364" s="0" t="s">
        <v>1681</v>
      </c>
      <c r="H364" s="0" t="s">
        <v>1648</v>
      </c>
      <c r="I364" s="0" t="n">
        <v>5121</v>
      </c>
      <c r="J364" s="0" t="s">
        <v>2005</v>
      </c>
      <c r="M364" s="0" t="s">
        <v>1548</v>
      </c>
      <c r="N364" s="0" t="s">
        <v>139</v>
      </c>
      <c r="Q364" s="0" t="n">
        <v>30</v>
      </c>
      <c r="R364" s="0" t="n">
        <v>29</v>
      </c>
      <c r="U364" s="0" t="s">
        <v>2043</v>
      </c>
      <c r="V364" s="0" t="s">
        <v>2043</v>
      </c>
      <c r="Y364" s="0" t="s">
        <v>1651</v>
      </c>
      <c r="Z364" s="0" t="s">
        <v>1652</v>
      </c>
      <c r="AA364" s="0" t="s">
        <v>2014</v>
      </c>
      <c r="AC364" s="0" t="s">
        <v>1654</v>
      </c>
    </row>
    <row r="365" customFormat="false" ht="15" hidden="false" customHeight="false" outlineLevel="0" collapsed="false">
      <c r="A365" s="0" t="s">
        <v>2127</v>
      </c>
      <c r="B365" s="0" t="s">
        <v>138</v>
      </c>
      <c r="C365" s="0" t="s">
        <v>2105</v>
      </c>
      <c r="D365" s="0" t="n">
        <v>2013</v>
      </c>
      <c r="E365" s="0" t="s">
        <v>670</v>
      </c>
      <c r="F365" s="0" t="n">
        <v>103225</v>
      </c>
      <c r="G365" s="0" t="s">
        <v>1681</v>
      </c>
      <c r="H365" s="0" t="s">
        <v>1648</v>
      </c>
      <c r="I365" s="0" t="n">
        <v>103225</v>
      </c>
      <c r="J365" s="0" t="s">
        <v>2005</v>
      </c>
      <c r="M365" s="0" t="s">
        <v>1548</v>
      </c>
      <c r="N365" s="0" t="s">
        <v>139</v>
      </c>
      <c r="Q365" s="0" t="n">
        <v>30</v>
      </c>
      <c r="R365" s="0" t="n">
        <v>29</v>
      </c>
      <c r="U365" s="0" t="s">
        <v>2043</v>
      </c>
      <c r="V365" s="0" t="s">
        <v>2043</v>
      </c>
      <c r="Y365" s="0" t="s">
        <v>1651</v>
      </c>
      <c r="Z365" s="0" t="s">
        <v>1652</v>
      </c>
      <c r="AA365" s="0" t="s">
        <v>2014</v>
      </c>
      <c r="AC365" s="0" t="s">
        <v>1654</v>
      </c>
    </row>
    <row r="366" customFormat="false" ht="15" hidden="false" customHeight="false" outlineLevel="0" collapsed="false">
      <c r="A366" s="0" t="s">
        <v>2128</v>
      </c>
      <c r="B366" s="0" t="s">
        <v>138</v>
      </c>
      <c r="C366" s="0" t="s">
        <v>2105</v>
      </c>
      <c r="D366" s="0" t="n">
        <v>2013</v>
      </c>
      <c r="E366" s="0" t="s">
        <v>247</v>
      </c>
      <c r="F366" s="0" t="n">
        <v>13255</v>
      </c>
      <c r="G366" s="0" t="s">
        <v>1681</v>
      </c>
      <c r="H366" s="0" t="s">
        <v>1648</v>
      </c>
      <c r="I366" s="0" t="n">
        <v>13255</v>
      </c>
      <c r="J366" s="0" t="s">
        <v>2005</v>
      </c>
      <c r="M366" s="0" t="s">
        <v>1548</v>
      </c>
      <c r="N366" s="0" t="s">
        <v>139</v>
      </c>
      <c r="Q366" s="0" t="n">
        <v>30</v>
      </c>
      <c r="R366" s="0" t="n">
        <v>29</v>
      </c>
      <c r="U366" s="0" t="s">
        <v>2043</v>
      </c>
      <c r="V366" s="0" t="s">
        <v>2043</v>
      </c>
      <c r="Y366" s="0" t="s">
        <v>1651</v>
      </c>
      <c r="Z366" s="0" t="s">
        <v>1652</v>
      </c>
      <c r="AA366" s="0" t="s">
        <v>2108</v>
      </c>
      <c r="AC366" s="0" t="s">
        <v>1654</v>
      </c>
    </row>
    <row r="367" customFormat="false" ht="15" hidden="false" customHeight="false" outlineLevel="0" collapsed="false">
      <c r="A367" s="0" t="s">
        <v>2129</v>
      </c>
      <c r="B367" s="0" t="s">
        <v>138</v>
      </c>
      <c r="C367" s="0" t="s">
        <v>2105</v>
      </c>
      <c r="D367" s="0" t="n">
        <v>2013</v>
      </c>
      <c r="E367" s="0" t="s">
        <v>557</v>
      </c>
      <c r="F367" s="0" t="n">
        <v>5165</v>
      </c>
      <c r="G367" s="0" t="s">
        <v>1681</v>
      </c>
      <c r="H367" s="0" t="s">
        <v>1648</v>
      </c>
      <c r="I367" s="0" t="n">
        <v>5165</v>
      </c>
      <c r="J367" s="0" t="s">
        <v>2005</v>
      </c>
      <c r="M367" s="0" t="s">
        <v>1548</v>
      </c>
      <c r="N367" s="0" t="s">
        <v>139</v>
      </c>
      <c r="Q367" s="0" t="n">
        <v>30</v>
      </c>
      <c r="R367" s="0" t="n">
        <v>29</v>
      </c>
      <c r="U367" s="0" t="s">
        <v>2043</v>
      </c>
      <c r="V367" s="0" t="s">
        <v>2043</v>
      </c>
      <c r="Y367" s="0" t="s">
        <v>1651</v>
      </c>
      <c r="Z367" s="0" t="s">
        <v>1652</v>
      </c>
      <c r="AA367" s="0" t="s">
        <v>2108</v>
      </c>
      <c r="AC367" s="0" t="s">
        <v>1654</v>
      </c>
    </row>
    <row r="368" customFormat="false" ht="15" hidden="false" customHeight="false" outlineLevel="0" collapsed="false">
      <c r="A368" s="0" t="s">
        <v>2130</v>
      </c>
      <c r="B368" s="0" t="s">
        <v>138</v>
      </c>
      <c r="C368" s="0" t="s">
        <v>2105</v>
      </c>
      <c r="D368" s="0" t="n">
        <v>2013</v>
      </c>
      <c r="E368" s="0" t="s">
        <v>55</v>
      </c>
      <c r="F368" s="0" t="n">
        <v>882097</v>
      </c>
      <c r="G368" s="0" t="s">
        <v>1681</v>
      </c>
      <c r="H368" s="0" t="s">
        <v>1648</v>
      </c>
      <c r="I368" s="0" t="n">
        <v>882097</v>
      </c>
      <c r="J368" s="0" t="s">
        <v>2005</v>
      </c>
      <c r="M368" s="0" t="s">
        <v>1548</v>
      </c>
      <c r="N368" s="0" t="s">
        <v>139</v>
      </c>
      <c r="Q368" s="0" t="n">
        <v>32</v>
      </c>
      <c r="R368" s="0" t="n">
        <v>31</v>
      </c>
      <c r="U368" s="0" t="s">
        <v>2043</v>
      </c>
      <c r="V368" s="0" t="s">
        <v>2043</v>
      </c>
      <c r="Y368" s="0" t="s">
        <v>1651</v>
      </c>
      <c r="Z368" s="0" t="s">
        <v>1652</v>
      </c>
      <c r="AA368" s="0" t="s">
        <v>2014</v>
      </c>
      <c r="AC368" s="0" t="s">
        <v>1654</v>
      </c>
    </row>
    <row r="369" customFormat="false" ht="15" hidden="false" customHeight="false" outlineLevel="0" collapsed="false">
      <c r="A369" s="0" t="s">
        <v>2131</v>
      </c>
      <c r="B369" s="0" t="s">
        <v>138</v>
      </c>
      <c r="C369" s="0" t="s">
        <v>2105</v>
      </c>
      <c r="D369" s="0" t="n">
        <v>2013</v>
      </c>
      <c r="E369" s="0" t="s">
        <v>56</v>
      </c>
      <c r="F369" s="0" t="n">
        <v>694313</v>
      </c>
      <c r="G369" s="0" t="s">
        <v>1681</v>
      </c>
      <c r="H369" s="0" t="s">
        <v>1648</v>
      </c>
      <c r="I369" s="0" t="n">
        <v>694313</v>
      </c>
      <c r="J369" s="0" t="s">
        <v>2005</v>
      </c>
      <c r="M369" s="0" t="s">
        <v>1548</v>
      </c>
      <c r="N369" s="0" t="s">
        <v>139</v>
      </c>
      <c r="Q369" s="0" t="n">
        <v>32</v>
      </c>
      <c r="R369" s="0" t="n">
        <v>31</v>
      </c>
      <c r="U369" s="0" t="s">
        <v>2043</v>
      </c>
      <c r="V369" s="0" t="s">
        <v>2043</v>
      </c>
      <c r="Y369" s="0" t="s">
        <v>1651</v>
      </c>
      <c r="Z369" s="0" t="s">
        <v>1652</v>
      </c>
      <c r="AA369" s="0" t="s">
        <v>2014</v>
      </c>
      <c r="AC369" s="0" t="s">
        <v>1654</v>
      </c>
    </row>
    <row r="370" customFormat="false" ht="15" hidden="false" customHeight="false" outlineLevel="0" collapsed="false">
      <c r="A370" s="0" t="s">
        <v>2132</v>
      </c>
      <c r="B370" s="0" t="s">
        <v>138</v>
      </c>
      <c r="C370" s="0" t="s">
        <v>2105</v>
      </c>
      <c r="D370" s="0" t="n">
        <v>2013</v>
      </c>
      <c r="E370" s="0" t="s">
        <v>57</v>
      </c>
      <c r="F370" s="0" t="n">
        <v>187784</v>
      </c>
      <c r="G370" s="0" t="s">
        <v>1681</v>
      </c>
      <c r="H370" s="0" t="s">
        <v>1648</v>
      </c>
      <c r="I370" s="0" t="n">
        <v>187784</v>
      </c>
      <c r="J370" s="0" t="s">
        <v>2005</v>
      </c>
      <c r="M370" s="0" t="s">
        <v>1548</v>
      </c>
      <c r="N370" s="0" t="s">
        <v>139</v>
      </c>
      <c r="Q370" s="0" t="n">
        <v>32</v>
      </c>
      <c r="R370" s="0" t="n">
        <v>31</v>
      </c>
      <c r="U370" s="0" t="s">
        <v>2043</v>
      </c>
      <c r="V370" s="0" t="s">
        <v>2043</v>
      </c>
      <c r="Y370" s="0" t="s">
        <v>1651</v>
      </c>
      <c r="Z370" s="0" t="s">
        <v>1652</v>
      </c>
      <c r="AA370" s="0" t="s">
        <v>2014</v>
      </c>
      <c r="AC370" s="0" t="s">
        <v>1654</v>
      </c>
    </row>
    <row r="371" customFormat="false" ht="15" hidden="false" customHeight="false" outlineLevel="0" collapsed="false">
      <c r="A371" s="0" t="s">
        <v>2133</v>
      </c>
      <c r="B371" s="0" t="s">
        <v>138</v>
      </c>
      <c r="C371" s="0" t="s">
        <v>2105</v>
      </c>
      <c r="D371" s="0" t="n">
        <v>2013</v>
      </c>
      <c r="E371" s="0" t="s">
        <v>1646</v>
      </c>
      <c r="F371" s="0" t="n">
        <v>479956</v>
      </c>
      <c r="G371" s="0" t="s">
        <v>1681</v>
      </c>
      <c r="H371" s="0" t="s">
        <v>1648</v>
      </c>
      <c r="I371" s="0" t="n">
        <v>479956</v>
      </c>
      <c r="J371" s="0" t="s">
        <v>2005</v>
      </c>
      <c r="M371" s="0" t="s">
        <v>1548</v>
      </c>
      <c r="N371" s="0" t="s">
        <v>139</v>
      </c>
      <c r="Q371" s="0" t="n">
        <v>32</v>
      </c>
      <c r="R371" s="0" t="n">
        <v>31</v>
      </c>
      <c r="U371" s="0" t="s">
        <v>2043</v>
      </c>
      <c r="V371" s="0" t="s">
        <v>2043</v>
      </c>
      <c r="Y371" s="0" t="s">
        <v>1651</v>
      </c>
      <c r="Z371" s="0" t="s">
        <v>1652</v>
      </c>
      <c r="AA371" s="0" t="s">
        <v>2014</v>
      </c>
      <c r="AC371" s="0" t="s">
        <v>1654</v>
      </c>
    </row>
    <row r="372" customFormat="false" ht="15" hidden="false" customHeight="false" outlineLevel="0" collapsed="false">
      <c r="A372" s="0" t="s">
        <v>2134</v>
      </c>
      <c r="B372" s="0" t="s">
        <v>138</v>
      </c>
      <c r="C372" s="0" t="s">
        <v>2105</v>
      </c>
      <c r="D372" s="0" t="n">
        <v>2013</v>
      </c>
      <c r="E372" s="0" t="s">
        <v>62</v>
      </c>
      <c r="F372" s="0" t="n">
        <v>210118</v>
      </c>
      <c r="G372" s="0" t="s">
        <v>1681</v>
      </c>
      <c r="H372" s="0" t="s">
        <v>1648</v>
      </c>
      <c r="I372" s="0" t="n">
        <v>210118</v>
      </c>
      <c r="J372" s="0" t="s">
        <v>2005</v>
      </c>
      <c r="M372" s="0" t="s">
        <v>1548</v>
      </c>
      <c r="N372" s="0" t="s">
        <v>139</v>
      </c>
      <c r="Q372" s="0" t="n">
        <v>32</v>
      </c>
      <c r="R372" s="0" t="n">
        <v>31</v>
      </c>
      <c r="U372" s="0" t="s">
        <v>2043</v>
      </c>
      <c r="V372" s="0" t="s">
        <v>2043</v>
      </c>
      <c r="Y372" s="0" t="s">
        <v>1651</v>
      </c>
      <c r="Z372" s="0" t="s">
        <v>1652</v>
      </c>
      <c r="AA372" s="0" t="s">
        <v>2014</v>
      </c>
      <c r="AC372" s="0" t="s">
        <v>1654</v>
      </c>
    </row>
    <row r="373" customFormat="false" ht="15" hidden="false" customHeight="false" outlineLevel="0" collapsed="false">
      <c r="A373" s="0" t="s">
        <v>2135</v>
      </c>
      <c r="B373" s="0" t="s">
        <v>138</v>
      </c>
      <c r="C373" s="0" t="s">
        <v>2105</v>
      </c>
      <c r="D373" s="0" t="n">
        <v>2013</v>
      </c>
      <c r="E373" s="0" t="s">
        <v>58</v>
      </c>
      <c r="F373" s="0" t="n">
        <v>-93031</v>
      </c>
      <c r="G373" s="0" t="s">
        <v>1681</v>
      </c>
      <c r="H373" s="0" t="s">
        <v>1648</v>
      </c>
      <c r="I373" s="0" t="n">
        <v>-93031</v>
      </c>
      <c r="J373" s="0" t="s">
        <v>2005</v>
      </c>
      <c r="M373" s="0" t="s">
        <v>1548</v>
      </c>
      <c r="N373" s="0" t="s">
        <v>139</v>
      </c>
      <c r="Q373" s="0" t="n">
        <v>35</v>
      </c>
      <c r="R373" s="0" t="n">
        <v>34</v>
      </c>
      <c r="U373" s="0" t="s">
        <v>2043</v>
      </c>
      <c r="V373" s="0" t="s">
        <v>2043</v>
      </c>
      <c r="Y373" s="0" t="s">
        <v>1651</v>
      </c>
      <c r="Z373" s="0" t="s">
        <v>1652</v>
      </c>
      <c r="AA373" s="0" t="s">
        <v>2014</v>
      </c>
      <c r="AC373" s="0" t="s">
        <v>1654</v>
      </c>
    </row>
    <row r="374" customFormat="false" ht="15" hidden="false" customHeight="false" outlineLevel="0" collapsed="false">
      <c r="A374" s="0" t="s">
        <v>2136</v>
      </c>
      <c r="B374" s="0" t="s">
        <v>138</v>
      </c>
      <c r="C374" s="0" t="s">
        <v>2105</v>
      </c>
      <c r="D374" s="0" t="n">
        <v>2013</v>
      </c>
      <c r="E374" s="0" t="s">
        <v>60</v>
      </c>
      <c r="F374" s="0" t="n">
        <v>230720</v>
      </c>
      <c r="G374" s="0" t="s">
        <v>1681</v>
      </c>
      <c r="H374" s="0" t="s">
        <v>1648</v>
      </c>
      <c r="I374" s="0" t="n">
        <v>230720</v>
      </c>
      <c r="J374" s="0" t="s">
        <v>2005</v>
      </c>
      <c r="M374" s="0" t="s">
        <v>1548</v>
      </c>
      <c r="N374" s="0" t="s">
        <v>139</v>
      </c>
      <c r="Q374" s="0" t="n">
        <v>80</v>
      </c>
      <c r="R374" s="0" t="n">
        <v>79</v>
      </c>
      <c r="U374" s="0" t="s">
        <v>2043</v>
      </c>
      <c r="V374" s="0" t="s">
        <v>2043</v>
      </c>
      <c r="Y374" s="0" t="s">
        <v>1651</v>
      </c>
      <c r="Z374" s="0" t="s">
        <v>1652</v>
      </c>
      <c r="AA374" s="0" t="s">
        <v>2014</v>
      </c>
      <c r="AC374" s="0" t="s">
        <v>1654</v>
      </c>
    </row>
    <row r="375" customFormat="false" ht="15" hidden="false" customHeight="false" outlineLevel="0" collapsed="false">
      <c r="A375" s="0" t="s">
        <v>2137</v>
      </c>
      <c r="B375" s="0" t="s">
        <v>138</v>
      </c>
      <c r="C375" s="0" t="s">
        <v>2105</v>
      </c>
      <c r="D375" s="0" t="n">
        <v>2013</v>
      </c>
      <c r="E375" s="0" t="s">
        <v>61</v>
      </c>
      <c r="F375" s="0" t="n">
        <v>20602</v>
      </c>
      <c r="G375" s="0" t="s">
        <v>1681</v>
      </c>
      <c r="H375" s="0" t="s">
        <v>1648</v>
      </c>
      <c r="I375" s="0" t="n">
        <v>20602</v>
      </c>
      <c r="J375" s="0" t="s">
        <v>2005</v>
      </c>
      <c r="M375" s="0" t="s">
        <v>1548</v>
      </c>
      <c r="N375" s="0" t="s">
        <v>139</v>
      </c>
      <c r="Q375" s="0" t="n">
        <v>80</v>
      </c>
      <c r="R375" s="0" t="n">
        <v>79</v>
      </c>
      <c r="U375" s="0" t="s">
        <v>2043</v>
      </c>
      <c r="V375" s="0" t="s">
        <v>2043</v>
      </c>
      <c r="Y375" s="0" t="s">
        <v>1651</v>
      </c>
      <c r="Z375" s="0" t="s">
        <v>1652</v>
      </c>
      <c r="AA375" s="0" t="s">
        <v>2014</v>
      </c>
      <c r="AC375" s="0" t="s">
        <v>1654</v>
      </c>
    </row>
    <row r="376" customFormat="false" ht="15" hidden="false" customHeight="false" outlineLevel="0" collapsed="false">
      <c r="A376" s="0" t="s">
        <v>2138</v>
      </c>
      <c r="B376" s="0" t="s">
        <v>138</v>
      </c>
      <c r="C376" s="0" t="s">
        <v>2105</v>
      </c>
      <c r="D376" s="0" t="n">
        <v>2013</v>
      </c>
      <c r="E376" s="0" t="s">
        <v>404</v>
      </c>
      <c r="F376" s="0" t="n">
        <v>9929</v>
      </c>
      <c r="G376" s="0" t="s">
        <v>1681</v>
      </c>
      <c r="H376" s="0" t="s">
        <v>1648</v>
      </c>
      <c r="I376" s="0" t="n">
        <v>9929</v>
      </c>
      <c r="J376" s="0" t="s">
        <v>2005</v>
      </c>
      <c r="M376" s="0" t="s">
        <v>1548</v>
      </c>
      <c r="N376" s="0" t="s">
        <v>139</v>
      </c>
      <c r="Q376" s="0" t="n">
        <v>80</v>
      </c>
      <c r="R376" s="0" t="n">
        <v>79</v>
      </c>
      <c r="U376" s="0" t="s">
        <v>2043</v>
      </c>
      <c r="V376" s="0" t="s">
        <v>2043</v>
      </c>
      <c r="Y376" s="0" t="s">
        <v>1651</v>
      </c>
      <c r="Z376" s="0" t="s">
        <v>1652</v>
      </c>
      <c r="AA376" s="0" t="s">
        <v>2014</v>
      </c>
      <c r="AC376" s="0" t="s">
        <v>1654</v>
      </c>
    </row>
    <row r="377" customFormat="false" ht="15" hidden="false" customHeight="false" outlineLevel="0" collapsed="false">
      <c r="A377" s="0" t="s">
        <v>2139</v>
      </c>
      <c r="B377" s="0" t="s">
        <v>138</v>
      </c>
      <c r="C377" s="0" t="s">
        <v>2105</v>
      </c>
      <c r="D377" s="0" t="n">
        <v>2013</v>
      </c>
      <c r="E377" s="0" t="s">
        <v>406</v>
      </c>
      <c r="F377" s="0" t="n">
        <v>10673</v>
      </c>
      <c r="G377" s="0" t="s">
        <v>1681</v>
      </c>
      <c r="H377" s="0" t="s">
        <v>1648</v>
      </c>
      <c r="I377" s="0" t="n">
        <v>10673</v>
      </c>
      <c r="J377" s="0" t="s">
        <v>2005</v>
      </c>
      <c r="M377" s="0" t="s">
        <v>1548</v>
      </c>
      <c r="N377" s="0" t="s">
        <v>139</v>
      </c>
      <c r="Q377" s="0" t="n">
        <v>80</v>
      </c>
      <c r="R377" s="0" t="n">
        <v>79</v>
      </c>
      <c r="U377" s="0" t="s">
        <v>2043</v>
      </c>
      <c r="V377" s="0" t="s">
        <v>2043</v>
      </c>
      <c r="Y377" s="0" t="s">
        <v>1651</v>
      </c>
      <c r="Z377" s="0" t="s">
        <v>1652</v>
      </c>
      <c r="AA377" s="0" t="s">
        <v>2014</v>
      </c>
      <c r="AC377" s="0" t="s">
        <v>1654</v>
      </c>
    </row>
    <row r="378" customFormat="false" ht="15" hidden="false" customHeight="false" outlineLevel="0" collapsed="false">
      <c r="A378" s="0" t="s">
        <v>2140</v>
      </c>
      <c r="B378" s="0" t="s">
        <v>138</v>
      </c>
      <c r="C378" s="0" t="s">
        <v>2105</v>
      </c>
      <c r="D378" s="0" t="n">
        <v>2013</v>
      </c>
      <c r="E378" s="0" t="s">
        <v>64</v>
      </c>
      <c r="F378" s="0" t="n">
        <v>13644</v>
      </c>
      <c r="G378" s="0" t="s">
        <v>1681</v>
      </c>
      <c r="H378" s="0" t="s">
        <v>1648</v>
      </c>
      <c r="I378" s="0" t="n">
        <v>13644</v>
      </c>
      <c r="J378" s="0" t="s">
        <v>2005</v>
      </c>
      <c r="M378" s="0" t="s">
        <v>1548</v>
      </c>
      <c r="N378" s="0" t="s">
        <v>139</v>
      </c>
      <c r="Q378" s="0" t="n">
        <v>17</v>
      </c>
      <c r="R378" s="0" t="n">
        <v>16</v>
      </c>
      <c r="U378" s="0" t="s">
        <v>2043</v>
      </c>
      <c r="V378" s="0" t="s">
        <v>2043</v>
      </c>
      <c r="Y378" s="0" t="s">
        <v>1651</v>
      </c>
      <c r="Z378" s="0" t="s">
        <v>1652</v>
      </c>
      <c r="AA378" s="0" t="s">
        <v>2014</v>
      </c>
      <c r="AC378" s="0" t="s">
        <v>1654</v>
      </c>
    </row>
    <row r="379" customFormat="false" ht="15" hidden="false" customHeight="false" outlineLevel="0" collapsed="false">
      <c r="A379" s="0" t="s">
        <v>2141</v>
      </c>
      <c r="B379" s="0" t="s">
        <v>138</v>
      </c>
      <c r="C379" s="0" t="s">
        <v>2105</v>
      </c>
      <c r="D379" s="0" t="n">
        <v>2013</v>
      </c>
      <c r="E379" s="0" t="s">
        <v>266</v>
      </c>
      <c r="F379" s="0" t="n">
        <v>5.91</v>
      </c>
      <c r="G379" s="0" t="s">
        <v>1723</v>
      </c>
      <c r="I379" s="0" t="n">
        <v>5.91</v>
      </c>
      <c r="J379" s="0" t="s">
        <v>2005</v>
      </c>
      <c r="M379" s="0" t="s">
        <v>1548</v>
      </c>
      <c r="N379" s="0" t="s">
        <v>139</v>
      </c>
      <c r="Q379" s="0" t="n">
        <v>17</v>
      </c>
      <c r="R379" s="0" t="n">
        <v>16</v>
      </c>
      <c r="U379" s="0" t="s">
        <v>2043</v>
      </c>
      <c r="V379" s="0" t="s">
        <v>2043</v>
      </c>
      <c r="Y379" s="0" t="s">
        <v>1651</v>
      </c>
      <c r="Z379" s="0" t="s">
        <v>1652</v>
      </c>
      <c r="AA379" s="0" t="s">
        <v>2014</v>
      </c>
      <c r="AC379" s="0" t="s">
        <v>1654</v>
      </c>
    </row>
    <row r="380" customFormat="false" ht="15" hidden="false" customHeight="false" outlineLevel="0" collapsed="false">
      <c r="A380" s="0" t="s">
        <v>2142</v>
      </c>
      <c r="B380" s="0" t="s">
        <v>138</v>
      </c>
      <c r="C380" s="0" t="s">
        <v>2105</v>
      </c>
      <c r="D380" s="0" t="n">
        <v>2013</v>
      </c>
      <c r="E380" s="0" t="s">
        <v>69</v>
      </c>
      <c r="F380" s="0" t="n">
        <v>24.8</v>
      </c>
      <c r="G380" s="0" t="s">
        <v>1723</v>
      </c>
      <c r="I380" s="0" t="n">
        <v>24.8</v>
      </c>
      <c r="J380" s="0" t="s">
        <v>2005</v>
      </c>
      <c r="M380" s="0" t="s">
        <v>1548</v>
      </c>
      <c r="N380" s="0" t="s">
        <v>139</v>
      </c>
      <c r="Q380" s="0" t="n">
        <v>68</v>
      </c>
      <c r="R380" s="0" t="n">
        <v>67</v>
      </c>
      <c r="U380" s="0" t="s">
        <v>2043</v>
      </c>
      <c r="V380" s="0" t="s">
        <v>2043</v>
      </c>
      <c r="Y380" s="0" t="s">
        <v>1651</v>
      </c>
      <c r="Z380" s="0" t="s">
        <v>1652</v>
      </c>
      <c r="AA380" s="0" t="s">
        <v>2123</v>
      </c>
      <c r="AC380" s="0" t="s">
        <v>1654</v>
      </c>
    </row>
    <row r="381" customFormat="false" ht="15" hidden="false" customHeight="false" outlineLevel="0" collapsed="false">
      <c r="A381" s="0" t="s">
        <v>2143</v>
      </c>
      <c r="B381" s="0" t="s">
        <v>138</v>
      </c>
      <c r="C381" s="0" t="s">
        <v>2105</v>
      </c>
      <c r="D381" s="0" t="n">
        <v>2013</v>
      </c>
      <c r="E381" s="0" t="s">
        <v>65</v>
      </c>
      <c r="F381" s="0" t="n">
        <v>88989</v>
      </c>
      <c r="G381" s="0" t="s">
        <v>1681</v>
      </c>
      <c r="H381" s="0" t="s">
        <v>1648</v>
      </c>
      <c r="I381" s="0" t="n">
        <v>88989</v>
      </c>
      <c r="J381" s="0" t="s">
        <v>2005</v>
      </c>
      <c r="M381" s="0" t="s">
        <v>1548</v>
      </c>
      <c r="N381" s="0" t="s">
        <v>139</v>
      </c>
      <c r="Q381" s="0" t="n">
        <v>68</v>
      </c>
      <c r="R381" s="0" t="n">
        <v>67</v>
      </c>
      <c r="U381" s="0" t="s">
        <v>2043</v>
      </c>
      <c r="V381" s="0" t="s">
        <v>2043</v>
      </c>
      <c r="Y381" s="0" t="s">
        <v>1651</v>
      </c>
      <c r="Z381" s="0" t="s">
        <v>1652</v>
      </c>
      <c r="AA381" s="0" t="s">
        <v>2123</v>
      </c>
      <c r="AC381" s="0" t="s">
        <v>1654</v>
      </c>
    </row>
    <row r="382" customFormat="false" ht="15" hidden="false" customHeight="false" outlineLevel="0" collapsed="false">
      <c r="A382" s="0" t="s">
        <v>2144</v>
      </c>
      <c r="B382" s="0" t="s">
        <v>138</v>
      </c>
      <c r="C382" s="0" t="s">
        <v>2105</v>
      </c>
      <c r="D382" s="0" t="n">
        <v>2013</v>
      </c>
      <c r="E382" s="0" t="s">
        <v>66</v>
      </c>
      <c r="F382" s="0" t="n">
        <v>358796</v>
      </c>
      <c r="G382" s="0" t="s">
        <v>1681</v>
      </c>
      <c r="H382" s="0" t="s">
        <v>1648</v>
      </c>
      <c r="I382" s="0" t="n">
        <v>358796</v>
      </c>
      <c r="J382" s="0" t="s">
        <v>2005</v>
      </c>
      <c r="M382" s="0" t="s">
        <v>1548</v>
      </c>
      <c r="N382" s="0" t="s">
        <v>139</v>
      </c>
      <c r="Q382" s="0" t="n">
        <v>68</v>
      </c>
      <c r="R382" s="0" t="n">
        <v>67</v>
      </c>
      <c r="U382" s="0" t="s">
        <v>2043</v>
      </c>
      <c r="V382" s="0" t="s">
        <v>2043</v>
      </c>
      <c r="Y382" s="0" t="s">
        <v>1651</v>
      </c>
      <c r="Z382" s="0" t="s">
        <v>1652</v>
      </c>
      <c r="AA382" s="0" t="s">
        <v>2123</v>
      </c>
      <c r="AC382" s="0" t="s">
        <v>1654</v>
      </c>
    </row>
    <row r="383" customFormat="false" ht="15" hidden="false" customHeight="false" outlineLevel="0" collapsed="false">
      <c r="A383" s="0" t="s">
        <v>2145</v>
      </c>
      <c r="B383" s="0" t="s">
        <v>154</v>
      </c>
      <c r="C383" s="0" t="s">
        <v>1862</v>
      </c>
      <c r="D383" s="0" t="n">
        <v>2014</v>
      </c>
      <c r="E383" s="0" t="s">
        <v>60</v>
      </c>
      <c r="F383" s="0" t="n">
        <v>152292015</v>
      </c>
      <c r="G383" s="0" t="s">
        <v>1647</v>
      </c>
      <c r="H383" s="0" t="s">
        <v>1648</v>
      </c>
      <c r="I383" s="0" t="n">
        <v>152292.015</v>
      </c>
      <c r="J383" s="0" t="s">
        <v>2005</v>
      </c>
      <c r="M383" s="0" t="s">
        <v>1562</v>
      </c>
      <c r="N383" s="0" t="s">
        <v>155</v>
      </c>
      <c r="Q383" s="0" t="n">
        <v>106</v>
      </c>
      <c r="R383" s="0" t="n">
        <v>106</v>
      </c>
      <c r="U383" s="0" t="s">
        <v>2043</v>
      </c>
      <c r="V383" s="0" t="s">
        <v>2043</v>
      </c>
      <c r="Y383" s="0" t="s">
        <v>1651</v>
      </c>
      <c r="Z383" s="0" t="s">
        <v>1652</v>
      </c>
      <c r="AA383" s="0" t="s">
        <v>2146</v>
      </c>
      <c r="AC383" s="0" t="s">
        <v>1654</v>
      </c>
    </row>
    <row r="384" customFormat="false" ht="15" hidden="false" customHeight="false" outlineLevel="0" collapsed="false">
      <c r="A384" s="0" t="s">
        <v>2147</v>
      </c>
      <c r="B384" s="0" t="s">
        <v>154</v>
      </c>
      <c r="C384" s="0" t="s">
        <v>1862</v>
      </c>
      <c r="D384" s="0" t="n">
        <v>2014</v>
      </c>
      <c r="E384" s="0" t="s">
        <v>61</v>
      </c>
      <c r="F384" s="0" t="n">
        <v>2998166</v>
      </c>
      <c r="G384" s="0" t="s">
        <v>1647</v>
      </c>
      <c r="H384" s="0" t="s">
        <v>1648</v>
      </c>
      <c r="I384" s="0" t="n">
        <v>2998.166</v>
      </c>
      <c r="J384" s="0" t="s">
        <v>2005</v>
      </c>
      <c r="M384" s="0" t="s">
        <v>1562</v>
      </c>
      <c r="N384" s="0" t="s">
        <v>155</v>
      </c>
      <c r="Q384" s="0" t="n">
        <v>106</v>
      </c>
      <c r="R384" s="0" t="n">
        <v>106</v>
      </c>
      <c r="U384" s="0" t="s">
        <v>2043</v>
      </c>
      <c r="V384" s="0" t="s">
        <v>2043</v>
      </c>
      <c r="Y384" s="0" t="s">
        <v>1651</v>
      </c>
      <c r="Z384" s="0" t="s">
        <v>1652</v>
      </c>
      <c r="AA384" s="0" t="s">
        <v>2146</v>
      </c>
      <c r="AC384" s="0" t="s">
        <v>1654</v>
      </c>
    </row>
    <row r="385" customFormat="false" ht="15" hidden="false" customHeight="false" outlineLevel="0" collapsed="false">
      <c r="A385" s="0" t="s">
        <v>2148</v>
      </c>
      <c r="B385" s="0" t="s">
        <v>154</v>
      </c>
      <c r="C385" s="0" t="s">
        <v>1862</v>
      </c>
      <c r="D385" s="0" t="n">
        <v>2014</v>
      </c>
      <c r="E385" s="0" t="s">
        <v>404</v>
      </c>
      <c r="F385" s="0" t="n">
        <v>913326</v>
      </c>
      <c r="G385" s="0" t="s">
        <v>1647</v>
      </c>
      <c r="H385" s="0" t="s">
        <v>1648</v>
      </c>
      <c r="I385" s="0" t="n">
        <v>913.326</v>
      </c>
      <c r="J385" s="0" t="s">
        <v>2005</v>
      </c>
      <c r="M385" s="0" t="s">
        <v>1562</v>
      </c>
      <c r="N385" s="0" t="s">
        <v>155</v>
      </c>
      <c r="Q385" s="0" t="n">
        <v>106</v>
      </c>
      <c r="R385" s="0" t="n">
        <v>106</v>
      </c>
      <c r="U385" s="0" t="s">
        <v>2043</v>
      </c>
      <c r="V385" s="0" t="s">
        <v>2043</v>
      </c>
      <c r="Y385" s="0" t="s">
        <v>1651</v>
      </c>
      <c r="Z385" s="0" t="s">
        <v>1652</v>
      </c>
      <c r="AA385" s="0" t="s">
        <v>2146</v>
      </c>
      <c r="AC385" s="0" t="s">
        <v>1654</v>
      </c>
    </row>
    <row r="386" customFormat="false" ht="15" hidden="false" customHeight="false" outlineLevel="0" collapsed="false">
      <c r="A386" s="0" t="s">
        <v>2149</v>
      </c>
      <c r="B386" s="0" t="s">
        <v>154</v>
      </c>
      <c r="C386" s="0" t="s">
        <v>1862</v>
      </c>
      <c r="D386" s="0" t="n">
        <v>2014</v>
      </c>
      <c r="E386" s="0" t="s">
        <v>406</v>
      </c>
      <c r="F386" s="0" t="n">
        <v>2084840</v>
      </c>
      <c r="G386" s="0" t="s">
        <v>1647</v>
      </c>
      <c r="H386" s="0" t="s">
        <v>1648</v>
      </c>
      <c r="I386" s="0" t="n">
        <v>2084.84</v>
      </c>
      <c r="J386" s="0" t="s">
        <v>2005</v>
      </c>
      <c r="M386" s="0" t="s">
        <v>1562</v>
      </c>
      <c r="N386" s="0" t="s">
        <v>155</v>
      </c>
      <c r="Q386" s="0" t="n">
        <v>106</v>
      </c>
      <c r="R386" s="0" t="n">
        <v>106</v>
      </c>
      <c r="U386" s="0" t="s">
        <v>2043</v>
      </c>
      <c r="V386" s="0" t="s">
        <v>2043</v>
      </c>
      <c r="Y386" s="0" t="s">
        <v>1651</v>
      </c>
      <c r="Z386" s="0" t="s">
        <v>1652</v>
      </c>
      <c r="AA386" s="0" t="s">
        <v>2146</v>
      </c>
      <c r="AC386" s="0" t="s">
        <v>1654</v>
      </c>
    </row>
    <row r="387" customFormat="false" ht="15" hidden="false" customHeight="false" outlineLevel="0" collapsed="false">
      <c r="A387" s="0" t="s">
        <v>2150</v>
      </c>
      <c r="B387" s="0" t="s">
        <v>154</v>
      </c>
      <c r="C387" s="0" t="s">
        <v>1862</v>
      </c>
      <c r="D387" s="0" t="n">
        <v>2014</v>
      </c>
      <c r="E387" s="0" t="s">
        <v>2151</v>
      </c>
      <c r="F387" s="0" t="n">
        <v>1533745</v>
      </c>
      <c r="G387" s="0" t="s">
        <v>1647</v>
      </c>
      <c r="H387" s="0" t="s">
        <v>1648</v>
      </c>
      <c r="I387" s="0" t="n">
        <v>1533.745</v>
      </c>
      <c r="J387" s="0" t="s">
        <v>2005</v>
      </c>
      <c r="M387" s="0" t="s">
        <v>1562</v>
      </c>
      <c r="N387" s="0" t="s">
        <v>155</v>
      </c>
      <c r="Q387" s="0" t="n">
        <v>109</v>
      </c>
      <c r="R387" s="0" t="n">
        <v>109</v>
      </c>
      <c r="U387" s="0" t="s">
        <v>2043</v>
      </c>
      <c r="V387" s="0" t="s">
        <v>2043</v>
      </c>
      <c r="Y387" s="0" t="s">
        <v>1651</v>
      </c>
      <c r="Z387" s="0" t="s">
        <v>1652</v>
      </c>
      <c r="AA387" s="0" t="s">
        <v>2152</v>
      </c>
      <c r="AC387" s="0" t="s">
        <v>1654</v>
      </c>
    </row>
    <row r="388" customFormat="false" ht="15" hidden="false" customHeight="false" outlineLevel="0" collapsed="false">
      <c r="A388" s="0" t="s">
        <v>2153</v>
      </c>
      <c r="B388" s="0" t="s">
        <v>154</v>
      </c>
      <c r="C388" s="0" t="s">
        <v>1862</v>
      </c>
      <c r="D388" s="0" t="n">
        <v>2015</v>
      </c>
      <c r="E388" s="0" t="s">
        <v>60</v>
      </c>
      <c r="F388" s="0" t="n">
        <v>188022922</v>
      </c>
      <c r="G388" s="0" t="s">
        <v>1647</v>
      </c>
      <c r="H388" s="0" t="s">
        <v>1648</v>
      </c>
      <c r="I388" s="0" t="n">
        <v>188022.922</v>
      </c>
      <c r="J388" s="0" t="s">
        <v>2005</v>
      </c>
      <c r="M388" s="0" t="s">
        <v>1562</v>
      </c>
      <c r="N388" s="0" t="s">
        <v>155</v>
      </c>
      <c r="Q388" s="0" t="n">
        <v>106</v>
      </c>
      <c r="R388" s="0" t="n">
        <v>106</v>
      </c>
      <c r="U388" s="0" t="s">
        <v>2043</v>
      </c>
      <c r="V388" s="0" t="s">
        <v>2043</v>
      </c>
      <c r="Y388" s="0" t="s">
        <v>1651</v>
      </c>
      <c r="Z388" s="0" t="s">
        <v>1652</v>
      </c>
      <c r="AA388" s="0" t="s">
        <v>2146</v>
      </c>
      <c r="AC388" s="0" t="s">
        <v>1654</v>
      </c>
    </row>
    <row r="389" customFormat="false" ht="15" hidden="false" customHeight="false" outlineLevel="0" collapsed="false">
      <c r="A389" s="0" t="s">
        <v>2154</v>
      </c>
      <c r="B389" s="0" t="s">
        <v>154</v>
      </c>
      <c r="C389" s="0" t="s">
        <v>1862</v>
      </c>
      <c r="D389" s="0" t="n">
        <v>2015</v>
      </c>
      <c r="E389" s="0" t="s">
        <v>61</v>
      </c>
      <c r="F389" s="0" t="n">
        <v>2426332</v>
      </c>
      <c r="G389" s="0" t="s">
        <v>1647</v>
      </c>
      <c r="H389" s="0" t="s">
        <v>1648</v>
      </c>
      <c r="I389" s="0" t="n">
        <v>2426.332</v>
      </c>
      <c r="J389" s="0" t="s">
        <v>2005</v>
      </c>
      <c r="M389" s="0" t="s">
        <v>1562</v>
      </c>
      <c r="N389" s="0" t="s">
        <v>155</v>
      </c>
      <c r="Q389" s="0" t="n">
        <v>106</v>
      </c>
      <c r="R389" s="0" t="n">
        <v>106</v>
      </c>
      <c r="U389" s="0" t="s">
        <v>2043</v>
      </c>
      <c r="V389" s="0" t="s">
        <v>2043</v>
      </c>
      <c r="Y389" s="0" t="s">
        <v>1651</v>
      </c>
      <c r="Z389" s="0" t="s">
        <v>1652</v>
      </c>
      <c r="AA389" s="0" t="s">
        <v>2146</v>
      </c>
      <c r="AC389" s="0" t="s">
        <v>1654</v>
      </c>
    </row>
    <row r="390" customFormat="false" ht="15" hidden="false" customHeight="false" outlineLevel="0" collapsed="false">
      <c r="A390" s="0" t="s">
        <v>2155</v>
      </c>
      <c r="B390" s="0" t="s">
        <v>154</v>
      </c>
      <c r="C390" s="0" t="s">
        <v>1862</v>
      </c>
      <c r="D390" s="0" t="n">
        <v>2015</v>
      </c>
      <c r="E390" s="0" t="s">
        <v>404</v>
      </c>
      <c r="F390" s="0" t="n">
        <v>1327916</v>
      </c>
      <c r="G390" s="0" t="s">
        <v>1647</v>
      </c>
      <c r="H390" s="0" t="s">
        <v>1648</v>
      </c>
      <c r="I390" s="0" t="n">
        <v>1327.916</v>
      </c>
      <c r="J390" s="0" t="s">
        <v>2005</v>
      </c>
      <c r="M390" s="0" t="s">
        <v>1562</v>
      </c>
      <c r="N390" s="0" t="s">
        <v>155</v>
      </c>
      <c r="Q390" s="0" t="n">
        <v>106</v>
      </c>
      <c r="R390" s="0" t="n">
        <v>106</v>
      </c>
      <c r="U390" s="0" t="s">
        <v>2043</v>
      </c>
      <c r="V390" s="0" t="s">
        <v>2043</v>
      </c>
      <c r="Y390" s="0" t="s">
        <v>1651</v>
      </c>
      <c r="Z390" s="0" t="s">
        <v>1652</v>
      </c>
      <c r="AA390" s="0" t="s">
        <v>2146</v>
      </c>
      <c r="AC390" s="0" t="s">
        <v>1654</v>
      </c>
    </row>
    <row r="391" customFormat="false" ht="15" hidden="false" customHeight="false" outlineLevel="0" collapsed="false">
      <c r="A391" s="0" t="s">
        <v>2156</v>
      </c>
      <c r="B391" s="0" t="s">
        <v>154</v>
      </c>
      <c r="C391" s="0" t="s">
        <v>1862</v>
      </c>
      <c r="D391" s="0" t="n">
        <v>2015</v>
      </c>
      <c r="E391" s="0" t="s">
        <v>406</v>
      </c>
      <c r="F391" s="0" t="n">
        <v>1098416</v>
      </c>
      <c r="G391" s="0" t="s">
        <v>1647</v>
      </c>
      <c r="H391" s="0" t="s">
        <v>1648</v>
      </c>
      <c r="I391" s="0" t="n">
        <v>1098.416</v>
      </c>
      <c r="J391" s="0" t="s">
        <v>2005</v>
      </c>
      <c r="M391" s="0" t="s">
        <v>1562</v>
      </c>
      <c r="N391" s="0" t="s">
        <v>155</v>
      </c>
      <c r="Q391" s="0" t="n">
        <v>106</v>
      </c>
      <c r="R391" s="0" t="n">
        <v>106</v>
      </c>
      <c r="U391" s="0" t="s">
        <v>2043</v>
      </c>
      <c r="V391" s="0" t="s">
        <v>2043</v>
      </c>
      <c r="Y391" s="0" t="s">
        <v>1651</v>
      </c>
      <c r="Z391" s="0" t="s">
        <v>1652</v>
      </c>
      <c r="AA391" s="0" t="s">
        <v>2146</v>
      </c>
      <c r="AC391" s="0" t="s">
        <v>1654</v>
      </c>
    </row>
    <row r="392" customFormat="false" ht="15" hidden="false" customHeight="false" outlineLevel="0" collapsed="false">
      <c r="A392" s="0" t="s">
        <v>2157</v>
      </c>
      <c r="B392" s="0" t="s">
        <v>154</v>
      </c>
      <c r="C392" s="0" t="s">
        <v>1862</v>
      </c>
      <c r="D392" s="0" t="n">
        <v>2015</v>
      </c>
      <c r="E392" s="0" t="s">
        <v>2151</v>
      </c>
      <c r="F392" s="0" t="n">
        <v>2618694</v>
      </c>
      <c r="G392" s="0" t="s">
        <v>1647</v>
      </c>
      <c r="H392" s="0" t="s">
        <v>1648</v>
      </c>
      <c r="I392" s="0" t="n">
        <v>2618.694</v>
      </c>
      <c r="J392" s="0" t="s">
        <v>2005</v>
      </c>
      <c r="M392" s="0" t="s">
        <v>1562</v>
      </c>
      <c r="N392" s="0" t="s">
        <v>155</v>
      </c>
      <c r="Q392" s="0" t="n">
        <v>108</v>
      </c>
      <c r="R392" s="0" t="n">
        <v>108</v>
      </c>
      <c r="U392" s="0" t="s">
        <v>2043</v>
      </c>
      <c r="V392" s="0" t="s">
        <v>2043</v>
      </c>
      <c r="Y392" s="0" t="s">
        <v>1651</v>
      </c>
      <c r="Z392" s="0" t="s">
        <v>1652</v>
      </c>
      <c r="AA392" s="0" t="s">
        <v>2152</v>
      </c>
      <c r="AC392" s="0" t="s">
        <v>1654</v>
      </c>
    </row>
    <row r="393" customFormat="false" ht="15" hidden="false" customHeight="false" outlineLevel="0" collapsed="false">
      <c r="A393" s="0" t="s">
        <v>2158</v>
      </c>
      <c r="B393" s="0" t="s">
        <v>154</v>
      </c>
      <c r="C393" s="0" t="s">
        <v>1862</v>
      </c>
      <c r="D393" s="0" t="n">
        <v>2014</v>
      </c>
      <c r="E393" s="0" t="s">
        <v>69</v>
      </c>
      <c r="F393" s="0" t="n">
        <v>18.22</v>
      </c>
      <c r="G393" s="0" t="s">
        <v>1723</v>
      </c>
      <c r="I393" s="0" t="n">
        <v>18.22</v>
      </c>
      <c r="J393" s="0" t="s">
        <v>2005</v>
      </c>
      <c r="M393" s="0" t="s">
        <v>1562</v>
      </c>
      <c r="N393" s="0" t="s">
        <v>155</v>
      </c>
      <c r="Q393" s="0" t="n">
        <v>145</v>
      </c>
      <c r="R393" s="0" t="n">
        <v>145</v>
      </c>
      <c r="U393" s="0" t="s">
        <v>2043</v>
      </c>
      <c r="V393" s="0" t="s">
        <v>2043</v>
      </c>
      <c r="Y393" s="0" t="s">
        <v>1651</v>
      </c>
      <c r="Z393" s="0" t="s">
        <v>1652</v>
      </c>
      <c r="AA393" s="0" t="s">
        <v>2159</v>
      </c>
      <c r="AC393" s="0" t="s">
        <v>1654</v>
      </c>
    </row>
    <row r="394" customFormat="false" ht="15" hidden="false" customHeight="false" outlineLevel="0" collapsed="false">
      <c r="A394" s="0" t="s">
        <v>2160</v>
      </c>
      <c r="B394" s="0" t="s">
        <v>154</v>
      </c>
      <c r="C394" s="0" t="s">
        <v>1862</v>
      </c>
      <c r="D394" s="0" t="n">
        <v>2014</v>
      </c>
      <c r="E394" s="0" t="s">
        <v>66</v>
      </c>
      <c r="F394" s="0" t="n">
        <v>120969415</v>
      </c>
      <c r="G394" s="0" t="s">
        <v>1647</v>
      </c>
      <c r="H394" s="0" t="s">
        <v>1648</v>
      </c>
      <c r="I394" s="0" t="n">
        <v>120969.415</v>
      </c>
      <c r="J394" s="0" t="s">
        <v>2005</v>
      </c>
      <c r="M394" s="0" t="s">
        <v>1562</v>
      </c>
      <c r="N394" s="0" t="s">
        <v>155</v>
      </c>
      <c r="Q394" s="0" t="n">
        <v>145</v>
      </c>
      <c r="R394" s="0" t="n">
        <v>145</v>
      </c>
      <c r="U394" s="0" t="s">
        <v>2043</v>
      </c>
      <c r="V394" s="0" t="s">
        <v>2043</v>
      </c>
      <c r="Y394" s="0" t="s">
        <v>1651</v>
      </c>
      <c r="Z394" s="0" t="s">
        <v>1652</v>
      </c>
      <c r="AA394" s="0" t="s">
        <v>2161</v>
      </c>
      <c r="AC394" s="0" t="s">
        <v>1654</v>
      </c>
    </row>
    <row r="395" customFormat="false" ht="15" hidden="false" customHeight="false" outlineLevel="0" collapsed="false">
      <c r="A395" s="0" t="s">
        <v>2162</v>
      </c>
      <c r="B395" s="0" t="s">
        <v>154</v>
      </c>
      <c r="C395" s="0" t="s">
        <v>1862</v>
      </c>
      <c r="D395" s="0" t="n">
        <v>2014</v>
      </c>
      <c r="E395" s="0" t="s">
        <v>266</v>
      </c>
      <c r="F395" s="0" t="n">
        <v>2.49</v>
      </c>
      <c r="G395" s="0" t="s">
        <v>1723</v>
      </c>
      <c r="I395" s="0" t="n">
        <v>2.49</v>
      </c>
      <c r="J395" s="0" t="s">
        <v>2005</v>
      </c>
      <c r="M395" s="0" t="s">
        <v>1562</v>
      </c>
      <c r="N395" s="0" t="s">
        <v>155</v>
      </c>
      <c r="Q395" s="0" t="n">
        <v>6</v>
      </c>
      <c r="R395" s="0" t="n">
        <v>6</v>
      </c>
      <c r="U395" s="0" t="s">
        <v>2043</v>
      </c>
      <c r="V395" s="0" t="s">
        <v>2043</v>
      </c>
      <c r="Y395" s="0" t="s">
        <v>1651</v>
      </c>
      <c r="Z395" s="0" t="s">
        <v>1652</v>
      </c>
      <c r="AA395" s="0" t="s">
        <v>2163</v>
      </c>
      <c r="AC395" s="0" t="s">
        <v>1654</v>
      </c>
    </row>
    <row r="396" customFormat="false" ht="15" hidden="false" customHeight="false" outlineLevel="0" collapsed="false">
      <c r="A396" s="0" t="s">
        <v>2164</v>
      </c>
      <c r="B396" s="0" t="s">
        <v>154</v>
      </c>
      <c r="C396" s="0" t="s">
        <v>1862</v>
      </c>
      <c r="D396" s="0" t="n">
        <v>2015</v>
      </c>
      <c r="E396" s="0" t="s">
        <v>69</v>
      </c>
      <c r="F396" s="0" t="n">
        <v>15.09</v>
      </c>
      <c r="G396" s="0" t="s">
        <v>1723</v>
      </c>
      <c r="I396" s="0" t="n">
        <v>15.09</v>
      </c>
      <c r="J396" s="0" t="s">
        <v>2005</v>
      </c>
      <c r="M396" s="0" t="s">
        <v>1562</v>
      </c>
      <c r="N396" s="0" t="s">
        <v>155</v>
      </c>
      <c r="Q396" s="0" t="n">
        <v>145</v>
      </c>
      <c r="R396" s="0" t="n">
        <v>145</v>
      </c>
      <c r="U396" s="0" t="s">
        <v>2043</v>
      </c>
      <c r="V396" s="0" t="s">
        <v>2043</v>
      </c>
      <c r="Y396" s="0" t="s">
        <v>1651</v>
      </c>
      <c r="Z396" s="0" t="s">
        <v>1652</v>
      </c>
      <c r="AA396" s="0" t="s">
        <v>2159</v>
      </c>
      <c r="AC396" s="0" t="s">
        <v>1654</v>
      </c>
    </row>
    <row r="397" customFormat="false" ht="15" hidden="false" customHeight="false" outlineLevel="0" collapsed="false">
      <c r="A397" s="0" t="s">
        <v>2165</v>
      </c>
      <c r="B397" s="0" t="s">
        <v>154</v>
      </c>
      <c r="C397" s="0" t="s">
        <v>1862</v>
      </c>
      <c r="D397" s="0" t="n">
        <v>2015</v>
      </c>
      <c r="E397" s="0" t="s">
        <v>66</v>
      </c>
      <c r="F397" s="0" t="n">
        <v>170851205</v>
      </c>
      <c r="G397" s="0" t="s">
        <v>1647</v>
      </c>
      <c r="H397" s="0" t="s">
        <v>1648</v>
      </c>
      <c r="I397" s="0" t="n">
        <v>170851.205</v>
      </c>
      <c r="J397" s="0" t="s">
        <v>2005</v>
      </c>
      <c r="M397" s="0" t="s">
        <v>1562</v>
      </c>
      <c r="N397" s="0" t="s">
        <v>155</v>
      </c>
      <c r="Q397" s="0" t="n">
        <v>145</v>
      </c>
      <c r="R397" s="0" t="n">
        <v>145</v>
      </c>
      <c r="U397" s="0" t="s">
        <v>2043</v>
      </c>
      <c r="V397" s="0" t="s">
        <v>2043</v>
      </c>
      <c r="Y397" s="0" t="s">
        <v>1651</v>
      </c>
      <c r="Z397" s="0" t="s">
        <v>1652</v>
      </c>
      <c r="AA397" s="0" t="s">
        <v>2161</v>
      </c>
      <c r="AC397" s="0" t="s">
        <v>1654</v>
      </c>
    </row>
    <row r="398" customFormat="false" ht="15" hidden="false" customHeight="false" outlineLevel="0" collapsed="false">
      <c r="A398" s="0" t="s">
        <v>2166</v>
      </c>
      <c r="B398" s="0" t="s">
        <v>154</v>
      </c>
      <c r="C398" s="0" t="s">
        <v>1862</v>
      </c>
      <c r="D398" s="0" t="n">
        <v>2015</v>
      </c>
      <c r="E398" s="0" t="s">
        <v>266</v>
      </c>
      <c r="F398" s="0" t="n">
        <v>2.67</v>
      </c>
      <c r="G398" s="0" t="s">
        <v>1723</v>
      </c>
      <c r="I398" s="0" t="n">
        <v>2.67</v>
      </c>
      <c r="J398" s="0" t="s">
        <v>2005</v>
      </c>
      <c r="M398" s="0" t="s">
        <v>1562</v>
      </c>
      <c r="N398" s="0" t="s">
        <v>155</v>
      </c>
      <c r="Q398" s="0" t="n">
        <v>6</v>
      </c>
      <c r="R398" s="0" t="n">
        <v>6</v>
      </c>
      <c r="U398" s="0" t="s">
        <v>2043</v>
      </c>
      <c r="V398" s="0" t="s">
        <v>2043</v>
      </c>
      <c r="Y398" s="0" t="s">
        <v>1651</v>
      </c>
      <c r="Z398" s="0" t="s">
        <v>1652</v>
      </c>
      <c r="AA398" s="0" t="s">
        <v>2163</v>
      </c>
      <c r="AC398" s="0" t="s">
        <v>1654</v>
      </c>
    </row>
    <row r="399" customFormat="false" ht="15" hidden="false" customHeight="false" outlineLevel="0" collapsed="false">
      <c r="A399" s="0" t="s">
        <v>2167</v>
      </c>
      <c r="B399" s="0" t="s">
        <v>83</v>
      </c>
      <c r="C399" s="0" t="s">
        <v>2168</v>
      </c>
      <c r="D399" s="0" t="n">
        <v>2017</v>
      </c>
      <c r="E399" s="0" t="s">
        <v>54</v>
      </c>
      <c r="F399" s="0" t="n">
        <v>20204</v>
      </c>
      <c r="G399" s="0" t="s">
        <v>1681</v>
      </c>
      <c r="H399" s="0" t="s">
        <v>1648</v>
      </c>
      <c r="I399" s="0" t="n">
        <v>20204</v>
      </c>
      <c r="J399" s="0" t="s">
        <v>2005</v>
      </c>
      <c r="M399" s="0" t="s">
        <v>1514</v>
      </c>
      <c r="N399" s="0" t="s">
        <v>85</v>
      </c>
      <c r="Q399" s="0" t="n">
        <v>1</v>
      </c>
      <c r="R399" s="0" t="s">
        <v>2169</v>
      </c>
      <c r="U399" s="0" t="s">
        <v>2043</v>
      </c>
      <c r="V399" s="0" t="s">
        <v>2043</v>
      </c>
      <c r="Y399" s="0" t="s">
        <v>1651</v>
      </c>
      <c r="Z399" s="0" t="s">
        <v>1652</v>
      </c>
      <c r="AA399" s="0" t="s">
        <v>2170</v>
      </c>
      <c r="AC399" s="0" t="s">
        <v>1654</v>
      </c>
    </row>
    <row r="400" customFormat="false" ht="15" hidden="false" customHeight="false" outlineLevel="0" collapsed="false">
      <c r="A400" s="0" t="s">
        <v>2171</v>
      </c>
      <c r="B400" s="0" t="s">
        <v>83</v>
      </c>
      <c r="C400" s="0" t="s">
        <v>2168</v>
      </c>
      <c r="D400" s="0" t="n">
        <v>2017</v>
      </c>
      <c r="E400" s="0" t="s">
        <v>670</v>
      </c>
      <c r="F400" s="0" t="n">
        <v>251061</v>
      </c>
      <c r="G400" s="0" t="s">
        <v>1681</v>
      </c>
      <c r="H400" s="0" t="s">
        <v>1648</v>
      </c>
      <c r="I400" s="0" t="n">
        <v>251061</v>
      </c>
      <c r="J400" s="0" t="s">
        <v>2005</v>
      </c>
      <c r="M400" s="0" t="s">
        <v>1514</v>
      </c>
      <c r="N400" s="0" t="s">
        <v>85</v>
      </c>
      <c r="Q400" s="0" t="n">
        <v>1</v>
      </c>
      <c r="R400" s="0" t="s">
        <v>2169</v>
      </c>
      <c r="U400" s="0" t="s">
        <v>2043</v>
      </c>
      <c r="V400" s="0" t="s">
        <v>2043</v>
      </c>
      <c r="Y400" s="0" t="s">
        <v>1651</v>
      </c>
      <c r="Z400" s="0" t="s">
        <v>1652</v>
      </c>
      <c r="AA400" s="0" t="s">
        <v>2170</v>
      </c>
      <c r="AC400" s="0" t="s">
        <v>1654</v>
      </c>
    </row>
    <row r="401" customFormat="false" ht="15" hidden="false" customHeight="false" outlineLevel="0" collapsed="false">
      <c r="A401" s="0" t="s">
        <v>2172</v>
      </c>
      <c r="B401" s="0" t="s">
        <v>83</v>
      </c>
      <c r="C401" s="0" t="s">
        <v>2168</v>
      </c>
      <c r="D401" s="0" t="n">
        <v>2017</v>
      </c>
      <c r="E401" s="0" t="s">
        <v>63</v>
      </c>
      <c r="F401" s="0" t="n">
        <v>59901</v>
      </c>
      <c r="G401" s="0" t="s">
        <v>1681</v>
      </c>
      <c r="H401" s="0" t="s">
        <v>1648</v>
      </c>
      <c r="I401" s="0" t="n">
        <v>59901</v>
      </c>
      <c r="J401" s="0" t="s">
        <v>2005</v>
      </c>
      <c r="M401" s="0" t="s">
        <v>1514</v>
      </c>
      <c r="N401" s="0" t="s">
        <v>85</v>
      </c>
      <c r="Q401" s="0" t="n">
        <v>1</v>
      </c>
      <c r="R401" s="0" t="s">
        <v>2169</v>
      </c>
      <c r="U401" s="0" t="s">
        <v>2043</v>
      </c>
      <c r="V401" s="0" t="s">
        <v>2043</v>
      </c>
      <c r="Y401" s="0" t="s">
        <v>1651</v>
      </c>
      <c r="Z401" s="0" t="s">
        <v>1652</v>
      </c>
      <c r="AA401" s="0" t="s">
        <v>2170</v>
      </c>
      <c r="AC401" s="0" t="s">
        <v>1654</v>
      </c>
    </row>
    <row r="402" customFormat="false" ht="15" hidden="false" customHeight="false" outlineLevel="0" collapsed="false">
      <c r="A402" s="0" t="s">
        <v>2173</v>
      </c>
      <c r="B402" s="0" t="s">
        <v>83</v>
      </c>
      <c r="C402" s="0" t="s">
        <v>2168</v>
      </c>
      <c r="D402" s="0" t="n">
        <v>2017</v>
      </c>
      <c r="E402" s="0" t="s">
        <v>55</v>
      </c>
      <c r="F402" s="0" t="n">
        <v>1829761</v>
      </c>
      <c r="G402" s="0" t="s">
        <v>1681</v>
      </c>
      <c r="H402" s="0" t="s">
        <v>1648</v>
      </c>
      <c r="I402" s="0" t="n">
        <v>1829761</v>
      </c>
      <c r="J402" s="0" t="s">
        <v>2005</v>
      </c>
      <c r="M402" s="0" t="s">
        <v>1514</v>
      </c>
      <c r="N402" s="0" t="s">
        <v>85</v>
      </c>
      <c r="Q402" s="0" t="n">
        <v>1</v>
      </c>
      <c r="R402" s="0" t="s">
        <v>2169</v>
      </c>
      <c r="U402" s="0" t="s">
        <v>2043</v>
      </c>
      <c r="V402" s="0" t="s">
        <v>2043</v>
      </c>
      <c r="Y402" s="0" t="s">
        <v>1651</v>
      </c>
      <c r="Z402" s="0" t="s">
        <v>1652</v>
      </c>
      <c r="AA402" s="0" t="s">
        <v>2170</v>
      </c>
      <c r="AC402" s="0" t="s">
        <v>1654</v>
      </c>
    </row>
    <row r="403" customFormat="false" ht="15" hidden="false" customHeight="false" outlineLevel="0" collapsed="false">
      <c r="A403" s="0" t="s">
        <v>2174</v>
      </c>
      <c r="B403" s="0" t="s">
        <v>83</v>
      </c>
      <c r="C403" s="0" t="s">
        <v>2168</v>
      </c>
      <c r="D403" s="0" t="n">
        <v>2017</v>
      </c>
      <c r="E403" s="0" t="s">
        <v>56</v>
      </c>
      <c r="F403" s="0" t="n">
        <v>1562432</v>
      </c>
      <c r="G403" s="0" t="s">
        <v>1681</v>
      </c>
      <c r="H403" s="0" t="s">
        <v>1648</v>
      </c>
      <c r="I403" s="0" t="n">
        <v>1562432</v>
      </c>
      <c r="J403" s="0" t="s">
        <v>2005</v>
      </c>
      <c r="M403" s="0" t="s">
        <v>1514</v>
      </c>
      <c r="N403" s="0" t="s">
        <v>85</v>
      </c>
      <c r="Q403" s="0" t="n">
        <v>1</v>
      </c>
      <c r="R403" s="0" t="s">
        <v>2169</v>
      </c>
      <c r="U403" s="0" t="s">
        <v>2043</v>
      </c>
      <c r="V403" s="0" t="s">
        <v>2043</v>
      </c>
      <c r="Y403" s="0" t="s">
        <v>1651</v>
      </c>
      <c r="Z403" s="0" t="s">
        <v>1652</v>
      </c>
      <c r="AA403" s="0" t="s">
        <v>2170</v>
      </c>
      <c r="AC403" s="0" t="s">
        <v>1654</v>
      </c>
    </row>
    <row r="404" customFormat="false" ht="15" hidden="false" customHeight="false" outlineLevel="0" collapsed="false">
      <c r="A404" s="0" t="s">
        <v>2175</v>
      </c>
      <c r="B404" s="0" t="s">
        <v>83</v>
      </c>
      <c r="C404" s="0" t="s">
        <v>2168</v>
      </c>
      <c r="D404" s="0" t="n">
        <v>2017</v>
      </c>
      <c r="E404" s="0" t="s">
        <v>57</v>
      </c>
      <c r="F404" s="0" t="n">
        <v>267329</v>
      </c>
      <c r="G404" s="0" t="s">
        <v>1681</v>
      </c>
      <c r="H404" s="0" t="s">
        <v>1648</v>
      </c>
      <c r="I404" s="0" t="n">
        <v>267329</v>
      </c>
      <c r="J404" s="0" t="s">
        <v>2005</v>
      </c>
      <c r="M404" s="0" t="s">
        <v>1514</v>
      </c>
      <c r="N404" s="0" t="s">
        <v>85</v>
      </c>
      <c r="Q404" s="0" t="n">
        <v>1</v>
      </c>
      <c r="R404" s="0" t="s">
        <v>2169</v>
      </c>
      <c r="U404" s="0" t="s">
        <v>2043</v>
      </c>
      <c r="V404" s="0" t="s">
        <v>2043</v>
      </c>
      <c r="Y404" s="0" t="s">
        <v>1651</v>
      </c>
      <c r="Z404" s="0" t="s">
        <v>1652</v>
      </c>
      <c r="AA404" s="0" t="s">
        <v>2170</v>
      </c>
      <c r="AC404" s="0" t="s">
        <v>1654</v>
      </c>
    </row>
    <row r="405" customFormat="false" ht="15" hidden="false" customHeight="false" outlineLevel="0" collapsed="false">
      <c r="A405" s="0" t="s">
        <v>2176</v>
      </c>
      <c r="B405" s="0" t="s">
        <v>83</v>
      </c>
      <c r="C405" s="0" t="s">
        <v>2168</v>
      </c>
      <c r="D405" s="0" t="n">
        <v>2017</v>
      </c>
      <c r="E405" s="0" t="s">
        <v>62</v>
      </c>
      <c r="F405" s="0" t="n">
        <v>831573</v>
      </c>
      <c r="G405" s="0" t="s">
        <v>1681</v>
      </c>
      <c r="H405" s="0" t="s">
        <v>1648</v>
      </c>
      <c r="I405" s="0" t="n">
        <v>831573</v>
      </c>
      <c r="J405" s="0" t="s">
        <v>2005</v>
      </c>
      <c r="M405" s="0" t="s">
        <v>1514</v>
      </c>
      <c r="N405" s="0" t="s">
        <v>85</v>
      </c>
      <c r="Q405" s="0" t="n">
        <v>1</v>
      </c>
      <c r="R405" s="0" t="s">
        <v>2169</v>
      </c>
      <c r="U405" s="0" t="s">
        <v>2043</v>
      </c>
      <c r="V405" s="0" t="s">
        <v>2043</v>
      </c>
      <c r="Y405" s="0" t="s">
        <v>1651</v>
      </c>
      <c r="Z405" s="0" t="s">
        <v>1652</v>
      </c>
      <c r="AA405" s="0" t="s">
        <v>2170</v>
      </c>
      <c r="AC405" s="0" t="s">
        <v>1654</v>
      </c>
    </row>
    <row r="406" customFormat="false" ht="15" hidden="false" customHeight="false" outlineLevel="0" collapsed="false">
      <c r="A406" s="0" t="s">
        <v>2177</v>
      </c>
      <c r="B406" s="0" t="s">
        <v>83</v>
      </c>
      <c r="C406" s="0" t="s">
        <v>2168</v>
      </c>
      <c r="D406" s="0" t="n">
        <v>2017</v>
      </c>
      <c r="E406" s="0" t="s">
        <v>1646</v>
      </c>
      <c r="F406" s="0" t="n">
        <v>1098302</v>
      </c>
      <c r="G406" s="0" t="s">
        <v>1681</v>
      </c>
      <c r="H406" s="0" t="s">
        <v>1648</v>
      </c>
      <c r="I406" s="0" t="n">
        <v>1098302</v>
      </c>
      <c r="J406" s="0" t="s">
        <v>2005</v>
      </c>
      <c r="M406" s="0" t="s">
        <v>1514</v>
      </c>
      <c r="N406" s="0" t="s">
        <v>85</v>
      </c>
      <c r="Q406" s="0" t="n">
        <v>1</v>
      </c>
      <c r="R406" s="0" t="s">
        <v>2169</v>
      </c>
      <c r="U406" s="0" t="s">
        <v>2043</v>
      </c>
      <c r="V406" s="0" t="s">
        <v>2043</v>
      </c>
      <c r="Y406" s="0" t="s">
        <v>1651</v>
      </c>
      <c r="Z406" s="0" t="s">
        <v>1652</v>
      </c>
      <c r="AA406" s="0" t="s">
        <v>2170</v>
      </c>
      <c r="AC406" s="0" t="s">
        <v>1654</v>
      </c>
    </row>
    <row r="407" customFormat="false" ht="15" hidden="false" customHeight="false" outlineLevel="0" collapsed="false">
      <c r="A407" s="0" t="s">
        <v>2178</v>
      </c>
      <c r="B407" s="0" t="s">
        <v>83</v>
      </c>
      <c r="C407" s="0" t="s">
        <v>2168</v>
      </c>
      <c r="D407" s="0" t="n">
        <v>2017</v>
      </c>
      <c r="E407" s="0" t="s">
        <v>266</v>
      </c>
      <c r="F407" s="0" t="n">
        <v>14.5</v>
      </c>
      <c r="G407" s="0" t="s">
        <v>1723</v>
      </c>
      <c r="I407" s="0" t="n">
        <v>14.5</v>
      </c>
      <c r="J407" s="0" t="s">
        <v>2005</v>
      </c>
      <c r="M407" s="0" t="s">
        <v>1514</v>
      </c>
      <c r="N407" s="0" t="s">
        <v>85</v>
      </c>
      <c r="Q407" s="0" t="n">
        <v>1</v>
      </c>
      <c r="R407" s="0" t="s">
        <v>2169</v>
      </c>
      <c r="U407" s="0" t="s">
        <v>2043</v>
      </c>
      <c r="V407" s="0" t="s">
        <v>2043</v>
      </c>
      <c r="Y407" s="0" t="s">
        <v>1651</v>
      </c>
      <c r="Z407" s="0" t="s">
        <v>1652</v>
      </c>
      <c r="AA407" s="0" t="s">
        <v>2170</v>
      </c>
      <c r="AC407" s="0" t="s">
        <v>1654</v>
      </c>
    </row>
    <row r="408" customFormat="false" ht="15" hidden="false" customHeight="false" outlineLevel="0" collapsed="false">
      <c r="A408" s="0" t="s">
        <v>2179</v>
      </c>
      <c r="B408" s="0" t="s">
        <v>83</v>
      </c>
      <c r="C408" s="0" t="s">
        <v>2168</v>
      </c>
      <c r="D408" s="0" t="n">
        <v>2016</v>
      </c>
      <c r="E408" s="0" t="s">
        <v>54</v>
      </c>
      <c r="F408" s="0" t="n">
        <v>5780</v>
      </c>
      <c r="G408" s="0" t="s">
        <v>1681</v>
      </c>
      <c r="H408" s="0" t="s">
        <v>1648</v>
      </c>
      <c r="I408" s="0" t="n">
        <v>5780</v>
      </c>
      <c r="J408" s="0" t="s">
        <v>2005</v>
      </c>
      <c r="M408" s="0" t="s">
        <v>1514</v>
      </c>
      <c r="N408" s="0" t="s">
        <v>85</v>
      </c>
      <c r="Q408" s="0" t="n">
        <v>1</v>
      </c>
      <c r="R408" s="0" t="s">
        <v>2169</v>
      </c>
      <c r="U408" s="0" t="s">
        <v>2043</v>
      </c>
      <c r="V408" s="0" t="s">
        <v>2043</v>
      </c>
      <c r="Y408" s="0" t="s">
        <v>1651</v>
      </c>
      <c r="Z408" s="0" t="s">
        <v>1652</v>
      </c>
      <c r="AA408" s="0" t="s">
        <v>2170</v>
      </c>
      <c r="AC408" s="0" t="s">
        <v>1654</v>
      </c>
    </row>
    <row r="409" customFormat="false" ht="15" hidden="false" customHeight="false" outlineLevel="0" collapsed="false">
      <c r="A409" s="0" t="s">
        <v>2180</v>
      </c>
      <c r="B409" s="0" t="s">
        <v>83</v>
      </c>
      <c r="C409" s="0" t="s">
        <v>2168</v>
      </c>
      <c r="D409" s="0" t="n">
        <v>2016</v>
      </c>
      <c r="E409" s="0" t="s">
        <v>670</v>
      </c>
      <c r="F409" s="0" t="n">
        <v>259584</v>
      </c>
      <c r="G409" s="0" t="s">
        <v>1681</v>
      </c>
      <c r="H409" s="0" t="s">
        <v>1648</v>
      </c>
      <c r="I409" s="0" t="n">
        <v>259584</v>
      </c>
      <c r="J409" s="0" t="s">
        <v>2005</v>
      </c>
      <c r="M409" s="0" t="s">
        <v>1514</v>
      </c>
      <c r="N409" s="0" t="s">
        <v>85</v>
      </c>
      <c r="Q409" s="0" t="n">
        <v>1</v>
      </c>
      <c r="R409" s="0" t="s">
        <v>2169</v>
      </c>
      <c r="U409" s="0" t="s">
        <v>2043</v>
      </c>
      <c r="V409" s="0" t="s">
        <v>2043</v>
      </c>
      <c r="Y409" s="0" t="s">
        <v>1651</v>
      </c>
      <c r="Z409" s="0" t="s">
        <v>1652</v>
      </c>
      <c r="AA409" s="0" t="s">
        <v>2170</v>
      </c>
      <c r="AC409" s="0" t="s">
        <v>1654</v>
      </c>
    </row>
    <row r="410" customFormat="false" ht="15" hidden="false" customHeight="false" outlineLevel="0" collapsed="false">
      <c r="A410" s="0" t="s">
        <v>2181</v>
      </c>
      <c r="B410" s="0" t="s">
        <v>83</v>
      </c>
      <c r="C410" s="0" t="s">
        <v>2168</v>
      </c>
      <c r="D410" s="0" t="n">
        <v>2016</v>
      </c>
      <c r="E410" s="0" t="s">
        <v>63</v>
      </c>
      <c r="F410" s="0" t="n">
        <v>82783</v>
      </c>
      <c r="G410" s="0" t="s">
        <v>1681</v>
      </c>
      <c r="H410" s="0" t="s">
        <v>1648</v>
      </c>
      <c r="I410" s="0" t="n">
        <v>82783</v>
      </c>
      <c r="J410" s="0" t="s">
        <v>2005</v>
      </c>
      <c r="M410" s="0" t="s">
        <v>1514</v>
      </c>
      <c r="N410" s="0" t="s">
        <v>85</v>
      </c>
      <c r="Q410" s="0" t="n">
        <v>1</v>
      </c>
      <c r="R410" s="0" t="s">
        <v>2169</v>
      </c>
      <c r="U410" s="0" t="s">
        <v>2043</v>
      </c>
      <c r="V410" s="0" t="s">
        <v>2043</v>
      </c>
      <c r="Y410" s="0" t="s">
        <v>1651</v>
      </c>
      <c r="Z410" s="0" t="s">
        <v>1652</v>
      </c>
      <c r="AA410" s="0" t="s">
        <v>2170</v>
      </c>
      <c r="AC410" s="0" t="s">
        <v>1654</v>
      </c>
    </row>
    <row r="411" customFormat="false" ht="15" hidden="false" customHeight="false" outlineLevel="0" collapsed="false">
      <c r="A411" s="0" t="s">
        <v>2182</v>
      </c>
      <c r="B411" s="0" t="s">
        <v>83</v>
      </c>
      <c r="C411" s="0" t="s">
        <v>2168</v>
      </c>
      <c r="D411" s="0" t="n">
        <v>2016</v>
      </c>
      <c r="E411" s="0" t="s">
        <v>55</v>
      </c>
      <c r="F411" s="0" t="n">
        <v>1808503</v>
      </c>
      <c r="G411" s="0" t="s">
        <v>1681</v>
      </c>
      <c r="H411" s="0" t="s">
        <v>1648</v>
      </c>
      <c r="I411" s="0" t="n">
        <v>1808503</v>
      </c>
      <c r="J411" s="0" t="s">
        <v>2005</v>
      </c>
      <c r="M411" s="0" t="s">
        <v>1514</v>
      </c>
      <c r="N411" s="0" t="s">
        <v>85</v>
      </c>
      <c r="Q411" s="0" t="n">
        <v>1</v>
      </c>
      <c r="R411" s="0" t="s">
        <v>2169</v>
      </c>
      <c r="U411" s="0" t="s">
        <v>2043</v>
      </c>
      <c r="V411" s="0" t="s">
        <v>2043</v>
      </c>
      <c r="Y411" s="0" t="s">
        <v>1651</v>
      </c>
      <c r="Z411" s="0" t="s">
        <v>1652</v>
      </c>
      <c r="AA411" s="0" t="s">
        <v>2170</v>
      </c>
      <c r="AC411" s="0" t="s">
        <v>1654</v>
      </c>
    </row>
    <row r="412" customFormat="false" ht="15" hidden="false" customHeight="false" outlineLevel="0" collapsed="false">
      <c r="A412" s="0" t="s">
        <v>2183</v>
      </c>
      <c r="B412" s="0" t="s">
        <v>83</v>
      </c>
      <c r="C412" s="0" t="s">
        <v>2168</v>
      </c>
      <c r="D412" s="0" t="n">
        <v>2016</v>
      </c>
      <c r="E412" s="0" t="s">
        <v>56</v>
      </c>
      <c r="F412" s="0" t="n">
        <v>1587728</v>
      </c>
      <c r="G412" s="0" t="s">
        <v>1681</v>
      </c>
      <c r="H412" s="0" t="s">
        <v>1648</v>
      </c>
      <c r="I412" s="0" t="n">
        <v>1587728</v>
      </c>
      <c r="J412" s="0" t="s">
        <v>2005</v>
      </c>
      <c r="M412" s="0" t="s">
        <v>1514</v>
      </c>
      <c r="N412" s="0" t="s">
        <v>85</v>
      </c>
      <c r="Q412" s="0" t="n">
        <v>1</v>
      </c>
      <c r="R412" s="0" t="s">
        <v>2169</v>
      </c>
      <c r="U412" s="0" t="s">
        <v>2043</v>
      </c>
      <c r="V412" s="0" t="s">
        <v>2043</v>
      </c>
      <c r="Y412" s="0" t="s">
        <v>1651</v>
      </c>
      <c r="Z412" s="0" t="s">
        <v>1652</v>
      </c>
      <c r="AA412" s="0" t="s">
        <v>2170</v>
      </c>
      <c r="AC412" s="0" t="s">
        <v>1654</v>
      </c>
    </row>
    <row r="413" customFormat="false" ht="15" hidden="false" customHeight="false" outlineLevel="0" collapsed="false">
      <c r="A413" s="0" t="s">
        <v>2184</v>
      </c>
      <c r="B413" s="0" t="s">
        <v>83</v>
      </c>
      <c r="C413" s="0" t="s">
        <v>2168</v>
      </c>
      <c r="D413" s="0" t="n">
        <v>2016</v>
      </c>
      <c r="E413" s="0" t="s">
        <v>57</v>
      </c>
      <c r="F413" s="0" t="n">
        <v>220775</v>
      </c>
      <c r="G413" s="0" t="s">
        <v>1681</v>
      </c>
      <c r="H413" s="0" t="s">
        <v>1648</v>
      </c>
      <c r="I413" s="0" t="n">
        <v>220775</v>
      </c>
      <c r="J413" s="0" t="s">
        <v>2005</v>
      </c>
      <c r="M413" s="0" t="s">
        <v>1514</v>
      </c>
      <c r="N413" s="0" t="s">
        <v>85</v>
      </c>
      <c r="Q413" s="0" t="n">
        <v>1</v>
      </c>
      <c r="R413" s="0" t="s">
        <v>2169</v>
      </c>
      <c r="U413" s="0" t="s">
        <v>2043</v>
      </c>
      <c r="V413" s="0" t="s">
        <v>2043</v>
      </c>
      <c r="Y413" s="0" t="s">
        <v>1651</v>
      </c>
      <c r="Z413" s="0" t="s">
        <v>1652</v>
      </c>
      <c r="AA413" s="0" t="s">
        <v>2170</v>
      </c>
      <c r="AC413" s="0" t="s">
        <v>1654</v>
      </c>
    </row>
    <row r="414" customFormat="false" ht="15" hidden="false" customHeight="false" outlineLevel="0" collapsed="false">
      <c r="A414" s="0" t="s">
        <v>2185</v>
      </c>
      <c r="B414" s="0" t="s">
        <v>83</v>
      </c>
      <c r="C414" s="0" t="s">
        <v>2168</v>
      </c>
      <c r="D414" s="0" t="n">
        <v>2016</v>
      </c>
      <c r="E414" s="0" t="s">
        <v>62</v>
      </c>
      <c r="F414" s="0" t="n">
        <v>869872</v>
      </c>
      <c r="G414" s="0" t="s">
        <v>1681</v>
      </c>
      <c r="H414" s="0" t="s">
        <v>1648</v>
      </c>
      <c r="I414" s="0" t="n">
        <v>869872</v>
      </c>
      <c r="J414" s="0" t="s">
        <v>2005</v>
      </c>
      <c r="M414" s="0" t="s">
        <v>1514</v>
      </c>
      <c r="N414" s="0" t="s">
        <v>85</v>
      </c>
      <c r="Q414" s="0" t="n">
        <v>1</v>
      </c>
      <c r="R414" s="0" t="s">
        <v>2169</v>
      </c>
      <c r="U414" s="0" t="s">
        <v>2043</v>
      </c>
      <c r="V414" s="0" t="s">
        <v>2043</v>
      </c>
      <c r="Y414" s="0" t="s">
        <v>1651</v>
      </c>
      <c r="Z414" s="0" t="s">
        <v>1652</v>
      </c>
      <c r="AA414" s="0" t="s">
        <v>2170</v>
      </c>
      <c r="AC414" s="0" t="s">
        <v>1654</v>
      </c>
    </row>
    <row r="415" customFormat="false" ht="15" hidden="false" customHeight="false" outlineLevel="0" collapsed="false">
      <c r="A415" s="0" t="s">
        <v>2186</v>
      </c>
      <c r="B415" s="0" t="s">
        <v>83</v>
      </c>
      <c r="C415" s="0" t="s">
        <v>2168</v>
      </c>
      <c r="D415" s="0" t="n">
        <v>2016</v>
      </c>
      <c r="E415" s="0" t="s">
        <v>1646</v>
      </c>
      <c r="F415" s="0" t="n">
        <v>1125868</v>
      </c>
      <c r="G415" s="0" t="s">
        <v>1681</v>
      </c>
      <c r="H415" s="0" t="s">
        <v>1648</v>
      </c>
      <c r="I415" s="0" t="n">
        <v>1125868</v>
      </c>
      <c r="J415" s="0" t="s">
        <v>2005</v>
      </c>
      <c r="M415" s="0" t="s">
        <v>1514</v>
      </c>
      <c r="N415" s="0" t="s">
        <v>85</v>
      </c>
      <c r="Q415" s="0" t="n">
        <v>1</v>
      </c>
      <c r="R415" s="0" t="s">
        <v>2169</v>
      </c>
      <c r="U415" s="0" t="s">
        <v>2043</v>
      </c>
      <c r="V415" s="0" t="s">
        <v>2043</v>
      </c>
      <c r="Y415" s="0" t="s">
        <v>1651</v>
      </c>
      <c r="Z415" s="0" t="s">
        <v>1652</v>
      </c>
      <c r="AA415" s="0" t="s">
        <v>2170</v>
      </c>
      <c r="AC415" s="0" t="s">
        <v>1654</v>
      </c>
    </row>
    <row r="416" customFormat="false" ht="15" hidden="false" customHeight="false" outlineLevel="0" collapsed="false">
      <c r="A416" s="0" t="s">
        <v>2187</v>
      </c>
      <c r="B416" s="0" t="s">
        <v>83</v>
      </c>
      <c r="C416" s="0" t="s">
        <v>2168</v>
      </c>
      <c r="D416" s="0" t="n">
        <v>2016</v>
      </c>
      <c r="E416" s="0" t="s">
        <v>266</v>
      </c>
      <c r="F416" s="0" t="n">
        <v>9.1</v>
      </c>
      <c r="G416" s="0" t="s">
        <v>1723</v>
      </c>
      <c r="I416" s="0" t="n">
        <v>9.1</v>
      </c>
      <c r="J416" s="0" t="s">
        <v>2005</v>
      </c>
      <c r="M416" s="0" t="s">
        <v>1514</v>
      </c>
      <c r="N416" s="0" t="s">
        <v>85</v>
      </c>
      <c r="Q416" s="0" t="n">
        <v>1</v>
      </c>
      <c r="R416" s="0" t="s">
        <v>2169</v>
      </c>
      <c r="U416" s="0" t="s">
        <v>2043</v>
      </c>
      <c r="V416" s="0" t="s">
        <v>2043</v>
      </c>
      <c r="Y416" s="0" t="s">
        <v>1651</v>
      </c>
      <c r="Z416" s="0" t="s">
        <v>1652</v>
      </c>
      <c r="AA416" s="0" t="s">
        <v>2170</v>
      </c>
      <c r="AC416" s="0" t="s">
        <v>1654</v>
      </c>
    </row>
    <row r="417" customFormat="false" ht="15" hidden="false" customHeight="false" outlineLevel="0" collapsed="false">
      <c r="A417" s="0" t="s">
        <v>2188</v>
      </c>
      <c r="B417" s="0" t="s">
        <v>154</v>
      </c>
      <c r="C417" s="0" t="s">
        <v>1862</v>
      </c>
      <c r="D417" s="0" t="n">
        <v>2018</v>
      </c>
      <c r="E417" s="0" t="s">
        <v>2189</v>
      </c>
      <c r="F417" s="0" t="n">
        <v>-2877639</v>
      </c>
      <c r="G417" s="0" t="s">
        <v>1647</v>
      </c>
      <c r="H417" s="0" t="s">
        <v>1648</v>
      </c>
      <c r="I417" s="0" t="n">
        <v>-2877.639</v>
      </c>
      <c r="J417" s="0" t="s">
        <v>2005</v>
      </c>
      <c r="M417" s="0" t="s">
        <v>1567</v>
      </c>
      <c r="N417" s="0" t="s">
        <v>158</v>
      </c>
      <c r="Q417" s="0" t="n">
        <v>56</v>
      </c>
      <c r="R417" s="0" t="n">
        <v>54</v>
      </c>
      <c r="U417" s="0" t="s">
        <v>2190</v>
      </c>
      <c r="V417" s="0" t="s">
        <v>2190</v>
      </c>
      <c r="Y417" s="0" t="s">
        <v>1651</v>
      </c>
      <c r="Z417" s="0" t="s">
        <v>1652</v>
      </c>
      <c r="AA417" s="0" t="s">
        <v>2191</v>
      </c>
      <c r="AC417" s="0" t="s">
        <v>1654</v>
      </c>
    </row>
    <row r="418" customFormat="false" ht="15" hidden="false" customHeight="false" outlineLevel="0" collapsed="false">
      <c r="A418" s="0" t="s">
        <v>2192</v>
      </c>
      <c r="B418" s="0" t="s">
        <v>154</v>
      </c>
      <c r="C418" s="0" t="s">
        <v>1862</v>
      </c>
      <c r="D418" s="0" t="n">
        <v>2018</v>
      </c>
      <c r="E418" s="0" t="s">
        <v>2193</v>
      </c>
      <c r="F418" s="0" t="n">
        <v>824918</v>
      </c>
      <c r="G418" s="0" t="s">
        <v>1647</v>
      </c>
      <c r="H418" s="0" t="s">
        <v>1648</v>
      </c>
      <c r="I418" s="0" t="n">
        <v>824.918</v>
      </c>
      <c r="J418" s="0" t="s">
        <v>2005</v>
      </c>
      <c r="M418" s="0" t="s">
        <v>1567</v>
      </c>
      <c r="N418" s="0" t="s">
        <v>158</v>
      </c>
      <c r="Q418" s="0" t="n">
        <v>56</v>
      </c>
      <c r="R418" s="0" t="n">
        <v>54</v>
      </c>
      <c r="U418" s="0" t="s">
        <v>2190</v>
      </c>
      <c r="V418" s="0" t="s">
        <v>2190</v>
      </c>
      <c r="Y418" s="0" t="s">
        <v>1651</v>
      </c>
      <c r="Z418" s="0" t="s">
        <v>1652</v>
      </c>
      <c r="AA418" s="0" t="s">
        <v>2194</v>
      </c>
      <c r="AC418" s="0" t="s">
        <v>1654</v>
      </c>
    </row>
    <row r="419" customFormat="false" ht="15" hidden="false" customHeight="false" outlineLevel="0" collapsed="false">
      <c r="A419" s="0" t="s">
        <v>2195</v>
      </c>
      <c r="B419" s="0" t="s">
        <v>154</v>
      </c>
      <c r="C419" s="0" t="s">
        <v>1862</v>
      </c>
      <c r="D419" s="0" t="n">
        <v>2018</v>
      </c>
      <c r="E419" s="0" t="s">
        <v>2196</v>
      </c>
      <c r="F419" s="0" t="n">
        <v>47639419</v>
      </c>
      <c r="G419" s="0" t="s">
        <v>1647</v>
      </c>
      <c r="H419" s="0" t="s">
        <v>1648</v>
      </c>
      <c r="I419" s="0" t="n">
        <v>47639.419</v>
      </c>
      <c r="J419" s="0" t="s">
        <v>2005</v>
      </c>
      <c r="M419" s="0" t="s">
        <v>1567</v>
      </c>
      <c r="N419" s="0" t="s">
        <v>158</v>
      </c>
      <c r="Q419" s="0" t="n">
        <v>56</v>
      </c>
      <c r="R419" s="0" t="n">
        <v>54</v>
      </c>
      <c r="U419" s="0" t="s">
        <v>2190</v>
      </c>
      <c r="V419" s="0" t="s">
        <v>2190</v>
      </c>
      <c r="Y419" s="0" t="s">
        <v>1651</v>
      </c>
      <c r="Z419" s="0" t="s">
        <v>1652</v>
      </c>
      <c r="AA419" s="0" t="s">
        <v>2197</v>
      </c>
      <c r="AC419" s="0" t="s">
        <v>1654</v>
      </c>
    </row>
    <row r="420" customFormat="false" ht="15" hidden="false" customHeight="false" outlineLevel="0" collapsed="false">
      <c r="A420" s="0" t="s">
        <v>2198</v>
      </c>
      <c r="B420" s="0" t="s">
        <v>154</v>
      </c>
      <c r="C420" s="0" t="s">
        <v>1862</v>
      </c>
      <c r="D420" s="0" t="n">
        <v>2018</v>
      </c>
      <c r="E420" s="0" t="s">
        <v>2199</v>
      </c>
      <c r="F420" s="0" t="n">
        <v>2633426</v>
      </c>
      <c r="G420" s="0" t="s">
        <v>1647</v>
      </c>
      <c r="H420" s="0" t="s">
        <v>1648</v>
      </c>
      <c r="I420" s="0" t="n">
        <v>2633.426</v>
      </c>
      <c r="J420" s="0" t="s">
        <v>2005</v>
      </c>
      <c r="M420" s="0" t="s">
        <v>1567</v>
      </c>
      <c r="N420" s="0" t="s">
        <v>158</v>
      </c>
      <c r="Q420" s="0" t="n">
        <v>120</v>
      </c>
      <c r="R420" s="0" t="n">
        <v>118</v>
      </c>
      <c r="U420" s="0" t="s">
        <v>2190</v>
      </c>
      <c r="V420" s="0" t="s">
        <v>2190</v>
      </c>
      <c r="Y420" s="0" t="s">
        <v>1651</v>
      </c>
      <c r="Z420" s="0" t="s">
        <v>1652</v>
      </c>
      <c r="AA420" s="0" t="s">
        <v>2200</v>
      </c>
      <c r="AC420" s="0" t="s">
        <v>1654</v>
      </c>
    </row>
    <row r="421" customFormat="false" ht="15" hidden="false" customHeight="false" outlineLevel="0" collapsed="false">
      <c r="A421" s="0" t="s">
        <v>2201</v>
      </c>
      <c r="B421" s="0" t="s">
        <v>154</v>
      </c>
      <c r="C421" s="0" t="s">
        <v>1862</v>
      </c>
      <c r="D421" s="0" t="n">
        <v>2018</v>
      </c>
      <c r="E421" s="0" t="s">
        <v>2202</v>
      </c>
      <c r="F421" s="0" t="n">
        <v>241936</v>
      </c>
      <c r="G421" s="0" t="s">
        <v>1647</v>
      </c>
      <c r="H421" s="0" t="s">
        <v>1648</v>
      </c>
      <c r="I421" s="0" t="n">
        <v>241.936</v>
      </c>
      <c r="J421" s="0" t="s">
        <v>2005</v>
      </c>
      <c r="M421" s="0" t="s">
        <v>1567</v>
      </c>
      <c r="N421" s="0" t="s">
        <v>158</v>
      </c>
      <c r="Q421" s="0" t="n">
        <v>120</v>
      </c>
      <c r="R421" s="0" t="n">
        <v>118</v>
      </c>
      <c r="U421" s="0" t="s">
        <v>2190</v>
      </c>
      <c r="V421" s="0" t="s">
        <v>2190</v>
      </c>
      <c r="Y421" s="0" t="s">
        <v>1651</v>
      </c>
      <c r="Z421" s="0" t="s">
        <v>1652</v>
      </c>
      <c r="AA421" s="0" t="s">
        <v>2203</v>
      </c>
      <c r="AC421" s="0" t="s">
        <v>1654</v>
      </c>
    </row>
    <row r="422" customFormat="false" ht="15" hidden="false" customHeight="false" outlineLevel="0" collapsed="false">
      <c r="A422" s="0" t="s">
        <v>2204</v>
      </c>
      <c r="B422" s="0" t="s">
        <v>154</v>
      </c>
      <c r="C422" s="0" t="s">
        <v>1862</v>
      </c>
      <c r="D422" s="0" t="n">
        <v>2018</v>
      </c>
      <c r="E422" s="0" t="s">
        <v>2205</v>
      </c>
      <c r="F422" s="0" t="n">
        <v>2277</v>
      </c>
      <c r="G422" s="0" t="s">
        <v>1647</v>
      </c>
      <c r="H422" s="0" t="s">
        <v>1648</v>
      </c>
      <c r="I422" s="0" t="n">
        <v>2.277</v>
      </c>
      <c r="J422" s="0" t="s">
        <v>2005</v>
      </c>
      <c r="M422" s="0" t="s">
        <v>1567</v>
      </c>
      <c r="N422" s="0" t="s">
        <v>158</v>
      </c>
      <c r="Q422" s="0" t="n">
        <v>120</v>
      </c>
      <c r="R422" s="0" t="n">
        <v>118</v>
      </c>
      <c r="U422" s="0" t="s">
        <v>2190</v>
      </c>
      <c r="V422" s="0" t="s">
        <v>2190</v>
      </c>
      <c r="Y422" s="0" t="s">
        <v>1651</v>
      </c>
      <c r="Z422" s="0" t="s">
        <v>1652</v>
      </c>
      <c r="AA422" s="0" t="s">
        <v>2206</v>
      </c>
      <c r="AC422" s="0" t="s">
        <v>1654</v>
      </c>
    </row>
    <row r="423" customFormat="false" ht="15" hidden="false" customHeight="false" outlineLevel="0" collapsed="false">
      <c r="A423" s="0" t="s">
        <v>2207</v>
      </c>
      <c r="B423" s="0" t="s">
        <v>154</v>
      </c>
      <c r="C423" s="0" t="s">
        <v>1862</v>
      </c>
      <c r="D423" s="0" t="n">
        <v>2018</v>
      </c>
      <c r="E423" s="0" t="s">
        <v>2208</v>
      </c>
      <c r="F423" s="0" t="n">
        <v>5846943</v>
      </c>
      <c r="G423" s="0" t="s">
        <v>1647</v>
      </c>
      <c r="H423" s="0" t="s">
        <v>1648</v>
      </c>
      <c r="I423" s="0" t="n">
        <v>5846.943</v>
      </c>
      <c r="J423" s="0" t="s">
        <v>2005</v>
      </c>
      <c r="M423" s="0" t="s">
        <v>1567</v>
      </c>
      <c r="N423" s="0" t="s">
        <v>158</v>
      </c>
      <c r="Q423" s="0" t="n">
        <v>56</v>
      </c>
      <c r="R423" s="0" t="n">
        <v>54</v>
      </c>
      <c r="U423" s="0" t="s">
        <v>2190</v>
      </c>
      <c r="V423" s="0" t="s">
        <v>2190</v>
      </c>
      <c r="Y423" s="0" t="s">
        <v>1651</v>
      </c>
      <c r="Z423" s="0" t="s">
        <v>1652</v>
      </c>
      <c r="AA423" s="0" t="s">
        <v>2209</v>
      </c>
      <c r="AC423" s="0" t="s">
        <v>1654</v>
      </c>
    </row>
    <row r="424" customFormat="false" ht="15" hidden="false" customHeight="false" outlineLevel="0" collapsed="false">
      <c r="A424" s="0" t="s">
        <v>2210</v>
      </c>
      <c r="B424" s="0" t="s">
        <v>154</v>
      </c>
      <c r="C424" s="0" t="s">
        <v>1862</v>
      </c>
      <c r="D424" s="0" t="n">
        <v>2018</v>
      </c>
      <c r="E424" s="0" t="s">
        <v>2211</v>
      </c>
      <c r="F424" s="0" t="n">
        <v>2969304</v>
      </c>
      <c r="G424" s="0" t="s">
        <v>1647</v>
      </c>
      <c r="H424" s="0" t="s">
        <v>1648</v>
      </c>
      <c r="I424" s="0" t="n">
        <v>2969.304</v>
      </c>
      <c r="J424" s="0" t="s">
        <v>2005</v>
      </c>
      <c r="M424" s="0" t="s">
        <v>1567</v>
      </c>
      <c r="N424" s="0" t="s">
        <v>158</v>
      </c>
      <c r="Q424" s="0" t="n">
        <v>56</v>
      </c>
      <c r="R424" s="0" t="n">
        <v>54</v>
      </c>
      <c r="U424" s="0" t="s">
        <v>2190</v>
      </c>
      <c r="V424" s="0" t="s">
        <v>2190</v>
      </c>
      <c r="Y424" s="0" t="s">
        <v>1651</v>
      </c>
      <c r="Z424" s="0" t="s">
        <v>1652</v>
      </c>
      <c r="AA424" s="0" t="s">
        <v>2212</v>
      </c>
      <c r="AC424" s="0" t="s">
        <v>1654</v>
      </c>
    </row>
    <row r="425" customFormat="false" ht="15" hidden="false" customHeight="false" outlineLevel="0" collapsed="false">
      <c r="A425" s="0" t="s">
        <v>2213</v>
      </c>
      <c r="B425" s="0" t="s">
        <v>154</v>
      </c>
      <c r="C425" s="0" t="s">
        <v>1862</v>
      </c>
      <c r="D425" s="0" t="n">
        <v>2018</v>
      </c>
      <c r="E425" s="0" t="s">
        <v>2214</v>
      </c>
      <c r="F425" s="0" t="n">
        <v>200</v>
      </c>
      <c r="G425" s="0" t="s">
        <v>1647</v>
      </c>
      <c r="H425" s="0" t="s">
        <v>1648</v>
      </c>
      <c r="I425" s="0" t="n">
        <v>0.2</v>
      </c>
      <c r="J425" s="0" t="s">
        <v>2005</v>
      </c>
      <c r="M425" s="0" t="s">
        <v>1567</v>
      </c>
      <c r="N425" s="0" t="s">
        <v>158</v>
      </c>
      <c r="Q425" s="0" t="n">
        <v>56</v>
      </c>
      <c r="R425" s="0" t="n">
        <v>54</v>
      </c>
      <c r="U425" s="0" t="s">
        <v>2190</v>
      </c>
      <c r="V425" s="0" t="s">
        <v>2190</v>
      </c>
      <c r="Y425" s="0" t="s">
        <v>1651</v>
      </c>
      <c r="Z425" s="0" t="s">
        <v>1652</v>
      </c>
      <c r="AA425" s="0" t="s">
        <v>2215</v>
      </c>
      <c r="AC425" s="0" t="s">
        <v>1654</v>
      </c>
    </row>
    <row r="426" customFormat="false" ht="15" hidden="false" customHeight="false" outlineLevel="0" collapsed="false">
      <c r="A426" s="0" t="s">
        <v>2216</v>
      </c>
      <c r="B426" s="0" t="s">
        <v>152</v>
      </c>
      <c r="C426" s="0" t="s">
        <v>1936</v>
      </c>
      <c r="D426" s="0" t="n">
        <v>2019</v>
      </c>
      <c r="E426" s="0" t="s">
        <v>2217</v>
      </c>
      <c r="F426" s="0" t="n">
        <v>1</v>
      </c>
      <c r="G426" s="0" t="s">
        <v>1913</v>
      </c>
      <c r="I426" s="0" t="n">
        <v>1</v>
      </c>
      <c r="J426" s="0" t="s">
        <v>2005</v>
      </c>
      <c r="M426" s="0" t="s">
        <v>1559</v>
      </c>
      <c r="N426" s="0" t="s">
        <v>153</v>
      </c>
      <c r="Q426" s="0" t="n">
        <v>18</v>
      </c>
      <c r="R426" s="0" t="n">
        <v>16</v>
      </c>
      <c r="U426" s="0" t="s">
        <v>2218</v>
      </c>
      <c r="V426" s="0" t="s">
        <v>2218</v>
      </c>
      <c r="Y426" s="0" t="s">
        <v>1651</v>
      </c>
      <c r="Z426" s="0" t="s">
        <v>1652</v>
      </c>
      <c r="AA426" s="0" t="s">
        <v>2219</v>
      </c>
      <c r="AC426" s="0" t="s">
        <v>1654</v>
      </c>
    </row>
    <row r="427" customFormat="false" ht="15" hidden="false" customHeight="false" outlineLevel="0" collapsed="false">
      <c r="A427" s="0" t="s">
        <v>2220</v>
      </c>
      <c r="B427" s="0" t="s">
        <v>129</v>
      </c>
      <c r="C427" s="0" t="s">
        <v>1678</v>
      </c>
      <c r="D427" s="0" t="n">
        <v>2018</v>
      </c>
      <c r="E427" s="0" t="s">
        <v>54</v>
      </c>
      <c r="F427" s="0" t="n">
        <v>41047</v>
      </c>
      <c r="G427" s="0" t="s">
        <v>1681</v>
      </c>
      <c r="H427" s="0" t="s">
        <v>1648</v>
      </c>
      <c r="I427" s="0" t="n">
        <v>41047</v>
      </c>
      <c r="J427" s="0" t="s">
        <v>2221</v>
      </c>
      <c r="M427" s="0" t="s">
        <v>1539</v>
      </c>
      <c r="N427" s="0" t="s">
        <v>135</v>
      </c>
      <c r="Q427" s="0" t="n">
        <v>74</v>
      </c>
      <c r="R427" s="0" t="n">
        <v>74</v>
      </c>
      <c r="U427" s="0" t="s">
        <v>2222</v>
      </c>
      <c r="V427" s="0" t="s">
        <v>2222</v>
      </c>
      <c r="Y427" s="0" t="s">
        <v>1651</v>
      </c>
      <c r="Z427" s="0" t="s">
        <v>1652</v>
      </c>
      <c r="AA427" s="0" t="s">
        <v>2223</v>
      </c>
      <c r="AC427" s="0" t="s">
        <v>2224</v>
      </c>
    </row>
    <row r="428" customFormat="false" ht="15" hidden="false" customHeight="false" outlineLevel="0" collapsed="false">
      <c r="A428" s="0" t="s">
        <v>2225</v>
      </c>
      <c r="B428" s="0" t="s">
        <v>129</v>
      </c>
      <c r="C428" s="0" t="s">
        <v>1678</v>
      </c>
      <c r="D428" s="0" t="n">
        <v>2018</v>
      </c>
      <c r="E428" s="0" t="s">
        <v>402</v>
      </c>
      <c r="F428" s="0" t="n">
        <v>55350</v>
      </c>
      <c r="G428" s="0" t="s">
        <v>1681</v>
      </c>
      <c r="H428" s="0" t="s">
        <v>1648</v>
      </c>
      <c r="I428" s="0" t="n">
        <v>55350</v>
      </c>
      <c r="J428" s="0" t="s">
        <v>2221</v>
      </c>
      <c r="M428" s="0" t="s">
        <v>1539</v>
      </c>
      <c r="N428" s="0" t="s">
        <v>135</v>
      </c>
      <c r="Q428" s="0" t="n">
        <v>74</v>
      </c>
      <c r="R428" s="0" t="n">
        <v>74</v>
      </c>
      <c r="U428" s="0" t="s">
        <v>2222</v>
      </c>
      <c r="V428" s="0" t="s">
        <v>2222</v>
      </c>
      <c r="Y428" s="0" t="s">
        <v>1651</v>
      </c>
      <c r="Z428" s="0" t="s">
        <v>1652</v>
      </c>
      <c r="AA428" s="0" t="s">
        <v>2223</v>
      </c>
      <c r="AC428" s="0" t="s">
        <v>2224</v>
      </c>
    </row>
    <row r="429" customFormat="false" ht="15" hidden="false" customHeight="false" outlineLevel="0" collapsed="false">
      <c r="A429" s="0" t="s">
        <v>2226</v>
      </c>
      <c r="B429" s="0" t="s">
        <v>129</v>
      </c>
      <c r="C429" s="0" t="s">
        <v>1678</v>
      </c>
      <c r="D429" s="0" t="n">
        <v>2018</v>
      </c>
      <c r="E429" s="0" t="s">
        <v>63</v>
      </c>
      <c r="F429" s="0" t="n">
        <v>4257</v>
      </c>
      <c r="G429" s="0" t="s">
        <v>1681</v>
      </c>
      <c r="H429" s="0" t="s">
        <v>1648</v>
      </c>
      <c r="I429" s="0" t="n">
        <v>4257</v>
      </c>
      <c r="J429" s="0" t="s">
        <v>2221</v>
      </c>
      <c r="M429" s="0" t="s">
        <v>1539</v>
      </c>
      <c r="N429" s="0" t="s">
        <v>135</v>
      </c>
      <c r="Q429" s="0" t="n">
        <v>74</v>
      </c>
      <c r="R429" s="0" t="n">
        <v>74</v>
      </c>
      <c r="U429" s="0" t="s">
        <v>2222</v>
      </c>
      <c r="V429" s="0" t="s">
        <v>2222</v>
      </c>
      <c r="Y429" s="0" t="s">
        <v>1651</v>
      </c>
      <c r="Z429" s="0" t="s">
        <v>1652</v>
      </c>
      <c r="AA429" s="0" t="s">
        <v>2223</v>
      </c>
      <c r="AC429" s="0" t="s">
        <v>2224</v>
      </c>
    </row>
    <row r="430" customFormat="false" ht="15" hidden="false" customHeight="false" outlineLevel="0" collapsed="false">
      <c r="A430" s="0" t="s">
        <v>2227</v>
      </c>
      <c r="B430" s="0" t="s">
        <v>129</v>
      </c>
      <c r="C430" s="0" t="s">
        <v>1678</v>
      </c>
      <c r="D430" s="0" t="n">
        <v>2017</v>
      </c>
      <c r="E430" s="0" t="s">
        <v>54</v>
      </c>
      <c r="F430" s="0" t="n">
        <v>41396</v>
      </c>
      <c r="G430" s="0" t="s">
        <v>1681</v>
      </c>
      <c r="H430" s="0" t="s">
        <v>1648</v>
      </c>
      <c r="I430" s="0" t="n">
        <v>41396</v>
      </c>
      <c r="J430" s="0" t="s">
        <v>2221</v>
      </c>
      <c r="M430" s="0" t="s">
        <v>1539</v>
      </c>
      <c r="N430" s="0" t="s">
        <v>135</v>
      </c>
      <c r="Q430" s="0" t="n">
        <v>74</v>
      </c>
      <c r="R430" s="0" t="n">
        <v>74</v>
      </c>
      <c r="U430" s="0" t="s">
        <v>2228</v>
      </c>
      <c r="V430" s="0" t="s">
        <v>2228</v>
      </c>
      <c r="Y430" s="0" t="s">
        <v>1651</v>
      </c>
      <c r="Z430" s="0" t="s">
        <v>1652</v>
      </c>
      <c r="AA430" s="0" t="s">
        <v>2229</v>
      </c>
      <c r="AC430" s="0" t="s">
        <v>2224</v>
      </c>
    </row>
    <row r="431" customFormat="false" ht="15" hidden="false" customHeight="false" outlineLevel="0" collapsed="false">
      <c r="A431" s="0" t="s">
        <v>2230</v>
      </c>
      <c r="B431" s="0" t="s">
        <v>129</v>
      </c>
      <c r="C431" s="0" t="s">
        <v>1678</v>
      </c>
      <c r="D431" s="0" t="n">
        <v>2017</v>
      </c>
      <c r="E431" s="0" t="s">
        <v>402</v>
      </c>
      <c r="F431" s="0" t="n">
        <v>52795</v>
      </c>
      <c r="G431" s="0" t="s">
        <v>1681</v>
      </c>
      <c r="H431" s="0" t="s">
        <v>1648</v>
      </c>
      <c r="I431" s="0" t="n">
        <v>52795</v>
      </c>
      <c r="J431" s="0" t="s">
        <v>2221</v>
      </c>
      <c r="M431" s="0" t="s">
        <v>1539</v>
      </c>
      <c r="N431" s="0" t="s">
        <v>135</v>
      </c>
      <c r="Q431" s="0" t="n">
        <v>74</v>
      </c>
      <c r="R431" s="0" t="n">
        <v>74</v>
      </c>
      <c r="U431" s="0" t="s">
        <v>2228</v>
      </c>
      <c r="V431" s="0" t="s">
        <v>2228</v>
      </c>
      <c r="Y431" s="0" t="s">
        <v>1651</v>
      </c>
      <c r="Z431" s="0" t="s">
        <v>1652</v>
      </c>
      <c r="AA431" s="0" t="s">
        <v>2229</v>
      </c>
      <c r="AC431" s="0" t="s">
        <v>2224</v>
      </c>
    </row>
    <row r="432" customFormat="false" ht="15" hidden="false" customHeight="false" outlineLevel="0" collapsed="false">
      <c r="A432" s="0" t="s">
        <v>2231</v>
      </c>
      <c r="B432" s="0" t="s">
        <v>129</v>
      </c>
      <c r="C432" s="0" t="s">
        <v>1678</v>
      </c>
      <c r="D432" s="0" t="n">
        <v>2017</v>
      </c>
      <c r="E432" s="0" t="s">
        <v>63</v>
      </c>
      <c r="F432" s="0" t="n">
        <v>30433</v>
      </c>
      <c r="G432" s="0" t="s">
        <v>1681</v>
      </c>
      <c r="H432" s="0" t="s">
        <v>1648</v>
      </c>
      <c r="I432" s="0" t="n">
        <v>30433</v>
      </c>
      <c r="J432" s="0" t="s">
        <v>2221</v>
      </c>
      <c r="M432" s="0" t="s">
        <v>1539</v>
      </c>
      <c r="N432" s="0" t="s">
        <v>135</v>
      </c>
      <c r="Q432" s="0" t="n">
        <v>74</v>
      </c>
      <c r="R432" s="0" t="n">
        <v>74</v>
      </c>
      <c r="U432" s="0" t="s">
        <v>2228</v>
      </c>
      <c r="V432" s="0" t="s">
        <v>2228</v>
      </c>
      <c r="Y432" s="0" t="s">
        <v>1651</v>
      </c>
      <c r="Z432" s="0" t="s">
        <v>1652</v>
      </c>
      <c r="AA432" s="0" t="s">
        <v>2229</v>
      </c>
      <c r="AC432" s="0" t="s">
        <v>2224</v>
      </c>
    </row>
    <row r="433" customFormat="false" ht="15" hidden="false" customHeight="false" outlineLevel="0" collapsed="false">
      <c r="A433" s="0" t="s">
        <v>2232</v>
      </c>
      <c r="B433" s="0" t="s">
        <v>129</v>
      </c>
      <c r="C433" s="0" t="s">
        <v>1678</v>
      </c>
      <c r="D433" s="0" t="n">
        <v>2018</v>
      </c>
      <c r="E433" s="0" t="s">
        <v>55</v>
      </c>
      <c r="F433" s="0" t="n">
        <v>3591305</v>
      </c>
      <c r="G433" s="0" t="s">
        <v>1681</v>
      </c>
      <c r="H433" s="0" t="s">
        <v>1648</v>
      </c>
      <c r="I433" s="0" t="n">
        <v>3591305</v>
      </c>
      <c r="J433" s="0" t="s">
        <v>2221</v>
      </c>
      <c r="M433" s="0" t="s">
        <v>1539</v>
      </c>
      <c r="N433" s="0" t="s">
        <v>135</v>
      </c>
      <c r="Q433" s="0" t="n">
        <v>75</v>
      </c>
      <c r="R433" s="0" t="n">
        <v>75</v>
      </c>
      <c r="U433" s="0" t="s">
        <v>2222</v>
      </c>
      <c r="V433" s="0" t="s">
        <v>2222</v>
      </c>
      <c r="Y433" s="0" t="s">
        <v>1651</v>
      </c>
      <c r="Z433" s="0" t="s">
        <v>1652</v>
      </c>
      <c r="AA433" s="0" t="s">
        <v>2233</v>
      </c>
      <c r="AC433" s="0" t="s">
        <v>2224</v>
      </c>
    </row>
    <row r="434" customFormat="false" ht="15" hidden="false" customHeight="false" outlineLevel="0" collapsed="false">
      <c r="A434" s="0" t="s">
        <v>2234</v>
      </c>
      <c r="B434" s="0" t="s">
        <v>129</v>
      </c>
      <c r="C434" s="0" t="s">
        <v>1678</v>
      </c>
      <c r="D434" s="0" t="n">
        <v>2018</v>
      </c>
      <c r="E434" s="0" t="s">
        <v>56</v>
      </c>
      <c r="F434" s="0" t="n">
        <v>3226707</v>
      </c>
      <c r="G434" s="0" t="s">
        <v>1681</v>
      </c>
      <c r="H434" s="0" t="s">
        <v>1648</v>
      </c>
      <c r="I434" s="0" t="n">
        <v>3226707</v>
      </c>
      <c r="J434" s="0" t="s">
        <v>2221</v>
      </c>
      <c r="M434" s="0" t="s">
        <v>1539</v>
      </c>
      <c r="N434" s="0" t="s">
        <v>135</v>
      </c>
      <c r="Q434" s="0" t="n">
        <v>75</v>
      </c>
      <c r="R434" s="0" t="n">
        <v>75</v>
      </c>
      <c r="U434" s="0" t="s">
        <v>2222</v>
      </c>
      <c r="V434" s="0" t="s">
        <v>2222</v>
      </c>
      <c r="Y434" s="0" t="s">
        <v>1651</v>
      </c>
      <c r="Z434" s="0" t="s">
        <v>1652</v>
      </c>
      <c r="AA434" s="0" t="s">
        <v>2233</v>
      </c>
      <c r="AC434" s="0" t="s">
        <v>2224</v>
      </c>
    </row>
    <row r="435" customFormat="false" ht="15" hidden="false" customHeight="false" outlineLevel="0" collapsed="false">
      <c r="A435" s="0" t="s">
        <v>2235</v>
      </c>
      <c r="B435" s="0" t="s">
        <v>129</v>
      </c>
      <c r="C435" s="0" t="s">
        <v>1678</v>
      </c>
      <c r="D435" s="0" t="n">
        <v>2018</v>
      </c>
      <c r="E435" s="0" t="s">
        <v>57</v>
      </c>
      <c r="F435" s="0" t="n">
        <v>364598</v>
      </c>
      <c r="G435" s="0" t="s">
        <v>1681</v>
      </c>
      <c r="H435" s="0" t="s">
        <v>1648</v>
      </c>
      <c r="I435" s="0" t="n">
        <v>364598</v>
      </c>
      <c r="J435" s="0" t="s">
        <v>2221</v>
      </c>
      <c r="M435" s="0" t="s">
        <v>1539</v>
      </c>
      <c r="N435" s="0" t="s">
        <v>135</v>
      </c>
      <c r="Q435" s="0" t="n">
        <v>75</v>
      </c>
      <c r="R435" s="0" t="n">
        <v>75</v>
      </c>
      <c r="U435" s="0" t="s">
        <v>2222</v>
      </c>
      <c r="V435" s="0" t="s">
        <v>2222</v>
      </c>
      <c r="Y435" s="0" t="s">
        <v>1651</v>
      </c>
      <c r="Z435" s="0" t="s">
        <v>1652</v>
      </c>
      <c r="AA435" s="0" t="s">
        <v>2233</v>
      </c>
      <c r="AC435" s="0" t="s">
        <v>2224</v>
      </c>
    </row>
    <row r="436" customFormat="false" ht="15" hidden="false" customHeight="false" outlineLevel="0" collapsed="false">
      <c r="A436" s="0" t="s">
        <v>2236</v>
      </c>
      <c r="B436" s="0" t="s">
        <v>129</v>
      </c>
      <c r="C436" s="0" t="s">
        <v>1678</v>
      </c>
      <c r="D436" s="0" t="n">
        <v>2018</v>
      </c>
      <c r="E436" s="0" t="s">
        <v>62</v>
      </c>
      <c r="F436" s="0" t="n">
        <v>1213801</v>
      </c>
      <c r="G436" s="0" t="s">
        <v>1681</v>
      </c>
      <c r="H436" s="0" t="s">
        <v>1648</v>
      </c>
      <c r="I436" s="0" t="n">
        <v>1213801</v>
      </c>
      <c r="J436" s="0" t="s">
        <v>2221</v>
      </c>
      <c r="M436" s="0" t="s">
        <v>1539</v>
      </c>
      <c r="N436" s="0" t="s">
        <v>135</v>
      </c>
      <c r="Q436" s="0" t="n">
        <v>75</v>
      </c>
      <c r="R436" s="0" t="n">
        <v>75</v>
      </c>
      <c r="U436" s="0" t="s">
        <v>2222</v>
      </c>
      <c r="V436" s="0" t="s">
        <v>2222</v>
      </c>
      <c r="Y436" s="0" t="s">
        <v>1651</v>
      </c>
      <c r="Z436" s="0" t="s">
        <v>1652</v>
      </c>
      <c r="AA436" s="0" t="s">
        <v>2233</v>
      </c>
      <c r="AC436" s="0" t="s">
        <v>2224</v>
      </c>
    </row>
    <row r="437" customFormat="false" ht="15" hidden="false" customHeight="false" outlineLevel="0" collapsed="false">
      <c r="A437" s="0" t="s">
        <v>2237</v>
      </c>
      <c r="B437" s="0" t="s">
        <v>129</v>
      </c>
      <c r="C437" s="0" t="s">
        <v>1678</v>
      </c>
      <c r="D437" s="0" t="n">
        <v>2017</v>
      </c>
      <c r="E437" s="0" t="s">
        <v>55</v>
      </c>
      <c r="F437" s="0" t="n">
        <v>2931826</v>
      </c>
      <c r="G437" s="0" t="s">
        <v>1681</v>
      </c>
      <c r="H437" s="0" t="s">
        <v>1648</v>
      </c>
      <c r="I437" s="0" t="n">
        <v>2931826</v>
      </c>
      <c r="J437" s="0" t="s">
        <v>2221</v>
      </c>
      <c r="M437" s="0" t="s">
        <v>1539</v>
      </c>
      <c r="N437" s="0" t="s">
        <v>135</v>
      </c>
      <c r="Q437" s="0" t="n">
        <v>75</v>
      </c>
      <c r="R437" s="0" t="n">
        <v>75</v>
      </c>
      <c r="U437" s="0" t="s">
        <v>2228</v>
      </c>
      <c r="V437" s="0" t="s">
        <v>2228</v>
      </c>
      <c r="Y437" s="0" t="s">
        <v>1651</v>
      </c>
      <c r="Z437" s="0" t="s">
        <v>1652</v>
      </c>
      <c r="AA437" s="0" t="s">
        <v>2238</v>
      </c>
      <c r="AC437" s="0" t="s">
        <v>2224</v>
      </c>
    </row>
    <row r="438" customFormat="false" ht="15" hidden="false" customHeight="false" outlineLevel="0" collapsed="false">
      <c r="A438" s="0" t="s">
        <v>2239</v>
      </c>
      <c r="B438" s="0" t="s">
        <v>129</v>
      </c>
      <c r="C438" s="0" t="s">
        <v>1678</v>
      </c>
      <c r="D438" s="0" t="n">
        <v>2017</v>
      </c>
      <c r="E438" s="0" t="s">
        <v>56</v>
      </c>
      <c r="F438" s="0" t="n">
        <v>2530966</v>
      </c>
      <c r="G438" s="0" t="s">
        <v>1681</v>
      </c>
      <c r="H438" s="0" t="s">
        <v>1648</v>
      </c>
      <c r="I438" s="0" t="n">
        <v>2530966</v>
      </c>
      <c r="J438" s="0" t="s">
        <v>2221</v>
      </c>
      <c r="M438" s="0" t="s">
        <v>1539</v>
      </c>
      <c r="N438" s="0" t="s">
        <v>135</v>
      </c>
      <c r="Q438" s="0" t="n">
        <v>75</v>
      </c>
      <c r="R438" s="0" t="n">
        <v>75</v>
      </c>
      <c r="U438" s="0" t="s">
        <v>2228</v>
      </c>
      <c r="V438" s="0" t="s">
        <v>2228</v>
      </c>
      <c r="Y438" s="0" t="s">
        <v>1651</v>
      </c>
      <c r="Z438" s="0" t="s">
        <v>1652</v>
      </c>
      <c r="AA438" s="0" t="s">
        <v>2238</v>
      </c>
      <c r="AC438" s="0" t="s">
        <v>2224</v>
      </c>
    </row>
    <row r="439" customFormat="false" ht="15" hidden="false" customHeight="false" outlineLevel="0" collapsed="false">
      <c r="A439" s="0" t="s">
        <v>2240</v>
      </c>
      <c r="B439" s="0" t="s">
        <v>129</v>
      </c>
      <c r="C439" s="0" t="s">
        <v>1678</v>
      </c>
      <c r="D439" s="0" t="n">
        <v>2017</v>
      </c>
      <c r="E439" s="0" t="s">
        <v>57</v>
      </c>
      <c r="F439" s="0" t="n">
        <v>400860</v>
      </c>
      <c r="G439" s="0" t="s">
        <v>1681</v>
      </c>
      <c r="H439" s="0" t="s">
        <v>1648</v>
      </c>
      <c r="I439" s="0" t="n">
        <v>400860</v>
      </c>
      <c r="J439" s="0" t="s">
        <v>2221</v>
      </c>
      <c r="M439" s="0" t="s">
        <v>1539</v>
      </c>
      <c r="N439" s="0" t="s">
        <v>135</v>
      </c>
      <c r="Q439" s="0" t="n">
        <v>75</v>
      </c>
      <c r="R439" s="0" t="n">
        <v>75</v>
      </c>
      <c r="U439" s="0" t="s">
        <v>2228</v>
      </c>
      <c r="V439" s="0" t="s">
        <v>2228</v>
      </c>
      <c r="Y439" s="0" t="s">
        <v>1651</v>
      </c>
      <c r="Z439" s="0" t="s">
        <v>1652</v>
      </c>
      <c r="AA439" s="0" t="s">
        <v>2238</v>
      </c>
      <c r="AC439" s="0" t="s">
        <v>2224</v>
      </c>
    </row>
    <row r="440" customFormat="false" ht="15" hidden="false" customHeight="false" outlineLevel="0" collapsed="false">
      <c r="A440" s="0" t="s">
        <v>2241</v>
      </c>
      <c r="B440" s="0" t="s">
        <v>129</v>
      </c>
      <c r="C440" s="0" t="s">
        <v>1678</v>
      </c>
      <c r="D440" s="0" t="n">
        <v>2017</v>
      </c>
      <c r="E440" s="0" t="s">
        <v>62</v>
      </c>
      <c r="F440" s="0" t="n">
        <v>1173214</v>
      </c>
      <c r="G440" s="0" t="s">
        <v>1681</v>
      </c>
      <c r="H440" s="0" t="s">
        <v>1648</v>
      </c>
      <c r="I440" s="0" t="n">
        <v>1173214</v>
      </c>
      <c r="J440" s="0" t="s">
        <v>2221</v>
      </c>
      <c r="M440" s="0" t="s">
        <v>1539</v>
      </c>
      <c r="N440" s="0" t="s">
        <v>135</v>
      </c>
      <c r="Q440" s="0" t="n">
        <v>75</v>
      </c>
      <c r="R440" s="0" t="n">
        <v>75</v>
      </c>
      <c r="U440" s="0" t="s">
        <v>2228</v>
      </c>
      <c r="V440" s="0" t="s">
        <v>2228</v>
      </c>
      <c r="Y440" s="0" t="s">
        <v>1651</v>
      </c>
      <c r="Z440" s="0" t="s">
        <v>1652</v>
      </c>
      <c r="AA440" s="0" t="s">
        <v>2238</v>
      </c>
      <c r="AC440" s="0" t="s">
        <v>2224</v>
      </c>
    </row>
    <row r="441" customFormat="false" ht="15" hidden="false" customHeight="false" outlineLevel="0" collapsed="false">
      <c r="A441" s="0" t="s">
        <v>2242</v>
      </c>
      <c r="B441" s="0" t="s">
        <v>129</v>
      </c>
      <c r="C441" s="0" t="s">
        <v>1678</v>
      </c>
      <c r="D441" s="0" t="n">
        <v>2017</v>
      </c>
      <c r="E441" s="0" t="s">
        <v>59</v>
      </c>
      <c r="F441" s="0" t="n">
        <v>2539585</v>
      </c>
      <c r="G441" s="0" t="s">
        <v>1681</v>
      </c>
      <c r="H441" s="0" t="s">
        <v>1648</v>
      </c>
      <c r="I441" s="0" t="n">
        <v>2539585</v>
      </c>
      <c r="J441" s="0" t="s">
        <v>2221</v>
      </c>
      <c r="M441" s="0" t="s">
        <v>1539</v>
      </c>
      <c r="N441" s="0" t="s">
        <v>135</v>
      </c>
      <c r="Q441" s="0" t="n">
        <v>75</v>
      </c>
      <c r="R441" s="0" t="n">
        <v>75</v>
      </c>
      <c r="U441" s="0" t="s">
        <v>2228</v>
      </c>
      <c r="V441" s="0" t="s">
        <v>2228</v>
      </c>
      <c r="Y441" s="0" t="s">
        <v>1651</v>
      </c>
      <c r="Z441" s="0" t="s">
        <v>1652</v>
      </c>
      <c r="AA441" s="0" t="s">
        <v>2238</v>
      </c>
      <c r="AC441" s="0" t="s">
        <v>2224</v>
      </c>
    </row>
    <row r="442" customFormat="false" ht="15" hidden="false" customHeight="false" outlineLevel="0" collapsed="false">
      <c r="A442" s="0" t="s">
        <v>2243</v>
      </c>
      <c r="B442" s="0" t="s">
        <v>129</v>
      </c>
      <c r="C442" s="0" t="s">
        <v>1678</v>
      </c>
      <c r="D442" s="0" t="n">
        <v>2018</v>
      </c>
      <c r="E442" s="0" t="s">
        <v>58</v>
      </c>
      <c r="F442" s="0" t="n">
        <v>488626</v>
      </c>
      <c r="G442" s="0" t="s">
        <v>1681</v>
      </c>
      <c r="H442" s="0" t="s">
        <v>1648</v>
      </c>
      <c r="I442" s="0" t="n">
        <v>488626</v>
      </c>
      <c r="J442" s="0" t="s">
        <v>2221</v>
      </c>
      <c r="M442" s="0" t="s">
        <v>1539</v>
      </c>
      <c r="N442" s="0" t="s">
        <v>135</v>
      </c>
      <c r="Q442" s="0" t="n">
        <v>78</v>
      </c>
      <c r="R442" s="0" t="n">
        <v>78</v>
      </c>
      <c r="U442" s="0" t="s">
        <v>2222</v>
      </c>
      <c r="V442" s="0" t="s">
        <v>2222</v>
      </c>
      <c r="Y442" s="0" t="s">
        <v>1651</v>
      </c>
      <c r="Z442" s="0" t="s">
        <v>1652</v>
      </c>
      <c r="AA442" s="0" t="s">
        <v>2233</v>
      </c>
      <c r="AC442" s="0" t="s">
        <v>2224</v>
      </c>
    </row>
    <row r="443" customFormat="false" ht="15" hidden="false" customHeight="false" outlineLevel="0" collapsed="false">
      <c r="A443" s="0" t="s">
        <v>2244</v>
      </c>
      <c r="B443" s="0" t="s">
        <v>129</v>
      </c>
      <c r="C443" s="0" t="s">
        <v>1678</v>
      </c>
      <c r="D443" s="0" t="n">
        <v>2017</v>
      </c>
      <c r="E443" s="0" t="s">
        <v>58</v>
      </c>
      <c r="F443" s="0" t="n">
        <v>59151</v>
      </c>
      <c r="G443" s="0" t="s">
        <v>1681</v>
      </c>
      <c r="H443" s="0" t="s">
        <v>1648</v>
      </c>
      <c r="I443" s="0" t="n">
        <v>59151</v>
      </c>
      <c r="J443" s="0" t="s">
        <v>2221</v>
      </c>
      <c r="M443" s="0" t="s">
        <v>1539</v>
      </c>
      <c r="N443" s="0" t="s">
        <v>135</v>
      </c>
      <c r="Q443" s="0" t="n">
        <v>78</v>
      </c>
      <c r="R443" s="0" t="n">
        <v>78</v>
      </c>
      <c r="U443" s="0" t="s">
        <v>2228</v>
      </c>
      <c r="V443" s="0" t="s">
        <v>2228</v>
      </c>
      <c r="Y443" s="0" t="s">
        <v>1651</v>
      </c>
      <c r="Z443" s="0" t="s">
        <v>1652</v>
      </c>
      <c r="AA443" s="0" t="s">
        <v>2233</v>
      </c>
      <c r="AC443" s="0" t="s">
        <v>2224</v>
      </c>
    </row>
    <row r="444" customFormat="false" ht="15" hidden="false" customHeight="false" outlineLevel="0" collapsed="false">
      <c r="A444" s="0" t="s">
        <v>2245</v>
      </c>
      <c r="B444" s="0" t="s">
        <v>129</v>
      </c>
      <c r="C444" s="0" t="s">
        <v>1678</v>
      </c>
      <c r="D444" s="0" t="n">
        <v>2020</v>
      </c>
      <c r="E444" s="0" t="s">
        <v>54</v>
      </c>
      <c r="F444" s="0" t="n">
        <v>56911</v>
      </c>
      <c r="G444" s="0" t="s">
        <v>1681</v>
      </c>
      <c r="H444" s="0" t="s">
        <v>1648</v>
      </c>
      <c r="I444" s="0" t="n">
        <v>56911</v>
      </c>
      <c r="J444" s="0" t="s">
        <v>2221</v>
      </c>
      <c r="M444" s="0" t="s">
        <v>1542</v>
      </c>
      <c r="N444" s="0" t="s">
        <v>136</v>
      </c>
      <c r="Q444" s="0" t="n">
        <v>27</v>
      </c>
      <c r="R444" s="0" t="n">
        <v>27</v>
      </c>
      <c r="U444" s="0" t="s">
        <v>2246</v>
      </c>
      <c r="V444" s="0" t="s">
        <v>2246</v>
      </c>
      <c r="Y444" s="0" t="s">
        <v>1651</v>
      </c>
      <c r="Z444" s="0" t="s">
        <v>1652</v>
      </c>
      <c r="AA444" s="0" t="s">
        <v>2247</v>
      </c>
      <c r="AC444" s="0" t="s">
        <v>2224</v>
      </c>
    </row>
    <row r="445" customFormat="false" ht="15" hidden="false" customHeight="false" outlineLevel="0" collapsed="false">
      <c r="A445" s="0" t="s">
        <v>2248</v>
      </c>
      <c r="B445" s="0" t="s">
        <v>129</v>
      </c>
      <c r="C445" s="0" t="s">
        <v>1678</v>
      </c>
      <c r="D445" s="0" t="n">
        <v>2020</v>
      </c>
      <c r="E445" s="0" t="s">
        <v>402</v>
      </c>
      <c r="F445" s="0" t="n">
        <v>58360</v>
      </c>
      <c r="G445" s="0" t="s">
        <v>1681</v>
      </c>
      <c r="H445" s="0" t="s">
        <v>1648</v>
      </c>
      <c r="I445" s="0" t="n">
        <v>58360</v>
      </c>
      <c r="J445" s="0" t="s">
        <v>2221</v>
      </c>
      <c r="M445" s="0" t="s">
        <v>1542</v>
      </c>
      <c r="N445" s="0" t="s">
        <v>136</v>
      </c>
      <c r="Q445" s="0" t="n">
        <v>27</v>
      </c>
      <c r="R445" s="0" t="n">
        <v>27</v>
      </c>
      <c r="U445" s="0" t="s">
        <v>2246</v>
      </c>
      <c r="V445" s="0" t="s">
        <v>2246</v>
      </c>
      <c r="Y445" s="0" t="s">
        <v>1651</v>
      </c>
      <c r="Z445" s="0" t="s">
        <v>1652</v>
      </c>
      <c r="AA445" s="0" t="s">
        <v>2247</v>
      </c>
      <c r="AC445" s="0" t="s">
        <v>2224</v>
      </c>
    </row>
    <row r="446" customFormat="false" ht="15" hidden="false" customHeight="false" outlineLevel="0" collapsed="false">
      <c r="A446" s="0" t="s">
        <v>2249</v>
      </c>
      <c r="B446" s="0" t="s">
        <v>129</v>
      </c>
      <c r="C446" s="0" t="s">
        <v>1678</v>
      </c>
      <c r="D446" s="0" t="n">
        <v>2020</v>
      </c>
      <c r="E446" s="0" t="s">
        <v>247</v>
      </c>
      <c r="F446" s="0" t="n">
        <v>14146</v>
      </c>
      <c r="G446" s="0" t="s">
        <v>1681</v>
      </c>
      <c r="H446" s="0" t="s">
        <v>1648</v>
      </c>
      <c r="I446" s="0" t="n">
        <v>14146</v>
      </c>
      <c r="J446" s="0" t="s">
        <v>2221</v>
      </c>
      <c r="M446" s="0" t="s">
        <v>1542</v>
      </c>
      <c r="N446" s="0" t="s">
        <v>136</v>
      </c>
      <c r="Q446" s="0" t="n">
        <v>27</v>
      </c>
      <c r="R446" s="0" t="n">
        <v>27</v>
      </c>
      <c r="U446" s="0" t="s">
        <v>2246</v>
      </c>
      <c r="V446" s="0" t="s">
        <v>2246</v>
      </c>
      <c r="Y446" s="0" t="s">
        <v>1651</v>
      </c>
      <c r="Z446" s="0" t="s">
        <v>1652</v>
      </c>
      <c r="AA446" s="0" t="s">
        <v>2247</v>
      </c>
      <c r="AC446" s="0" t="s">
        <v>2224</v>
      </c>
    </row>
    <row r="447" customFormat="false" ht="15" hidden="false" customHeight="false" outlineLevel="0" collapsed="false">
      <c r="A447" s="0" t="s">
        <v>2250</v>
      </c>
      <c r="B447" s="0" t="s">
        <v>129</v>
      </c>
      <c r="C447" s="0" t="s">
        <v>1678</v>
      </c>
      <c r="D447" s="0" t="n">
        <v>2020</v>
      </c>
      <c r="E447" s="0" t="s">
        <v>557</v>
      </c>
      <c r="F447" s="0" t="n">
        <v>7718</v>
      </c>
      <c r="G447" s="0" t="s">
        <v>1681</v>
      </c>
      <c r="H447" s="0" t="s">
        <v>1648</v>
      </c>
      <c r="I447" s="0" t="n">
        <v>7718</v>
      </c>
      <c r="J447" s="0" t="s">
        <v>2221</v>
      </c>
      <c r="M447" s="0" t="s">
        <v>1542</v>
      </c>
      <c r="N447" s="0" t="s">
        <v>136</v>
      </c>
      <c r="Q447" s="0" t="n">
        <v>27</v>
      </c>
      <c r="R447" s="0" t="n">
        <v>27</v>
      </c>
      <c r="U447" s="0" t="s">
        <v>2246</v>
      </c>
      <c r="V447" s="0" t="s">
        <v>2246</v>
      </c>
      <c r="Y447" s="0" t="s">
        <v>1651</v>
      </c>
      <c r="Z447" s="0" t="s">
        <v>1652</v>
      </c>
      <c r="AA447" s="0" t="s">
        <v>2247</v>
      </c>
      <c r="AC447" s="0" t="s">
        <v>2224</v>
      </c>
    </row>
    <row r="448" customFormat="false" ht="15" hidden="false" customHeight="false" outlineLevel="0" collapsed="false">
      <c r="A448" s="0" t="s">
        <v>2251</v>
      </c>
      <c r="B448" s="0" t="s">
        <v>129</v>
      </c>
      <c r="C448" s="0" t="s">
        <v>1678</v>
      </c>
      <c r="D448" s="0" t="n">
        <v>2019</v>
      </c>
      <c r="E448" s="0" t="s">
        <v>54</v>
      </c>
      <c r="F448" s="0" t="n">
        <v>62750</v>
      </c>
      <c r="G448" s="0" t="s">
        <v>1681</v>
      </c>
      <c r="H448" s="0" t="s">
        <v>1648</v>
      </c>
      <c r="I448" s="0" t="n">
        <v>62750</v>
      </c>
      <c r="J448" s="0" t="s">
        <v>2221</v>
      </c>
      <c r="M448" s="0" t="s">
        <v>1542</v>
      </c>
      <c r="N448" s="0" t="s">
        <v>136</v>
      </c>
      <c r="Q448" s="0" t="n">
        <v>27</v>
      </c>
      <c r="R448" s="0" t="n">
        <v>27</v>
      </c>
      <c r="U448" s="0" t="s">
        <v>2252</v>
      </c>
      <c r="V448" s="0" t="s">
        <v>2252</v>
      </c>
      <c r="Y448" s="0" t="s">
        <v>1651</v>
      </c>
      <c r="Z448" s="0" t="s">
        <v>1652</v>
      </c>
      <c r="AA448" s="0" t="s">
        <v>2233</v>
      </c>
      <c r="AC448" s="0" t="s">
        <v>2224</v>
      </c>
    </row>
    <row r="449" customFormat="false" ht="15" hidden="false" customHeight="false" outlineLevel="0" collapsed="false">
      <c r="A449" s="0" t="s">
        <v>2253</v>
      </c>
      <c r="B449" s="0" t="s">
        <v>129</v>
      </c>
      <c r="C449" s="0" t="s">
        <v>1678</v>
      </c>
      <c r="D449" s="0" t="n">
        <v>2019</v>
      </c>
      <c r="E449" s="0" t="s">
        <v>402</v>
      </c>
      <c r="F449" s="0" t="n">
        <v>70063</v>
      </c>
      <c r="G449" s="0" t="s">
        <v>1681</v>
      </c>
      <c r="H449" s="0" t="s">
        <v>1648</v>
      </c>
      <c r="I449" s="0" t="n">
        <v>70063</v>
      </c>
      <c r="J449" s="0" t="s">
        <v>2221</v>
      </c>
      <c r="M449" s="0" t="s">
        <v>1542</v>
      </c>
      <c r="N449" s="0" t="s">
        <v>136</v>
      </c>
      <c r="Q449" s="0" t="n">
        <v>27</v>
      </c>
      <c r="R449" s="0" t="n">
        <v>27</v>
      </c>
      <c r="U449" s="0" t="s">
        <v>2252</v>
      </c>
      <c r="V449" s="0" t="s">
        <v>2252</v>
      </c>
      <c r="Y449" s="0" t="s">
        <v>1651</v>
      </c>
      <c r="Z449" s="0" t="s">
        <v>1652</v>
      </c>
      <c r="AA449" s="0" t="s">
        <v>2233</v>
      </c>
      <c r="AC449" s="0" t="s">
        <v>2224</v>
      </c>
    </row>
    <row r="450" customFormat="false" ht="15" hidden="false" customHeight="false" outlineLevel="0" collapsed="false">
      <c r="A450" s="0" t="s">
        <v>2254</v>
      </c>
      <c r="B450" s="0" t="s">
        <v>129</v>
      </c>
      <c r="C450" s="0" t="s">
        <v>1678</v>
      </c>
      <c r="D450" s="0" t="n">
        <v>2019</v>
      </c>
      <c r="E450" s="0" t="s">
        <v>247</v>
      </c>
      <c r="F450" s="0" t="n">
        <v>14695</v>
      </c>
      <c r="G450" s="0" t="s">
        <v>1681</v>
      </c>
      <c r="H450" s="0" t="s">
        <v>1648</v>
      </c>
      <c r="I450" s="0" t="n">
        <v>14695</v>
      </c>
      <c r="J450" s="0" t="s">
        <v>2221</v>
      </c>
      <c r="M450" s="0" t="s">
        <v>1542</v>
      </c>
      <c r="N450" s="0" t="s">
        <v>136</v>
      </c>
      <c r="Q450" s="0" t="n">
        <v>27</v>
      </c>
      <c r="R450" s="0" t="n">
        <v>27</v>
      </c>
      <c r="U450" s="0" t="s">
        <v>2252</v>
      </c>
      <c r="V450" s="0" t="s">
        <v>2252</v>
      </c>
      <c r="Y450" s="0" t="s">
        <v>1651</v>
      </c>
      <c r="Z450" s="0" t="s">
        <v>1652</v>
      </c>
      <c r="AA450" s="0" t="s">
        <v>2233</v>
      </c>
      <c r="AC450" s="0" t="s">
        <v>2224</v>
      </c>
    </row>
    <row r="451" customFormat="false" ht="15" hidden="false" customHeight="false" outlineLevel="0" collapsed="false">
      <c r="A451" s="0" t="s">
        <v>2255</v>
      </c>
      <c r="B451" s="0" t="s">
        <v>129</v>
      </c>
      <c r="C451" s="0" t="s">
        <v>1678</v>
      </c>
      <c r="D451" s="0" t="n">
        <v>2019</v>
      </c>
      <c r="E451" s="0" t="s">
        <v>557</v>
      </c>
      <c r="F451" s="0" t="n">
        <v>1674</v>
      </c>
      <c r="G451" s="0" t="s">
        <v>1681</v>
      </c>
      <c r="H451" s="0" t="s">
        <v>1648</v>
      </c>
      <c r="I451" s="0" t="n">
        <v>1674</v>
      </c>
      <c r="J451" s="0" t="s">
        <v>2221</v>
      </c>
      <c r="M451" s="0" t="s">
        <v>1542</v>
      </c>
      <c r="N451" s="0" t="s">
        <v>136</v>
      </c>
      <c r="Q451" s="0" t="n">
        <v>27</v>
      </c>
      <c r="R451" s="0" t="n">
        <v>27</v>
      </c>
      <c r="U451" s="0" t="s">
        <v>2252</v>
      </c>
      <c r="V451" s="0" t="s">
        <v>2252</v>
      </c>
      <c r="Y451" s="0" t="s">
        <v>1651</v>
      </c>
      <c r="Z451" s="0" t="s">
        <v>1652</v>
      </c>
      <c r="AA451" s="0" t="s">
        <v>2233</v>
      </c>
      <c r="AC451" s="0" t="s">
        <v>2224</v>
      </c>
    </row>
    <row r="452" customFormat="false" ht="15" hidden="false" customHeight="false" outlineLevel="0" collapsed="false">
      <c r="A452" s="0" t="s">
        <v>2256</v>
      </c>
      <c r="B452" s="0" t="s">
        <v>129</v>
      </c>
      <c r="C452" s="0" t="s">
        <v>1678</v>
      </c>
      <c r="D452" s="0" t="n">
        <v>2020</v>
      </c>
      <c r="E452" s="0" t="s">
        <v>55</v>
      </c>
      <c r="F452" s="0" t="n">
        <v>5207833</v>
      </c>
      <c r="G452" s="0" t="s">
        <v>1681</v>
      </c>
      <c r="H452" s="0" t="s">
        <v>1648</v>
      </c>
      <c r="I452" s="0" t="n">
        <v>5207833</v>
      </c>
      <c r="J452" s="0" t="s">
        <v>2221</v>
      </c>
      <c r="M452" s="0" t="s">
        <v>1542</v>
      </c>
      <c r="N452" s="0" t="s">
        <v>136</v>
      </c>
      <c r="Q452" s="0" t="n">
        <v>28</v>
      </c>
      <c r="R452" s="0" t="n">
        <v>28</v>
      </c>
      <c r="U452" s="0" t="s">
        <v>2246</v>
      </c>
      <c r="V452" s="0" t="s">
        <v>2246</v>
      </c>
      <c r="Y452" s="0" t="s">
        <v>1651</v>
      </c>
      <c r="Z452" s="0" t="s">
        <v>1652</v>
      </c>
      <c r="AA452" s="0" t="s">
        <v>2233</v>
      </c>
      <c r="AC452" s="0" t="s">
        <v>2224</v>
      </c>
    </row>
    <row r="453" customFormat="false" ht="15" hidden="false" customHeight="false" outlineLevel="0" collapsed="false">
      <c r="A453" s="0" t="s">
        <v>2257</v>
      </c>
      <c r="B453" s="0" t="s">
        <v>129</v>
      </c>
      <c r="C453" s="0" t="s">
        <v>1678</v>
      </c>
      <c r="D453" s="0" t="n">
        <v>2020</v>
      </c>
      <c r="E453" s="0" t="s">
        <v>56</v>
      </c>
      <c r="F453" s="0" t="n">
        <v>4729893</v>
      </c>
      <c r="G453" s="0" t="s">
        <v>1681</v>
      </c>
      <c r="H453" s="0" t="s">
        <v>1648</v>
      </c>
      <c r="I453" s="0" t="n">
        <v>4729893</v>
      </c>
      <c r="J453" s="0" t="s">
        <v>2221</v>
      </c>
      <c r="M453" s="0" t="s">
        <v>1542</v>
      </c>
      <c r="N453" s="0" t="s">
        <v>136</v>
      </c>
      <c r="Q453" s="0" t="n">
        <v>28</v>
      </c>
      <c r="R453" s="0" t="n">
        <v>28</v>
      </c>
      <c r="U453" s="0" t="s">
        <v>2246</v>
      </c>
      <c r="V453" s="0" t="s">
        <v>2246</v>
      </c>
      <c r="Y453" s="0" t="s">
        <v>1651</v>
      </c>
      <c r="Z453" s="0" t="s">
        <v>1652</v>
      </c>
      <c r="AA453" s="0" t="s">
        <v>2233</v>
      </c>
      <c r="AC453" s="0" t="s">
        <v>2224</v>
      </c>
    </row>
    <row r="454" customFormat="false" ht="15" hidden="false" customHeight="false" outlineLevel="0" collapsed="false">
      <c r="A454" s="0" t="s">
        <v>2258</v>
      </c>
      <c r="B454" s="0" t="s">
        <v>129</v>
      </c>
      <c r="C454" s="0" t="s">
        <v>1678</v>
      </c>
      <c r="D454" s="0" t="n">
        <v>2020</v>
      </c>
      <c r="E454" s="0" t="s">
        <v>57</v>
      </c>
      <c r="F454" s="0" t="n">
        <v>477940</v>
      </c>
      <c r="G454" s="0" t="s">
        <v>1681</v>
      </c>
      <c r="H454" s="0" t="s">
        <v>1648</v>
      </c>
      <c r="I454" s="0" t="n">
        <v>477940</v>
      </c>
      <c r="J454" s="0" t="s">
        <v>2221</v>
      </c>
      <c r="M454" s="0" t="s">
        <v>1542</v>
      </c>
      <c r="N454" s="0" t="s">
        <v>136</v>
      </c>
      <c r="Q454" s="0" t="n">
        <v>28</v>
      </c>
      <c r="R454" s="0" t="n">
        <v>28</v>
      </c>
      <c r="U454" s="0" t="s">
        <v>2246</v>
      </c>
      <c r="V454" s="0" t="s">
        <v>2246</v>
      </c>
      <c r="Y454" s="0" t="s">
        <v>1651</v>
      </c>
      <c r="Z454" s="0" t="s">
        <v>1652</v>
      </c>
      <c r="AA454" s="0" t="s">
        <v>2233</v>
      </c>
      <c r="AC454" s="0" t="s">
        <v>2224</v>
      </c>
    </row>
    <row r="455" customFormat="false" ht="15" hidden="false" customHeight="false" outlineLevel="0" collapsed="false">
      <c r="A455" s="0" t="s">
        <v>2259</v>
      </c>
      <c r="B455" s="0" t="s">
        <v>129</v>
      </c>
      <c r="C455" s="0" t="s">
        <v>1678</v>
      </c>
      <c r="D455" s="0" t="n">
        <v>2020</v>
      </c>
      <c r="E455" s="0" t="s">
        <v>62</v>
      </c>
      <c r="F455" s="0" t="n">
        <v>1812536</v>
      </c>
      <c r="G455" s="0" t="s">
        <v>1681</v>
      </c>
      <c r="H455" s="0" t="s">
        <v>1648</v>
      </c>
      <c r="I455" s="0" t="n">
        <v>1812536</v>
      </c>
      <c r="J455" s="0" t="s">
        <v>2221</v>
      </c>
      <c r="M455" s="0" t="s">
        <v>1542</v>
      </c>
      <c r="N455" s="0" t="s">
        <v>136</v>
      </c>
      <c r="Q455" s="0" t="n">
        <v>28</v>
      </c>
      <c r="R455" s="0" t="n">
        <v>28</v>
      </c>
      <c r="U455" s="0" t="s">
        <v>2246</v>
      </c>
      <c r="V455" s="0" t="s">
        <v>2246</v>
      </c>
      <c r="Y455" s="0" t="s">
        <v>1651</v>
      </c>
      <c r="Z455" s="0" t="s">
        <v>1652</v>
      </c>
      <c r="AA455" s="0" t="s">
        <v>2233</v>
      </c>
      <c r="AC455" s="0" t="s">
        <v>2224</v>
      </c>
    </row>
    <row r="456" customFormat="false" ht="15" hidden="false" customHeight="false" outlineLevel="0" collapsed="false">
      <c r="A456" s="0" t="s">
        <v>2260</v>
      </c>
      <c r="B456" s="0" t="s">
        <v>129</v>
      </c>
      <c r="C456" s="0" t="s">
        <v>1678</v>
      </c>
      <c r="D456" s="0" t="n">
        <v>2019</v>
      </c>
      <c r="E456" s="0" t="s">
        <v>55</v>
      </c>
      <c r="F456" s="0" t="n">
        <v>4136493</v>
      </c>
      <c r="G456" s="0" t="s">
        <v>1681</v>
      </c>
      <c r="H456" s="0" t="s">
        <v>1648</v>
      </c>
      <c r="I456" s="0" t="n">
        <v>4136493</v>
      </c>
      <c r="J456" s="0" t="s">
        <v>2221</v>
      </c>
      <c r="M456" s="0" t="s">
        <v>1542</v>
      </c>
      <c r="N456" s="0" t="s">
        <v>136</v>
      </c>
      <c r="Q456" s="0" t="n">
        <v>28</v>
      </c>
      <c r="R456" s="0" t="n">
        <v>28</v>
      </c>
      <c r="U456" s="0" t="s">
        <v>2252</v>
      </c>
      <c r="V456" s="0" t="s">
        <v>2252</v>
      </c>
      <c r="Y456" s="0" t="s">
        <v>1651</v>
      </c>
      <c r="Z456" s="0" t="s">
        <v>1652</v>
      </c>
      <c r="AA456" s="0" t="s">
        <v>2233</v>
      </c>
      <c r="AC456" s="0" t="s">
        <v>2224</v>
      </c>
    </row>
    <row r="457" customFormat="false" ht="15" hidden="false" customHeight="false" outlineLevel="0" collapsed="false">
      <c r="A457" s="0" t="s">
        <v>2261</v>
      </c>
      <c r="B457" s="0" t="s">
        <v>129</v>
      </c>
      <c r="C457" s="0" t="s">
        <v>1678</v>
      </c>
      <c r="D457" s="0" t="n">
        <v>2019</v>
      </c>
      <c r="E457" s="0" t="s">
        <v>56</v>
      </c>
      <c r="F457" s="0" t="n">
        <v>3689971</v>
      </c>
      <c r="G457" s="0" t="s">
        <v>1681</v>
      </c>
      <c r="H457" s="0" t="s">
        <v>1648</v>
      </c>
      <c r="I457" s="0" t="n">
        <v>3689971</v>
      </c>
      <c r="J457" s="0" t="s">
        <v>2221</v>
      </c>
      <c r="M457" s="0" t="s">
        <v>1542</v>
      </c>
      <c r="N457" s="0" t="s">
        <v>136</v>
      </c>
      <c r="Q457" s="0" t="n">
        <v>28</v>
      </c>
      <c r="R457" s="0" t="n">
        <v>28</v>
      </c>
      <c r="U457" s="0" t="s">
        <v>2252</v>
      </c>
      <c r="V457" s="0" t="s">
        <v>2252</v>
      </c>
      <c r="Y457" s="0" t="s">
        <v>1651</v>
      </c>
      <c r="Z457" s="0" t="s">
        <v>1652</v>
      </c>
      <c r="AA457" s="0" t="s">
        <v>2233</v>
      </c>
      <c r="AC457" s="0" t="s">
        <v>2224</v>
      </c>
    </row>
    <row r="458" customFormat="false" ht="15" hidden="false" customHeight="false" outlineLevel="0" collapsed="false">
      <c r="A458" s="0" t="s">
        <v>2262</v>
      </c>
      <c r="B458" s="0" t="s">
        <v>129</v>
      </c>
      <c r="C458" s="0" t="s">
        <v>1678</v>
      </c>
      <c r="D458" s="0" t="n">
        <v>2019</v>
      </c>
      <c r="E458" s="0" t="s">
        <v>57</v>
      </c>
      <c r="F458" s="0" t="n">
        <v>446522</v>
      </c>
      <c r="G458" s="0" t="s">
        <v>1681</v>
      </c>
      <c r="H458" s="0" t="s">
        <v>1648</v>
      </c>
      <c r="I458" s="0" t="n">
        <v>446522</v>
      </c>
      <c r="J458" s="0" t="s">
        <v>2221</v>
      </c>
      <c r="M458" s="0" t="s">
        <v>1542</v>
      </c>
      <c r="N458" s="0" t="s">
        <v>136</v>
      </c>
      <c r="Q458" s="0" t="n">
        <v>28</v>
      </c>
      <c r="R458" s="0" t="n">
        <v>28</v>
      </c>
      <c r="U458" s="0" t="s">
        <v>2252</v>
      </c>
      <c r="V458" s="0" t="s">
        <v>2252</v>
      </c>
      <c r="Y458" s="0" t="s">
        <v>1651</v>
      </c>
      <c r="Z458" s="0" t="s">
        <v>1652</v>
      </c>
      <c r="AA458" s="0" t="s">
        <v>2233</v>
      </c>
      <c r="AC458" s="0" t="s">
        <v>2224</v>
      </c>
    </row>
    <row r="459" customFormat="false" ht="15" hidden="false" customHeight="false" outlineLevel="0" collapsed="false">
      <c r="A459" s="0" t="s">
        <v>2263</v>
      </c>
      <c r="B459" s="0" t="s">
        <v>129</v>
      </c>
      <c r="C459" s="0" t="s">
        <v>1678</v>
      </c>
      <c r="D459" s="0" t="n">
        <v>2019</v>
      </c>
      <c r="E459" s="0" t="s">
        <v>62</v>
      </c>
      <c r="F459" s="0" t="n">
        <v>1503380</v>
      </c>
      <c r="G459" s="0" t="s">
        <v>1681</v>
      </c>
      <c r="H459" s="0" t="s">
        <v>1648</v>
      </c>
      <c r="I459" s="0" t="n">
        <v>1503380</v>
      </c>
      <c r="J459" s="0" t="s">
        <v>2221</v>
      </c>
      <c r="M459" s="0" t="s">
        <v>1542</v>
      </c>
      <c r="N459" s="0" t="s">
        <v>136</v>
      </c>
      <c r="Q459" s="0" t="n">
        <v>28</v>
      </c>
      <c r="R459" s="0" t="n">
        <v>28</v>
      </c>
      <c r="U459" s="0" t="s">
        <v>2252</v>
      </c>
      <c r="V459" s="0" t="s">
        <v>2252</v>
      </c>
      <c r="Y459" s="0" t="s">
        <v>1651</v>
      </c>
      <c r="Z459" s="0" t="s">
        <v>1652</v>
      </c>
      <c r="AA459" s="0" t="s">
        <v>2233</v>
      </c>
      <c r="AC459" s="0" t="s">
        <v>2224</v>
      </c>
    </row>
    <row r="460" customFormat="false" ht="15" hidden="false" customHeight="false" outlineLevel="0" collapsed="false">
      <c r="A460" s="0" t="s">
        <v>2264</v>
      </c>
      <c r="B460" s="0" t="s">
        <v>129</v>
      </c>
      <c r="C460" s="0" t="s">
        <v>1678</v>
      </c>
      <c r="D460" s="0" t="n">
        <v>2020</v>
      </c>
      <c r="E460" s="0" t="s">
        <v>58</v>
      </c>
      <c r="F460" s="0" t="n">
        <v>735114</v>
      </c>
      <c r="G460" s="0" t="s">
        <v>1681</v>
      </c>
      <c r="H460" s="0" t="s">
        <v>1648</v>
      </c>
      <c r="I460" s="0" t="n">
        <v>735114</v>
      </c>
      <c r="J460" s="0" t="s">
        <v>2221</v>
      </c>
      <c r="M460" s="0" t="s">
        <v>1542</v>
      </c>
      <c r="N460" s="0" t="s">
        <v>136</v>
      </c>
      <c r="Q460" s="0" t="n">
        <v>31</v>
      </c>
      <c r="R460" s="0" t="n">
        <v>31</v>
      </c>
      <c r="U460" s="0" t="s">
        <v>2246</v>
      </c>
      <c r="V460" s="0" t="s">
        <v>2246</v>
      </c>
      <c r="Y460" s="0" t="s">
        <v>1651</v>
      </c>
      <c r="Z460" s="0" t="s">
        <v>1652</v>
      </c>
      <c r="AA460" s="0" t="s">
        <v>2233</v>
      </c>
      <c r="AC460" s="0" t="s">
        <v>2224</v>
      </c>
    </row>
    <row r="461" customFormat="false" ht="15" hidden="false" customHeight="false" outlineLevel="0" collapsed="false">
      <c r="A461" s="0" t="s">
        <v>2265</v>
      </c>
      <c r="B461" s="0" t="s">
        <v>129</v>
      </c>
      <c r="C461" s="0" t="s">
        <v>1678</v>
      </c>
      <c r="D461" s="0" t="n">
        <v>2019</v>
      </c>
      <c r="E461" s="0" t="s">
        <v>58</v>
      </c>
      <c r="F461" s="0" t="n">
        <v>-317453</v>
      </c>
      <c r="G461" s="0" t="s">
        <v>1681</v>
      </c>
      <c r="H461" s="0" t="s">
        <v>1648</v>
      </c>
      <c r="I461" s="0" t="n">
        <v>-317453</v>
      </c>
      <c r="J461" s="0" t="s">
        <v>2221</v>
      </c>
      <c r="M461" s="0" t="s">
        <v>1542</v>
      </c>
      <c r="N461" s="0" t="s">
        <v>136</v>
      </c>
      <c r="Q461" s="0" t="n">
        <v>31</v>
      </c>
      <c r="R461" s="0" t="n">
        <v>31</v>
      </c>
      <c r="U461" s="0" t="s">
        <v>2252</v>
      </c>
      <c r="V461" s="0" t="s">
        <v>2252</v>
      </c>
      <c r="Y461" s="0" t="s">
        <v>1651</v>
      </c>
      <c r="Z461" s="0" t="s">
        <v>1652</v>
      </c>
      <c r="AA461" s="0" t="s">
        <v>2233</v>
      </c>
      <c r="AC461" s="0" t="s">
        <v>2224</v>
      </c>
    </row>
    <row r="462" customFormat="false" ht="15" hidden="false" customHeight="false" outlineLevel="0" collapsed="false">
      <c r="A462" s="0" t="s">
        <v>2266</v>
      </c>
      <c r="B462" s="0" t="s">
        <v>129</v>
      </c>
      <c r="C462" s="0" t="s">
        <v>1678</v>
      </c>
      <c r="D462" s="0" t="n">
        <v>2022</v>
      </c>
      <c r="E462" s="0" t="s">
        <v>54</v>
      </c>
      <c r="F462" s="0" t="n">
        <v>133696</v>
      </c>
      <c r="G462" s="0" t="s">
        <v>1681</v>
      </c>
      <c r="H462" s="0" t="s">
        <v>1648</v>
      </c>
      <c r="I462" s="0" t="n">
        <v>133696</v>
      </c>
      <c r="J462" s="0" t="s">
        <v>2221</v>
      </c>
      <c r="M462" s="0" t="s">
        <v>1545</v>
      </c>
      <c r="N462" s="0" t="s">
        <v>137</v>
      </c>
      <c r="Q462" s="0" t="n">
        <v>30</v>
      </c>
      <c r="R462" s="0" t="n">
        <v>30</v>
      </c>
      <c r="U462" s="0" t="s">
        <v>2267</v>
      </c>
      <c r="V462" s="0" t="s">
        <v>2267</v>
      </c>
      <c r="Y462" s="0" t="s">
        <v>1651</v>
      </c>
      <c r="Z462" s="0" t="s">
        <v>1652</v>
      </c>
      <c r="AA462" s="0" t="s">
        <v>2233</v>
      </c>
      <c r="AC462" s="0" t="s">
        <v>2224</v>
      </c>
    </row>
    <row r="463" customFormat="false" ht="15" hidden="false" customHeight="false" outlineLevel="0" collapsed="false">
      <c r="A463" s="0" t="s">
        <v>2268</v>
      </c>
      <c r="B463" s="0" t="s">
        <v>129</v>
      </c>
      <c r="C463" s="0" t="s">
        <v>1678</v>
      </c>
      <c r="D463" s="0" t="n">
        <v>2022</v>
      </c>
      <c r="E463" s="0" t="s">
        <v>402</v>
      </c>
      <c r="F463" s="0" t="n">
        <v>141317</v>
      </c>
      <c r="G463" s="0" t="s">
        <v>1681</v>
      </c>
      <c r="H463" s="0" t="s">
        <v>1648</v>
      </c>
      <c r="I463" s="0" t="n">
        <v>141317</v>
      </c>
      <c r="J463" s="0" t="s">
        <v>2221</v>
      </c>
      <c r="M463" s="0" t="s">
        <v>1545</v>
      </c>
      <c r="N463" s="0" t="s">
        <v>137</v>
      </c>
      <c r="Q463" s="0" t="n">
        <v>30</v>
      </c>
      <c r="R463" s="0" t="n">
        <v>30</v>
      </c>
      <c r="U463" s="0" t="s">
        <v>2267</v>
      </c>
      <c r="V463" s="0" t="s">
        <v>2267</v>
      </c>
      <c r="Y463" s="0" t="s">
        <v>1651</v>
      </c>
      <c r="Z463" s="0" t="s">
        <v>1652</v>
      </c>
      <c r="AA463" s="0" t="s">
        <v>2233</v>
      </c>
      <c r="AC463" s="0" t="s">
        <v>2224</v>
      </c>
    </row>
    <row r="464" customFormat="false" ht="15" hidden="false" customHeight="false" outlineLevel="0" collapsed="false">
      <c r="A464" s="0" t="s">
        <v>2269</v>
      </c>
      <c r="B464" s="0" t="s">
        <v>129</v>
      </c>
      <c r="C464" s="0" t="s">
        <v>1678</v>
      </c>
      <c r="D464" s="0" t="n">
        <v>2022</v>
      </c>
      <c r="E464" s="0" t="s">
        <v>247</v>
      </c>
      <c r="F464" s="0" t="n">
        <v>5669</v>
      </c>
      <c r="G464" s="0" t="s">
        <v>1681</v>
      </c>
      <c r="H464" s="0" t="s">
        <v>1648</v>
      </c>
      <c r="I464" s="0" t="n">
        <v>5669</v>
      </c>
      <c r="J464" s="0" t="s">
        <v>2221</v>
      </c>
      <c r="M464" s="0" t="s">
        <v>1545</v>
      </c>
      <c r="N464" s="0" t="s">
        <v>137</v>
      </c>
      <c r="Q464" s="0" t="n">
        <v>30</v>
      </c>
      <c r="R464" s="0" t="n">
        <v>30</v>
      </c>
      <c r="U464" s="0" t="s">
        <v>2267</v>
      </c>
      <c r="V464" s="0" t="s">
        <v>2267</v>
      </c>
      <c r="Y464" s="0" t="s">
        <v>1651</v>
      </c>
      <c r="Z464" s="0" t="s">
        <v>1652</v>
      </c>
      <c r="AA464" s="0" t="s">
        <v>2233</v>
      </c>
      <c r="AC464" s="0" t="s">
        <v>2224</v>
      </c>
    </row>
    <row r="465" customFormat="false" ht="15" hidden="false" customHeight="false" outlineLevel="0" collapsed="false">
      <c r="A465" s="0" t="s">
        <v>2270</v>
      </c>
      <c r="B465" s="0" t="s">
        <v>129</v>
      </c>
      <c r="C465" s="0" t="s">
        <v>1678</v>
      </c>
      <c r="D465" s="0" t="n">
        <v>2022</v>
      </c>
      <c r="E465" s="0" t="s">
        <v>557</v>
      </c>
      <c r="F465" s="0" t="n">
        <v>4896</v>
      </c>
      <c r="G465" s="0" t="s">
        <v>1681</v>
      </c>
      <c r="H465" s="0" t="s">
        <v>1648</v>
      </c>
      <c r="I465" s="0" t="n">
        <v>4896</v>
      </c>
      <c r="J465" s="0" t="s">
        <v>2221</v>
      </c>
      <c r="M465" s="0" t="s">
        <v>1545</v>
      </c>
      <c r="N465" s="0" t="s">
        <v>137</v>
      </c>
      <c r="Q465" s="0" t="n">
        <v>30</v>
      </c>
      <c r="R465" s="0" t="n">
        <v>30</v>
      </c>
      <c r="U465" s="0" t="s">
        <v>2267</v>
      </c>
      <c r="V465" s="0" t="s">
        <v>2267</v>
      </c>
      <c r="Y465" s="0" t="s">
        <v>1651</v>
      </c>
      <c r="Z465" s="0" t="s">
        <v>1652</v>
      </c>
      <c r="AA465" s="0" t="s">
        <v>2233</v>
      </c>
      <c r="AC465" s="0" t="s">
        <v>2224</v>
      </c>
    </row>
    <row r="466" customFormat="false" ht="15" hidden="false" customHeight="false" outlineLevel="0" collapsed="false">
      <c r="A466" s="0" t="s">
        <v>2271</v>
      </c>
      <c r="B466" s="0" t="s">
        <v>129</v>
      </c>
      <c r="C466" s="0" t="s">
        <v>1678</v>
      </c>
      <c r="D466" s="0" t="n">
        <v>2021</v>
      </c>
      <c r="E466" s="0" t="s">
        <v>54</v>
      </c>
      <c r="F466" s="0" t="n">
        <v>58669</v>
      </c>
      <c r="G466" s="0" t="s">
        <v>1681</v>
      </c>
      <c r="H466" s="0" t="s">
        <v>1648</v>
      </c>
      <c r="I466" s="0" t="n">
        <v>58669</v>
      </c>
      <c r="J466" s="0" t="s">
        <v>2221</v>
      </c>
      <c r="M466" s="0" t="s">
        <v>1545</v>
      </c>
      <c r="N466" s="0" t="s">
        <v>137</v>
      </c>
      <c r="Q466" s="0" t="n">
        <v>30</v>
      </c>
      <c r="R466" s="0" t="n">
        <v>30</v>
      </c>
      <c r="U466" s="0" t="s">
        <v>2272</v>
      </c>
      <c r="V466" s="0" t="s">
        <v>2272</v>
      </c>
      <c r="Y466" s="0" t="s">
        <v>1651</v>
      </c>
      <c r="Z466" s="0" t="s">
        <v>1652</v>
      </c>
      <c r="AA466" s="0" t="s">
        <v>2233</v>
      </c>
      <c r="AC466" s="0" t="s">
        <v>2224</v>
      </c>
    </row>
    <row r="467" customFormat="false" ht="15" hidden="false" customHeight="false" outlineLevel="0" collapsed="false">
      <c r="A467" s="0" t="s">
        <v>2273</v>
      </c>
      <c r="B467" s="0" t="s">
        <v>129</v>
      </c>
      <c r="C467" s="0" t="s">
        <v>1678</v>
      </c>
      <c r="D467" s="0" t="n">
        <v>2021</v>
      </c>
      <c r="E467" s="0" t="s">
        <v>402</v>
      </c>
      <c r="F467" s="0" t="n">
        <v>60519</v>
      </c>
      <c r="G467" s="0" t="s">
        <v>1681</v>
      </c>
      <c r="H467" s="0" t="s">
        <v>1648</v>
      </c>
      <c r="I467" s="0" t="n">
        <v>60519</v>
      </c>
      <c r="J467" s="0" t="s">
        <v>2221</v>
      </c>
      <c r="M467" s="0" t="s">
        <v>1545</v>
      </c>
      <c r="N467" s="0" t="s">
        <v>137</v>
      </c>
      <c r="Q467" s="0" t="n">
        <v>30</v>
      </c>
      <c r="R467" s="0" t="n">
        <v>30</v>
      </c>
      <c r="U467" s="0" t="s">
        <v>2272</v>
      </c>
      <c r="V467" s="0" t="s">
        <v>2272</v>
      </c>
      <c r="Y467" s="0" t="s">
        <v>1651</v>
      </c>
      <c r="Z467" s="0" t="s">
        <v>1652</v>
      </c>
      <c r="AA467" s="0" t="s">
        <v>2233</v>
      </c>
      <c r="AC467" s="0" t="s">
        <v>2224</v>
      </c>
    </row>
    <row r="468" customFormat="false" ht="15" hidden="false" customHeight="false" outlineLevel="0" collapsed="false">
      <c r="A468" s="0" t="s">
        <v>2274</v>
      </c>
      <c r="B468" s="0" t="s">
        <v>129</v>
      </c>
      <c r="C468" s="0" t="s">
        <v>1678</v>
      </c>
      <c r="D468" s="0" t="n">
        <v>2021</v>
      </c>
      <c r="E468" s="0" t="s">
        <v>247</v>
      </c>
      <c r="F468" s="0" t="n">
        <v>9049</v>
      </c>
      <c r="G468" s="0" t="s">
        <v>1681</v>
      </c>
      <c r="H468" s="0" t="s">
        <v>1648</v>
      </c>
      <c r="I468" s="0" t="n">
        <v>9049</v>
      </c>
      <c r="J468" s="0" t="s">
        <v>2221</v>
      </c>
      <c r="M468" s="0" t="s">
        <v>1545</v>
      </c>
      <c r="N468" s="0" t="s">
        <v>137</v>
      </c>
      <c r="Q468" s="0" t="n">
        <v>30</v>
      </c>
      <c r="R468" s="0" t="n">
        <v>30</v>
      </c>
      <c r="U468" s="0" t="s">
        <v>2272</v>
      </c>
      <c r="V468" s="0" t="s">
        <v>2272</v>
      </c>
      <c r="Y468" s="0" t="s">
        <v>1651</v>
      </c>
      <c r="Z468" s="0" t="s">
        <v>1652</v>
      </c>
      <c r="AA468" s="0" t="s">
        <v>2233</v>
      </c>
      <c r="AC468" s="0" t="s">
        <v>2224</v>
      </c>
    </row>
    <row r="469" customFormat="false" ht="15" hidden="false" customHeight="false" outlineLevel="0" collapsed="false">
      <c r="A469" s="0" t="s">
        <v>2275</v>
      </c>
      <c r="B469" s="0" t="s">
        <v>129</v>
      </c>
      <c r="C469" s="0" t="s">
        <v>1678</v>
      </c>
      <c r="D469" s="0" t="n">
        <v>2021</v>
      </c>
      <c r="E469" s="0" t="s">
        <v>557</v>
      </c>
      <c r="F469" s="0" t="n">
        <v>700</v>
      </c>
      <c r="G469" s="0" t="s">
        <v>1681</v>
      </c>
      <c r="H469" s="0" t="s">
        <v>1648</v>
      </c>
      <c r="I469" s="0" t="n">
        <v>700</v>
      </c>
      <c r="J469" s="0" t="s">
        <v>2221</v>
      </c>
      <c r="M469" s="0" t="s">
        <v>1545</v>
      </c>
      <c r="N469" s="0" t="s">
        <v>137</v>
      </c>
      <c r="Q469" s="0" t="n">
        <v>30</v>
      </c>
      <c r="R469" s="0" t="n">
        <v>30</v>
      </c>
      <c r="U469" s="0" t="s">
        <v>2272</v>
      </c>
      <c r="V469" s="0" t="s">
        <v>2272</v>
      </c>
      <c r="Y469" s="0" t="s">
        <v>1651</v>
      </c>
      <c r="Z469" s="0" t="s">
        <v>1652</v>
      </c>
      <c r="AA469" s="0" t="s">
        <v>2233</v>
      </c>
      <c r="AC469" s="0" t="s">
        <v>2224</v>
      </c>
    </row>
    <row r="470" customFormat="false" ht="15" hidden="false" customHeight="false" outlineLevel="0" collapsed="false">
      <c r="A470" s="0" t="s">
        <v>2276</v>
      </c>
      <c r="B470" s="0" t="s">
        <v>129</v>
      </c>
      <c r="C470" s="0" t="s">
        <v>1678</v>
      </c>
      <c r="D470" s="0" t="n">
        <v>2022</v>
      </c>
      <c r="E470" s="0" t="s">
        <v>55</v>
      </c>
      <c r="F470" s="0" t="n">
        <v>7361044</v>
      </c>
      <c r="G470" s="0" t="s">
        <v>1681</v>
      </c>
      <c r="H470" s="0" t="s">
        <v>1648</v>
      </c>
      <c r="I470" s="0" t="n">
        <v>7361044</v>
      </c>
      <c r="J470" s="0" t="s">
        <v>2221</v>
      </c>
      <c r="M470" s="0" t="s">
        <v>1545</v>
      </c>
      <c r="N470" s="0" t="s">
        <v>137</v>
      </c>
      <c r="Q470" s="0" t="n">
        <v>31</v>
      </c>
      <c r="R470" s="0" t="n">
        <v>31</v>
      </c>
      <c r="U470" s="0" t="s">
        <v>2267</v>
      </c>
      <c r="V470" s="0" t="s">
        <v>2267</v>
      </c>
      <c r="Y470" s="0" t="s">
        <v>1651</v>
      </c>
      <c r="Z470" s="0" t="s">
        <v>1652</v>
      </c>
      <c r="AA470" s="0" t="s">
        <v>2233</v>
      </c>
      <c r="AC470" s="0" t="s">
        <v>2224</v>
      </c>
    </row>
    <row r="471" customFormat="false" ht="15" hidden="false" customHeight="false" outlineLevel="0" collapsed="false">
      <c r="A471" s="0" t="s">
        <v>2277</v>
      </c>
      <c r="B471" s="0" t="s">
        <v>129</v>
      </c>
      <c r="C471" s="0" t="s">
        <v>1678</v>
      </c>
      <c r="D471" s="0" t="n">
        <v>2022</v>
      </c>
      <c r="E471" s="0" t="s">
        <v>56</v>
      </c>
      <c r="F471" s="0" t="n">
        <v>6775851</v>
      </c>
      <c r="G471" s="0" t="s">
        <v>1681</v>
      </c>
      <c r="H471" s="0" t="s">
        <v>1648</v>
      </c>
      <c r="I471" s="0" t="n">
        <v>6775851</v>
      </c>
      <c r="J471" s="0" t="s">
        <v>2221</v>
      </c>
      <c r="M471" s="0" t="s">
        <v>1545</v>
      </c>
      <c r="N471" s="0" t="s">
        <v>137</v>
      </c>
      <c r="Q471" s="0" t="n">
        <v>31</v>
      </c>
      <c r="R471" s="0" t="n">
        <v>31</v>
      </c>
      <c r="U471" s="0" t="s">
        <v>2267</v>
      </c>
      <c r="V471" s="0" t="s">
        <v>2267</v>
      </c>
      <c r="Y471" s="0" t="s">
        <v>1651</v>
      </c>
      <c r="Z471" s="0" t="s">
        <v>1652</v>
      </c>
      <c r="AA471" s="0" t="s">
        <v>2233</v>
      </c>
      <c r="AC471" s="0" t="s">
        <v>2224</v>
      </c>
    </row>
    <row r="472" customFormat="false" ht="15" hidden="false" customHeight="false" outlineLevel="0" collapsed="false">
      <c r="A472" s="0" t="s">
        <v>2278</v>
      </c>
      <c r="B472" s="0" t="s">
        <v>129</v>
      </c>
      <c r="C472" s="0" t="s">
        <v>1678</v>
      </c>
      <c r="D472" s="0" t="n">
        <v>2022</v>
      </c>
      <c r="E472" s="0" t="s">
        <v>57</v>
      </c>
      <c r="F472" s="0" t="n">
        <v>585193</v>
      </c>
      <c r="G472" s="0" t="s">
        <v>1681</v>
      </c>
      <c r="H472" s="0" t="s">
        <v>1648</v>
      </c>
      <c r="I472" s="0" t="n">
        <v>585193</v>
      </c>
      <c r="J472" s="0" t="s">
        <v>2221</v>
      </c>
      <c r="M472" s="0" t="s">
        <v>1545</v>
      </c>
      <c r="N472" s="0" t="s">
        <v>137</v>
      </c>
      <c r="Q472" s="0" t="n">
        <v>31</v>
      </c>
      <c r="R472" s="0" t="n">
        <v>31</v>
      </c>
      <c r="U472" s="0" t="s">
        <v>2267</v>
      </c>
      <c r="V472" s="0" t="s">
        <v>2267</v>
      </c>
      <c r="Y472" s="0" t="s">
        <v>1651</v>
      </c>
      <c r="Z472" s="0" t="s">
        <v>1652</v>
      </c>
      <c r="AA472" s="0" t="s">
        <v>2233</v>
      </c>
      <c r="AC472" s="0" t="s">
        <v>2224</v>
      </c>
    </row>
    <row r="473" customFormat="false" ht="15" hidden="false" customHeight="false" outlineLevel="0" collapsed="false">
      <c r="A473" s="0" t="s">
        <v>2279</v>
      </c>
      <c r="B473" s="0" t="s">
        <v>129</v>
      </c>
      <c r="C473" s="0" t="s">
        <v>1678</v>
      </c>
      <c r="D473" s="0" t="n">
        <v>2022</v>
      </c>
      <c r="E473" s="0" t="s">
        <v>62</v>
      </c>
      <c r="F473" s="0" t="n">
        <v>2123097</v>
      </c>
      <c r="G473" s="0" t="s">
        <v>1681</v>
      </c>
      <c r="H473" s="0" t="s">
        <v>1648</v>
      </c>
      <c r="I473" s="0" t="n">
        <v>2123097</v>
      </c>
      <c r="J473" s="0" t="s">
        <v>2221</v>
      </c>
      <c r="M473" s="0" t="s">
        <v>1545</v>
      </c>
      <c r="N473" s="0" t="s">
        <v>137</v>
      </c>
      <c r="Q473" s="0" t="n">
        <v>31</v>
      </c>
      <c r="R473" s="0" t="n">
        <v>31</v>
      </c>
      <c r="U473" s="0" t="s">
        <v>2267</v>
      </c>
      <c r="V473" s="0" t="s">
        <v>2267</v>
      </c>
      <c r="Y473" s="0" t="s">
        <v>1651</v>
      </c>
      <c r="Z473" s="0" t="s">
        <v>1652</v>
      </c>
      <c r="AA473" s="0" t="s">
        <v>2233</v>
      </c>
      <c r="AC473" s="0" t="s">
        <v>2224</v>
      </c>
    </row>
    <row r="474" customFormat="false" ht="15" hidden="false" customHeight="false" outlineLevel="0" collapsed="false">
      <c r="A474" s="0" t="s">
        <v>2280</v>
      </c>
      <c r="B474" s="0" t="s">
        <v>129</v>
      </c>
      <c r="C474" s="0" t="s">
        <v>1678</v>
      </c>
      <c r="D474" s="0" t="n">
        <v>2021</v>
      </c>
      <c r="E474" s="0" t="s">
        <v>55</v>
      </c>
      <c r="F474" s="0" t="n">
        <v>5574976</v>
      </c>
      <c r="G474" s="0" t="s">
        <v>1681</v>
      </c>
      <c r="H474" s="0" t="s">
        <v>1648</v>
      </c>
      <c r="I474" s="0" t="n">
        <v>5574976</v>
      </c>
      <c r="J474" s="0" t="s">
        <v>2221</v>
      </c>
      <c r="M474" s="0" t="s">
        <v>1545</v>
      </c>
      <c r="N474" s="0" t="s">
        <v>137</v>
      </c>
      <c r="Q474" s="0" t="n">
        <v>31</v>
      </c>
      <c r="R474" s="0" t="n">
        <v>31</v>
      </c>
      <c r="U474" s="0" t="s">
        <v>2272</v>
      </c>
      <c r="V474" s="0" t="s">
        <v>2272</v>
      </c>
      <c r="Y474" s="0" t="s">
        <v>1651</v>
      </c>
      <c r="Z474" s="0" t="s">
        <v>1652</v>
      </c>
      <c r="AA474" s="0" t="s">
        <v>2233</v>
      </c>
      <c r="AC474" s="0" t="s">
        <v>2224</v>
      </c>
    </row>
    <row r="475" customFormat="false" ht="15" hidden="false" customHeight="false" outlineLevel="0" collapsed="false">
      <c r="A475" s="0" t="s">
        <v>2281</v>
      </c>
      <c r="B475" s="0" t="s">
        <v>129</v>
      </c>
      <c r="C475" s="0" t="s">
        <v>1678</v>
      </c>
      <c r="D475" s="0" t="n">
        <v>2021</v>
      </c>
      <c r="E475" s="0" t="s">
        <v>56</v>
      </c>
      <c r="F475" s="0" t="n">
        <v>5073375</v>
      </c>
      <c r="G475" s="0" t="s">
        <v>1681</v>
      </c>
      <c r="H475" s="0" t="s">
        <v>1648</v>
      </c>
      <c r="I475" s="0" t="n">
        <v>5073375</v>
      </c>
      <c r="J475" s="0" t="s">
        <v>2221</v>
      </c>
      <c r="M475" s="0" t="s">
        <v>1545</v>
      </c>
      <c r="N475" s="0" t="s">
        <v>137</v>
      </c>
      <c r="Q475" s="0" t="n">
        <v>31</v>
      </c>
      <c r="R475" s="0" t="n">
        <v>31</v>
      </c>
      <c r="U475" s="0" t="s">
        <v>2272</v>
      </c>
      <c r="V475" s="0" t="s">
        <v>2272</v>
      </c>
      <c r="Y475" s="0" t="s">
        <v>1651</v>
      </c>
      <c r="Z475" s="0" t="s">
        <v>1652</v>
      </c>
      <c r="AA475" s="0" t="s">
        <v>2233</v>
      </c>
      <c r="AC475" s="0" t="s">
        <v>2224</v>
      </c>
    </row>
    <row r="476" customFormat="false" ht="15" hidden="false" customHeight="false" outlineLevel="0" collapsed="false">
      <c r="A476" s="0" t="s">
        <v>2282</v>
      </c>
      <c r="B476" s="0" t="s">
        <v>129</v>
      </c>
      <c r="C476" s="0" t="s">
        <v>1678</v>
      </c>
      <c r="D476" s="0" t="n">
        <v>2021</v>
      </c>
      <c r="E476" s="0" t="s">
        <v>57</v>
      </c>
      <c r="F476" s="0" t="n">
        <v>501601</v>
      </c>
      <c r="G476" s="0" t="s">
        <v>1681</v>
      </c>
      <c r="H476" s="0" t="s">
        <v>1648</v>
      </c>
      <c r="I476" s="0" t="n">
        <v>501601</v>
      </c>
      <c r="J476" s="0" t="s">
        <v>2221</v>
      </c>
      <c r="M476" s="0" t="s">
        <v>1545</v>
      </c>
      <c r="N476" s="0" t="s">
        <v>137</v>
      </c>
      <c r="Q476" s="0" t="n">
        <v>31</v>
      </c>
      <c r="R476" s="0" t="n">
        <v>31</v>
      </c>
      <c r="U476" s="0" t="s">
        <v>2272</v>
      </c>
      <c r="V476" s="0" t="s">
        <v>2272</v>
      </c>
      <c r="Y476" s="0" t="s">
        <v>1651</v>
      </c>
      <c r="Z476" s="0" t="s">
        <v>1652</v>
      </c>
      <c r="AA476" s="0" t="s">
        <v>2233</v>
      </c>
      <c r="AC476" s="0" t="s">
        <v>2224</v>
      </c>
    </row>
    <row r="477" customFormat="false" ht="15" hidden="false" customHeight="false" outlineLevel="0" collapsed="false">
      <c r="A477" s="0" t="s">
        <v>2283</v>
      </c>
      <c r="B477" s="0" t="s">
        <v>129</v>
      </c>
      <c r="C477" s="0" t="s">
        <v>1678</v>
      </c>
      <c r="D477" s="0" t="n">
        <v>2021</v>
      </c>
      <c r="E477" s="0" t="s">
        <v>62</v>
      </c>
      <c r="F477" s="0" t="n">
        <v>1848102</v>
      </c>
      <c r="G477" s="0" t="s">
        <v>1681</v>
      </c>
      <c r="H477" s="0" t="s">
        <v>1648</v>
      </c>
      <c r="I477" s="0" t="n">
        <v>1848102</v>
      </c>
      <c r="J477" s="0" t="s">
        <v>2221</v>
      </c>
      <c r="M477" s="0" t="s">
        <v>1545</v>
      </c>
      <c r="N477" s="0" t="s">
        <v>137</v>
      </c>
      <c r="Q477" s="0" t="n">
        <v>31</v>
      </c>
      <c r="R477" s="0" t="n">
        <v>31</v>
      </c>
      <c r="U477" s="0" t="s">
        <v>2272</v>
      </c>
      <c r="V477" s="0" t="s">
        <v>2272</v>
      </c>
      <c r="Y477" s="0" t="s">
        <v>1651</v>
      </c>
      <c r="Z477" s="0" t="s">
        <v>1652</v>
      </c>
      <c r="AA477" s="0" t="s">
        <v>2233</v>
      </c>
      <c r="AC477" s="0" t="s">
        <v>2224</v>
      </c>
    </row>
    <row r="478" customFormat="false" ht="15" hidden="false" customHeight="false" outlineLevel="0" collapsed="false">
      <c r="A478" s="0" t="s">
        <v>2284</v>
      </c>
      <c r="B478" s="0" t="s">
        <v>129</v>
      </c>
      <c r="C478" s="0" t="s">
        <v>1678</v>
      </c>
      <c r="D478" s="0" t="n">
        <v>2022</v>
      </c>
      <c r="E478" s="0" t="s">
        <v>58</v>
      </c>
      <c r="F478" s="0" t="n">
        <v>1063228</v>
      </c>
      <c r="G478" s="0" t="s">
        <v>1681</v>
      </c>
      <c r="H478" s="0" t="s">
        <v>1648</v>
      </c>
      <c r="I478" s="0" t="n">
        <v>1063228</v>
      </c>
      <c r="J478" s="0" t="s">
        <v>2221</v>
      </c>
      <c r="M478" s="0" t="s">
        <v>1545</v>
      </c>
      <c r="N478" s="0" t="s">
        <v>137</v>
      </c>
      <c r="Q478" s="0" t="n">
        <v>34</v>
      </c>
      <c r="R478" s="0" t="n">
        <v>34</v>
      </c>
      <c r="U478" s="0" t="s">
        <v>2267</v>
      </c>
      <c r="V478" s="0" t="s">
        <v>2267</v>
      </c>
      <c r="Y478" s="0" t="s">
        <v>1651</v>
      </c>
      <c r="Z478" s="0" t="s">
        <v>1652</v>
      </c>
      <c r="AA478" s="0" t="s">
        <v>2233</v>
      </c>
      <c r="AC478" s="0" t="s">
        <v>2224</v>
      </c>
    </row>
    <row r="479" customFormat="false" ht="15" hidden="false" customHeight="false" outlineLevel="0" collapsed="false">
      <c r="A479" s="0" t="s">
        <v>2285</v>
      </c>
      <c r="B479" s="0" t="s">
        <v>129</v>
      </c>
      <c r="C479" s="0" t="s">
        <v>1678</v>
      </c>
      <c r="D479" s="0" t="n">
        <v>2021</v>
      </c>
      <c r="E479" s="0" t="s">
        <v>58</v>
      </c>
      <c r="F479" s="0" t="n">
        <v>671619</v>
      </c>
      <c r="G479" s="0" t="s">
        <v>1681</v>
      </c>
      <c r="H479" s="0" t="s">
        <v>1648</v>
      </c>
      <c r="I479" s="0" t="n">
        <v>671619</v>
      </c>
      <c r="J479" s="0" t="s">
        <v>2221</v>
      </c>
      <c r="M479" s="0" t="s">
        <v>1545</v>
      </c>
      <c r="N479" s="0" t="s">
        <v>137</v>
      </c>
      <c r="Q479" s="0" t="n">
        <v>34</v>
      </c>
      <c r="R479" s="0" t="n">
        <v>34</v>
      </c>
      <c r="U479" s="0" t="s">
        <v>2272</v>
      </c>
      <c r="V479" s="0" t="s">
        <v>2272</v>
      </c>
      <c r="Y479" s="0" t="s">
        <v>1651</v>
      </c>
      <c r="Z479" s="0" t="s">
        <v>1652</v>
      </c>
      <c r="AA479" s="0" t="s">
        <v>2233</v>
      </c>
      <c r="AC479" s="0" t="s">
        <v>2224</v>
      </c>
    </row>
    <row r="480" customFormat="false" ht="15" hidden="false" customHeight="false" outlineLevel="0" collapsed="false">
      <c r="A480" s="0" t="s">
        <v>2286</v>
      </c>
      <c r="B480" s="0" t="s">
        <v>129</v>
      </c>
      <c r="C480" s="0" t="s">
        <v>1678</v>
      </c>
      <c r="D480" s="0" t="n">
        <v>2018</v>
      </c>
      <c r="E480" s="0" t="s">
        <v>60</v>
      </c>
      <c r="F480" s="0" t="n">
        <v>1274112</v>
      </c>
      <c r="G480" s="0" t="s">
        <v>1681</v>
      </c>
      <c r="H480" s="0" t="s">
        <v>1648</v>
      </c>
      <c r="I480" s="0" t="n">
        <v>1274112</v>
      </c>
      <c r="J480" s="0" t="s">
        <v>2221</v>
      </c>
      <c r="M480" s="0" t="s">
        <v>1539</v>
      </c>
      <c r="N480" s="0" t="s">
        <v>135</v>
      </c>
      <c r="Q480" s="0" t="n">
        <v>175</v>
      </c>
      <c r="R480" s="0" t="n">
        <v>175</v>
      </c>
      <c r="U480" s="0" t="s">
        <v>2222</v>
      </c>
      <c r="V480" s="0" t="s">
        <v>2222</v>
      </c>
      <c r="Y480" s="0" t="s">
        <v>1651</v>
      </c>
      <c r="Z480" s="0" t="s">
        <v>1652</v>
      </c>
      <c r="AA480" s="0" t="s">
        <v>2233</v>
      </c>
      <c r="AC480" s="0" t="s">
        <v>2224</v>
      </c>
    </row>
    <row r="481" customFormat="false" ht="15" hidden="false" customHeight="false" outlineLevel="0" collapsed="false">
      <c r="A481" s="0" t="s">
        <v>2287</v>
      </c>
      <c r="B481" s="0" t="s">
        <v>129</v>
      </c>
      <c r="C481" s="0" t="s">
        <v>1678</v>
      </c>
      <c r="D481" s="0" t="n">
        <v>2018</v>
      </c>
      <c r="E481" s="0" t="s">
        <v>61</v>
      </c>
      <c r="F481" s="0" t="n">
        <v>60311</v>
      </c>
      <c r="G481" s="0" t="s">
        <v>1681</v>
      </c>
      <c r="H481" s="0" t="s">
        <v>1648</v>
      </c>
      <c r="I481" s="0" t="n">
        <v>60311</v>
      </c>
      <c r="J481" s="0" t="s">
        <v>2221</v>
      </c>
      <c r="M481" s="0" t="s">
        <v>1539</v>
      </c>
      <c r="N481" s="0" t="s">
        <v>135</v>
      </c>
      <c r="Q481" s="0" t="n">
        <v>175</v>
      </c>
      <c r="R481" s="0" t="n">
        <v>175</v>
      </c>
      <c r="U481" s="0" t="s">
        <v>2222</v>
      </c>
      <c r="V481" s="0" t="s">
        <v>2222</v>
      </c>
      <c r="Y481" s="0" t="s">
        <v>1651</v>
      </c>
      <c r="Z481" s="0" t="s">
        <v>1652</v>
      </c>
      <c r="AA481" s="0" t="s">
        <v>2233</v>
      </c>
      <c r="AC481" s="0" t="s">
        <v>2224</v>
      </c>
    </row>
    <row r="482" customFormat="false" ht="15" hidden="false" customHeight="false" outlineLevel="0" collapsed="false">
      <c r="A482" s="0" t="s">
        <v>2288</v>
      </c>
      <c r="B482" s="0" t="s">
        <v>129</v>
      </c>
      <c r="C482" s="0" t="s">
        <v>1678</v>
      </c>
      <c r="D482" s="0" t="n">
        <v>2018</v>
      </c>
      <c r="E482" s="0" t="s">
        <v>68</v>
      </c>
      <c r="F482" s="0" t="n">
        <v>36951</v>
      </c>
      <c r="G482" s="0" t="s">
        <v>1681</v>
      </c>
      <c r="H482" s="0" t="s">
        <v>1648</v>
      </c>
      <c r="I482" s="0" t="n">
        <v>36951</v>
      </c>
      <c r="J482" s="0" t="s">
        <v>2221</v>
      </c>
      <c r="M482" s="0" t="s">
        <v>1539</v>
      </c>
      <c r="N482" s="0" t="s">
        <v>135</v>
      </c>
      <c r="Q482" s="0" t="n">
        <v>175</v>
      </c>
      <c r="R482" s="0" t="n">
        <v>175</v>
      </c>
      <c r="U482" s="0" t="s">
        <v>2222</v>
      </c>
      <c r="V482" s="0" t="s">
        <v>2222</v>
      </c>
      <c r="Y482" s="0" t="s">
        <v>1651</v>
      </c>
      <c r="Z482" s="0" t="s">
        <v>1652</v>
      </c>
      <c r="AA482" s="0" t="s">
        <v>2233</v>
      </c>
      <c r="AC482" s="0" t="s">
        <v>2224</v>
      </c>
    </row>
    <row r="483" customFormat="false" ht="15" hidden="false" customHeight="false" outlineLevel="0" collapsed="false">
      <c r="A483" s="0" t="s">
        <v>2289</v>
      </c>
      <c r="B483" s="0" t="s">
        <v>129</v>
      </c>
      <c r="C483" s="0" t="s">
        <v>1678</v>
      </c>
      <c r="D483" s="0" t="n">
        <v>2017</v>
      </c>
      <c r="E483" s="0" t="s">
        <v>60</v>
      </c>
      <c r="F483" s="0" t="n">
        <v>1204426</v>
      </c>
      <c r="G483" s="0" t="s">
        <v>1681</v>
      </c>
      <c r="H483" s="0" t="s">
        <v>1648</v>
      </c>
      <c r="I483" s="0" t="n">
        <v>1204426</v>
      </c>
      <c r="J483" s="0" t="s">
        <v>2221</v>
      </c>
      <c r="M483" s="0" t="s">
        <v>1539</v>
      </c>
      <c r="N483" s="0" t="s">
        <v>135</v>
      </c>
      <c r="Q483" s="0" t="n">
        <v>175</v>
      </c>
      <c r="R483" s="0" t="n">
        <v>175</v>
      </c>
      <c r="U483" s="0" t="s">
        <v>2228</v>
      </c>
      <c r="V483" s="0" t="s">
        <v>2228</v>
      </c>
      <c r="Y483" s="0" t="s">
        <v>1651</v>
      </c>
      <c r="Z483" s="0" t="s">
        <v>1652</v>
      </c>
      <c r="AA483" s="0" t="s">
        <v>2290</v>
      </c>
      <c r="AC483" s="0" t="s">
        <v>2224</v>
      </c>
    </row>
    <row r="484" customFormat="false" ht="15" hidden="false" customHeight="false" outlineLevel="0" collapsed="false">
      <c r="A484" s="0" t="s">
        <v>2291</v>
      </c>
      <c r="B484" s="0" t="s">
        <v>129</v>
      </c>
      <c r="C484" s="0" t="s">
        <v>1678</v>
      </c>
      <c r="D484" s="0" t="n">
        <v>2017</v>
      </c>
      <c r="E484" s="0" t="s">
        <v>404</v>
      </c>
      <c r="F484" s="0" t="n">
        <v>18658</v>
      </c>
      <c r="G484" s="0" t="s">
        <v>1681</v>
      </c>
      <c r="H484" s="0" t="s">
        <v>1648</v>
      </c>
      <c r="I484" s="0" t="n">
        <v>18658</v>
      </c>
      <c r="J484" s="0" t="s">
        <v>2221</v>
      </c>
      <c r="M484" s="0" t="s">
        <v>1539</v>
      </c>
      <c r="N484" s="0" t="s">
        <v>135</v>
      </c>
      <c r="Q484" s="0" t="n">
        <v>175</v>
      </c>
      <c r="R484" s="0" t="n">
        <v>175</v>
      </c>
      <c r="U484" s="0" t="s">
        <v>2228</v>
      </c>
      <c r="V484" s="0" t="s">
        <v>2228</v>
      </c>
      <c r="Y484" s="0" t="s">
        <v>1651</v>
      </c>
      <c r="Z484" s="0" t="s">
        <v>1652</v>
      </c>
      <c r="AA484" s="0" t="s">
        <v>2290</v>
      </c>
      <c r="AC484" s="0" t="s">
        <v>2224</v>
      </c>
    </row>
    <row r="485" customFormat="false" ht="15" hidden="false" customHeight="false" outlineLevel="0" collapsed="false">
      <c r="A485" s="0" t="s">
        <v>2292</v>
      </c>
      <c r="B485" s="0" t="s">
        <v>129</v>
      </c>
      <c r="C485" s="0" t="s">
        <v>1678</v>
      </c>
      <c r="D485" s="0" t="n">
        <v>2017</v>
      </c>
      <c r="E485" s="0" t="s">
        <v>406</v>
      </c>
      <c r="F485" s="0" t="n">
        <v>12554</v>
      </c>
      <c r="G485" s="0" t="s">
        <v>1681</v>
      </c>
      <c r="H485" s="0" t="s">
        <v>1648</v>
      </c>
      <c r="I485" s="0" t="n">
        <v>12554</v>
      </c>
      <c r="J485" s="0" t="s">
        <v>2221</v>
      </c>
      <c r="M485" s="0" t="s">
        <v>1539</v>
      </c>
      <c r="N485" s="0" t="s">
        <v>135</v>
      </c>
      <c r="Q485" s="0" t="n">
        <v>175</v>
      </c>
      <c r="R485" s="0" t="n">
        <v>175</v>
      </c>
      <c r="U485" s="0" t="s">
        <v>2228</v>
      </c>
      <c r="V485" s="0" t="s">
        <v>2228</v>
      </c>
      <c r="Y485" s="0" t="s">
        <v>1651</v>
      </c>
      <c r="Z485" s="0" t="s">
        <v>1652</v>
      </c>
      <c r="AA485" s="0" t="s">
        <v>2290</v>
      </c>
      <c r="AC485" s="0" t="s">
        <v>2224</v>
      </c>
    </row>
    <row r="486" customFormat="false" ht="15" hidden="false" customHeight="false" outlineLevel="0" collapsed="false">
      <c r="A486" s="0" t="s">
        <v>2293</v>
      </c>
      <c r="B486" s="0" t="s">
        <v>129</v>
      </c>
      <c r="C486" s="0" t="s">
        <v>1678</v>
      </c>
      <c r="D486" s="0" t="n">
        <v>2020</v>
      </c>
      <c r="E486" s="0" t="s">
        <v>60</v>
      </c>
      <c r="F486" s="0" t="n">
        <v>1874858</v>
      </c>
      <c r="G486" s="0" t="s">
        <v>1681</v>
      </c>
      <c r="H486" s="0" t="s">
        <v>1648</v>
      </c>
      <c r="I486" s="0" t="n">
        <v>1874858</v>
      </c>
      <c r="J486" s="0" t="s">
        <v>2221</v>
      </c>
      <c r="M486" s="0" t="s">
        <v>1542</v>
      </c>
      <c r="N486" s="0" t="s">
        <v>136</v>
      </c>
      <c r="Q486" s="0" t="n">
        <v>109</v>
      </c>
      <c r="R486" s="0" t="n">
        <v>109</v>
      </c>
      <c r="U486" s="0" t="s">
        <v>2246</v>
      </c>
      <c r="V486" s="0" t="s">
        <v>2246</v>
      </c>
      <c r="Y486" s="0" t="s">
        <v>1651</v>
      </c>
      <c r="Z486" s="0" t="s">
        <v>1652</v>
      </c>
      <c r="AA486" s="0" t="s">
        <v>2233</v>
      </c>
      <c r="AC486" s="0" t="s">
        <v>2224</v>
      </c>
    </row>
    <row r="487" customFormat="false" ht="15" hidden="false" customHeight="false" outlineLevel="0" collapsed="false">
      <c r="A487" s="0" t="s">
        <v>2294</v>
      </c>
      <c r="B487" s="0" t="s">
        <v>129</v>
      </c>
      <c r="C487" s="0" t="s">
        <v>1678</v>
      </c>
      <c r="D487" s="0" t="n">
        <v>2020</v>
      </c>
      <c r="E487" s="0" t="s">
        <v>61</v>
      </c>
      <c r="F487" s="0" t="n">
        <v>62322</v>
      </c>
      <c r="G487" s="0" t="s">
        <v>1681</v>
      </c>
      <c r="H487" s="0" t="s">
        <v>1648</v>
      </c>
      <c r="I487" s="0" t="n">
        <v>62322</v>
      </c>
      <c r="J487" s="0" t="s">
        <v>2221</v>
      </c>
      <c r="M487" s="0" t="s">
        <v>1542</v>
      </c>
      <c r="N487" s="0" t="s">
        <v>136</v>
      </c>
      <c r="Q487" s="0" t="n">
        <v>109</v>
      </c>
      <c r="R487" s="0" t="n">
        <v>109</v>
      </c>
      <c r="U487" s="0" t="s">
        <v>2246</v>
      </c>
      <c r="V487" s="0" t="s">
        <v>2246</v>
      </c>
      <c r="Y487" s="0" t="s">
        <v>1651</v>
      </c>
      <c r="Z487" s="0" t="s">
        <v>1652</v>
      </c>
      <c r="AA487" s="0" t="s">
        <v>2233</v>
      </c>
      <c r="AC487" s="0" t="s">
        <v>2224</v>
      </c>
    </row>
    <row r="488" customFormat="false" ht="15" hidden="false" customHeight="false" outlineLevel="0" collapsed="false">
      <c r="A488" s="0" t="s">
        <v>2295</v>
      </c>
      <c r="B488" s="0" t="s">
        <v>129</v>
      </c>
      <c r="C488" s="0" t="s">
        <v>1678</v>
      </c>
      <c r="D488" s="0" t="n">
        <v>2020</v>
      </c>
      <c r="E488" s="0" t="s">
        <v>68</v>
      </c>
      <c r="F488" s="0" t="n">
        <v>21933</v>
      </c>
      <c r="G488" s="0" t="s">
        <v>1681</v>
      </c>
      <c r="H488" s="0" t="s">
        <v>1648</v>
      </c>
      <c r="I488" s="0" t="n">
        <v>21933</v>
      </c>
      <c r="J488" s="0" t="s">
        <v>2221</v>
      </c>
      <c r="M488" s="0" t="s">
        <v>1542</v>
      </c>
      <c r="N488" s="0" t="s">
        <v>136</v>
      </c>
      <c r="Q488" s="0" t="n">
        <v>109</v>
      </c>
      <c r="R488" s="0" t="n">
        <v>109</v>
      </c>
      <c r="U488" s="0" t="s">
        <v>2246</v>
      </c>
      <c r="V488" s="0" t="s">
        <v>2246</v>
      </c>
      <c r="Y488" s="0" t="s">
        <v>1651</v>
      </c>
      <c r="Z488" s="0" t="s">
        <v>1652</v>
      </c>
      <c r="AA488" s="0" t="s">
        <v>2233</v>
      </c>
      <c r="AC488" s="0" t="s">
        <v>2224</v>
      </c>
    </row>
    <row r="489" customFormat="false" ht="15" hidden="false" customHeight="false" outlineLevel="0" collapsed="false">
      <c r="A489" s="0" t="s">
        <v>2296</v>
      </c>
      <c r="B489" s="0" t="s">
        <v>129</v>
      </c>
      <c r="C489" s="0" t="s">
        <v>1678</v>
      </c>
      <c r="D489" s="0" t="n">
        <v>2019</v>
      </c>
      <c r="E489" s="0" t="s">
        <v>60</v>
      </c>
      <c r="F489" s="0" t="n">
        <v>1557358</v>
      </c>
      <c r="G489" s="0" t="s">
        <v>1681</v>
      </c>
      <c r="H489" s="0" t="s">
        <v>1648</v>
      </c>
      <c r="I489" s="0" t="n">
        <v>1557358</v>
      </c>
      <c r="J489" s="0" t="s">
        <v>2221</v>
      </c>
      <c r="M489" s="0" t="s">
        <v>1542</v>
      </c>
      <c r="N489" s="0" t="s">
        <v>136</v>
      </c>
      <c r="Q489" s="0" t="n">
        <v>109</v>
      </c>
      <c r="R489" s="0" t="n">
        <v>109</v>
      </c>
      <c r="U489" s="0" t="s">
        <v>2252</v>
      </c>
      <c r="V489" s="0" t="s">
        <v>2252</v>
      </c>
      <c r="Y489" s="0" t="s">
        <v>1651</v>
      </c>
      <c r="Z489" s="0" t="s">
        <v>1652</v>
      </c>
      <c r="AA489" s="0" t="s">
        <v>2233</v>
      </c>
      <c r="AC489" s="0" t="s">
        <v>2224</v>
      </c>
    </row>
    <row r="490" customFormat="false" ht="15" hidden="false" customHeight="false" outlineLevel="0" collapsed="false">
      <c r="A490" s="0" t="s">
        <v>2297</v>
      </c>
      <c r="B490" s="0" t="s">
        <v>129</v>
      </c>
      <c r="C490" s="0" t="s">
        <v>1678</v>
      </c>
      <c r="D490" s="0" t="n">
        <v>2019</v>
      </c>
      <c r="E490" s="0" t="s">
        <v>61</v>
      </c>
      <c r="F490" s="0" t="n">
        <v>53978</v>
      </c>
      <c r="G490" s="0" t="s">
        <v>1681</v>
      </c>
      <c r="H490" s="0" t="s">
        <v>1648</v>
      </c>
      <c r="I490" s="0" t="n">
        <v>53978</v>
      </c>
      <c r="J490" s="0" t="s">
        <v>2221</v>
      </c>
      <c r="M490" s="0" t="s">
        <v>1542</v>
      </c>
      <c r="N490" s="0" t="s">
        <v>136</v>
      </c>
      <c r="Q490" s="0" t="n">
        <v>109</v>
      </c>
      <c r="R490" s="0" t="n">
        <v>109</v>
      </c>
      <c r="U490" s="0" t="s">
        <v>2252</v>
      </c>
      <c r="V490" s="0" t="s">
        <v>2252</v>
      </c>
      <c r="Y490" s="0" t="s">
        <v>1651</v>
      </c>
      <c r="Z490" s="0" t="s">
        <v>1652</v>
      </c>
      <c r="AA490" s="0" t="s">
        <v>2233</v>
      </c>
      <c r="AC490" s="0" t="s">
        <v>2224</v>
      </c>
    </row>
    <row r="491" customFormat="false" ht="15" hidden="false" customHeight="false" outlineLevel="0" collapsed="false">
      <c r="A491" s="0" t="s">
        <v>2298</v>
      </c>
      <c r="B491" s="0" t="s">
        <v>129</v>
      </c>
      <c r="C491" s="0" t="s">
        <v>1678</v>
      </c>
      <c r="D491" s="0" t="n">
        <v>2019</v>
      </c>
      <c r="E491" s="0" t="s">
        <v>68</v>
      </c>
      <c r="F491" s="0" t="n">
        <v>21215</v>
      </c>
      <c r="G491" s="0" t="s">
        <v>1681</v>
      </c>
      <c r="H491" s="0" t="s">
        <v>1648</v>
      </c>
      <c r="I491" s="0" t="n">
        <v>21215</v>
      </c>
      <c r="J491" s="0" t="s">
        <v>2221</v>
      </c>
      <c r="M491" s="0" t="s">
        <v>1542</v>
      </c>
      <c r="N491" s="0" t="s">
        <v>136</v>
      </c>
      <c r="Q491" s="0" t="n">
        <v>109</v>
      </c>
      <c r="R491" s="0" t="n">
        <v>109</v>
      </c>
      <c r="U491" s="0" t="s">
        <v>2252</v>
      </c>
      <c r="V491" s="0" t="s">
        <v>2252</v>
      </c>
      <c r="Y491" s="0" t="s">
        <v>1651</v>
      </c>
      <c r="Z491" s="0" t="s">
        <v>1652</v>
      </c>
      <c r="AA491" s="0" t="s">
        <v>2233</v>
      </c>
      <c r="AC491" s="0" t="s">
        <v>2224</v>
      </c>
    </row>
    <row r="492" customFormat="false" ht="15" hidden="false" customHeight="false" outlineLevel="0" collapsed="false">
      <c r="A492" s="0" t="s">
        <v>2299</v>
      </c>
      <c r="B492" s="0" t="s">
        <v>129</v>
      </c>
      <c r="C492" s="0" t="s">
        <v>1678</v>
      </c>
      <c r="D492" s="0" t="n">
        <v>2022</v>
      </c>
      <c r="E492" s="0" t="s">
        <v>60</v>
      </c>
      <c r="F492" s="0" t="n">
        <v>2174779</v>
      </c>
      <c r="G492" s="0" t="s">
        <v>1681</v>
      </c>
      <c r="H492" s="0" t="s">
        <v>1648</v>
      </c>
      <c r="I492" s="0" t="n">
        <v>2174779</v>
      </c>
      <c r="J492" s="0" t="s">
        <v>2221</v>
      </c>
      <c r="M492" s="0" t="s">
        <v>1545</v>
      </c>
      <c r="N492" s="0" t="s">
        <v>137</v>
      </c>
      <c r="Q492" s="0" t="n">
        <v>106</v>
      </c>
      <c r="R492" s="0" t="n">
        <v>106</v>
      </c>
      <c r="U492" s="0" t="s">
        <v>2267</v>
      </c>
      <c r="V492" s="0" t="s">
        <v>2267</v>
      </c>
      <c r="Y492" s="0" t="s">
        <v>1651</v>
      </c>
      <c r="Z492" s="0" t="s">
        <v>1652</v>
      </c>
      <c r="AA492" s="0" t="s">
        <v>2233</v>
      </c>
      <c r="AC492" s="0" t="s">
        <v>2224</v>
      </c>
    </row>
    <row r="493" customFormat="false" ht="15" hidden="false" customHeight="false" outlineLevel="0" collapsed="false">
      <c r="A493" s="0" t="s">
        <v>2300</v>
      </c>
      <c r="B493" s="0" t="s">
        <v>129</v>
      </c>
      <c r="C493" s="0" t="s">
        <v>1678</v>
      </c>
      <c r="D493" s="0" t="n">
        <v>2022</v>
      </c>
      <c r="E493" s="0" t="s">
        <v>61</v>
      </c>
      <c r="F493" s="0" t="n">
        <v>51682</v>
      </c>
      <c r="G493" s="0" t="s">
        <v>1681</v>
      </c>
      <c r="H493" s="0" t="s">
        <v>1648</v>
      </c>
      <c r="I493" s="0" t="n">
        <v>51682</v>
      </c>
      <c r="J493" s="0" t="s">
        <v>2221</v>
      </c>
      <c r="M493" s="0" t="s">
        <v>1545</v>
      </c>
      <c r="N493" s="0" t="s">
        <v>137</v>
      </c>
      <c r="Q493" s="0" t="n">
        <v>106</v>
      </c>
      <c r="R493" s="0" t="n">
        <v>106</v>
      </c>
      <c r="U493" s="0" t="s">
        <v>2267</v>
      </c>
      <c r="V493" s="0" t="s">
        <v>2267</v>
      </c>
      <c r="Y493" s="0" t="s">
        <v>1651</v>
      </c>
      <c r="Z493" s="0" t="s">
        <v>1652</v>
      </c>
      <c r="AA493" s="0" t="s">
        <v>2233</v>
      </c>
      <c r="AC493" s="0" t="s">
        <v>2224</v>
      </c>
    </row>
    <row r="494" customFormat="false" ht="15" hidden="false" customHeight="false" outlineLevel="0" collapsed="false">
      <c r="A494" s="0" t="s">
        <v>2301</v>
      </c>
      <c r="B494" s="0" t="s">
        <v>129</v>
      </c>
      <c r="C494" s="0" t="s">
        <v>1678</v>
      </c>
      <c r="D494" s="0" t="n">
        <v>2021</v>
      </c>
      <c r="E494" s="0" t="s">
        <v>60</v>
      </c>
      <c r="F494" s="0" t="n">
        <v>1913403</v>
      </c>
      <c r="G494" s="0" t="s">
        <v>1681</v>
      </c>
      <c r="H494" s="0" t="s">
        <v>1648</v>
      </c>
      <c r="I494" s="0" t="n">
        <v>1913403</v>
      </c>
      <c r="J494" s="0" t="s">
        <v>2221</v>
      </c>
      <c r="M494" s="0" t="s">
        <v>1545</v>
      </c>
      <c r="N494" s="0" t="s">
        <v>137</v>
      </c>
      <c r="Q494" s="0" t="n">
        <v>106</v>
      </c>
      <c r="R494" s="0" t="n">
        <v>106</v>
      </c>
      <c r="U494" s="0" t="s">
        <v>2272</v>
      </c>
      <c r="V494" s="0" t="s">
        <v>2272</v>
      </c>
      <c r="Y494" s="0" t="s">
        <v>1651</v>
      </c>
      <c r="Z494" s="0" t="s">
        <v>1652</v>
      </c>
      <c r="AA494" s="0" t="s">
        <v>2233</v>
      </c>
      <c r="AC494" s="0" t="s">
        <v>2224</v>
      </c>
    </row>
    <row r="495" customFormat="false" ht="15" hidden="false" customHeight="false" outlineLevel="0" collapsed="false">
      <c r="A495" s="0" t="s">
        <v>2302</v>
      </c>
      <c r="B495" s="0" t="s">
        <v>129</v>
      </c>
      <c r="C495" s="0" t="s">
        <v>1678</v>
      </c>
      <c r="D495" s="0" t="n">
        <v>2021</v>
      </c>
      <c r="E495" s="0" t="s">
        <v>61</v>
      </c>
      <c r="F495" s="0" t="n">
        <v>65301</v>
      </c>
      <c r="G495" s="0" t="s">
        <v>1681</v>
      </c>
      <c r="H495" s="0" t="s">
        <v>1648</v>
      </c>
      <c r="I495" s="0" t="n">
        <v>65301</v>
      </c>
      <c r="J495" s="0" t="s">
        <v>2221</v>
      </c>
      <c r="M495" s="0" t="s">
        <v>1545</v>
      </c>
      <c r="N495" s="0" t="s">
        <v>137</v>
      </c>
      <c r="Q495" s="0" t="n">
        <v>106</v>
      </c>
      <c r="R495" s="0" t="n">
        <v>106</v>
      </c>
      <c r="U495" s="0" t="s">
        <v>2272</v>
      </c>
      <c r="V495" s="0" t="s">
        <v>2272</v>
      </c>
      <c r="Y495" s="0" t="s">
        <v>1651</v>
      </c>
      <c r="Z495" s="0" t="s">
        <v>1652</v>
      </c>
      <c r="AA495" s="0" t="s">
        <v>2233</v>
      </c>
      <c r="AC495" s="0" t="s">
        <v>2224</v>
      </c>
    </row>
    <row r="496" customFormat="false" ht="15" hidden="false" customHeight="false" outlineLevel="0" collapsed="false">
      <c r="A496" s="0" t="s">
        <v>2303</v>
      </c>
      <c r="B496" s="0" t="s">
        <v>129</v>
      </c>
      <c r="C496" s="0" t="s">
        <v>1678</v>
      </c>
      <c r="D496" s="0" t="n">
        <v>2018</v>
      </c>
      <c r="E496" s="0" t="s">
        <v>65</v>
      </c>
      <c r="F496" s="0" t="n">
        <v>245482</v>
      </c>
      <c r="G496" s="0" t="s">
        <v>1681</v>
      </c>
      <c r="H496" s="0" t="s">
        <v>1648</v>
      </c>
      <c r="I496" s="0" t="n">
        <v>245482</v>
      </c>
      <c r="J496" s="0" t="s">
        <v>2221</v>
      </c>
      <c r="M496" s="0" t="s">
        <v>1539</v>
      </c>
      <c r="N496" s="0" t="s">
        <v>135</v>
      </c>
      <c r="Q496" s="0" t="n">
        <v>151</v>
      </c>
      <c r="R496" s="0" t="n">
        <v>151</v>
      </c>
      <c r="U496" s="0" t="s">
        <v>2222</v>
      </c>
      <c r="V496" s="0" t="s">
        <v>2222</v>
      </c>
      <c r="Y496" s="0" t="s">
        <v>1651</v>
      </c>
      <c r="Z496" s="0" t="s">
        <v>1652</v>
      </c>
      <c r="AA496" s="0" t="s">
        <v>2304</v>
      </c>
      <c r="AC496" s="0" t="s">
        <v>2224</v>
      </c>
    </row>
    <row r="497" customFormat="false" ht="15" hidden="false" customHeight="false" outlineLevel="0" collapsed="false">
      <c r="A497" s="0" t="s">
        <v>2305</v>
      </c>
      <c r="B497" s="0" t="s">
        <v>129</v>
      </c>
      <c r="C497" s="0" t="s">
        <v>1678</v>
      </c>
      <c r="D497" s="0" t="n">
        <v>2018</v>
      </c>
      <c r="E497" s="0" t="s">
        <v>66</v>
      </c>
      <c r="F497" s="0" t="n">
        <v>1248509</v>
      </c>
      <c r="G497" s="0" t="s">
        <v>1681</v>
      </c>
      <c r="H497" s="0" t="s">
        <v>1648</v>
      </c>
      <c r="I497" s="0" t="n">
        <v>1248509</v>
      </c>
      <c r="J497" s="0" t="s">
        <v>2221</v>
      </c>
      <c r="M497" s="0" t="s">
        <v>1539</v>
      </c>
      <c r="N497" s="0" t="s">
        <v>135</v>
      </c>
      <c r="Q497" s="0" t="n">
        <v>151</v>
      </c>
      <c r="R497" s="0" t="n">
        <v>151</v>
      </c>
      <c r="U497" s="0" t="s">
        <v>2222</v>
      </c>
      <c r="V497" s="0" t="s">
        <v>2222</v>
      </c>
      <c r="Y497" s="0" t="s">
        <v>1651</v>
      </c>
      <c r="Z497" s="0" t="s">
        <v>1652</v>
      </c>
      <c r="AA497" s="0" t="s">
        <v>2304</v>
      </c>
      <c r="AC497" s="0" t="s">
        <v>2224</v>
      </c>
    </row>
    <row r="498" customFormat="false" ht="15" hidden="false" customHeight="false" outlineLevel="0" collapsed="false">
      <c r="A498" s="0" t="s">
        <v>2306</v>
      </c>
      <c r="B498" s="0" t="s">
        <v>129</v>
      </c>
      <c r="C498" s="0" t="s">
        <v>1678</v>
      </c>
      <c r="D498" s="0" t="n">
        <v>2018</v>
      </c>
      <c r="E498" s="0" t="s">
        <v>69</v>
      </c>
      <c r="F498" s="0" t="n">
        <v>20</v>
      </c>
      <c r="G498" s="0" t="s">
        <v>1723</v>
      </c>
      <c r="I498" s="0" t="n">
        <v>20</v>
      </c>
      <c r="J498" s="0" t="s">
        <v>2221</v>
      </c>
      <c r="M498" s="0" t="s">
        <v>1539</v>
      </c>
      <c r="N498" s="0" t="s">
        <v>135</v>
      </c>
      <c r="Q498" s="0" t="n">
        <v>151</v>
      </c>
      <c r="R498" s="0" t="n">
        <v>151</v>
      </c>
      <c r="U498" s="0" t="s">
        <v>2222</v>
      </c>
      <c r="V498" s="0" t="s">
        <v>2222</v>
      </c>
      <c r="Y498" s="0" t="s">
        <v>1651</v>
      </c>
      <c r="Z498" s="0" t="s">
        <v>1652</v>
      </c>
      <c r="AA498" s="0" t="s">
        <v>2304</v>
      </c>
      <c r="AC498" s="0" t="s">
        <v>2224</v>
      </c>
    </row>
    <row r="499" customFormat="false" ht="15" hidden="false" customHeight="false" outlineLevel="0" collapsed="false">
      <c r="A499" s="0" t="s">
        <v>2307</v>
      </c>
      <c r="B499" s="0" t="s">
        <v>129</v>
      </c>
      <c r="C499" s="0" t="s">
        <v>1678</v>
      </c>
      <c r="D499" s="0" t="n">
        <v>2018</v>
      </c>
      <c r="E499" s="0" t="s">
        <v>591</v>
      </c>
      <c r="F499" s="0" t="n">
        <v>22.08</v>
      </c>
      <c r="G499" s="0" t="s">
        <v>1723</v>
      </c>
      <c r="I499" s="0" t="n">
        <v>22.08</v>
      </c>
      <c r="J499" s="0" t="s">
        <v>2221</v>
      </c>
      <c r="M499" s="0" t="s">
        <v>1539</v>
      </c>
      <c r="N499" s="0" t="s">
        <v>135</v>
      </c>
      <c r="Q499" s="0" t="n">
        <v>151</v>
      </c>
      <c r="R499" s="0" t="n">
        <v>151</v>
      </c>
      <c r="U499" s="0" t="s">
        <v>2222</v>
      </c>
      <c r="V499" s="0" t="s">
        <v>2222</v>
      </c>
      <c r="Y499" s="0" t="s">
        <v>1651</v>
      </c>
      <c r="Z499" s="0" t="s">
        <v>1652</v>
      </c>
      <c r="AA499" s="0" t="s">
        <v>2304</v>
      </c>
      <c r="AC499" s="0" t="s">
        <v>2224</v>
      </c>
    </row>
    <row r="500" customFormat="false" ht="15" hidden="false" customHeight="false" outlineLevel="0" collapsed="false">
      <c r="A500" s="0" t="s">
        <v>2308</v>
      </c>
      <c r="B500" s="0" t="s">
        <v>129</v>
      </c>
      <c r="C500" s="0" t="s">
        <v>1678</v>
      </c>
      <c r="D500" s="0" t="n">
        <v>2018</v>
      </c>
      <c r="E500" s="0" t="s">
        <v>70</v>
      </c>
      <c r="F500" s="0" t="n">
        <v>16</v>
      </c>
      <c r="G500" s="0" t="s">
        <v>1723</v>
      </c>
      <c r="I500" s="0" t="n">
        <v>16</v>
      </c>
      <c r="J500" s="0" t="s">
        <v>2221</v>
      </c>
      <c r="M500" s="0" t="s">
        <v>1539</v>
      </c>
      <c r="N500" s="0" t="s">
        <v>135</v>
      </c>
      <c r="Q500" s="0" t="n">
        <v>151</v>
      </c>
      <c r="R500" s="0" t="n">
        <v>151</v>
      </c>
      <c r="U500" s="0" t="s">
        <v>2222</v>
      </c>
      <c r="V500" s="0" t="s">
        <v>2222</v>
      </c>
      <c r="Y500" s="0" t="s">
        <v>1651</v>
      </c>
      <c r="Z500" s="0" t="s">
        <v>1652</v>
      </c>
      <c r="AA500" s="0" t="s">
        <v>2304</v>
      </c>
      <c r="AC500" s="0" t="s">
        <v>2224</v>
      </c>
    </row>
    <row r="501" customFormat="false" ht="15" hidden="false" customHeight="false" outlineLevel="0" collapsed="false">
      <c r="A501" s="0" t="s">
        <v>2309</v>
      </c>
      <c r="B501" s="0" t="s">
        <v>129</v>
      </c>
      <c r="C501" s="0" t="s">
        <v>1678</v>
      </c>
      <c r="D501" s="0" t="n">
        <v>2017</v>
      </c>
      <c r="E501" s="0" t="s">
        <v>65</v>
      </c>
      <c r="F501" s="0" t="n">
        <v>255027</v>
      </c>
      <c r="G501" s="0" t="s">
        <v>1681</v>
      </c>
      <c r="H501" s="0" t="s">
        <v>1648</v>
      </c>
      <c r="I501" s="0" t="n">
        <v>255027</v>
      </c>
      <c r="J501" s="0" t="s">
        <v>2221</v>
      </c>
      <c r="M501" s="0" t="s">
        <v>1539</v>
      </c>
      <c r="N501" s="0" t="s">
        <v>135</v>
      </c>
      <c r="Q501" s="0" t="n">
        <v>151</v>
      </c>
      <c r="R501" s="0" t="n">
        <v>151</v>
      </c>
      <c r="U501" s="0" t="s">
        <v>2228</v>
      </c>
      <c r="V501" s="0" t="s">
        <v>2228</v>
      </c>
      <c r="Y501" s="0" t="s">
        <v>1651</v>
      </c>
      <c r="Z501" s="0" t="s">
        <v>1652</v>
      </c>
      <c r="AA501" s="0" t="s">
        <v>2310</v>
      </c>
      <c r="AC501" s="0" t="s">
        <v>2224</v>
      </c>
    </row>
    <row r="502" customFormat="false" ht="15" hidden="false" customHeight="false" outlineLevel="0" collapsed="false">
      <c r="A502" s="0" t="s">
        <v>2311</v>
      </c>
      <c r="B502" s="0" t="s">
        <v>129</v>
      </c>
      <c r="C502" s="0" t="s">
        <v>1678</v>
      </c>
      <c r="D502" s="0" t="n">
        <v>2017</v>
      </c>
      <c r="E502" s="0" t="s">
        <v>66</v>
      </c>
      <c r="F502" s="0" t="n">
        <v>1265087</v>
      </c>
      <c r="G502" s="0" t="s">
        <v>1681</v>
      </c>
      <c r="H502" s="0" t="s">
        <v>1648</v>
      </c>
      <c r="I502" s="0" t="n">
        <v>1265087</v>
      </c>
      <c r="J502" s="0" t="s">
        <v>2221</v>
      </c>
      <c r="M502" s="0" t="s">
        <v>1539</v>
      </c>
      <c r="N502" s="0" t="s">
        <v>135</v>
      </c>
      <c r="Q502" s="0" t="n">
        <v>151</v>
      </c>
      <c r="R502" s="0" t="n">
        <v>151</v>
      </c>
      <c r="U502" s="0" t="s">
        <v>2228</v>
      </c>
      <c r="V502" s="0" t="s">
        <v>2228</v>
      </c>
      <c r="Y502" s="0" t="s">
        <v>1651</v>
      </c>
      <c r="Z502" s="0" t="s">
        <v>1652</v>
      </c>
      <c r="AA502" s="0" t="s">
        <v>2310</v>
      </c>
      <c r="AC502" s="0" t="s">
        <v>2224</v>
      </c>
    </row>
    <row r="503" customFormat="false" ht="15" hidden="false" customHeight="false" outlineLevel="0" collapsed="false">
      <c r="A503" s="0" t="s">
        <v>2312</v>
      </c>
      <c r="B503" s="0" t="s">
        <v>129</v>
      </c>
      <c r="C503" s="0" t="s">
        <v>1678</v>
      </c>
      <c r="D503" s="0" t="n">
        <v>2017</v>
      </c>
      <c r="E503" s="0" t="s">
        <v>69</v>
      </c>
      <c r="F503" s="0" t="n">
        <v>20</v>
      </c>
      <c r="G503" s="0" t="s">
        <v>1723</v>
      </c>
      <c r="I503" s="0" t="n">
        <v>20</v>
      </c>
      <c r="J503" s="0" t="s">
        <v>2221</v>
      </c>
      <c r="M503" s="0" t="s">
        <v>1539</v>
      </c>
      <c r="N503" s="0" t="s">
        <v>135</v>
      </c>
      <c r="Q503" s="0" t="n">
        <v>151</v>
      </c>
      <c r="R503" s="0" t="n">
        <v>151</v>
      </c>
      <c r="U503" s="0" t="s">
        <v>2228</v>
      </c>
      <c r="V503" s="0" t="s">
        <v>2228</v>
      </c>
      <c r="Y503" s="0" t="s">
        <v>1651</v>
      </c>
      <c r="Z503" s="0" t="s">
        <v>1652</v>
      </c>
      <c r="AA503" s="0" t="s">
        <v>2310</v>
      </c>
      <c r="AC503" s="0" t="s">
        <v>2224</v>
      </c>
    </row>
    <row r="504" customFormat="false" ht="15" hidden="false" customHeight="false" outlineLevel="0" collapsed="false">
      <c r="A504" s="0" t="s">
        <v>2313</v>
      </c>
      <c r="B504" s="0" t="s">
        <v>129</v>
      </c>
      <c r="C504" s="0" t="s">
        <v>1678</v>
      </c>
      <c r="D504" s="0" t="n">
        <v>2020</v>
      </c>
      <c r="E504" s="0" t="s">
        <v>65</v>
      </c>
      <c r="F504" s="0" t="n">
        <v>276315</v>
      </c>
      <c r="G504" s="0" t="s">
        <v>1681</v>
      </c>
      <c r="H504" s="0" t="s">
        <v>1648</v>
      </c>
      <c r="I504" s="0" t="n">
        <v>276315</v>
      </c>
      <c r="J504" s="0" t="s">
        <v>2221</v>
      </c>
      <c r="M504" s="0" t="s">
        <v>1542</v>
      </c>
      <c r="N504" s="0" t="s">
        <v>136</v>
      </c>
      <c r="Q504" s="0" t="n">
        <v>88</v>
      </c>
      <c r="R504" s="0" t="n">
        <v>88</v>
      </c>
      <c r="U504" s="0" t="s">
        <v>2246</v>
      </c>
      <c r="V504" s="0" t="s">
        <v>2246</v>
      </c>
      <c r="Y504" s="0" t="s">
        <v>1651</v>
      </c>
      <c r="Z504" s="0" t="s">
        <v>1652</v>
      </c>
      <c r="AA504" s="0" t="s">
        <v>2314</v>
      </c>
      <c r="AC504" s="0" t="s">
        <v>2224</v>
      </c>
    </row>
    <row r="505" customFormat="false" ht="15" hidden="false" customHeight="false" outlineLevel="0" collapsed="false">
      <c r="A505" s="0" t="s">
        <v>2315</v>
      </c>
      <c r="B505" s="0" t="s">
        <v>129</v>
      </c>
      <c r="C505" s="0" t="s">
        <v>1678</v>
      </c>
      <c r="D505" s="0" t="n">
        <v>2020</v>
      </c>
      <c r="E505" s="0" t="s">
        <v>66</v>
      </c>
      <c r="F505" s="0" t="n">
        <v>1402955</v>
      </c>
      <c r="G505" s="0" t="s">
        <v>1681</v>
      </c>
      <c r="H505" s="0" t="s">
        <v>1648</v>
      </c>
      <c r="I505" s="0" t="n">
        <v>1402955</v>
      </c>
      <c r="J505" s="0" t="s">
        <v>2221</v>
      </c>
      <c r="M505" s="0" t="s">
        <v>1542</v>
      </c>
      <c r="N505" s="0" t="s">
        <v>136</v>
      </c>
      <c r="Q505" s="0" t="n">
        <v>88</v>
      </c>
      <c r="R505" s="0" t="n">
        <v>88</v>
      </c>
      <c r="U505" s="0" t="s">
        <v>2246</v>
      </c>
      <c r="V505" s="0" t="s">
        <v>2246</v>
      </c>
      <c r="Y505" s="0" t="s">
        <v>1651</v>
      </c>
      <c r="Z505" s="0" t="s">
        <v>1652</v>
      </c>
      <c r="AA505" s="0" t="s">
        <v>2314</v>
      </c>
      <c r="AC505" s="0" t="s">
        <v>2224</v>
      </c>
    </row>
    <row r="506" customFormat="false" ht="15" hidden="false" customHeight="false" outlineLevel="0" collapsed="false">
      <c r="A506" s="0" t="s">
        <v>2316</v>
      </c>
      <c r="B506" s="0" t="s">
        <v>129</v>
      </c>
      <c r="C506" s="0" t="s">
        <v>1678</v>
      </c>
      <c r="D506" s="0" t="n">
        <v>2020</v>
      </c>
      <c r="E506" s="0" t="s">
        <v>69</v>
      </c>
      <c r="F506" s="0" t="n">
        <v>20</v>
      </c>
      <c r="G506" s="0" t="s">
        <v>1723</v>
      </c>
      <c r="I506" s="0" t="n">
        <v>20</v>
      </c>
      <c r="J506" s="0" t="s">
        <v>2221</v>
      </c>
      <c r="M506" s="0" t="s">
        <v>1542</v>
      </c>
      <c r="N506" s="0" t="s">
        <v>136</v>
      </c>
      <c r="Q506" s="0" t="n">
        <v>88</v>
      </c>
      <c r="R506" s="0" t="n">
        <v>88</v>
      </c>
      <c r="U506" s="0" t="s">
        <v>2246</v>
      </c>
      <c r="V506" s="0" t="s">
        <v>2246</v>
      </c>
      <c r="Y506" s="0" t="s">
        <v>1651</v>
      </c>
      <c r="Z506" s="0" t="s">
        <v>1652</v>
      </c>
      <c r="AA506" s="0" t="s">
        <v>2314</v>
      </c>
      <c r="AC506" s="0" t="s">
        <v>2224</v>
      </c>
    </row>
    <row r="507" customFormat="false" ht="15" hidden="false" customHeight="false" outlineLevel="0" collapsed="false">
      <c r="A507" s="0" t="s">
        <v>2317</v>
      </c>
      <c r="B507" s="0" t="s">
        <v>129</v>
      </c>
      <c r="C507" s="0" t="s">
        <v>1678</v>
      </c>
      <c r="D507" s="0" t="n">
        <v>2020</v>
      </c>
      <c r="E507" s="0" t="s">
        <v>70</v>
      </c>
      <c r="F507" s="0" t="n">
        <v>15</v>
      </c>
      <c r="G507" s="0" t="s">
        <v>1723</v>
      </c>
      <c r="I507" s="0" t="n">
        <v>15</v>
      </c>
      <c r="J507" s="0" t="s">
        <v>2221</v>
      </c>
      <c r="M507" s="0" t="s">
        <v>1542</v>
      </c>
      <c r="N507" s="0" t="s">
        <v>136</v>
      </c>
      <c r="Q507" s="0" t="n">
        <v>88</v>
      </c>
      <c r="R507" s="0" t="n">
        <v>88</v>
      </c>
      <c r="U507" s="0" t="s">
        <v>2246</v>
      </c>
      <c r="V507" s="0" t="s">
        <v>2246</v>
      </c>
      <c r="Y507" s="0" t="s">
        <v>1651</v>
      </c>
      <c r="Z507" s="0" t="s">
        <v>1652</v>
      </c>
      <c r="AA507" s="0" t="s">
        <v>2314</v>
      </c>
      <c r="AC507" s="0" t="s">
        <v>2224</v>
      </c>
    </row>
    <row r="508" customFormat="false" ht="15" hidden="false" customHeight="false" outlineLevel="0" collapsed="false">
      <c r="A508" s="0" t="s">
        <v>2318</v>
      </c>
      <c r="B508" s="0" t="s">
        <v>129</v>
      </c>
      <c r="C508" s="0" t="s">
        <v>1678</v>
      </c>
      <c r="D508" s="0" t="n">
        <v>2019</v>
      </c>
      <c r="E508" s="0" t="s">
        <v>65</v>
      </c>
      <c r="F508" s="0" t="n">
        <v>285664</v>
      </c>
      <c r="G508" s="0" t="s">
        <v>1681</v>
      </c>
      <c r="H508" s="0" t="s">
        <v>1648</v>
      </c>
      <c r="I508" s="0" t="n">
        <v>285664</v>
      </c>
      <c r="J508" s="0" t="s">
        <v>2221</v>
      </c>
      <c r="M508" s="0" t="s">
        <v>1542</v>
      </c>
      <c r="N508" s="0" t="s">
        <v>136</v>
      </c>
      <c r="Q508" s="0" t="n">
        <v>88</v>
      </c>
      <c r="R508" s="0" t="n">
        <v>88</v>
      </c>
      <c r="U508" s="0" t="s">
        <v>2252</v>
      </c>
      <c r="V508" s="0" t="s">
        <v>2252</v>
      </c>
      <c r="Y508" s="0" t="s">
        <v>1651</v>
      </c>
      <c r="Z508" s="0" t="s">
        <v>1652</v>
      </c>
      <c r="AA508" s="0" t="s">
        <v>2319</v>
      </c>
      <c r="AC508" s="0" t="s">
        <v>2224</v>
      </c>
    </row>
    <row r="509" customFormat="false" ht="15" hidden="false" customHeight="false" outlineLevel="0" collapsed="false">
      <c r="A509" s="0" t="s">
        <v>2320</v>
      </c>
      <c r="B509" s="0" t="s">
        <v>129</v>
      </c>
      <c r="C509" s="0" t="s">
        <v>1678</v>
      </c>
      <c r="D509" s="0" t="n">
        <v>2019</v>
      </c>
      <c r="E509" s="0" t="s">
        <v>66</v>
      </c>
      <c r="F509" s="0" t="n">
        <v>1328231</v>
      </c>
      <c r="G509" s="0" t="s">
        <v>1681</v>
      </c>
      <c r="H509" s="0" t="s">
        <v>1648</v>
      </c>
      <c r="I509" s="0" t="n">
        <v>1328231</v>
      </c>
      <c r="J509" s="0" t="s">
        <v>2221</v>
      </c>
      <c r="M509" s="0" t="s">
        <v>1542</v>
      </c>
      <c r="N509" s="0" t="s">
        <v>136</v>
      </c>
      <c r="Q509" s="0" t="n">
        <v>88</v>
      </c>
      <c r="R509" s="0" t="n">
        <v>88</v>
      </c>
      <c r="U509" s="0" t="s">
        <v>2252</v>
      </c>
      <c r="V509" s="0" t="s">
        <v>2252</v>
      </c>
      <c r="Y509" s="0" t="s">
        <v>1651</v>
      </c>
      <c r="Z509" s="0" t="s">
        <v>1652</v>
      </c>
      <c r="AA509" s="0" t="s">
        <v>2319</v>
      </c>
      <c r="AC509" s="0" t="s">
        <v>2224</v>
      </c>
    </row>
    <row r="510" customFormat="false" ht="15" hidden="false" customHeight="false" outlineLevel="0" collapsed="false">
      <c r="A510" s="0" t="s">
        <v>2321</v>
      </c>
      <c r="B510" s="0" t="s">
        <v>129</v>
      </c>
      <c r="C510" s="0" t="s">
        <v>1678</v>
      </c>
      <c r="D510" s="0" t="n">
        <v>2019</v>
      </c>
      <c r="E510" s="0" t="s">
        <v>69</v>
      </c>
      <c r="F510" s="0" t="n">
        <v>22</v>
      </c>
      <c r="G510" s="0" t="s">
        <v>1723</v>
      </c>
      <c r="I510" s="0" t="n">
        <v>22</v>
      </c>
      <c r="J510" s="0" t="s">
        <v>2221</v>
      </c>
      <c r="M510" s="0" t="s">
        <v>1542</v>
      </c>
      <c r="N510" s="0" t="s">
        <v>136</v>
      </c>
      <c r="Q510" s="0" t="n">
        <v>88</v>
      </c>
      <c r="R510" s="0" t="n">
        <v>88</v>
      </c>
      <c r="U510" s="0" t="s">
        <v>2252</v>
      </c>
      <c r="V510" s="0" t="s">
        <v>2252</v>
      </c>
      <c r="Y510" s="0" t="s">
        <v>1651</v>
      </c>
      <c r="Z510" s="0" t="s">
        <v>1652</v>
      </c>
      <c r="AA510" s="0" t="s">
        <v>2319</v>
      </c>
      <c r="AC510" s="0" t="s">
        <v>2224</v>
      </c>
    </row>
    <row r="511" customFormat="false" ht="15" hidden="false" customHeight="false" outlineLevel="0" collapsed="false">
      <c r="A511" s="0" t="s">
        <v>2322</v>
      </c>
      <c r="B511" s="0" t="s">
        <v>129</v>
      </c>
      <c r="C511" s="0" t="s">
        <v>1678</v>
      </c>
      <c r="D511" s="0" t="n">
        <v>2022</v>
      </c>
      <c r="E511" s="0" t="s">
        <v>65</v>
      </c>
      <c r="F511" s="0" t="n">
        <v>369520</v>
      </c>
      <c r="G511" s="0" t="s">
        <v>1681</v>
      </c>
      <c r="H511" s="0" t="s">
        <v>1648</v>
      </c>
      <c r="I511" s="0" t="n">
        <v>369520</v>
      </c>
      <c r="J511" s="0" t="s">
        <v>2221</v>
      </c>
      <c r="M511" s="0" t="s">
        <v>1545</v>
      </c>
      <c r="N511" s="0" t="s">
        <v>137</v>
      </c>
      <c r="Q511" s="0" t="n">
        <v>88</v>
      </c>
      <c r="R511" s="0" t="n">
        <v>88</v>
      </c>
      <c r="U511" s="0" t="s">
        <v>2267</v>
      </c>
      <c r="V511" s="0" t="s">
        <v>2267</v>
      </c>
      <c r="Y511" s="0" t="s">
        <v>1651</v>
      </c>
      <c r="Z511" s="0" t="s">
        <v>1652</v>
      </c>
      <c r="AA511" s="0" t="s">
        <v>2233</v>
      </c>
      <c r="AC511" s="0" t="s">
        <v>2224</v>
      </c>
    </row>
    <row r="512" customFormat="false" ht="15" hidden="false" customHeight="false" outlineLevel="0" collapsed="false">
      <c r="A512" s="0" t="s">
        <v>2323</v>
      </c>
      <c r="B512" s="0" t="s">
        <v>129</v>
      </c>
      <c r="C512" s="0" t="s">
        <v>1678</v>
      </c>
      <c r="D512" s="0" t="n">
        <v>2022</v>
      </c>
      <c r="E512" s="0" t="s">
        <v>66</v>
      </c>
      <c r="F512" s="0" t="n">
        <v>1690930</v>
      </c>
      <c r="G512" s="0" t="s">
        <v>1681</v>
      </c>
      <c r="H512" s="0" t="s">
        <v>1648</v>
      </c>
      <c r="I512" s="0" t="n">
        <v>1690930</v>
      </c>
      <c r="J512" s="0" t="s">
        <v>2221</v>
      </c>
      <c r="M512" s="0" t="s">
        <v>1545</v>
      </c>
      <c r="N512" s="0" t="s">
        <v>137</v>
      </c>
      <c r="Q512" s="0" t="n">
        <v>88</v>
      </c>
      <c r="R512" s="0" t="n">
        <v>88</v>
      </c>
      <c r="U512" s="0" t="s">
        <v>2267</v>
      </c>
      <c r="V512" s="0" t="s">
        <v>2267</v>
      </c>
      <c r="Y512" s="0" t="s">
        <v>1651</v>
      </c>
      <c r="Z512" s="0" t="s">
        <v>1652</v>
      </c>
      <c r="AA512" s="0" t="s">
        <v>2233</v>
      </c>
      <c r="AC512" s="0" t="s">
        <v>2224</v>
      </c>
    </row>
    <row r="513" customFormat="false" ht="15" hidden="false" customHeight="false" outlineLevel="0" collapsed="false">
      <c r="A513" s="0" t="s">
        <v>2324</v>
      </c>
      <c r="B513" s="0" t="s">
        <v>129</v>
      </c>
      <c r="C513" s="0" t="s">
        <v>1678</v>
      </c>
      <c r="D513" s="0" t="n">
        <v>2022</v>
      </c>
      <c r="E513" s="0" t="s">
        <v>69</v>
      </c>
      <c r="F513" s="0" t="n">
        <v>21.9</v>
      </c>
      <c r="G513" s="0" t="s">
        <v>1723</v>
      </c>
      <c r="I513" s="0" t="n">
        <v>21.9</v>
      </c>
      <c r="J513" s="0" t="s">
        <v>2221</v>
      </c>
      <c r="M513" s="0" t="s">
        <v>1545</v>
      </c>
      <c r="N513" s="0" t="s">
        <v>137</v>
      </c>
      <c r="Q513" s="0" t="n">
        <v>88</v>
      </c>
      <c r="R513" s="0" t="n">
        <v>88</v>
      </c>
      <c r="U513" s="0" t="s">
        <v>2267</v>
      </c>
      <c r="V513" s="0" t="s">
        <v>2267</v>
      </c>
      <c r="Y513" s="0" t="s">
        <v>1651</v>
      </c>
      <c r="Z513" s="0" t="s">
        <v>1652</v>
      </c>
      <c r="AA513" s="0" t="s">
        <v>2233</v>
      </c>
      <c r="AC513" s="0" t="s">
        <v>2224</v>
      </c>
    </row>
    <row r="514" customFormat="false" ht="15" hidden="false" customHeight="false" outlineLevel="0" collapsed="false">
      <c r="A514" s="0" t="s">
        <v>2325</v>
      </c>
      <c r="B514" s="0" t="s">
        <v>129</v>
      </c>
      <c r="C514" s="0" t="s">
        <v>1678</v>
      </c>
      <c r="D514" s="0" t="n">
        <v>2021</v>
      </c>
      <c r="E514" s="0" t="s">
        <v>65</v>
      </c>
      <c r="F514" s="0" t="n">
        <v>336784</v>
      </c>
      <c r="G514" s="0" t="s">
        <v>1681</v>
      </c>
      <c r="H514" s="0" t="s">
        <v>1648</v>
      </c>
      <c r="I514" s="0" t="n">
        <v>336784</v>
      </c>
      <c r="J514" s="0" t="s">
        <v>2221</v>
      </c>
      <c r="M514" s="0" t="s">
        <v>1545</v>
      </c>
      <c r="N514" s="0" t="s">
        <v>137</v>
      </c>
      <c r="Q514" s="0" t="n">
        <v>88</v>
      </c>
      <c r="R514" s="0" t="n">
        <v>88</v>
      </c>
      <c r="U514" s="0" t="s">
        <v>2272</v>
      </c>
      <c r="V514" s="0" t="s">
        <v>2272</v>
      </c>
      <c r="Y514" s="0" t="s">
        <v>1651</v>
      </c>
      <c r="Z514" s="0" t="s">
        <v>1652</v>
      </c>
      <c r="AA514" s="0" t="s">
        <v>2233</v>
      </c>
      <c r="AC514" s="0" t="s">
        <v>2224</v>
      </c>
    </row>
    <row r="515" customFormat="false" ht="15" hidden="false" customHeight="false" outlineLevel="0" collapsed="false">
      <c r="A515" s="0" t="s">
        <v>2326</v>
      </c>
      <c r="B515" s="0" t="s">
        <v>129</v>
      </c>
      <c r="C515" s="0" t="s">
        <v>1678</v>
      </c>
      <c r="D515" s="0" t="n">
        <v>2021</v>
      </c>
      <c r="E515" s="0" t="s">
        <v>66</v>
      </c>
      <c r="F515" s="0" t="n">
        <v>1543338</v>
      </c>
      <c r="G515" s="0" t="s">
        <v>1681</v>
      </c>
      <c r="H515" s="0" t="s">
        <v>1648</v>
      </c>
      <c r="I515" s="0" t="n">
        <v>1543338</v>
      </c>
      <c r="J515" s="0" t="s">
        <v>2221</v>
      </c>
      <c r="M515" s="0" t="s">
        <v>1545</v>
      </c>
      <c r="N515" s="0" t="s">
        <v>137</v>
      </c>
      <c r="Q515" s="0" t="n">
        <v>88</v>
      </c>
      <c r="R515" s="0" t="n">
        <v>88</v>
      </c>
      <c r="U515" s="0" t="s">
        <v>2272</v>
      </c>
      <c r="V515" s="0" t="s">
        <v>2272</v>
      </c>
      <c r="Y515" s="0" t="s">
        <v>1651</v>
      </c>
      <c r="Z515" s="0" t="s">
        <v>1652</v>
      </c>
      <c r="AA515" s="0" t="s">
        <v>2233</v>
      </c>
      <c r="AC515" s="0" t="s">
        <v>2224</v>
      </c>
    </row>
    <row r="516" customFormat="false" ht="15" hidden="false" customHeight="false" outlineLevel="0" collapsed="false">
      <c r="A516" s="0" t="s">
        <v>2327</v>
      </c>
      <c r="B516" s="0" t="s">
        <v>129</v>
      </c>
      <c r="C516" s="0" t="s">
        <v>1678</v>
      </c>
      <c r="D516" s="0" t="n">
        <v>2021</v>
      </c>
      <c r="E516" s="0" t="s">
        <v>69</v>
      </c>
      <c r="F516" s="0" t="n">
        <v>21.8</v>
      </c>
      <c r="G516" s="0" t="s">
        <v>1723</v>
      </c>
      <c r="I516" s="0" t="n">
        <v>21.8</v>
      </c>
      <c r="J516" s="0" t="s">
        <v>2221</v>
      </c>
      <c r="M516" s="0" t="s">
        <v>1545</v>
      </c>
      <c r="N516" s="0" t="s">
        <v>137</v>
      </c>
      <c r="Q516" s="0" t="n">
        <v>88</v>
      </c>
      <c r="R516" s="0" t="n">
        <v>88</v>
      </c>
      <c r="U516" s="0" t="s">
        <v>2272</v>
      </c>
      <c r="V516" s="0" t="s">
        <v>2272</v>
      </c>
      <c r="Y516" s="0" t="s">
        <v>1651</v>
      </c>
      <c r="Z516" s="0" t="s">
        <v>1652</v>
      </c>
      <c r="AA516" s="0" t="s">
        <v>2233</v>
      </c>
      <c r="AC516" s="0" t="s">
        <v>2224</v>
      </c>
    </row>
    <row r="517" customFormat="false" ht="15" hidden="false" customHeight="false" outlineLevel="0" collapsed="false">
      <c r="A517" s="0" t="s">
        <v>2328</v>
      </c>
      <c r="B517" s="0" t="s">
        <v>129</v>
      </c>
      <c r="C517" s="0" t="s">
        <v>1678</v>
      </c>
      <c r="D517" s="0" t="n">
        <v>2022</v>
      </c>
      <c r="E517" s="0" t="s">
        <v>70</v>
      </c>
      <c r="F517" s="0" t="n">
        <v>17</v>
      </c>
      <c r="G517" s="0" t="s">
        <v>1723</v>
      </c>
      <c r="I517" s="0" t="n">
        <v>17</v>
      </c>
      <c r="J517" s="0" t="s">
        <v>2221</v>
      </c>
      <c r="M517" s="0" t="s">
        <v>1545</v>
      </c>
      <c r="N517" s="0" t="s">
        <v>137</v>
      </c>
      <c r="Q517" s="0" t="n">
        <v>87</v>
      </c>
      <c r="R517" s="0" t="n">
        <v>87</v>
      </c>
      <c r="U517" s="0" t="s">
        <v>2267</v>
      </c>
      <c r="V517" s="0" t="s">
        <v>2267</v>
      </c>
      <c r="Y517" s="0" t="s">
        <v>1651</v>
      </c>
      <c r="Z517" s="0" t="s">
        <v>1652</v>
      </c>
      <c r="AA517" s="0" t="s">
        <v>2329</v>
      </c>
      <c r="AC517" s="0" t="s">
        <v>2224</v>
      </c>
    </row>
    <row r="518" customFormat="false" ht="15" hidden="false" customHeight="false" outlineLevel="0" collapsed="false">
      <c r="A518" s="0" t="s">
        <v>2330</v>
      </c>
      <c r="B518" s="0" t="s">
        <v>129</v>
      </c>
      <c r="C518" s="0" t="s">
        <v>1678</v>
      </c>
      <c r="D518" s="0" t="n">
        <v>2022</v>
      </c>
      <c r="E518" s="0" t="s">
        <v>71</v>
      </c>
      <c r="F518" s="0" t="n">
        <v>59.03</v>
      </c>
      <c r="G518" s="0" t="s">
        <v>1723</v>
      </c>
      <c r="I518" s="0" t="n">
        <v>59.03</v>
      </c>
      <c r="J518" s="0" t="s">
        <v>2221</v>
      </c>
      <c r="M518" s="0" t="s">
        <v>1545</v>
      </c>
      <c r="N518" s="0" t="s">
        <v>137</v>
      </c>
      <c r="Q518" s="0" t="n">
        <v>75</v>
      </c>
      <c r="R518" s="0" t="n">
        <v>75</v>
      </c>
      <c r="U518" s="0" t="s">
        <v>2267</v>
      </c>
      <c r="V518" s="0" t="s">
        <v>2267</v>
      </c>
      <c r="Y518" s="0" t="s">
        <v>1651</v>
      </c>
      <c r="Z518" s="0" t="s">
        <v>1652</v>
      </c>
      <c r="AA518" s="0" t="s">
        <v>2331</v>
      </c>
      <c r="AC518" s="0" t="s">
        <v>2224</v>
      </c>
    </row>
    <row r="519" customFormat="false" ht="15" hidden="false" customHeight="false" outlineLevel="0" collapsed="false">
      <c r="A519" s="0" t="s">
        <v>2332</v>
      </c>
      <c r="B519" s="0" t="s">
        <v>129</v>
      </c>
      <c r="C519" s="0" t="s">
        <v>1678</v>
      </c>
      <c r="D519" s="0" t="n">
        <v>2022</v>
      </c>
      <c r="E519" s="0" t="s">
        <v>2333</v>
      </c>
      <c r="F519" s="0" t="n">
        <v>47.99</v>
      </c>
      <c r="G519" s="0" t="s">
        <v>1723</v>
      </c>
      <c r="I519" s="0" t="n">
        <v>47.99</v>
      </c>
      <c r="J519" s="0" t="s">
        <v>2221</v>
      </c>
      <c r="M519" s="0" t="s">
        <v>1545</v>
      </c>
      <c r="N519" s="0" t="s">
        <v>137</v>
      </c>
      <c r="Q519" s="0" t="n">
        <v>75</v>
      </c>
      <c r="R519" s="0" t="n">
        <v>75</v>
      </c>
      <c r="U519" s="0" t="s">
        <v>2267</v>
      </c>
      <c r="V519" s="0" t="s">
        <v>2267</v>
      </c>
      <c r="Y519" s="0" t="s">
        <v>1651</v>
      </c>
      <c r="Z519" s="0" t="s">
        <v>1652</v>
      </c>
      <c r="AA519" s="0" t="s">
        <v>2331</v>
      </c>
      <c r="AC519" s="0" t="s">
        <v>2224</v>
      </c>
    </row>
    <row r="520" customFormat="false" ht="15" hidden="false" customHeight="false" outlineLevel="0" collapsed="false">
      <c r="A520" s="0" t="s">
        <v>2334</v>
      </c>
      <c r="B520" s="0" t="s">
        <v>129</v>
      </c>
      <c r="C520" s="0" t="s">
        <v>1678</v>
      </c>
      <c r="D520" s="0" t="n">
        <v>2022</v>
      </c>
      <c r="E520" s="0" t="s">
        <v>2335</v>
      </c>
      <c r="F520" s="0" t="n">
        <v>53.98</v>
      </c>
      <c r="G520" s="0" t="s">
        <v>1723</v>
      </c>
      <c r="I520" s="0" t="n">
        <v>53.98</v>
      </c>
      <c r="J520" s="0" t="s">
        <v>2221</v>
      </c>
      <c r="M520" s="0" t="s">
        <v>1545</v>
      </c>
      <c r="N520" s="0" t="s">
        <v>137</v>
      </c>
      <c r="Q520" s="0" t="n">
        <v>75</v>
      </c>
      <c r="R520" s="0" t="n">
        <v>75</v>
      </c>
      <c r="U520" s="0" t="s">
        <v>2267</v>
      </c>
      <c r="V520" s="0" t="s">
        <v>2267</v>
      </c>
      <c r="Y520" s="0" t="s">
        <v>1651</v>
      </c>
      <c r="Z520" s="0" t="s">
        <v>1652</v>
      </c>
      <c r="AA520" s="0" t="s">
        <v>2331</v>
      </c>
      <c r="AC520" s="0" t="s">
        <v>2224</v>
      </c>
    </row>
    <row r="521" customFormat="false" ht="15" hidden="false" customHeight="false" outlineLevel="0" collapsed="false">
      <c r="A521" s="0" t="s">
        <v>2336</v>
      </c>
      <c r="B521" s="0" t="s">
        <v>129</v>
      </c>
      <c r="C521" s="0" t="s">
        <v>1678</v>
      </c>
      <c r="D521" s="0" t="n">
        <v>2022</v>
      </c>
      <c r="E521" s="0" t="s">
        <v>2337</v>
      </c>
      <c r="F521" s="0" t="n">
        <v>40.6</v>
      </c>
      <c r="G521" s="0" t="s">
        <v>1723</v>
      </c>
      <c r="I521" s="0" t="n">
        <v>40.6</v>
      </c>
      <c r="J521" s="0" t="s">
        <v>2221</v>
      </c>
      <c r="M521" s="0" t="s">
        <v>1545</v>
      </c>
      <c r="N521" s="0" t="s">
        <v>137</v>
      </c>
      <c r="Q521" s="0" t="n">
        <v>75</v>
      </c>
      <c r="R521" s="0" t="n">
        <v>75</v>
      </c>
      <c r="U521" s="0" t="s">
        <v>2267</v>
      </c>
      <c r="V521" s="0" t="s">
        <v>2267</v>
      </c>
      <c r="Y521" s="0" t="s">
        <v>1651</v>
      </c>
      <c r="Z521" s="0" t="s">
        <v>1652</v>
      </c>
      <c r="AA521" s="0" t="s">
        <v>2331</v>
      </c>
      <c r="AC521" s="0" t="s">
        <v>2224</v>
      </c>
    </row>
    <row r="522" customFormat="false" ht="15" hidden="false" customHeight="false" outlineLevel="0" collapsed="false">
      <c r="A522" s="0" t="s">
        <v>2338</v>
      </c>
      <c r="B522" s="0" t="s">
        <v>129</v>
      </c>
      <c r="C522" s="0" t="s">
        <v>1678</v>
      </c>
      <c r="D522" s="0" t="n">
        <v>2021</v>
      </c>
      <c r="E522" s="0" t="s">
        <v>71</v>
      </c>
      <c r="F522" s="0" t="n">
        <v>47.56</v>
      </c>
      <c r="G522" s="0" t="s">
        <v>1723</v>
      </c>
      <c r="I522" s="0" t="n">
        <v>47.56</v>
      </c>
      <c r="J522" s="0" t="s">
        <v>2221</v>
      </c>
      <c r="M522" s="0" t="s">
        <v>1545</v>
      </c>
      <c r="N522" s="0" t="s">
        <v>137</v>
      </c>
      <c r="Q522" s="0" t="n">
        <v>75</v>
      </c>
      <c r="R522" s="0" t="n">
        <v>75</v>
      </c>
      <c r="U522" s="0" t="s">
        <v>2272</v>
      </c>
      <c r="V522" s="0" t="s">
        <v>2272</v>
      </c>
      <c r="Y522" s="0" t="s">
        <v>1651</v>
      </c>
      <c r="Z522" s="0" t="s">
        <v>1652</v>
      </c>
      <c r="AA522" s="0" t="s">
        <v>2339</v>
      </c>
      <c r="AC522" s="0" t="s">
        <v>2224</v>
      </c>
    </row>
    <row r="523" customFormat="false" ht="15" hidden="false" customHeight="false" outlineLevel="0" collapsed="false">
      <c r="A523" s="0" t="s">
        <v>2340</v>
      </c>
      <c r="B523" s="0" t="s">
        <v>129</v>
      </c>
      <c r="C523" s="0" t="s">
        <v>1678</v>
      </c>
      <c r="D523" s="0" t="n">
        <v>2021</v>
      </c>
      <c r="E523" s="0" t="s">
        <v>2333</v>
      </c>
      <c r="F523" s="0" t="n">
        <v>44.86</v>
      </c>
      <c r="G523" s="0" t="s">
        <v>1723</v>
      </c>
      <c r="I523" s="0" t="n">
        <v>44.86</v>
      </c>
      <c r="J523" s="0" t="s">
        <v>2221</v>
      </c>
      <c r="M523" s="0" t="s">
        <v>1545</v>
      </c>
      <c r="N523" s="0" t="s">
        <v>137</v>
      </c>
      <c r="Q523" s="0" t="n">
        <v>75</v>
      </c>
      <c r="R523" s="0" t="n">
        <v>75</v>
      </c>
      <c r="U523" s="0" t="s">
        <v>2272</v>
      </c>
      <c r="V523" s="0" t="s">
        <v>2272</v>
      </c>
      <c r="Y523" s="0" t="s">
        <v>1651</v>
      </c>
      <c r="Z523" s="0" t="s">
        <v>1652</v>
      </c>
      <c r="AA523" s="0" t="s">
        <v>2339</v>
      </c>
      <c r="AC523" s="0" t="s">
        <v>2224</v>
      </c>
    </row>
    <row r="524" customFormat="false" ht="15" hidden="false" customHeight="false" outlineLevel="0" collapsed="false">
      <c r="A524" s="0" t="s">
        <v>2341</v>
      </c>
      <c r="B524" s="0" t="s">
        <v>129</v>
      </c>
      <c r="C524" s="0" t="s">
        <v>1678</v>
      </c>
      <c r="D524" s="0" t="n">
        <v>2021</v>
      </c>
      <c r="E524" s="0" t="s">
        <v>2335</v>
      </c>
      <c r="F524" s="0" t="n">
        <v>51.53</v>
      </c>
      <c r="G524" s="0" t="s">
        <v>1723</v>
      </c>
      <c r="I524" s="0" t="n">
        <v>51.53</v>
      </c>
      <c r="J524" s="0" t="s">
        <v>2221</v>
      </c>
      <c r="M524" s="0" t="s">
        <v>1545</v>
      </c>
      <c r="N524" s="0" t="s">
        <v>137</v>
      </c>
      <c r="Q524" s="0" t="n">
        <v>75</v>
      </c>
      <c r="R524" s="0" t="n">
        <v>75</v>
      </c>
      <c r="U524" s="0" t="s">
        <v>2272</v>
      </c>
      <c r="V524" s="0" t="s">
        <v>2272</v>
      </c>
      <c r="Y524" s="0" t="s">
        <v>1651</v>
      </c>
      <c r="Z524" s="0" t="s">
        <v>1652</v>
      </c>
      <c r="AA524" s="0" t="s">
        <v>2339</v>
      </c>
      <c r="AC524" s="0" t="s">
        <v>2224</v>
      </c>
    </row>
    <row r="525" customFormat="false" ht="15" hidden="false" customHeight="false" outlineLevel="0" collapsed="false">
      <c r="A525" s="0" t="s">
        <v>2342</v>
      </c>
      <c r="B525" s="0" t="s">
        <v>129</v>
      </c>
      <c r="C525" s="0" t="s">
        <v>1678</v>
      </c>
      <c r="D525" s="0" t="n">
        <v>2021</v>
      </c>
      <c r="E525" s="0" t="s">
        <v>2337</v>
      </c>
      <c r="F525" s="0" t="n">
        <v>37.43</v>
      </c>
      <c r="G525" s="0" t="s">
        <v>1723</v>
      </c>
      <c r="I525" s="0" t="n">
        <v>37.43</v>
      </c>
      <c r="J525" s="0" t="s">
        <v>2221</v>
      </c>
      <c r="M525" s="0" t="s">
        <v>1545</v>
      </c>
      <c r="N525" s="0" t="s">
        <v>137</v>
      </c>
      <c r="Q525" s="0" t="n">
        <v>75</v>
      </c>
      <c r="R525" s="0" t="n">
        <v>75</v>
      </c>
      <c r="U525" s="0" t="s">
        <v>2272</v>
      </c>
      <c r="V525" s="0" t="s">
        <v>2272</v>
      </c>
      <c r="Y525" s="0" t="s">
        <v>1651</v>
      </c>
      <c r="Z525" s="0" t="s">
        <v>1652</v>
      </c>
      <c r="AA525" s="0" t="s">
        <v>2339</v>
      </c>
      <c r="AC525" s="0" t="s">
        <v>2224</v>
      </c>
    </row>
    <row r="526" customFormat="false" ht="15" hidden="false" customHeight="false" outlineLevel="0" collapsed="false">
      <c r="A526" s="0" t="s">
        <v>2343</v>
      </c>
      <c r="B526" s="0" t="s">
        <v>129</v>
      </c>
      <c r="C526" s="0" t="s">
        <v>1678</v>
      </c>
      <c r="D526" s="0" t="n">
        <v>2018</v>
      </c>
      <c r="E526" s="0" t="s">
        <v>2344</v>
      </c>
      <c r="F526" s="0" t="n">
        <v>400860</v>
      </c>
      <c r="G526" s="0" t="s">
        <v>1681</v>
      </c>
      <c r="H526" s="0" t="s">
        <v>1648</v>
      </c>
      <c r="I526" s="0" t="n">
        <v>400860</v>
      </c>
      <c r="J526" s="0" t="s">
        <v>2221</v>
      </c>
      <c r="M526" s="0" t="s">
        <v>1539</v>
      </c>
      <c r="N526" s="0" t="s">
        <v>135</v>
      </c>
      <c r="Q526" s="0" t="n">
        <v>100</v>
      </c>
      <c r="R526" s="0" t="n">
        <v>100</v>
      </c>
      <c r="U526" s="0" t="s">
        <v>2222</v>
      </c>
      <c r="V526" s="0" t="s">
        <v>2222</v>
      </c>
      <c r="Y526" s="0" t="s">
        <v>1651</v>
      </c>
      <c r="Z526" s="0" t="s">
        <v>1652</v>
      </c>
      <c r="AA526" s="0" t="s">
        <v>2345</v>
      </c>
      <c r="AC526" s="0" t="s">
        <v>2224</v>
      </c>
    </row>
    <row r="527" customFormat="false" ht="15" hidden="false" customHeight="false" outlineLevel="0" collapsed="false">
      <c r="A527" s="0" t="s">
        <v>2346</v>
      </c>
      <c r="B527" s="0" t="s">
        <v>129</v>
      </c>
      <c r="C527" s="0" t="s">
        <v>1678</v>
      </c>
      <c r="D527" s="0" t="n">
        <v>2018</v>
      </c>
      <c r="E527" s="0" t="s">
        <v>2347</v>
      </c>
      <c r="F527" s="0" t="n">
        <v>-43441</v>
      </c>
      <c r="G527" s="0" t="s">
        <v>1681</v>
      </c>
      <c r="H527" s="0" t="s">
        <v>1648</v>
      </c>
      <c r="I527" s="0" t="n">
        <v>-43441</v>
      </c>
      <c r="J527" s="0" t="s">
        <v>2221</v>
      </c>
      <c r="M527" s="0" t="s">
        <v>1539</v>
      </c>
      <c r="N527" s="0" t="s">
        <v>135</v>
      </c>
      <c r="Q527" s="0" t="n">
        <v>100</v>
      </c>
      <c r="R527" s="0" t="n">
        <v>100</v>
      </c>
      <c r="U527" s="0" t="s">
        <v>2222</v>
      </c>
      <c r="V527" s="0" t="s">
        <v>2222</v>
      </c>
      <c r="Y527" s="0" t="s">
        <v>1651</v>
      </c>
      <c r="Z527" s="0" t="s">
        <v>1652</v>
      </c>
      <c r="AA527" s="0" t="s">
        <v>2345</v>
      </c>
      <c r="AC527" s="0" t="s">
        <v>2224</v>
      </c>
    </row>
    <row r="528" customFormat="false" ht="15" hidden="false" customHeight="false" outlineLevel="0" collapsed="false">
      <c r="A528" s="0" t="s">
        <v>2348</v>
      </c>
      <c r="B528" s="0" t="s">
        <v>129</v>
      </c>
      <c r="C528" s="0" t="s">
        <v>1678</v>
      </c>
      <c r="D528" s="0" t="n">
        <v>2018</v>
      </c>
      <c r="E528" s="0" t="s">
        <v>2349</v>
      </c>
      <c r="F528" s="0" t="n">
        <v>7211</v>
      </c>
      <c r="G528" s="0" t="s">
        <v>1681</v>
      </c>
      <c r="H528" s="0" t="s">
        <v>1648</v>
      </c>
      <c r="I528" s="0" t="n">
        <v>7211</v>
      </c>
      <c r="J528" s="0" t="s">
        <v>2221</v>
      </c>
      <c r="M528" s="0" t="s">
        <v>1539</v>
      </c>
      <c r="N528" s="0" t="s">
        <v>135</v>
      </c>
      <c r="Q528" s="0" t="n">
        <v>100</v>
      </c>
      <c r="R528" s="0" t="n">
        <v>100</v>
      </c>
      <c r="U528" s="0" t="s">
        <v>2222</v>
      </c>
      <c r="V528" s="0" t="s">
        <v>2222</v>
      </c>
      <c r="Y528" s="0" t="s">
        <v>1651</v>
      </c>
      <c r="Z528" s="0" t="s">
        <v>1652</v>
      </c>
      <c r="AA528" s="0" t="s">
        <v>2345</v>
      </c>
      <c r="AC528" s="0" t="s">
        <v>2224</v>
      </c>
    </row>
    <row r="529" customFormat="false" ht="15" hidden="false" customHeight="false" outlineLevel="0" collapsed="false">
      <c r="A529" s="0" t="s">
        <v>2350</v>
      </c>
      <c r="B529" s="0" t="s">
        <v>129</v>
      </c>
      <c r="C529" s="0" t="s">
        <v>1678</v>
      </c>
      <c r="D529" s="0" t="n">
        <v>2018</v>
      </c>
      <c r="E529" s="0" t="s">
        <v>2351</v>
      </c>
      <c r="F529" s="0" t="n">
        <v>364630</v>
      </c>
      <c r="G529" s="0" t="s">
        <v>1681</v>
      </c>
      <c r="H529" s="0" t="s">
        <v>1648</v>
      </c>
      <c r="I529" s="0" t="n">
        <v>364630</v>
      </c>
      <c r="J529" s="0" t="s">
        <v>2221</v>
      </c>
      <c r="M529" s="0" t="s">
        <v>1539</v>
      </c>
      <c r="N529" s="0" t="s">
        <v>135</v>
      </c>
      <c r="Q529" s="0" t="n">
        <v>100</v>
      </c>
      <c r="R529" s="0" t="n">
        <v>100</v>
      </c>
      <c r="U529" s="0" t="s">
        <v>2222</v>
      </c>
      <c r="V529" s="0" t="s">
        <v>2222</v>
      </c>
      <c r="Y529" s="0" t="s">
        <v>1651</v>
      </c>
      <c r="Z529" s="0" t="s">
        <v>1652</v>
      </c>
      <c r="AA529" s="0" t="s">
        <v>2345</v>
      </c>
      <c r="AC529" s="0" t="s">
        <v>2224</v>
      </c>
    </row>
    <row r="530" customFormat="false" ht="15" hidden="false" customHeight="false" outlineLevel="0" collapsed="false">
      <c r="A530" s="0" t="s">
        <v>2352</v>
      </c>
      <c r="B530" s="0" t="s">
        <v>129</v>
      </c>
      <c r="C530" s="0" t="s">
        <v>1678</v>
      </c>
      <c r="D530" s="0" t="n">
        <v>2018</v>
      </c>
      <c r="E530" s="0" t="s">
        <v>2353</v>
      </c>
      <c r="F530" s="0" t="n">
        <v>-41812</v>
      </c>
      <c r="G530" s="0" t="s">
        <v>1681</v>
      </c>
      <c r="H530" s="0" t="s">
        <v>1648</v>
      </c>
      <c r="I530" s="0" t="n">
        <v>-41812</v>
      </c>
      <c r="J530" s="0" t="s">
        <v>2221</v>
      </c>
      <c r="M530" s="0" t="s">
        <v>1539</v>
      </c>
      <c r="N530" s="0" t="s">
        <v>135</v>
      </c>
      <c r="Q530" s="0" t="n">
        <v>100</v>
      </c>
      <c r="R530" s="0" t="n">
        <v>100</v>
      </c>
      <c r="U530" s="0" t="s">
        <v>2222</v>
      </c>
      <c r="V530" s="0" t="s">
        <v>2222</v>
      </c>
      <c r="Y530" s="0" t="s">
        <v>1651</v>
      </c>
      <c r="Z530" s="0" t="s">
        <v>1652</v>
      </c>
      <c r="AA530" s="0" t="s">
        <v>2345</v>
      </c>
      <c r="AC530" s="0" t="s">
        <v>2224</v>
      </c>
    </row>
    <row r="531" customFormat="false" ht="15" hidden="false" customHeight="false" outlineLevel="0" collapsed="false">
      <c r="A531" s="0" t="s">
        <v>2354</v>
      </c>
      <c r="B531" s="0" t="s">
        <v>129</v>
      </c>
      <c r="C531" s="0" t="s">
        <v>1678</v>
      </c>
      <c r="D531" s="0" t="n">
        <v>2018</v>
      </c>
      <c r="E531" s="0" t="s">
        <v>2355</v>
      </c>
      <c r="F531" s="0" t="n">
        <v>1629</v>
      </c>
      <c r="G531" s="0" t="s">
        <v>1681</v>
      </c>
      <c r="H531" s="0" t="s">
        <v>1648</v>
      </c>
      <c r="I531" s="0" t="n">
        <v>1629</v>
      </c>
      <c r="J531" s="0" t="s">
        <v>2221</v>
      </c>
      <c r="M531" s="0" t="s">
        <v>1539</v>
      </c>
      <c r="N531" s="0" t="s">
        <v>135</v>
      </c>
      <c r="Q531" s="0" t="n">
        <v>100</v>
      </c>
      <c r="R531" s="0" t="n">
        <v>100</v>
      </c>
      <c r="U531" s="0" t="s">
        <v>2222</v>
      </c>
      <c r="V531" s="0" t="s">
        <v>2222</v>
      </c>
      <c r="Y531" s="0" t="s">
        <v>1651</v>
      </c>
      <c r="Z531" s="0" t="s">
        <v>1652</v>
      </c>
      <c r="AA531" s="0" t="s">
        <v>2345</v>
      </c>
      <c r="AC531" s="0" t="s">
        <v>2224</v>
      </c>
    </row>
    <row r="532" customFormat="false" ht="15" hidden="false" customHeight="false" outlineLevel="0" collapsed="false">
      <c r="A532" s="0" t="s">
        <v>2356</v>
      </c>
      <c r="B532" s="0" t="s">
        <v>129</v>
      </c>
      <c r="C532" s="0" t="s">
        <v>1678</v>
      </c>
      <c r="D532" s="0" t="n">
        <v>2018</v>
      </c>
      <c r="E532" s="0" t="s">
        <v>2357</v>
      </c>
      <c r="F532" s="0" t="n">
        <v>363630</v>
      </c>
      <c r="G532" s="0" t="s">
        <v>1681</v>
      </c>
      <c r="H532" s="0" t="s">
        <v>1648</v>
      </c>
      <c r="I532" s="0" t="n">
        <v>363630</v>
      </c>
      <c r="J532" s="0" t="s">
        <v>2221</v>
      </c>
      <c r="M532" s="0" t="s">
        <v>1539</v>
      </c>
      <c r="N532" s="0" t="s">
        <v>135</v>
      </c>
      <c r="Q532" s="0" t="n">
        <v>77</v>
      </c>
      <c r="R532" s="0" t="n">
        <v>77</v>
      </c>
      <c r="U532" s="0" t="s">
        <v>2222</v>
      </c>
      <c r="V532" s="0" t="s">
        <v>2222</v>
      </c>
      <c r="Y532" s="0" t="s">
        <v>1651</v>
      </c>
      <c r="Z532" s="0" t="s">
        <v>1652</v>
      </c>
      <c r="AA532" s="0" t="s">
        <v>2358</v>
      </c>
      <c r="AC532" s="0" t="s">
        <v>2224</v>
      </c>
    </row>
    <row r="533" customFormat="false" ht="15" hidden="false" customHeight="false" outlineLevel="0" collapsed="false">
      <c r="A533" s="0" t="s">
        <v>2359</v>
      </c>
      <c r="B533" s="0" t="s">
        <v>163</v>
      </c>
      <c r="C533" s="0" t="s">
        <v>2058</v>
      </c>
      <c r="D533" s="0" t="n">
        <v>2022</v>
      </c>
      <c r="E533" s="0" t="s">
        <v>54</v>
      </c>
      <c r="F533" s="0" t="n">
        <v>234593</v>
      </c>
      <c r="G533" s="0" t="s">
        <v>1681</v>
      </c>
      <c r="H533" s="0" t="s">
        <v>1648</v>
      </c>
      <c r="I533" s="0" t="n">
        <v>234593</v>
      </c>
      <c r="J533" s="0" t="s">
        <v>2221</v>
      </c>
      <c r="M533" s="0" t="s">
        <v>1578</v>
      </c>
      <c r="N533" s="0" t="s">
        <v>175</v>
      </c>
      <c r="Q533" s="0" t="n">
        <v>94</v>
      </c>
      <c r="R533" s="0" t="n">
        <v>94</v>
      </c>
      <c r="U533" s="0" t="s">
        <v>2267</v>
      </c>
      <c r="V533" s="0" t="s">
        <v>2267</v>
      </c>
      <c r="Y533" s="0" t="s">
        <v>1651</v>
      </c>
      <c r="Z533" s="0" t="s">
        <v>1652</v>
      </c>
      <c r="AA533" s="0" t="s">
        <v>2233</v>
      </c>
      <c r="AC533" s="0" t="s">
        <v>2224</v>
      </c>
    </row>
    <row r="534" customFormat="false" ht="15" hidden="false" customHeight="false" outlineLevel="0" collapsed="false">
      <c r="A534" s="0" t="s">
        <v>2360</v>
      </c>
      <c r="B534" s="0" t="s">
        <v>163</v>
      </c>
      <c r="C534" s="0" t="s">
        <v>2058</v>
      </c>
      <c r="D534" s="0" t="n">
        <v>2022</v>
      </c>
      <c r="E534" s="0" t="s">
        <v>402</v>
      </c>
      <c r="F534" s="0" t="n">
        <v>294050</v>
      </c>
      <c r="G534" s="0" t="s">
        <v>1681</v>
      </c>
      <c r="H534" s="0" t="s">
        <v>1648</v>
      </c>
      <c r="I534" s="0" t="n">
        <v>294050</v>
      </c>
      <c r="J534" s="0" t="s">
        <v>2221</v>
      </c>
      <c r="M534" s="0" t="s">
        <v>1578</v>
      </c>
      <c r="N534" s="0" t="s">
        <v>175</v>
      </c>
      <c r="Q534" s="0" t="n">
        <v>94</v>
      </c>
      <c r="R534" s="0" t="n">
        <v>94</v>
      </c>
      <c r="U534" s="0" t="s">
        <v>2267</v>
      </c>
      <c r="V534" s="0" t="s">
        <v>2267</v>
      </c>
      <c r="Y534" s="0" t="s">
        <v>1651</v>
      </c>
      <c r="Z534" s="0" t="s">
        <v>1652</v>
      </c>
      <c r="AA534" s="0" t="s">
        <v>2233</v>
      </c>
      <c r="AC534" s="0" t="s">
        <v>2224</v>
      </c>
    </row>
    <row r="535" customFormat="false" ht="15" hidden="false" customHeight="false" outlineLevel="0" collapsed="false">
      <c r="A535" s="0" t="s">
        <v>2361</v>
      </c>
      <c r="B535" s="0" t="s">
        <v>163</v>
      </c>
      <c r="C535" s="0" t="s">
        <v>2058</v>
      </c>
      <c r="D535" s="0" t="n">
        <v>2022</v>
      </c>
      <c r="E535" s="0" t="s">
        <v>63</v>
      </c>
      <c r="F535" s="0" t="n">
        <v>61896</v>
      </c>
      <c r="G535" s="0" t="s">
        <v>1681</v>
      </c>
      <c r="H535" s="0" t="s">
        <v>1648</v>
      </c>
      <c r="I535" s="0" t="n">
        <v>61896</v>
      </c>
      <c r="J535" s="0" t="s">
        <v>2221</v>
      </c>
      <c r="M535" s="0" t="s">
        <v>1578</v>
      </c>
      <c r="N535" s="0" t="s">
        <v>175</v>
      </c>
      <c r="Q535" s="0" t="n">
        <v>94</v>
      </c>
      <c r="R535" s="0" t="n">
        <v>94</v>
      </c>
      <c r="U535" s="0" t="s">
        <v>2267</v>
      </c>
      <c r="V535" s="0" t="s">
        <v>2267</v>
      </c>
      <c r="Y535" s="0" t="s">
        <v>1651</v>
      </c>
      <c r="Z535" s="0" t="s">
        <v>1652</v>
      </c>
      <c r="AA535" s="0" t="s">
        <v>2233</v>
      </c>
      <c r="AC535" s="0" t="s">
        <v>2224</v>
      </c>
    </row>
    <row r="536" customFormat="false" ht="15" hidden="false" customHeight="false" outlineLevel="0" collapsed="false">
      <c r="A536" s="0" t="s">
        <v>2362</v>
      </c>
      <c r="B536" s="0" t="s">
        <v>163</v>
      </c>
      <c r="C536" s="0" t="s">
        <v>2058</v>
      </c>
      <c r="D536" s="0" t="n">
        <v>2021</v>
      </c>
      <c r="E536" s="0" t="s">
        <v>54</v>
      </c>
      <c r="F536" s="0" t="n">
        <v>233133</v>
      </c>
      <c r="G536" s="0" t="s">
        <v>1681</v>
      </c>
      <c r="H536" s="0" t="s">
        <v>1648</v>
      </c>
      <c r="I536" s="0" t="n">
        <v>233133</v>
      </c>
      <c r="J536" s="0" t="s">
        <v>2221</v>
      </c>
      <c r="M536" s="0" t="s">
        <v>1578</v>
      </c>
      <c r="N536" s="0" t="s">
        <v>175</v>
      </c>
      <c r="Q536" s="0" t="n">
        <v>94</v>
      </c>
      <c r="R536" s="0" t="n">
        <v>94</v>
      </c>
      <c r="U536" s="0" t="s">
        <v>2272</v>
      </c>
      <c r="V536" s="0" t="s">
        <v>2272</v>
      </c>
      <c r="Y536" s="0" t="s">
        <v>1651</v>
      </c>
      <c r="Z536" s="0" t="s">
        <v>1652</v>
      </c>
      <c r="AA536" s="0" t="s">
        <v>2233</v>
      </c>
      <c r="AC536" s="0" t="s">
        <v>2224</v>
      </c>
    </row>
    <row r="537" customFormat="false" ht="15" hidden="false" customHeight="false" outlineLevel="0" collapsed="false">
      <c r="A537" s="0" t="s">
        <v>2363</v>
      </c>
      <c r="B537" s="0" t="s">
        <v>163</v>
      </c>
      <c r="C537" s="0" t="s">
        <v>2058</v>
      </c>
      <c r="D537" s="0" t="n">
        <v>2021</v>
      </c>
      <c r="E537" s="0" t="s">
        <v>402</v>
      </c>
      <c r="F537" s="0" t="n">
        <v>257167</v>
      </c>
      <c r="G537" s="0" t="s">
        <v>1681</v>
      </c>
      <c r="H537" s="0" t="s">
        <v>1648</v>
      </c>
      <c r="I537" s="0" t="n">
        <v>257167</v>
      </c>
      <c r="J537" s="0" t="s">
        <v>2221</v>
      </c>
      <c r="M537" s="0" t="s">
        <v>1578</v>
      </c>
      <c r="N537" s="0" t="s">
        <v>175</v>
      </c>
      <c r="Q537" s="0" t="n">
        <v>94</v>
      </c>
      <c r="R537" s="0" t="n">
        <v>94</v>
      </c>
      <c r="U537" s="0" t="s">
        <v>2272</v>
      </c>
      <c r="V537" s="0" t="s">
        <v>2272</v>
      </c>
      <c r="Y537" s="0" t="s">
        <v>1651</v>
      </c>
      <c r="Z537" s="0" t="s">
        <v>1652</v>
      </c>
      <c r="AA537" s="0" t="s">
        <v>2233</v>
      </c>
      <c r="AC537" s="0" t="s">
        <v>2224</v>
      </c>
    </row>
    <row r="538" customFormat="false" ht="15" hidden="false" customHeight="false" outlineLevel="0" collapsed="false">
      <c r="A538" s="0" t="s">
        <v>2364</v>
      </c>
      <c r="B538" s="0" t="s">
        <v>163</v>
      </c>
      <c r="C538" s="0" t="s">
        <v>2058</v>
      </c>
      <c r="D538" s="0" t="n">
        <v>2021</v>
      </c>
      <c r="E538" s="0" t="s">
        <v>63</v>
      </c>
      <c r="F538" s="0" t="n">
        <v>56175</v>
      </c>
      <c r="G538" s="0" t="s">
        <v>1681</v>
      </c>
      <c r="H538" s="0" t="s">
        <v>1648</v>
      </c>
      <c r="I538" s="0" t="n">
        <v>56175</v>
      </c>
      <c r="J538" s="0" t="s">
        <v>2221</v>
      </c>
      <c r="M538" s="0" t="s">
        <v>1578</v>
      </c>
      <c r="N538" s="0" t="s">
        <v>175</v>
      </c>
      <c r="Q538" s="0" t="n">
        <v>94</v>
      </c>
      <c r="R538" s="0" t="n">
        <v>94</v>
      </c>
      <c r="U538" s="0" t="s">
        <v>2272</v>
      </c>
      <c r="V538" s="0" t="s">
        <v>2272</v>
      </c>
      <c r="Y538" s="0" t="s">
        <v>1651</v>
      </c>
      <c r="Z538" s="0" t="s">
        <v>1652</v>
      </c>
      <c r="AA538" s="0" t="s">
        <v>2233</v>
      </c>
      <c r="AC538" s="0" t="s">
        <v>2224</v>
      </c>
    </row>
    <row r="539" customFormat="false" ht="15" hidden="false" customHeight="false" outlineLevel="0" collapsed="false">
      <c r="A539" s="0" t="s">
        <v>2365</v>
      </c>
      <c r="B539" s="0" t="s">
        <v>163</v>
      </c>
      <c r="C539" s="0" t="s">
        <v>2058</v>
      </c>
      <c r="D539" s="0" t="n">
        <v>2022</v>
      </c>
      <c r="E539" s="0" t="s">
        <v>55</v>
      </c>
      <c r="F539" s="0" t="n">
        <v>10570678</v>
      </c>
      <c r="G539" s="0" t="s">
        <v>1681</v>
      </c>
      <c r="H539" s="0" t="s">
        <v>1648</v>
      </c>
      <c r="I539" s="0" t="n">
        <v>10570678</v>
      </c>
      <c r="J539" s="0" t="s">
        <v>2221</v>
      </c>
      <c r="M539" s="0" t="s">
        <v>1578</v>
      </c>
      <c r="N539" s="0" t="s">
        <v>175</v>
      </c>
      <c r="Q539" s="0" t="n">
        <v>95</v>
      </c>
      <c r="R539" s="0" t="n">
        <v>95</v>
      </c>
      <c r="U539" s="0" t="s">
        <v>2267</v>
      </c>
      <c r="V539" s="0" t="s">
        <v>2267</v>
      </c>
      <c r="Y539" s="0" t="s">
        <v>1651</v>
      </c>
      <c r="Z539" s="0" t="s">
        <v>1652</v>
      </c>
      <c r="AA539" s="0" t="s">
        <v>2233</v>
      </c>
      <c r="AC539" s="0" t="s">
        <v>2224</v>
      </c>
    </row>
    <row r="540" customFormat="false" ht="15" hidden="false" customHeight="false" outlineLevel="0" collapsed="false">
      <c r="A540" s="0" t="s">
        <v>2366</v>
      </c>
      <c r="B540" s="0" t="s">
        <v>163</v>
      </c>
      <c r="C540" s="0" t="s">
        <v>2058</v>
      </c>
      <c r="D540" s="0" t="n">
        <v>2022</v>
      </c>
      <c r="E540" s="0" t="s">
        <v>56</v>
      </c>
      <c r="F540" s="0" t="n">
        <v>9375531</v>
      </c>
      <c r="G540" s="0" t="s">
        <v>1681</v>
      </c>
      <c r="H540" s="0" t="s">
        <v>1648</v>
      </c>
      <c r="I540" s="0" t="n">
        <v>9375531</v>
      </c>
      <c r="J540" s="0" t="s">
        <v>2221</v>
      </c>
      <c r="M540" s="0" t="s">
        <v>1578</v>
      </c>
      <c r="N540" s="0" t="s">
        <v>175</v>
      </c>
      <c r="Q540" s="0" t="n">
        <v>95</v>
      </c>
      <c r="R540" s="0" t="n">
        <v>95</v>
      </c>
      <c r="U540" s="0" t="s">
        <v>2267</v>
      </c>
      <c r="V540" s="0" t="s">
        <v>2267</v>
      </c>
      <c r="Y540" s="0" t="s">
        <v>1651</v>
      </c>
      <c r="Z540" s="0" t="s">
        <v>1652</v>
      </c>
      <c r="AA540" s="0" t="s">
        <v>2233</v>
      </c>
      <c r="AC540" s="0" t="s">
        <v>2224</v>
      </c>
    </row>
    <row r="541" customFormat="false" ht="15" hidden="false" customHeight="false" outlineLevel="0" collapsed="false">
      <c r="A541" s="0" t="s">
        <v>2367</v>
      </c>
      <c r="B541" s="0" t="s">
        <v>163</v>
      </c>
      <c r="C541" s="0" t="s">
        <v>2058</v>
      </c>
      <c r="D541" s="0" t="n">
        <v>2022</v>
      </c>
      <c r="E541" s="0" t="s">
        <v>57</v>
      </c>
      <c r="F541" s="0" t="n">
        <v>1195147</v>
      </c>
      <c r="G541" s="0" t="s">
        <v>1681</v>
      </c>
      <c r="H541" s="0" t="s">
        <v>1648</v>
      </c>
      <c r="I541" s="0" t="n">
        <v>1195147</v>
      </c>
      <c r="J541" s="0" t="s">
        <v>2221</v>
      </c>
      <c r="M541" s="0" t="s">
        <v>1578</v>
      </c>
      <c r="N541" s="0" t="s">
        <v>175</v>
      </c>
      <c r="Q541" s="0" t="n">
        <v>95</v>
      </c>
      <c r="R541" s="0" t="n">
        <v>95</v>
      </c>
      <c r="U541" s="0" t="s">
        <v>2267</v>
      </c>
      <c r="V541" s="0" t="s">
        <v>2267</v>
      </c>
      <c r="Y541" s="0" t="s">
        <v>1651</v>
      </c>
      <c r="Z541" s="0" t="s">
        <v>1652</v>
      </c>
      <c r="AA541" s="0" t="s">
        <v>2233</v>
      </c>
      <c r="AC541" s="0" t="s">
        <v>2224</v>
      </c>
    </row>
    <row r="542" customFormat="false" ht="15" hidden="false" customHeight="false" outlineLevel="0" collapsed="false">
      <c r="A542" s="0" t="s">
        <v>2368</v>
      </c>
      <c r="B542" s="0" t="s">
        <v>163</v>
      </c>
      <c r="C542" s="0" t="s">
        <v>2058</v>
      </c>
      <c r="D542" s="0" t="n">
        <v>2022</v>
      </c>
      <c r="E542" s="0" t="s">
        <v>62</v>
      </c>
      <c r="F542" s="0" t="n">
        <v>3735676</v>
      </c>
      <c r="G542" s="0" t="s">
        <v>1681</v>
      </c>
      <c r="H542" s="0" t="s">
        <v>1648</v>
      </c>
      <c r="I542" s="0" t="n">
        <v>3735676</v>
      </c>
      <c r="J542" s="0" t="s">
        <v>2221</v>
      </c>
      <c r="M542" s="0" t="s">
        <v>1578</v>
      </c>
      <c r="N542" s="0" t="s">
        <v>175</v>
      </c>
      <c r="Q542" s="0" t="n">
        <v>95</v>
      </c>
      <c r="R542" s="0" t="n">
        <v>95</v>
      </c>
      <c r="U542" s="0" t="s">
        <v>2267</v>
      </c>
      <c r="V542" s="0" t="s">
        <v>2267</v>
      </c>
      <c r="Y542" s="0" t="s">
        <v>1651</v>
      </c>
      <c r="Z542" s="0" t="s">
        <v>1652</v>
      </c>
      <c r="AA542" s="0" t="s">
        <v>2233</v>
      </c>
      <c r="AC542" s="0" t="s">
        <v>2224</v>
      </c>
    </row>
    <row r="543" customFormat="false" ht="15" hidden="false" customHeight="false" outlineLevel="0" collapsed="false">
      <c r="A543" s="0" t="s">
        <v>2369</v>
      </c>
      <c r="B543" s="0" t="s">
        <v>163</v>
      </c>
      <c r="C543" s="0" t="s">
        <v>2058</v>
      </c>
      <c r="D543" s="0" t="n">
        <v>2021</v>
      </c>
      <c r="E543" s="0" t="s">
        <v>55</v>
      </c>
      <c r="F543" s="0" t="n">
        <v>7872292</v>
      </c>
      <c r="G543" s="0" t="s">
        <v>1681</v>
      </c>
      <c r="H543" s="0" t="s">
        <v>1648</v>
      </c>
      <c r="I543" s="0" t="n">
        <v>7872292</v>
      </c>
      <c r="J543" s="0" t="s">
        <v>2221</v>
      </c>
      <c r="M543" s="0" t="s">
        <v>1578</v>
      </c>
      <c r="N543" s="0" t="s">
        <v>175</v>
      </c>
      <c r="Q543" s="0" t="n">
        <v>95</v>
      </c>
      <c r="R543" s="0" t="n">
        <v>95</v>
      </c>
      <c r="U543" s="0" t="s">
        <v>2272</v>
      </c>
      <c r="V543" s="0" t="s">
        <v>2272</v>
      </c>
      <c r="Y543" s="0" t="s">
        <v>1651</v>
      </c>
      <c r="Z543" s="0" t="s">
        <v>1652</v>
      </c>
      <c r="AA543" s="0" t="s">
        <v>2233</v>
      </c>
      <c r="AC543" s="0" t="s">
        <v>2224</v>
      </c>
    </row>
    <row r="544" customFormat="false" ht="15" hidden="false" customHeight="false" outlineLevel="0" collapsed="false">
      <c r="A544" s="0" t="s">
        <v>2370</v>
      </c>
      <c r="B544" s="0" t="s">
        <v>163</v>
      </c>
      <c r="C544" s="0" t="s">
        <v>2058</v>
      </c>
      <c r="D544" s="0" t="n">
        <v>2021</v>
      </c>
      <c r="E544" s="0" t="s">
        <v>56</v>
      </c>
      <c r="F544" s="0" t="n">
        <v>6822517</v>
      </c>
      <c r="G544" s="0" t="s">
        <v>1681</v>
      </c>
      <c r="H544" s="0" t="s">
        <v>1648</v>
      </c>
      <c r="I544" s="0" t="n">
        <v>6822517</v>
      </c>
      <c r="J544" s="0" t="s">
        <v>2221</v>
      </c>
      <c r="M544" s="0" t="s">
        <v>1578</v>
      </c>
      <c r="N544" s="0" t="s">
        <v>175</v>
      </c>
      <c r="Q544" s="0" t="n">
        <v>95</v>
      </c>
      <c r="R544" s="0" t="n">
        <v>95</v>
      </c>
      <c r="U544" s="0" t="s">
        <v>2272</v>
      </c>
      <c r="V544" s="0" t="s">
        <v>2272</v>
      </c>
      <c r="Y544" s="0" t="s">
        <v>1651</v>
      </c>
      <c r="Z544" s="0" t="s">
        <v>1652</v>
      </c>
      <c r="AA544" s="0" t="s">
        <v>2233</v>
      </c>
      <c r="AC544" s="0" t="s">
        <v>2224</v>
      </c>
    </row>
    <row r="545" customFormat="false" ht="15" hidden="false" customHeight="false" outlineLevel="0" collapsed="false">
      <c r="A545" s="0" t="s">
        <v>2371</v>
      </c>
      <c r="B545" s="0" t="s">
        <v>163</v>
      </c>
      <c r="C545" s="0" t="s">
        <v>2058</v>
      </c>
      <c r="D545" s="0" t="n">
        <v>2021</v>
      </c>
      <c r="E545" s="0" t="s">
        <v>57</v>
      </c>
      <c r="F545" s="0" t="n">
        <v>1049775</v>
      </c>
      <c r="G545" s="0" t="s">
        <v>1681</v>
      </c>
      <c r="H545" s="0" t="s">
        <v>1648</v>
      </c>
      <c r="I545" s="0" t="n">
        <v>1049775</v>
      </c>
      <c r="J545" s="0" t="s">
        <v>2221</v>
      </c>
      <c r="M545" s="0" t="s">
        <v>1578</v>
      </c>
      <c r="N545" s="0" t="s">
        <v>175</v>
      </c>
      <c r="Q545" s="0" t="n">
        <v>95</v>
      </c>
      <c r="R545" s="0" t="n">
        <v>95</v>
      </c>
      <c r="U545" s="0" t="s">
        <v>2272</v>
      </c>
      <c r="V545" s="0" t="s">
        <v>2272</v>
      </c>
      <c r="Y545" s="0" t="s">
        <v>1651</v>
      </c>
      <c r="Z545" s="0" t="s">
        <v>1652</v>
      </c>
      <c r="AA545" s="0" t="s">
        <v>2233</v>
      </c>
      <c r="AC545" s="0" t="s">
        <v>2224</v>
      </c>
    </row>
    <row r="546" customFormat="false" ht="15" hidden="false" customHeight="false" outlineLevel="0" collapsed="false">
      <c r="A546" s="0" t="s">
        <v>2372</v>
      </c>
      <c r="B546" s="0" t="s">
        <v>163</v>
      </c>
      <c r="C546" s="0" t="s">
        <v>2058</v>
      </c>
      <c r="D546" s="0" t="n">
        <v>2021</v>
      </c>
      <c r="E546" s="0" t="s">
        <v>62</v>
      </c>
      <c r="F546" s="0" t="n">
        <v>3099452</v>
      </c>
      <c r="G546" s="0" t="s">
        <v>1681</v>
      </c>
      <c r="H546" s="0" t="s">
        <v>1648</v>
      </c>
      <c r="I546" s="0" t="n">
        <v>3099452</v>
      </c>
      <c r="J546" s="0" t="s">
        <v>2221</v>
      </c>
      <c r="M546" s="0" t="s">
        <v>1578</v>
      </c>
      <c r="N546" s="0" t="s">
        <v>175</v>
      </c>
      <c r="Q546" s="0" t="n">
        <v>95</v>
      </c>
      <c r="R546" s="0" t="n">
        <v>95</v>
      </c>
      <c r="U546" s="0" t="s">
        <v>2272</v>
      </c>
      <c r="V546" s="0" t="s">
        <v>2272</v>
      </c>
      <c r="Y546" s="0" t="s">
        <v>1651</v>
      </c>
      <c r="Z546" s="0" t="s">
        <v>1652</v>
      </c>
      <c r="AA546" s="0" t="s">
        <v>2233</v>
      </c>
      <c r="AC546" s="0" t="s">
        <v>2224</v>
      </c>
    </row>
    <row r="547" customFormat="false" ht="15" hidden="false" customHeight="false" outlineLevel="0" collapsed="false">
      <c r="A547" s="0" t="s">
        <v>2373</v>
      </c>
      <c r="B547" s="0" t="s">
        <v>163</v>
      </c>
      <c r="C547" s="0" t="s">
        <v>2058</v>
      </c>
      <c r="D547" s="0" t="n">
        <v>2022</v>
      </c>
      <c r="E547" s="0" t="s">
        <v>58</v>
      </c>
      <c r="F547" s="0" t="n">
        <v>1279758</v>
      </c>
      <c r="G547" s="0" t="s">
        <v>1681</v>
      </c>
      <c r="H547" s="0" t="s">
        <v>1648</v>
      </c>
      <c r="I547" s="0" t="n">
        <v>1279758</v>
      </c>
      <c r="J547" s="0" t="s">
        <v>2221</v>
      </c>
      <c r="M547" s="0" t="s">
        <v>1578</v>
      </c>
      <c r="N547" s="0" t="s">
        <v>175</v>
      </c>
      <c r="Q547" s="0" t="n">
        <v>99</v>
      </c>
      <c r="R547" s="0" t="n">
        <v>99</v>
      </c>
      <c r="U547" s="0" t="s">
        <v>2267</v>
      </c>
      <c r="V547" s="0" t="s">
        <v>2267</v>
      </c>
      <c r="Y547" s="0" t="s">
        <v>1651</v>
      </c>
      <c r="Z547" s="0" t="s">
        <v>1652</v>
      </c>
      <c r="AA547" s="0" t="s">
        <v>2233</v>
      </c>
      <c r="AC547" s="0" t="s">
        <v>2224</v>
      </c>
    </row>
    <row r="548" customFormat="false" ht="15" hidden="false" customHeight="false" outlineLevel="0" collapsed="false">
      <c r="A548" s="0" t="s">
        <v>2374</v>
      </c>
      <c r="B548" s="0" t="s">
        <v>163</v>
      </c>
      <c r="C548" s="0" t="s">
        <v>2058</v>
      </c>
      <c r="D548" s="0" t="n">
        <v>2021</v>
      </c>
      <c r="E548" s="0" t="s">
        <v>58</v>
      </c>
      <c r="F548" s="0" t="n">
        <v>457857</v>
      </c>
      <c r="G548" s="0" t="s">
        <v>1681</v>
      </c>
      <c r="H548" s="0" t="s">
        <v>1648</v>
      </c>
      <c r="I548" s="0" t="n">
        <v>457857</v>
      </c>
      <c r="J548" s="0" t="s">
        <v>2221</v>
      </c>
      <c r="M548" s="0" t="s">
        <v>1578</v>
      </c>
      <c r="N548" s="0" t="s">
        <v>175</v>
      </c>
      <c r="Q548" s="0" t="n">
        <v>99</v>
      </c>
      <c r="R548" s="0" t="n">
        <v>99</v>
      </c>
      <c r="U548" s="0" t="s">
        <v>2272</v>
      </c>
      <c r="V548" s="0" t="s">
        <v>2272</v>
      </c>
      <c r="Y548" s="0" t="s">
        <v>1651</v>
      </c>
      <c r="Z548" s="0" t="s">
        <v>1652</v>
      </c>
      <c r="AA548" s="0" t="s">
        <v>2233</v>
      </c>
      <c r="AC548" s="0" t="s">
        <v>2224</v>
      </c>
    </row>
    <row r="549" customFormat="false" ht="15" hidden="false" customHeight="false" outlineLevel="0" collapsed="false">
      <c r="A549" s="0" t="s">
        <v>2375</v>
      </c>
      <c r="B549" s="0" t="s">
        <v>163</v>
      </c>
      <c r="C549" s="0" t="s">
        <v>2058</v>
      </c>
      <c r="D549" s="0" t="n">
        <v>2022</v>
      </c>
      <c r="E549" s="0" t="s">
        <v>60</v>
      </c>
      <c r="F549" s="0" t="n">
        <v>3838805</v>
      </c>
      <c r="G549" s="0" t="s">
        <v>1681</v>
      </c>
      <c r="H549" s="0" t="s">
        <v>1648</v>
      </c>
      <c r="I549" s="0" t="n">
        <v>3838805</v>
      </c>
      <c r="J549" s="0" t="s">
        <v>2221</v>
      </c>
      <c r="M549" s="0" t="s">
        <v>1578</v>
      </c>
      <c r="N549" s="0" t="s">
        <v>175</v>
      </c>
      <c r="Q549" s="0" t="n">
        <v>204</v>
      </c>
      <c r="R549" s="0" t="n">
        <v>204</v>
      </c>
      <c r="U549" s="0" t="s">
        <v>2267</v>
      </c>
      <c r="V549" s="0" t="s">
        <v>2267</v>
      </c>
      <c r="Y549" s="0" t="s">
        <v>1651</v>
      </c>
      <c r="Z549" s="0" t="s">
        <v>1652</v>
      </c>
      <c r="AA549" s="0" t="s">
        <v>2233</v>
      </c>
      <c r="AC549" s="0" t="s">
        <v>2224</v>
      </c>
    </row>
    <row r="550" customFormat="false" ht="15" hidden="false" customHeight="false" outlineLevel="0" collapsed="false">
      <c r="A550" s="0" t="s">
        <v>2376</v>
      </c>
      <c r="B550" s="0" t="s">
        <v>163</v>
      </c>
      <c r="C550" s="0" t="s">
        <v>2058</v>
      </c>
      <c r="D550" s="0" t="n">
        <v>2022</v>
      </c>
      <c r="E550" s="0" t="s">
        <v>61</v>
      </c>
      <c r="F550" s="0" t="n">
        <v>103129</v>
      </c>
      <c r="G550" s="0" t="s">
        <v>1681</v>
      </c>
      <c r="H550" s="0" t="s">
        <v>1648</v>
      </c>
      <c r="I550" s="0" t="n">
        <v>103129</v>
      </c>
      <c r="J550" s="0" t="s">
        <v>2221</v>
      </c>
      <c r="M550" s="0" t="s">
        <v>1578</v>
      </c>
      <c r="N550" s="0" t="s">
        <v>175</v>
      </c>
      <c r="Q550" s="0" t="n">
        <v>204</v>
      </c>
      <c r="R550" s="0" t="n">
        <v>204</v>
      </c>
      <c r="U550" s="0" t="s">
        <v>2267</v>
      </c>
      <c r="V550" s="0" t="s">
        <v>2267</v>
      </c>
      <c r="Y550" s="0" t="s">
        <v>1651</v>
      </c>
      <c r="Z550" s="0" t="s">
        <v>1652</v>
      </c>
      <c r="AA550" s="0" t="s">
        <v>2233</v>
      </c>
      <c r="AC550" s="0" t="s">
        <v>2224</v>
      </c>
    </row>
    <row r="551" customFormat="false" ht="15" hidden="false" customHeight="false" outlineLevel="0" collapsed="false">
      <c r="A551" s="0" t="s">
        <v>2377</v>
      </c>
      <c r="B551" s="0" t="s">
        <v>163</v>
      </c>
      <c r="C551" s="0" t="s">
        <v>2058</v>
      </c>
      <c r="D551" s="0" t="n">
        <v>2021</v>
      </c>
      <c r="E551" s="0" t="s">
        <v>60</v>
      </c>
      <c r="F551" s="0" t="n">
        <v>3237973</v>
      </c>
      <c r="G551" s="0" t="s">
        <v>1681</v>
      </c>
      <c r="H551" s="0" t="s">
        <v>1648</v>
      </c>
      <c r="I551" s="0" t="n">
        <v>3237973</v>
      </c>
      <c r="J551" s="0" t="s">
        <v>2221</v>
      </c>
      <c r="M551" s="0" t="s">
        <v>1578</v>
      </c>
      <c r="N551" s="0" t="s">
        <v>175</v>
      </c>
      <c r="Q551" s="0" t="n">
        <v>204</v>
      </c>
      <c r="R551" s="0" t="n">
        <v>204</v>
      </c>
      <c r="U551" s="0" t="s">
        <v>2272</v>
      </c>
      <c r="V551" s="0" t="s">
        <v>2272</v>
      </c>
      <c r="Y551" s="0" t="s">
        <v>1651</v>
      </c>
      <c r="Z551" s="0" t="s">
        <v>1652</v>
      </c>
      <c r="AA551" s="0" t="s">
        <v>2233</v>
      </c>
      <c r="AC551" s="0" t="s">
        <v>2224</v>
      </c>
    </row>
    <row r="552" customFormat="false" ht="15" hidden="false" customHeight="false" outlineLevel="0" collapsed="false">
      <c r="A552" s="0" t="s">
        <v>2378</v>
      </c>
      <c r="B552" s="0" t="s">
        <v>163</v>
      </c>
      <c r="C552" s="0" t="s">
        <v>2058</v>
      </c>
      <c r="D552" s="0" t="n">
        <v>2021</v>
      </c>
      <c r="E552" s="0" t="s">
        <v>61</v>
      </c>
      <c r="F552" s="0" t="n">
        <v>138521</v>
      </c>
      <c r="G552" s="0" t="s">
        <v>1681</v>
      </c>
      <c r="H552" s="0" t="s">
        <v>1648</v>
      </c>
      <c r="I552" s="0" t="n">
        <v>138521</v>
      </c>
      <c r="J552" s="0" t="s">
        <v>2221</v>
      </c>
      <c r="M552" s="0" t="s">
        <v>1578</v>
      </c>
      <c r="N552" s="0" t="s">
        <v>175</v>
      </c>
      <c r="Q552" s="0" t="n">
        <v>204</v>
      </c>
      <c r="R552" s="0" t="n">
        <v>204</v>
      </c>
      <c r="U552" s="0" t="s">
        <v>2272</v>
      </c>
      <c r="V552" s="0" t="s">
        <v>2272</v>
      </c>
      <c r="Y552" s="0" t="s">
        <v>1651</v>
      </c>
      <c r="Z552" s="0" t="s">
        <v>1652</v>
      </c>
      <c r="AA552" s="0" t="s">
        <v>2233</v>
      </c>
      <c r="AC552" s="0" t="s">
        <v>2224</v>
      </c>
    </row>
    <row r="553" customFormat="false" ht="15" hidden="false" customHeight="false" outlineLevel="0" collapsed="false">
      <c r="A553" s="0" t="s">
        <v>2379</v>
      </c>
      <c r="B553" s="0" t="s">
        <v>154</v>
      </c>
      <c r="C553" s="0" t="s">
        <v>1862</v>
      </c>
      <c r="D553" s="0" t="n">
        <v>2020</v>
      </c>
      <c r="E553" s="0" t="s">
        <v>54</v>
      </c>
      <c r="F553" s="0" t="n">
        <v>4592217</v>
      </c>
      <c r="G553" s="0" t="s">
        <v>1647</v>
      </c>
      <c r="H553" s="0" t="s">
        <v>1648</v>
      </c>
      <c r="I553" s="0" t="n">
        <v>4592.217</v>
      </c>
      <c r="J553" s="0" t="s">
        <v>2221</v>
      </c>
      <c r="M553" s="0" t="s">
        <v>1570</v>
      </c>
      <c r="N553" s="0" t="s">
        <v>159</v>
      </c>
      <c r="Q553" s="0" t="n">
        <v>33</v>
      </c>
      <c r="R553" s="0" t="n">
        <v>29</v>
      </c>
      <c r="U553" s="0" t="s">
        <v>2246</v>
      </c>
      <c r="V553" s="0" t="s">
        <v>2246</v>
      </c>
      <c r="Y553" s="0" t="s">
        <v>1651</v>
      </c>
      <c r="Z553" s="0" t="s">
        <v>1652</v>
      </c>
      <c r="AA553" s="0" t="s">
        <v>2233</v>
      </c>
      <c r="AC553" s="0" t="s">
        <v>2224</v>
      </c>
    </row>
    <row r="554" customFormat="false" ht="15" hidden="false" customHeight="false" outlineLevel="0" collapsed="false">
      <c r="A554" s="0" t="s">
        <v>2380</v>
      </c>
      <c r="B554" s="0" t="s">
        <v>154</v>
      </c>
      <c r="C554" s="0" t="s">
        <v>1862</v>
      </c>
      <c r="D554" s="0" t="n">
        <v>2020</v>
      </c>
      <c r="E554" s="0" t="s">
        <v>402</v>
      </c>
      <c r="F554" s="0" t="n">
        <v>5946523</v>
      </c>
      <c r="G554" s="0" t="s">
        <v>1647</v>
      </c>
      <c r="H554" s="0" t="s">
        <v>1648</v>
      </c>
      <c r="I554" s="0" t="n">
        <v>5946.523</v>
      </c>
      <c r="J554" s="0" t="s">
        <v>2221</v>
      </c>
      <c r="M554" s="0" t="s">
        <v>1570</v>
      </c>
      <c r="N554" s="0" t="s">
        <v>159</v>
      </c>
      <c r="Q554" s="0" t="n">
        <v>33</v>
      </c>
      <c r="R554" s="0" t="n">
        <v>29</v>
      </c>
      <c r="U554" s="0" t="s">
        <v>2246</v>
      </c>
      <c r="V554" s="0" t="s">
        <v>2246</v>
      </c>
      <c r="Y554" s="0" t="s">
        <v>1651</v>
      </c>
      <c r="Z554" s="0" t="s">
        <v>1652</v>
      </c>
      <c r="AA554" s="0" t="s">
        <v>2233</v>
      </c>
      <c r="AC554" s="0" t="s">
        <v>2224</v>
      </c>
    </row>
    <row r="555" customFormat="false" ht="15" hidden="false" customHeight="false" outlineLevel="0" collapsed="false">
      <c r="A555" s="0" t="s">
        <v>2381</v>
      </c>
      <c r="B555" s="0" t="s">
        <v>154</v>
      </c>
      <c r="C555" s="0" t="s">
        <v>1862</v>
      </c>
      <c r="D555" s="0" t="n">
        <v>2020</v>
      </c>
      <c r="E555" s="0" t="s">
        <v>63</v>
      </c>
      <c r="F555" s="0" t="n">
        <v>5635165</v>
      </c>
      <c r="G555" s="0" t="s">
        <v>1647</v>
      </c>
      <c r="H555" s="0" t="s">
        <v>1648</v>
      </c>
      <c r="I555" s="0" t="n">
        <v>5635.165</v>
      </c>
      <c r="J555" s="0" t="s">
        <v>2221</v>
      </c>
      <c r="M555" s="0" t="s">
        <v>1570</v>
      </c>
      <c r="N555" s="0" t="s">
        <v>159</v>
      </c>
      <c r="Q555" s="0" t="n">
        <v>33</v>
      </c>
      <c r="R555" s="0" t="n">
        <v>29</v>
      </c>
      <c r="U555" s="0" t="s">
        <v>2246</v>
      </c>
      <c r="V555" s="0" t="s">
        <v>2246</v>
      </c>
      <c r="Y555" s="0" t="s">
        <v>1651</v>
      </c>
      <c r="Z555" s="0" t="s">
        <v>1652</v>
      </c>
      <c r="AA555" s="0" t="s">
        <v>2233</v>
      </c>
      <c r="AC555" s="0" t="s">
        <v>2224</v>
      </c>
    </row>
    <row r="556" customFormat="false" ht="15" hidden="false" customHeight="false" outlineLevel="0" collapsed="false">
      <c r="A556" s="0" t="s">
        <v>2382</v>
      </c>
      <c r="B556" s="0" t="s">
        <v>154</v>
      </c>
      <c r="C556" s="0" t="s">
        <v>1862</v>
      </c>
      <c r="D556" s="0" t="n">
        <v>2019</v>
      </c>
      <c r="E556" s="0" t="s">
        <v>54</v>
      </c>
      <c r="F556" s="0" t="n">
        <v>5210748</v>
      </c>
      <c r="G556" s="0" t="s">
        <v>1647</v>
      </c>
      <c r="H556" s="0" t="s">
        <v>1648</v>
      </c>
      <c r="I556" s="0" t="n">
        <v>5210.748</v>
      </c>
      <c r="J556" s="0" t="s">
        <v>2221</v>
      </c>
      <c r="M556" s="0" t="s">
        <v>1570</v>
      </c>
      <c r="N556" s="0" t="s">
        <v>159</v>
      </c>
      <c r="Q556" s="0" t="n">
        <v>33</v>
      </c>
      <c r="R556" s="0" t="n">
        <v>29</v>
      </c>
      <c r="U556" s="0" t="s">
        <v>2252</v>
      </c>
      <c r="V556" s="0" t="s">
        <v>2252</v>
      </c>
      <c r="Y556" s="0" t="s">
        <v>1651</v>
      </c>
      <c r="Z556" s="0" t="s">
        <v>1652</v>
      </c>
      <c r="AA556" s="0" t="s">
        <v>2233</v>
      </c>
      <c r="AC556" s="0" t="s">
        <v>2224</v>
      </c>
    </row>
    <row r="557" customFormat="false" ht="15" hidden="false" customHeight="false" outlineLevel="0" collapsed="false">
      <c r="A557" s="0" t="s">
        <v>2383</v>
      </c>
      <c r="B557" s="0" t="s">
        <v>154</v>
      </c>
      <c r="C557" s="0" t="s">
        <v>1862</v>
      </c>
      <c r="D557" s="0" t="n">
        <v>2019</v>
      </c>
      <c r="E557" s="0" t="s">
        <v>402</v>
      </c>
      <c r="F557" s="0" t="n">
        <v>6770828</v>
      </c>
      <c r="G557" s="0" t="s">
        <v>1647</v>
      </c>
      <c r="H557" s="0" t="s">
        <v>1648</v>
      </c>
      <c r="I557" s="0" t="n">
        <v>6770.828</v>
      </c>
      <c r="J557" s="0" t="s">
        <v>2221</v>
      </c>
      <c r="M557" s="0" t="s">
        <v>1570</v>
      </c>
      <c r="N557" s="0" t="s">
        <v>159</v>
      </c>
      <c r="Q557" s="0" t="n">
        <v>33</v>
      </c>
      <c r="R557" s="0" t="n">
        <v>29</v>
      </c>
      <c r="U557" s="0" t="s">
        <v>2252</v>
      </c>
      <c r="V557" s="0" t="s">
        <v>2252</v>
      </c>
      <c r="Y557" s="0" t="s">
        <v>1651</v>
      </c>
      <c r="Z557" s="0" t="s">
        <v>1652</v>
      </c>
      <c r="AA557" s="0" t="s">
        <v>2233</v>
      </c>
      <c r="AC557" s="0" t="s">
        <v>2224</v>
      </c>
    </row>
    <row r="558" customFormat="false" ht="15" hidden="false" customHeight="false" outlineLevel="0" collapsed="false">
      <c r="A558" s="0" t="s">
        <v>2384</v>
      </c>
      <c r="B558" s="0" t="s">
        <v>154</v>
      </c>
      <c r="C558" s="0" t="s">
        <v>1862</v>
      </c>
      <c r="D558" s="0" t="n">
        <v>2019</v>
      </c>
      <c r="E558" s="0" t="s">
        <v>63</v>
      </c>
      <c r="F558" s="0" t="n">
        <v>6130600</v>
      </c>
      <c r="G558" s="0" t="s">
        <v>1647</v>
      </c>
      <c r="H558" s="0" t="s">
        <v>1648</v>
      </c>
      <c r="I558" s="0" t="n">
        <v>6130.6</v>
      </c>
      <c r="J558" s="0" t="s">
        <v>2221</v>
      </c>
      <c r="M558" s="0" t="s">
        <v>1570</v>
      </c>
      <c r="N558" s="0" t="s">
        <v>159</v>
      </c>
      <c r="Q558" s="0" t="n">
        <v>33</v>
      </c>
      <c r="R558" s="0" t="n">
        <v>29</v>
      </c>
      <c r="U558" s="0" t="s">
        <v>2252</v>
      </c>
      <c r="V558" s="0" t="s">
        <v>2252</v>
      </c>
      <c r="Y558" s="0" t="s">
        <v>1651</v>
      </c>
      <c r="Z558" s="0" t="s">
        <v>1652</v>
      </c>
      <c r="AA558" s="0" t="s">
        <v>2233</v>
      </c>
      <c r="AC558" s="0" t="s">
        <v>2224</v>
      </c>
    </row>
    <row r="559" customFormat="false" ht="15" hidden="false" customHeight="false" outlineLevel="0" collapsed="false">
      <c r="A559" s="0" t="s">
        <v>2385</v>
      </c>
      <c r="B559" s="0" t="s">
        <v>154</v>
      </c>
      <c r="C559" s="0" t="s">
        <v>1862</v>
      </c>
      <c r="D559" s="0" t="n">
        <v>2020</v>
      </c>
      <c r="E559" s="0" t="s">
        <v>55</v>
      </c>
      <c r="F559" s="0" t="n">
        <v>968582084</v>
      </c>
      <c r="G559" s="0" t="s">
        <v>1647</v>
      </c>
      <c r="H559" s="0" t="s">
        <v>1648</v>
      </c>
      <c r="I559" s="0" t="n">
        <v>968582.084</v>
      </c>
      <c r="J559" s="0" t="s">
        <v>2221</v>
      </c>
      <c r="M559" s="0" t="s">
        <v>1570</v>
      </c>
      <c r="N559" s="0" t="s">
        <v>159</v>
      </c>
      <c r="Q559" s="0" t="n">
        <v>34</v>
      </c>
      <c r="R559" s="0" t="n">
        <v>30</v>
      </c>
      <c r="U559" s="0" t="s">
        <v>2246</v>
      </c>
      <c r="V559" s="0" t="s">
        <v>2246</v>
      </c>
      <c r="Y559" s="0" t="s">
        <v>1651</v>
      </c>
      <c r="Z559" s="0" t="s">
        <v>1652</v>
      </c>
      <c r="AA559" s="0" t="s">
        <v>2233</v>
      </c>
      <c r="AC559" s="0" t="s">
        <v>2224</v>
      </c>
    </row>
    <row r="560" customFormat="false" ht="15" hidden="false" customHeight="false" outlineLevel="0" collapsed="false">
      <c r="A560" s="0" t="s">
        <v>2386</v>
      </c>
      <c r="B560" s="0" t="s">
        <v>154</v>
      </c>
      <c r="C560" s="0" t="s">
        <v>1862</v>
      </c>
      <c r="D560" s="0" t="n">
        <v>2020</v>
      </c>
      <c r="E560" s="0" t="s">
        <v>56</v>
      </c>
      <c r="F560" s="0" t="n">
        <v>909229251</v>
      </c>
      <c r="G560" s="0" t="s">
        <v>1647</v>
      </c>
      <c r="H560" s="0" t="s">
        <v>1648</v>
      </c>
      <c r="I560" s="0" t="n">
        <v>909229.251</v>
      </c>
      <c r="J560" s="0" t="s">
        <v>2221</v>
      </c>
      <c r="M560" s="0" t="s">
        <v>1570</v>
      </c>
      <c r="N560" s="0" t="s">
        <v>159</v>
      </c>
      <c r="Q560" s="0" t="n">
        <v>34</v>
      </c>
      <c r="R560" s="0" t="n">
        <v>30</v>
      </c>
      <c r="U560" s="0" t="s">
        <v>2246</v>
      </c>
      <c r="V560" s="0" t="s">
        <v>2246</v>
      </c>
      <c r="Y560" s="0" t="s">
        <v>1651</v>
      </c>
      <c r="Z560" s="0" t="s">
        <v>1652</v>
      </c>
      <c r="AA560" s="0" t="s">
        <v>2233</v>
      </c>
      <c r="AC560" s="0" t="s">
        <v>2224</v>
      </c>
    </row>
    <row r="561" customFormat="false" ht="15" hidden="false" customHeight="false" outlineLevel="0" collapsed="false">
      <c r="A561" s="0" t="s">
        <v>2387</v>
      </c>
      <c r="B561" s="0" t="s">
        <v>154</v>
      </c>
      <c r="C561" s="0" t="s">
        <v>1862</v>
      </c>
      <c r="D561" s="0" t="n">
        <v>2020</v>
      </c>
      <c r="E561" s="0" t="s">
        <v>57</v>
      </c>
      <c r="F561" s="0" t="n">
        <v>59352833</v>
      </c>
      <c r="G561" s="0" t="s">
        <v>1647</v>
      </c>
      <c r="H561" s="0" t="s">
        <v>1648</v>
      </c>
      <c r="I561" s="0" t="n">
        <v>59352.833</v>
      </c>
      <c r="J561" s="0" t="s">
        <v>2221</v>
      </c>
      <c r="M561" s="0" t="s">
        <v>1570</v>
      </c>
      <c r="N561" s="0" t="s">
        <v>159</v>
      </c>
      <c r="Q561" s="0" t="n">
        <v>34</v>
      </c>
      <c r="R561" s="0" t="n">
        <v>30</v>
      </c>
      <c r="U561" s="0" t="s">
        <v>2246</v>
      </c>
      <c r="V561" s="0" t="s">
        <v>2246</v>
      </c>
      <c r="Y561" s="0" t="s">
        <v>1651</v>
      </c>
      <c r="Z561" s="0" t="s">
        <v>1652</v>
      </c>
      <c r="AA561" s="0" t="s">
        <v>2233</v>
      </c>
      <c r="AC561" s="0" t="s">
        <v>2224</v>
      </c>
    </row>
    <row r="562" customFormat="false" ht="15" hidden="false" customHeight="false" outlineLevel="0" collapsed="false">
      <c r="A562" s="0" t="s">
        <v>2388</v>
      </c>
      <c r="B562" s="0" t="s">
        <v>154</v>
      </c>
      <c r="C562" s="0" t="s">
        <v>1862</v>
      </c>
      <c r="D562" s="0" t="n">
        <v>2020</v>
      </c>
      <c r="E562" s="0" t="s">
        <v>62</v>
      </c>
      <c r="F562" s="0" t="n">
        <v>360076079</v>
      </c>
      <c r="G562" s="0" t="s">
        <v>1647</v>
      </c>
      <c r="H562" s="0" t="s">
        <v>1648</v>
      </c>
      <c r="I562" s="0" t="n">
        <v>360076.079</v>
      </c>
      <c r="J562" s="0" t="s">
        <v>2221</v>
      </c>
      <c r="M562" s="0" t="s">
        <v>1570</v>
      </c>
      <c r="N562" s="0" t="s">
        <v>159</v>
      </c>
      <c r="Q562" s="0" t="n">
        <v>34</v>
      </c>
      <c r="R562" s="0" t="n">
        <v>30</v>
      </c>
      <c r="U562" s="0" t="s">
        <v>2246</v>
      </c>
      <c r="V562" s="0" t="s">
        <v>2246</v>
      </c>
      <c r="Y562" s="0" t="s">
        <v>1651</v>
      </c>
      <c r="Z562" s="0" t="s">
        <v>1652</v>
      </c>
      <c r="AA562" s="0" t="s">
        <v>2233</v>
      </c>
      <c r="AC562" s="0" t="s">
        <v>2224</v>
      </c>
    </row>
    <row r="563" customFormat="false" ht="15" hidden="false" customHeight="false" outlineLevel="0" collapsed="false">
      <c r="A563" s="0" t="s">
        <v>2389</v>
      </c>
      <c r="B563" s="0" t="s">
        <v>154</v>
      </c>
      <c r="C563" s="0" t="s">
        <v>1862</v>
      </c>
      <c r="D563" s="0" t="n">
        <v>2019</v>
      </c>
      <c r="E563" s="0" t="s">
        <v>55</v>
      </c>
      <c r="F563" s="0" t="n">
        <v>704955604</v>
      </c>
      <c r="G563" s="0" t="s">
        <v>1647</v>
      </c>
      <c r="H563" s="0" t="s">
        <v>1648</v>
      </c>
      <c r="I563" s="0" t="n">
        <v>704955.604</v>
      </c>
      <c r="J563" s="0" t="s">
        <v>2221</v>
      </c>
      <c r="M563" s="0" t="s">
        <v>1570</v>
      </c>
      <c r="N563" s="0" t="s">
        <v>159</v>
      </c>
      <c r="Q563" s="0" t="n">
        <v>34</v>
      </c>
      <c r="R563" s="0" t="n">
        <v>30</v>
      </c>
      <c r="U563" s="0" t="s">
        <v>2252</v>
      </c>
      <c r="V563" s="0" t="s">
        <v>2252</v>
      </c>
      <c r="Y563" s="0" t="s">
        <v>1651</v>
      </c>
      <c r="Z563" s="0" t="s">
        <v>1652</v>
      </c>
      <c r="AA563" s="0" t="s">
        <v>2233</v>
      </c>
      <c r="AC563" s="0" t="s">
        <v>2224</v>
      </c>
    </row>
    <row r="564" customFormat="false" ht="15" hidden="false" customHeight="false" outlineLevel="0" collapsed="false">
      <c r="A564" s="0" t="s">
        <v>2390</v>
      </c>
      <c r="B564" s="0" t="s">
        <v>154</v>
      </c>
      <c r="C564" s="0" t="s">
        <v>1862</v>
      </c>
      <c r="D564" s="0" t="n">
        <v>2019</v>
      </c>
      <c r="E564" s="0" t="s">
        <v>56</v>
      </c>
      <c r="F564" s="0" t="n">
        <v>649598753</v>
      </c>
      <c r="G564" s="0" t="s">
        <v>1647</v>
      </c>
      <c r="H564" s="0" t="s">
        <v>1648</v>
      </c>
      <c r="I564" s="0" t="n">
        <v>649598.753</v>
      </c>
      <c r="J564" s="0" t="s">
        <v>2221</v>
      </c>
      <c r="M564" s="0" t="s">
        <v>1570</v>
      </c>
      <c r="N564" s="0" t="s">
        <v>159</v>
      </c>
      <c r="Q564" s="0" t="n">
        <v>34</v>
      </c>
      <c r="R564" s="0" t="n">
        <v>30</v>
      </c>
      <c r="U564" s="0" t="s">
        <v>2252</v>
      </c>
      <c r="V564" s="0" t="s">
        <v>2252</v>
      </c>
      <c r="Y564" s="0" t="s">
        <v>1651</v>
      </c>
      <c r="Z564" s="0" t="s">
        <v>1652</v>
      </c>
      <c r="AA564" s="0" t="s">
        <v>2233</v>
      </c>
      <c r="AC564" s="0" t="s">
        <v>2224</v>
      </c>
    </row>
    <row r="565" customFormat="false" ht="15" hidden="false" customHeight="false" outlineLevel="0" collapsed="false">
      <c r="A565" s="0" t="s">
        <v>2391</v>
      </c>
      <c r="B565" s="0" t="s">
        <v>154</v>
      </c>
      <c r="C565" s="0" t="s">
        <v>1862</v>
      </c>
      <c r="D565" s="0" t="n">
        <v>2019</v>
      </c>
      <c r="E565" s="0" t="s">
        <v>57</v>
      </c>
      <c r="F565" s="0" t="n">
        <v>55356851</v>
      </c>
      <c r="G565" s="0" t="s">
        <v>1647</v>
      </c>
      <c r="H565" s="0" t="s">
        <v>1648</v>
      </c>
      <c r="I565" s="0" t="n">
        <v>55356.851</v>
      </c>
      <c r="J565" s="0" t="s">
        <v>2221</v>
      </c>
      <c r="M565" s="0" t="s">
        <v>1570</v>
      </c>
      <c r="N565" s="0" t="s">
        <v>159</v>
      </c>
      <c r="Q565" s="0" t="n">
        <v>34</v>
      </c>
      <c r="R565" s="0" t="n">
        <v>30</v>
      </c>
      <c r="U565" s="0" t="s">
        <v>2252</v>
      </c>
      <c r="V565" s="0" t="s">
        <v>2252</v>
      </c>
      <c r="Y565" s="0" t="s">
        <v>1651</v>
      </c>
      <c r="Z565" s="0" t="s">
        <v>1652</v>
      </c>
      <c r="AA565" s="0" t="s">
        <v>2233</v>
      </c>
      <c r="AC565" s="0" t="s">
        <v>2224</v>
      </c>
    </row>
    <row r="566" customFormat="false" ht="15" hidden="false" customHeight="false" outlineLevel="0" collapsed="false">
      <c r="A566" s="0" t="s">
        <v>2392</v>
      </c>
      <c r="B566" s="0" t="s">
        <v>154</v>
      </c>
      <c r="C566" s="0" t="s">
        <v>1862</v>
      </c>
      <c r="D566" s="0" t="n">
        <v>2019</v>
      </c>
      <c r="E566" s="0" t="s">
        <v>62</v>
      </c>
      <c r="F566" s="0" t="n">
        <v>289239870</v>
      </c>
      <c r="G566" s="0" t="s">
        <v>1647</v>
      </c>
      <c r="H566" s="0" t="s">
        <v>1648</v>
      </c>
      <c r="I566" s="0" t="n">
        <v>289239.87</v>
      </c>
      <c r="J566" s="0" t="s">
        <v>2221</v>
      </c>
      <c r="M566" s="0" t="s">
        <v>1570</v>
      </c>
      <c r="N566" s="0" t="s">
        <v>159</v>
      </c>
      <c r="Q566" s="0" t="n">
        <v>34</v>
      </c>
      <c r="R566" s="0" t="n">
        <v>30</v>
      </c>
      <c r="U566" s="0" t="s">
        <v>2252</v>
      </c>
      <c r="V566" s="0" t="s">
        <v>2252</v>
      </c>
      <c r="Y566" s="0" t="s">
        <v>1651</v>
      </c>
      <c r="Z566" s="0" t="s">
        <v>1652</v>
      </c>
      <c r="AA566" s="0" t="s">
        <v>2233</v>
      </c>
      <c r="AC566" s="0" t="s">
        <v>2224</v>
      </c>
    </row>
    <row r="567" customFormat="false" ht="15" hidden="false" customHeight="false" outlineLevel="0" collapsed="false">
      <c r="A567" s="0" t="s">
        <v>2393</v>
      </c>
      <c r="B567" s="0" t="s">
        <v>154</v>
      </c>
      <c r="C567" s="0" t="s">
        <v>1862</v>
      </c>
      <c r="D567" s="0" t="n">
        <v>2020</v>
      </c>
      <c r="E567" s="0" t="s">
        <v>58</v>
      </c>
      <c r="F567" s="0" t="n">
        <v>46804348</v>
      </c>
      <c r="G567" s="0" t="s">
        <v>1647</v>
      </c>
      <c r="H567" s="0" t="s">
        <v>1648</v>
      </c>
      <c r="I567" s="0" t="n">
        <v>46804.348</v>
      </c>
      <c r="J567" s="0" t="s">
        <v>2221</v>
      </c>
      <c r="M567" s="0" t="s">
        <v>1570</v>
      </c>
      <c r="N567" s="0" t="s">
        <v>159</v>
      </c>
      <c r="Q567" s="0" t="n">
        <v>38</v>
      </c>
      <c r="R567" s="0" t="n">
        <v>34</v>
      </c>
      <c r="U567" s="0" t="s">
        <v>2246</v>
      </c>
      <c r="V567" s="0" t="s">
        <v>2246</v>
      </c>
      <c r="Y567" s="0" t="s">
        <v>1651</v>
      </c>
      <c r="Z567" s="0" t="s">
        <v>1652</v>
      </c>
      <c r="AA567" s="0" t="s">
        <v>2233</v>
      </c>
      <c r="AC567" s="0" t="s">
        <v>2224</v>
      </c>
    </row>
    <row r="568" customFormat="false" ht="15" hidden="false" customHeight="false" outlineLevel="0" collapsed="false">
      <c r="A568" s="0" t="s">
        <v>2394</v>
      </c>
      <c r="B568" s="0" t="s">
        <v>154</v>
      </c>
      <c r="C568" s="0" t="s">
        <v>1862</v>
      </c>
      <c r="D568" s="0" t="n">
        <v>2019</v>
      </c>
      <c r="E568" s="0" t="s">
        <v>58</v>
      </c>
      <c r="F568" s="0" t="n">
        <v>107380822</v>
      </c>
      <c r="G568" s="0" t="s">
        <v>1647</v>
      </c>
      <c r="H568" s="0" t="s">
        <v>1648</v>
      </c>
      <c r="I568" s="0" t="n">
        <v>107380.822</v>
      </c>
      <c r="J568" s="0" t="s">
        <v>2221</v>
      </c>
      <c r="M568" s="0" t="s">
        <v>1570</v>
      </c>
      <c r="N568" s="0" t="s">
        <v>159</v>
      </c>
      <c r="Q568" s="0" t="n">
        <v>38</v>
      </c>
      <c r="R568" s="0" t="n">
        <v>34</v>
      </c>
      <c r="U568" s="0" t="s">
        <v>2252</v>
      </c>
      <c r="V568" s="0" t="s">
        <v>2252</v>
      </c>
      <c r="Y568" s="0" t="s">
        <v>1651</v>
      </c>
      <c r="Z568" s="0" t="s">
        <v>1652</v>
      </c>
      <c r="AA568" s="0" t="s">
        <v>2233</v>
      </c>
      <c r="AC568" s="0" t="s">
        <v>2224</v>
      </c>
    </row>
    <row r="569" customFormat="false" ht="15" hidden="false" customHeight="false" outlineLevel="0" collapsed="false">
      <c r="A569" s="0" t="s">
        <v>2395</v>
      </c>
      <c r="B569" s="0" t="s">
        <v>154</v>
      </c>
      <c r="C569" s="0" t="s">
        <v>1862</v>
      </c>
      <c r="D569" s="0" t="n">
        <v>2022</v>
      </c>
      <c r="E569" s="0" t="s">
        <v>54</v>
      </c>
      <c r="F569" s="0" t="n">
        <v>11214027</v>
      </c>
      <c r="G569" s="0" t="s">
        <v>1647</v>
      </c>
      <c r="H569" s="0" t="s">
        <v>1648</v>
      </c>
      <c r="I569" s="0" t="n">
        <v>11214.027</v>
      </c>
      <c r="J569" s="0" t="s">
        <v>2221</v>
      </c>
      <c r="M569" s="0" t="s">
        <v>1573</v>
      </c>
      <c r="N569" s="0" t="s">
        <v>162</v>
      </c>
      <c r="Q569" s="0" t="n">
        <v>71</v>
      </c>
      <c r="R569" s="0" t="n">
        <v>153</v>
      </c>
      <c r="U569" s="0" t="s">
        <v>2396</v>
      </c>
      <c r="V569" s="0" t="s">
        <v>2396</v>
      </c>
      <c r="Y569" s="0" t="s">
        <v>1651</v>
      </c>
      <c r="Z569" s="0" t="s">
        <v>1652</v>
      </c>
      <c r="AA569" s="0" t="s">
        <v>2397</v>
      </c>
      <c r="AC569" s="0" t="s">
        <v>2224</v>
      </c>
    </row>
    <row r="570" customFormat="false" ht="15" hidden="false" customHeight="false" outlineLevel="0" collapsed="false">
      <c r="A570" s="0" t="s">
        <v>2398</v>
      </c>
      <c r="B570" s="0" t="s">
        <v>154</v>
      </c>
      <c r="C570" s="0" t="s">
        <v>1862</v>
      </c>
      <c r="D570" s="0" t="n">
        <v>2022</v>
      </c>
      <c r="E570" s="0" t="s">
        <v>402</v>
      </c>
      <c r="F570" s="0" t="n">
        <v>14746008</v>
      </c>
      <c r="G570" s="0" t="s">
        <v>1647</v>
      </c>
      <c r="H570" s="0" t="s">
        <v>1648</v>
      </c>
      <c r="I570" s="0" t="n">
        <v>14746.008</v>
      </c>
      <c r="J570" s="0" t="s">
        <v>2221</v>
      </c>
      <c r="M570" s="0" t="s">
        <v>1573</v>
      </c>
      <c r="N570" s="0" t="s">
        <v>162</v>
      </c>
      <c r="Q570" s="0" t="n">
        <v>71</v>
      </c>
      <c r="R570" s="0" t="n">
        <v>153</v>
      </c>
      <c r="U570" s="0" t="s">
        <v>2396</v>
      </c>
      <c r="V570" s="0" t="s">
        <v>2396</v>
      </c>
      <c r="Y570" s="0" t="s">
        <v>1651</v>
      </c>
      <c r="Z570" s="0" t="s">
        <v>1652</v>
      </c>
      <c r="AA570" s="0" t="s">
        <v>2397</v>
      </c>
      <c r="AC570" s="0" t="s">
        <v>2224</v>
      </c>
    </row>
    <row r="571" customFormat="false" ht="15" hidden="false" customHeight="false" outlineLevel="0" collapsed="false">
      <c r="A571" s="0" t="s">
        <v>2399</v>
      </c>
      <c r="B571" s="0" t="s">
        <v>154</v>
      </c>
      <c r="C571" s="0" t="s">
        <v>1862</v>
      </c>
      <c r="D571" s="0" t="n">
        <v>2022</v>
      </c>
      <c r="E571" s="0" t="s">
        <v>63</v>
      </c>
      <c r="F571" s="0" t="n">
        <v>4762274</v>
      </c>
      <c r="G571" s="0" t="s">
        <v>1647</v>
      </c>
      <c r="H571" s="0" t="s">
        <v>1648</v>
      </c>
      <c r="I571" s="0" t="n">
        <v>4762.274</v>
      </c>
      <c r="J571" s="0" t="s">
        <v>2221</v>
      </c>
      <c r="M571" s="0" t="s">
        <v>1573</v>
      </c>
      <c r="N571" s="0" t="s">
        <v>162</v>
      </c>
      <c r="Q571" s="0" t="n">
        <v>71</v>
      </c>
      <c r="R571" s="0" t="n">
        <v>153</v>
      </c>
      <c r="U571" s="0" t="s">
        <v>2396</v>
      </c>
      <c r="V571" s="0" t="s">
        <v>2396</v>
      </c>
      <c r="Y571" s="0" t="s">
        <v>1651</v>
      </c>
      <c r="Z571" s="0" t="s">
        <v>1652</v>
      </c>
      <c r="AA571" s="0" t="s">
        <v>2397</v>
      </c>
      <c r="AC571" s="0" t="s">
        <v>2224</v>
      </c>
    </row>
    <row r="572" customFormat="false" ht="15" hidden="false" customHeight="false" outlineLevel="0" collapsed="false">
      <c r="A572" s="0" t="s">
        <v>2400</v>
      </c>
      <c r="B572" s="0" t="s">
        <v>154</v>
      </c>
      <c r="C572" s="0" t="s">
        <v>1862</v>
      </c>
      <c r="D572" s="0" t="n">
        <v>2022</v>
      </c>
      <c r="E572" s="0" t="s">
        <v>55</v>
      </c>
      <c r="F572" s="0" t="n">
        <v>1433703656</v>
      </c>
      <c r="G572" s="0" t="s">
        <v>1647</v>
      </c>
      <c r="H572" s="0" t="s">
        <v>1648</v>
      </c>
      <c r="I572" s="0" t="n">
        <v>1433703.656</v>
      </c>
      <c r="J572" s="0" t="s">
        <v>2221</v>
      </c>
      <c r="M572" s="0" t="s">
        <v>1573</v>
      </c>
      <c r="N572" s="0" t="s">
        <v>162</v>
      </c>
      <c r="Q572" s="0" t="n">
        <v>72</v>
      </c>
      <c r="R572" s="0" t="n">
        <v>154</v>
      </c>
      <c r="U572" s="0" t="s">
        <v>2396</v>
      </c>
      <c r="V572" s="0" t="s">
        <v>2396</v>
      </c>
      <c r="Y572" s="0" t="s">
        <v>1651</v>
      </c>
      <c r="Z572" s="0" t="s">
        <v>1652</v>
      </c>
      <c r="AA572" s="0" t="s">
        <v>2233</v>
      </c>
      <c r="AC572" s="0" t="s">
        <v>2224</v>
      </c>
    </row>
    <row r="573" customFormat="false" ht="15" hidden="false" customHeight="false" outlineLevel="0" collapsed="false">
      <c r="A573" s="0" t="s">
        <v>2401</v>
      </c>
      <c r="B573" s="0" t="s">
        <v>154</v>
      </c>
      <c r="C573" s="0" t="s">
        <v>1862</v>
      </c>
      <c r="D573" s="0" t="n">
        <v>2022</v>
      </c>
      <c r="E573" s="0" t="s">
        <v>56</v>
      </c>
      <c r="F573" s="0" t="n">
        <v>1351080980</v>
      </c>
      <c r="G573" s="0" t="s">
        <v>1647</v>
      </c>
      <c r="H573" s="0" t="s">
        <v>1648</v>
      </c>
      <c r="I573" s="0" t="n">
        <v>1351080.98</v>
      </c>
      <c r="J573" s="0" t="s">
        <v>2221</v>
      </c>
      <c r="M573" s="0" t="s">
        <v>1573</v>
      </c>
      <c r="N573" s="0" t="s">
        <v>162</v>
      </c>
      <c r="Q573" s="0" t="n">
        <v>72</v>
      </c>
      <c r="R573" s="0" t="n">
        <v>154</v>
      </c>
      <c r="U573" s="0" t="s">
        <v>2396</v>
      </c>
      <c r="V573" s="0" t="s">
        <v>2396</v>
      </c>
      <c r="Y573" s="0" t="s">
        <v>1651</v>
      </c>
      <c r="Z573" s="0" t="s">
        <v>1652</v>
      </c>
      <c r="AA573" s="0" t="s">
        <v>2233</v>
      </c>
      <c r="AC573" s="0" t="s">
        <v>2224</v>
      </c>
    </row>
    <row r="574" customFormat="false" ht="15" hidden="false" customHeight="false" outlineLevel="0" collapsed="false">
      <c r="A574" s="0" t="s">
        <v>2402</v>
      </c>
      <c r="B574" s="0" t="s">
        <v>154</v>
      </c>
      <c r="C574" s="0" t="s">
        <v>1862</v>
      </c>
      <c r="D574" s="0" t="n">
        <v>2022</v>
      </c>
      <c r="E574" s="0" t="s">
        <v>57</v>
      </c>
      <c r="F574" s="0" t="n">
        <v>82622676</v>
      </c>
      <c r="G574" s="0" t="s">
        <v>1647</v>
      </c>
      <c r="H574" s="0" t="s">
        <v>1648</v>
      </c>
      <c r="I574" s="0" t="n">
        <v>82622.676</v>
      </c>
      <c r="J574" s="0" t="s">
        <v>2221</v>
      </c>
      <c r="M574" s="0" t="s">
        <v>1573</v>
      </c>
      <c r="N574" s="0" t="s">
        <v>162</v>
      </c>
      <c r="Q574" s="0" t="n">
        <v>72</v>
      </c>
      <c r="R574" s="0" t="n">
        <v>154</v>
      </c>
      <c r="U574" s="0" t="s">
        <v>2396</v>
      </c>
      <c r="V574" s="0" t="s">
        <v>2396</v>
      </c>
      <c r="Y574" s="0" t="s">
        <v>1651</v>
      </c>
      <c r="Z574" s="0" t="s">
        <v>1652</v>
      </c>
      <c r="AA574" s="0" t="s">
        <v>2233</v>
      </c>
      <c r="AC574" s="0" t="s">
        <v>2224</v>
      </c>
    </row>
    <row r="575" customFormat="false" ht="15" hidden="false" customHeight="false" outlineLevel="0" collapsed="false">
      <c r="A575" s="0" t="s">
        <v>2403</v>
      </c>
      <c r="B575" s="0" t="s">
        <v>154</v>
      </c>
      <c r="C575" s="0" t="s">
        <v>1862</v>
      </c>
      <c r="D575" s="0" t="n">
        <v>2022</v>
      </c>
      <c r="E575" s="0" t="s">
        <v>62</v>
      </c>
      <c r="F575" s="0" t="n">
        <v>521430696</v>
      </c>
      <c r="G575" s="0" t="s">
        <v>1647</v>
      </c>
      <c r="H575" s="0" t="s">
        <v>1648</v>
      </c>
      <c r="I575" s="0" t="n">
        <v>521430.696</v>
      </c>
      <c r="J575" s="0" t="s">
        <v>2221</v>
      </c>
      <c r="M575" s="0" t="s">
        <v>1573</v>
      </c>
      <c r="N575" s="0" t="s">
        <v>162</v>
      </c>
      <c r="Q575" s="0" t="n">
        <v>72</v>
      </c>
      <c r="R575" s="0" t="n">
        <v>154</v>
      </c>
      <c r="U575" s="0" t="s">
        <v>2396</v>
      </c>
      <c r="V575" s="0" t="s">
        <v>2396</v>
      </c>
      <c r="Y575" s="0" t="s">
        <v>1651</v>
      </c>
      <c r="Z575" s="0" t="s">
        <v>1652</v>
      </c>
      <c r="AA575" s="0" t="s">
        <v>2233</v>
      </c>
      <c r="AC575" s="0" t="s">
        <v>2224</v>
      </c>
    </row>
    <row r="576" customFormat="false" ht="15" hidden="false" customHeight="false" outlineLevel="0" collapsed="false">
      <c r="A576" s="0" t="s">
        <v>2404</v>
      </c>
      <c r="B576" s="0" t="s">
        <v>154</v>
      </c>
      <c r="C576" s="0" t="s">
        <v>1862</v>
      </c>
      <c r="D576" s="0" t="n">
        <v>2022</v>
      </c>
      <c r="E576" s="0" t="s">
        <v>58</v>
      </c>
      <c r="F576" s="0" t="n">
        <v>179324770</v>
      </c>
      <c r="G576" s="0" t="s">
        <v>1647</v>
      </c>
      <c r="H576" s="0" t="s">
        <v>1648</v>
      </c>
      <c r="I576" s="0" t="n">
        <v>179324.77</v>
      </c>
      <c r="J576" s="0" t="s">
        <v>2221</v>
      </c>
      <c r="M576" s="0" t="s">
        <v>1573</v>
      </c>
      <c r="N576" s="0" t="s">
        <v>162</v>
      </c>
      <c r="Q576" s="0" t="n">
        <v>75</v>
      </c>
      <c r="R576" s="0" t="n">
        <v>157</v>
      </c>
      <c r="U576" s="0" t="s">
        <v>2396</v>
      </c>
      <c r="V576" s="0" t="s">
        <v>2396</v>
      </c>
      <c r="Y576" s="0" t="s">
        <v>1651</v>
      </c>
      <c r="Z576" s="0" t="s">
        <v>1652</v>
      </c>
      <c r="AA576" s="0" t="s">
        <v>2233</v>
      </c>
      <c r="AC576" s="0" t="s">
        <v>2224</v>
      </c>
    </row>
    <row r="577" customFormat="false" ht="15" hidden="false" customHeight="false" outlineLevel="0" collapsed="false">
      <c r="A577" s="0" t="s">
        <v>2405</v>
      </c>
      <c r="B577" s="0" t="s">
        <v>129</v>
      </c>
      <c r="C577" s="0" t="s">
        <v>1678</v>
      </c>
      <c r="D577" s="0" t="n">
        <v>2018</v>
      </c>
      <c r="E577" s="0" t="s">
        <v>71</v>
      </c>
      <c r="F577" s="0" t="n">
        <v>55.84</v>
      </c>
      <c r="G577" s="0" t="s">
        <v>1723</v>
      </c>
      <c r="I577" s="0" t="n">
        <v>55.84</v>
      </c>
      <c r="J577" s="0" t="s">
        <v>2221</v>
      </c>
      <c r="M577" s="0" t="s">
        <v>1539</v>
      </c>
      <c r="N577" s="0" t="s">
        <v>135</v>
      </c>
      <c r="Q577" s="0" t="n">
        <v>133</v>
      </c>
      <c r="R577" s="0" t="n">
        <v>133</v>
      </c>
      <c r="U577" s="0" t="s">
        <v>2222</v>
      </c>
      <c r="V577" s="0" t="s">
        <v>2222</v>
      </c>
      <c r="Y577" s="0" t="s">
        <v>1651</v>
      </c>
      <c r="Z577" s="0" t="s">
        <v>1652</v>
      </c>
      <c r="AA577" s="0" t="s">
        <v>2406</v>
      </c>
      <c r="AC577" s="0" t="s">
        <v>2224</v>
      </c>
    </row>
    <row r="578" customFormat="false" ht="15" hidden="false" customHeight="false" outlineLevel="0" collapsed="false">
      <c r="A578" s="0" t="s">
        <v>2407</v>
      </c>
      <c r="B578" s="0" t="s">
        <v>129</v>
      </c>
      <c r="C578" s="0" t="s">
        <v>1678</v>
      </c>
      <c r="D578" s="0" t="n">
        <v>2017</v>
      </c>
      <c r="E578" s="0" t="s">
        <v>71</v>
      </c>
      <c r="F578" s="0" t="n">
        <v>49.69</v>
      </c>
      <c r="G578" s="0" t="s">
        <v>1723</v>
      </c>
      <c r="I578" s="0" t="n">
        <v>49.69</v>
      </c>
      <c r="J578" s="0" t="s">
        <v>2221</v>
      </c>
      <c r="M578" s="0" t="s">
        <v>1539</v>
      </c>
      <c r="N578" s="0" t="s">
        <v>135</v>
      </c>
      <c r="Q578" s="0" t="n">
        <v>133</v>
      </c>
      <c r="R578" s="0" t="n">
        <v>133</v>
      </c>
      <c r="U578" s="0" t="s">
        <v>2228</v>
      </c>
      <c r="V578" s="0" t="s">
        <v>2228</v>
      </c>
      <c r="Y578" s="0" t="s">
        <v>1651</v>
      </c>
      <c r="Z578" s="0" t="s">
        <v>1652</v>
      </c>
      <c r="AA578" s="0" t="s">
        <v>2406</v>
      </c>
      <c r="AC578" s="0" t="s">
        <v>2224</v>
      </c>
    </row>
    <row r="579" customFormat="false" ht="15" hidden="false" customHeight="false" outlineLevel="0" collapsed="false">
      <c r="A579" s="0" t="s">
        <v>2408</v>
      </c>
      <c r="B579" s="0" t="s">
        <v>129</v>
      </c>
      <c r="C579" s="0" t="s">
        <v>1678</v>
      </c>
      <c r="D579" s="0" t="n">
        <v>2020</v>
      </c>
      <c r="E579" s="0" t="s">
        <v>71</v>
      </c>
      <c r="F579" s="0" t="n">
        <v>44.3</v>
      </c>
      <c r="G579" s="0" t="s">
        <v>1723</v>
      </c>
      <c r="I579" s="0" t="n">
        <v>44.3</v>
      </c>
      <c r="J579" s="0" t="s">
        <v>2221</v>
      </c>
      <c r="M579" s="0" t="s">
        <v>1542</v>
      </c>
      <c r="N579" s="0" t="s">
        <v>136</v>
      </c>
      <c r="Q579" s="0" t="n">
        <v>71</v>
      </c>
      <c r="R579" s="0" t="n">
        <v>71</v>
      </c>
      <c r="U579" s="0" t="s">
        <v>2246</v>
      </c>
      <c r="V579" s="0" t="s">
        <v>2246</v>
      </c>
      <c r="Y579" s="0" t="s">
        <v>1651</v>
      </c>
      <c r="Z579" s="0" t="s">
        <v>1652</v>
      </c>
      <c r="AA579" s="0" t="s">
        <v>2406</v>
      </c>
      <c r="AC579" s="0" t="s">
        <v>2224</v>
      </c>
    </row>
    <row r="580" customFormat="false" ht="15" hidden="false" customHeight="false" outlineLevel="0" collapsed="false">
      <c r="A580" s="0" t="s">
        <v>2409</v>
      </c>
      <c r="B580" s="0" t="s">
        <v>129</v>
      </c>
      <c r="C580" s="0" t="s">
        <v>1678</v>
      </c>
      <c r="D580" s="0" t="n">
        <v>2019</v>
      </c>
      <c r="E580" s="0" t="s">
        <v>71</v>
      </c>
      <c r="F580" s="0" t="n">
        <v>43.99</v>
      </c>
      <c r="G580" s="0" t="s">
        <v>1723</v>
      </c>
      <c r="I580" s="0" t="n">
        <v>43.99</v>
      </c>
      <c r="J580" s="0" t="s">
        <v>2221</v>
      </c>
      <c r="M580" s="0" t="s">
        <v>1542</v>
      </c>
      <c r="N580" s="0" t="s">
        <v>136</v>
      </c>
      <c r="Q580" s="0" t="n">
        <v>71</v>
      </c>
      <c r="R580" s="0" t="n">
        <v>71</v>
      </c>
      <c r="U580" s="0" t="s">
        <v>2252</v>
      </c>
      <c r="V580" s="0" t="s">
        <v>2252</v>
      </c>
      <c r="Y580" s="0" t="s">
        <v>1651</v>
      </c>
      <c r="Z580" s="0" t="s">
        <v>1652</v>
      </c>
      <c r="AA580" s="0" t="s">
        <v>2406</v>
      </c>
      <c r="AC580" s="0" t="s">
        <v>2224</v>
      </c>
    </row>
    <row r="581" customFormat="false" ht="15" hidden="false" customHeight="false" outlineLevel="0" collapsed="false">
      <c r="A581" s="0" t="s">
        <v>2410</v>
      </c>
      <c r="B581" s="0" t="s">
        <v>163</v>
      </c>
      <c r="C581" s="0" t="s">
        <v>2058</v>
      </c>
      <c r="D581" s="0" t="n">
        <v>2022</v>
      </c>
      <c r="E581" s="0" t="s">
        <v>65</v>
      </c>
      <c r="F581" s="0" t="n">
        <v>1042652</v>
      </c>
      <c r="G581" s="0" t="s">
        <v>1681</v>
      </c>
      <c r="H581" s="0" t="s">
        <v>1648</v>
      </c>
      <c r="I581" s="0" t="n">
        <v>1042652</v>
      </c>
      <c r="J581" s="0" t="s">
        <v>2221</v>
      </c>
      <c r="M581" s="0" t="s">
        <v>1578</v>
      </c>
      <c r="N581" s="0" t="s">
        <v>175</v>
      </c>
      <c r="Q581" s="0" t="n">
        <v>188</v>
      </c>
      <c r="R581" s="0" t="n">
        <v>188</v>
      </c>
      <c r="U581" s="0" t="s">
        <v>2267</v>
      </c>
      <c r="V581" s="0" t="s">
        <v>2267</v>
      </c>
      <c r="Y581" s="0" t="s">
        <v>1651</v>
      </c>
      <c r="Z581" s="0" t="s">
        <v>1652</v>
      </c>
      <c r="AA581" s="0" t="s">
        <v>2411</v>
      </c>
      <c r="AC581" s="0" t="s">
        <v>2224</v>
      </c>
    </row>
    <row r="582" customFormat="false" ht="15" hidden="false" customHeight="false" outlineLevel="0" collapsed="false">
      <c r="A582" s="0" t="s">
        <v>2412</v>
      </c>
      <c r="B582" s="0" t="s">
        <v>163</v>
      </c>
      <c r="C582" s="0" t="s">
        <v>2058</v>
      </c>
      <c r="D582" s="0" t="n">
        <v>2022</v>
      </c>
      <c r="E582" s="0" t="s">
        <v>66</v>
      </c>
      <c r="F582" s="0" t="n">
        <v>5488669</v>
      </c>
      <c r="G582" s="0" t="s">
        <v>1681</v>
      </c>
      <c r="H582" s="0" t="s">
        <v>1648</v>
      </c>
      <c r="I582" s="0" t="n">
        <v>5488669</v>
      </c>
      <c r="J582" s="0" t="s">
        <v>2221</v>
      </c>
      <c r="M582" s="0" t="s">
        <v>1578</v>
      </c>
      <c r="N582" s="0" t="s">
        <v>175</v>
      </c>
      <c r="Q582" s="0" t="n">
        <v>188</v>
      </c>
      <c r="R582" s="0" t="n">
        <v>188</v>
      </c>
      <c r="U582" s="0" t="s">
        <v>2267</v>
      </c>
      <c r="V582" s="0" t="s">
        <v>2267</v>
      </c>
      <c r="Y582" s="0" t="s">
        <v>1651</v>
      </c>
      <c r="Z582" s="0" t="s">
        <v>1652</v>
      </c>
      <c r="AA582" s="0" t="s">
        <v>2411</v>
      </c>
      <c r="AC582" s="0" t="s">
        <v>2224</v>
      </c>
    </row>
    <row r="583" customFormat="false" ht="15" hidden="false" customHeight="false" outlineLevel="0" collapsed="false">
      <c r="A583" s="0" t="s">
        <v>2413</v>
      </c>
      <c r="B583" s="0" t="s">
        <v>163</v>
      </c>
      <c r="C583" s="0" t="s">
        <v>2058</v>
      </c>
      <c r="D583" s="0" t="n">
        <v>2022</v>
      </c>
      <c r="E583" s="0" t="s">
        <v>69</v>
      </c>
      <c r="F583" s="0" t="n">
        <v>19</v>
      </c>
      <c r="G583" s="0" t="s">
        <v>1723</v>
      </c>
      <c r="I583" s="0" t="n">
        <v>19</v>
      </c>
      <c r="J583" s="0" t="s">
        <v>2221</v>
      </c>
      <c r="M583" s="0" t="s">
        <v>1578</v>
      </c>
      <c r="N583" s="0" t="s">
        <v>175</v>
      </c>
      <c r="Q583" s="0" t="n">
        <v>188</v>
      </c>
      <c r="R583" s="0" t="n">
        <v>188</v>
      </c>
      <c r="U583" s="0" t="s">
        <v>2267</v>
      </c>
      <c r="V583" s="0" t="s">
        <v>2267</v>
      </c>
      <c r="Y583" s="0" t="s">
        <v>1651</v>
      </c>
      <c r="Z583" s="0" t="s">
        <v>1652</v>
      </c>
      <c r="AA583" s="0" t="s">
        <v>2411</v>
      </c>
      <c r="AC583" s="0" t="s">
        <v>2224</v>
      </c>
    </row>
    <row r="584" customFormat="false" ht="15" hidden="false" customHeight="false" outlineLevel="0" collapsed="false">
      <c r="A584" s="0" t="s">
        <v>2414</v>
      </c>
      <c r="B584" s="0" t="s">
        <v>163</v>
      </c>
      <c r="C584" s="0" t="s">
        <v>2058</v>
      </c>
      <c r="D584" s="0" t="n">
        <v>2021</v>
      </c>
      <c r="E584" s="0" t="s">
        <v>65</v>
      </c>
      <c r="F584" s="0" t="n">
        <v>985934</v>
      </c>
      <c r="G584" s="0" t="s">
        <v>1681</v>
      </c>
      <c r="H584" s="0" t="s">
        <v>1648</v>
      </c>
      <c r="I584" s="0" t="n">
        <v>985934</v>
      </c>
      <c r="J584" s="0" t="s">
        <v>2221</v>
      </c>
      <c r="M584" s="0" t="s">
        <v>1578</v>
      </c>
      <c r="N584" s="0" t="s">
        <v>175</v>
      </c>
      <c r="Q584" s="0" t="n">
        <v>188</v>
      </c>
      <c r="R584" s="0" t="n">
        <v>188</v>
      </c>
      <c r="U584" s="0" t="s">
        <v>2272</v>
      </c>
      <c r="V584" s="0" t="s">
        <v>2272</v>
      </c>
      <c r="Y584" s="0" t="s">
        <v>1651</v>
      </c>
      <c r="Z584" s="0" t="s">
        <v>1652</v>
      </c>
      <c r="AA584" s="0" t="s">
        <v>2411</v>
      </c>
      <c r="AC584" s="0" t="s">
        <v>2224</v>
      </c>
    </row>
    <row r="585" customFormat="false" ht="15" hidden="false" customHeight="false" outlineLevel="0" collapsed="false">
      <c r="A585" s="0" t="s">
        <v>2415</v>
      </c>
      <c r="B585" s="0" t="s">
        <v>163</v>
      </c>
      <c r="C585" s="0" t="s">
        <v>2058</v>
      </c>
      <c r="D585" s="0" t="n">
        <v>2021</v>
      </c>
      <c r="E585" s="0" t="s">
        <v>66</v>
      </c>
      <c r="F585" s="0" t="n">
        <v>5032121</v>
      </c>
      <c r="G585" s="0" t="s">
        <v>1681</v>
      </c>
      <c r="H585" s="0" t="s">
        <v>1648</v>
      </c>
      <c r="I585" s="0" t="n">
        <v>5032121</v>
      </c>
      <c r="J585" s="0" t="s">
        <v>2221</v>
      </c>
      <c r="M585" s="0" t="s">
        <v>1578</v>
      </c>
      <c r="N585" s="0" t="s">
        <v>175</v>
      </c>
      <c r="Q585" s="0" t="n">
        <v>188</v>
      </c>
      <c r="R585" s="0" t="n">
        <v>188</v>
      </c>
      <c r="U585" s="0" t="s">
        <v>2272</v>
      </c>
      <c r="V585" s="0" t="s">
        <v>2272</v>
      </c>
      <c r="Y585" s="0" t="s">
        <v>1651</v>
      </c>
      <c r="Z585" s="0" t="s">
        <v>1652</v>
      </c>
      <c r="AA585" s="0" t="s">
        <v>2411</v>
      </c>
      <c r="AC585" s="0" t="s">
        <v>2224</v>
      </c>
    </row>
    <row r="586" customFormat="false" ht="15" hidden="false" customHeight="false" outlineLevel="0" collapsed="false">
      <c r="A586" s="0" t="s">
        <v>2416</v>
      </c>
      <c r="B586" s="0" t="s">
        <v>163</v>
      </c>
      <c r="C586" s="0" t="s">
        <v>2058</v>
      </c>
      <c r="D586" s="0" t="n">
        <v>2021</v>
      </c>
      <c r="E586" s="0" t="s">
        <v>69</v>
      </c>
      <c r="F586" s="0" t="n">
        <v>20</v>
      </c>
      <c r="G586" s="0" t="s">
        <v>1723</v>
      </c>
      <c r="I586" s="0" t="n">
        <v>20</v>
      </c>
      <c r="J586" s="0" t="s">
        <v>2221</v>
      </c>
      <c r="M586" s="0" t="s">
        <v>1578</v>
      </c>
      <c r="N586" s="0" t="s">
        <v>175</v>
      </c>
      <c r="Q586" s="0" t="n">
        <v>188</v>
      </c>
      <c r="R586" s="0" t="n">
        <v>188</v>
      </c>
      <c r="U586" s="0" t="s">
        <v>2272</v>
      </c>
      <c r="V586" s="0" t="s">
        <v>2272</v>
      </c>
      <c r="Y586" s="0" t="s">
        <v>1651</v>
      </c>
      <c r="Z586" s="0" t="s">
        <v>1652</v>
      </c>
      <c r="AA586" s="0" t="s">
        <v>2411</v>
      </c>
      <c r="AC586" s="0" t="s">
        <v>2224</v>
      </c>
    </row>
    <row r="587" customFormat="false" ht="15" hidden="false" customHeight="false" outlineLevel="0" collapsed="false">
      <c r="A587" s="0" t="s">
        <v>2417</v>
      </c>
      <c r="B587" s="0" t="s">
        <v>154</v>
      </c>
      <c r="C587" s="0" t="s">
        <v>1862</v>
      </c>
      <c r="D587" s="0" t="n">
        <v>2020</v>
      </c>
      <c r="E587" s="0" t="s">
        <v>60</v>
      </c>
      <c r="F587" s="0" t="n">
        <v>375039658</v>
      </c>
      <c r="G587" s="0" t="s">
        <v>1647</v>
      </c>
      <c r="H587" s="0" t="s">
        <v>1648</v>
      </c>
      <c r="I587" s="0" t="n">
        <v>375039.658</v>
      </c>
      <c r="J587" s="0" t="s">
        <v>2221</v>
      </c>
      <c r="M587" s="0" t="s">
        <v>1570</v>
      </c>
      <c r="N587" s="0" t="s">
        <v>159</v>
      </c>
      <c r="Q587" s="0" t="n">
        <v>70</v>
      </c>
      <c r="R587" s="0" t="n">
        <v>66</v>
      </c>
      <c r="U587" s="0" t="s">
        <v>2246</v>
      </c>
      <c r="V587" s="0" t="s">
        <v>2246</v>
      </c>
      <c r="Y587" s="0" t="s">
        <v>1651</v>
      </c>
      <c r="Z587" s="0" t="s">
        <v>1652</v>
      </c>
      <c r="AA587" s="0" t="s">
        <v>2418</v>
      </c>
      <c r="AC587" s="0" t="s">
        <v>2224</v>
      </c>
    </row>
    <row r="588" customFormat="false" ht="15" hidden="false" customHeight="false" outlineLevel="0" collapsed="false">
      <c r="A588" s="0" t="s">
        <v>2419</v>
      </c>
      <c r="B588" s="0" t="s">
        <v>154</v>
      </c>
      <c r="C588" s="0" t="s">
        <v>1862</v>
      </c>
      <c r="D588" s="0" t="n">
        <v>2020</v>
      </c>
      <c r="E588" s="0" t="s">
        <v>61</v>
      </c>
      <c r="F588" s="0" t="n">
        <v>14963578</v>
      </c>
      <c r="G588" s="0" t="s">
        <v>1647</v>
      </c>
      <c r="H588" s="0" t="s">
        <v>1648</v>
      </c>
      <c r="I588" s="0" t="n">
        <v>14963.578</v>
      </c>
      <c r="J588" s="0" t="s">
        <v>2221</v>
      </c>
      <c r="M588" s="0" t="s">
        <v>1570</v>
      </c>
      <c r="N588" s="0" t="s">
        <v>159</v>
      </c>
      <c r="Q588" s="0" t="n">
        <v>70</v>
      </c>
      <c r="R588" s="0" t="n">
        <v>66</v>
      </c>
      <c r="U588" s="0" t="s">
        <v>2246</v>
      </c>
      <c r="V588" s="0" t="s">
        <v>2246</v>
      </c>
      <c r="Y588" s="0" t="s">
        <v>1651</v>
      </c>
      <c r="Z588" s="0" t="s">
        <v>1652</v>
      </c>
      <c r="AA588" s="0" t="s">
        <v>2418</v>
      </c>
      <c r="AC588" s="0" t="s">
        <v>2224</v>
      </c>
    </row>
    <row r="589" customFormat="false" ht="15" hidden="false" customHeight="false" outlineLevel="0" collapsed="false">
      <c r="A589" s="0" t="s">
        <v>2420</v>
      </c>
      <c r="B589" s="0" t="s">
        <v>154</v>
      </c>
      <c r="C589" s="0" t="s">
        <v>1862</v>
      </c>
      <c r="D589" s="0" t="n">
        <v>2020</v>
      </c>
      <c r="E589" s="0" t="s">
        <v>68</v>
      </c>
      <c r="F589" s="0" t="n">
        <v>5411370</v>
      </c>
      <c r="G589" s="0" t="s">
        <v>1647</v>
      </c>
      <c r="H589" s="0" t="s">
        <v>1648</v>
      </c>
      <c r="I589" s="0" t="n">
        <v>5411.37</v>
      </c>
      <c r="J589" s="0" t="s">
        <v>2221</v>
      </c>
      <c r="M589" s="0" t="s">
        <v>1570</v>
      </c>
      <c r="N589" s="0" t="s">
        <v>159</v>
      </c>
      <c r="Q589" s="0" t="n">
        <v>70</v>
      </c>
      <c r="R589" s="0" t="n">
        <v>66</v>
      </c>
      <c r="U589" s="0" t="s">
        <v>2246</v>
      </c>
      <c r="V589" s="0" t="s">
        <v>2246</v>
      </c>
      <c r="Y589" s="0" t="s">
        <v>1651</v>
      </c>
      <c r="Z589" s="0" t="s">
        <v>1652</v>
      </c>
      <c r="AA589" s="0" t="s">
        <v>2418</v>
      </c>
      <c r="AC589" s="0" t="s">
        <v>2224</v>
      </c>
    </row>
    <row r="590" customFormat="false" ht="15" hidden="false" customHeight="false" outlineLevel="0" collapsed="false">
      <c r="A590" s="0" t="s">
        <v>2421</v>
      </c>
      <c r="B590" s="0" t="s">
        <v>154</v>
      </c>
      <c r="C590" s="0" t="s">
        <v>1862</v>
      </c>
      <c r="D590" s="0" t="n">
        <v>2019</v>
      </c>
      <c r="E590" s="0" t="s">
        <v>60</v>
      </c>
      <c r="F590" s="0" t="n">
        <v>301368302</v>
      </c>
      <c r="G590" s="0" t="s">
        <v>1647</v>
      </c>
      <c r="H590" s="0" t="s">
        <v>1648</v>
      </c>
      <c r="I590" s="0" t="n">
        <v>301368.302</v>
      </c>
      <c r="J590" s="0" t="s">
        <v>2221</v>
      </c>
      <c r="M590" s="0" t="s">
        <v>1570</v>
      </c>
      <c r="N590" s="0" t="s">
        <v>159</v>
      </c>
      <c r="Q590" s="0" t="n">
        <v>70</v>
      </c>
      <c r="R590" s="0" t="n">
        <v>66</v>
      </c>
      <c r="U590" s="0" t="s">
        <v>2252</v>
      </c>
      <c r="V590" s="0" t="s">
        <v>2252</v>
      </c>
      <c r="Y590" s="0" t="s">
        <v>1651</v>
      </c>
      <c r="Z590" s="0" t="s">
        <v>1652</v>
      </c>
      <c r="AA590" s="0" t="s">
        <v>2233</v>
      </c>
      <c r="AC590" s="0" t="s">
        <v>2224</v>
      </c>
    </row>
    <row r="591" customFormat="false" ht="15" hidden="false" customHeight="false" outlineLevel="0" collapsed="false">
      <c r="A591" s="0" t="s">
        <v>2422</v>
      </c>
      <c r="B591" s="0" t="s">
        <v>154</v>
      </c>
      <c r="C591" s="0" t="s">
        <v>1862</v>
      </c>
      <c r="D591" s="0" t="n">
        <v>2019</v>
      </c>
      <c r="E591" s="0" t="s">
        <v>61</v>
      </c>
      <c r="F591" s="0" t="n">
        <v>12128432</v>
      </c>
      <c r="G591" s="0" t="s">
        <v>1647</v>
      </c>
      <c r="H591" s="0" t="s">
        <v>1648</v>
      </c>
      <c r="I591" s="0" t="n">
        <v>12128.432</v>
      </c>
      <c r="J591" s="0" t="s">
        <v>2221</v>
      </c>
      <c r="M591" s="0" t="s">
        <v>1570</v>
      </c>
      <c r="N591" s="0" t="s">
        <v>159</v>
      </c>
      <c r="Q591" s="0" t="n">
        <v>70</v>
      </c>
      <c r="R591" s="0" t="n">
        <v>66</v>
      </c>
      <c r="U591" s="0" t="s">
        <v>2252</v>
      </c>
      <c r="V591" s="0" t="s">
        <v>2252</v>
      </c>
      <c r="Y591" s="0" t="s">
        <v>1651</v>
      </c>
      <c r="Z591" s="0" t="s">
        <v>1652</v>
      </c>
      <c r="AA591" s="0" t="s">
        <v>2233</v>
      </c>
      <c r="AC591" s="0" t="s">
        <v>2224</v>
      </c>
    </row>
    <row r="592" customFormat="false" ht="15" hidden="false" customHeight="false" outlineLevel="0" collapsed="false">
      <c r="A592" s="0" t="s">
        <v>2423</v>
      </c>
      <c r="B592" s="0" t="s">
        <v>154</v>
      </c>
      <c r="C592" s="0" t="s">
        <v>1862</v>
      </c>
      <c r="D592" s="0" t="n">
        <v>2019</v>
      </c>
      <c r="E592" s="0" t="s">
        <v>68</v>
      </c>
      <c r="F592" s="0" t="n">
        <v>4646110</v>
      </c>
      <c r="G592" s="0" t="s">
        <v>1647</v>
      </c>
      <c r="H592" s="0" t="s">
        <v>1648</v>
      </c>
      <c r="I592" s="0" t="n">
        <v>4646.11</v>
      </c>
      <c r="J592" s="0" t="s">
        <v>2221</v>
      </c>
      <c r="M592" s="0" t="s">
        <v>1570</v>
      </c>
      <c r="N592" s="0" t="s">
        <v>159</v>
      </c>
      <c r="Q592" s="0" t="n">
        <v>70</v>
      </c>
      <c r="R592" s="0" t="n">
        <v>66</v>
      </c>
      <c r="U592" s="0" t="s">
        <v>2252</v>
      </c>
      <c r="V592" s="0" t="s">
        <v>2252</v>
      </c>
      <c r="Y592" s="0" t="s">
        <v>1651</v>
      </c>
      <c r="Z592" s="0" t="s">
        <v>1652</v>
      </c>
      <c r="AA592" s="0" t="s">
        <v>2233</v>
      </c>
      <c r="AC592" s="0" t="s">
        <v>2224</v>
      </c>
    </row>
    <row r="593" customFormat="false" ht="15" hidden="false" customHeight="false" outlineLevel="0" collapsed="false">
      <c r="A593" s="0" t="s">
        <v>2424</v>
      </c>
      <c r="B593" s="0" t="s">
        <v>154</v>
      </c>
      <c r="C593" s="0" t="s">
        <v>1862</v>
      </c>
      <c r="D593" s="0" t="n">
        <v>2022</v>
      </c>
      <c r="E593" s="0" t="s">
        <v>60</v>
      </c>
      <c r="F593" s="0" t="n">
        <v>539372013</v>
      </c>
      <c r="G593" s="0" t="s">
        <v>1647</v>
      </c>
      <c r="H593" s="0" t="s">
        <v>1648</v>
      </c>
      <c r="I593" s="0" t="n">
        <v>539372.013</v>
      </c>
      <c r="J593" s="0" t="s">
        <v>2221</v>
      </c>
      <c r="M593" s="0" t="s">
        <v>1573</v>
      </c>
      <c r="N593" s="0" t="s">
        <v>162</v>
      </c>
      <c r="Q593" s="0" t="n">
        <v>123</v>
      </c>
      <c r="R593" s="0" t="n">
        <v>205</v>
      </c>
      <c r="U593" s="0" t="s">
        <v>2396</v>
      </c>
      <c r="V593" s="0" t="s">
        <v>2396</v>
      </c>
      <c r="Y593" s="0" t="s">
        <v>1651</v>
      </c>
      <c r="Z593" s="0" t="s">
        <v>1652</v>
      </c>
      <c r="AA593" s="0" t="s">
        <v>2233</v>
      </c>
      <c r="AC593" s="0" t="s">
        <v>2224</v>
      </c>
    </row>
    <row r="594" customFormat="false" ht="15" hidden="false" customHeight="false" outlineLevel="0" collapsed="false">
      <c r="A594" s="0" t="s">
        <v>2425</v>
      </c>
      <c r="B594" s="0" t="s">
        <v>154</v>
      </c>
      <c r="C594" s="0" t="s">
        <v>1862</v>
      </c>
      <c r="D594" s="0" t="n">
        <v>2022</v>
      </c>
      <c r="E594" s="0" t="s">
        <v>61</v>
      </c>
      <c r="F594" s="0" t="n">
        <v>17941317</v>
      </c>
      <c r="G594" s="0" t="s">
        <v>1647</v>
      </c>
      <c r="H594" s="0" t="s">
        <v>1648</v>
      </c>
      <c r="I594" s="0" t="n">
        <v>17941.317</v>
      </c>
      <c r="J594" s="0" t="s">
        <v>2221</v>
      </c>
      <c r="M594" s="0" t="s">
        <v>1573</v>
      </c>
      <c r="N594" s="0" t="s">
        <v>162</v>
      </c>
      <c r="Q594" s="0" t="n">
        <v>123</v>
      </c>
      <c r="R594" s="0" t="n">
        <v>205</v>
      </c>
      <c r="U594" s="0" t="s">
        <v>2396</v>
      </c>
      <c r="V594" s="0" t="s">
        <v>2396</v>
      </c>
      <c r="Y594" s="0" t="s">
        <v>1651</v>
      </c>
      <c r="Z594" s="0" t="s">
        <v>1652</v>
      </c>
      <c r="AA594" s="0" t="s">
        <v>2233</v>
      </c>
      <c r="AC594" s="0" t="s">
        <v>2224</v>
      </c>
    </row>
    <row r="595" customFormat="false" ht="15" hidden="false" customHeight="false" outlineLevel="0" collapsed="false">
      <c r="A595" s="0" t="s">
        <v>2426</v>
      </c>
      <c r="B595" s="0" t="s">
        <v>154</v>
      </c>
      <c r="C595" s="0" t="s">
        <v>1862</v>
      </c>
      <c r="D595" s="0" t="n">
        <v>2022</v>
      </c>
      <c r="E595" s="0" t="s">
        <v>68</v>
      </c>
      <c r="F595" s="0" t="n">
        <v>12600451</v>
      </c>
      <c r="G595" s="0" t="s">
        <v>1647</v>
      </c>
      <c r="H595" s="0" t="s">
        <v>1648</v>
      </c>
      <c r="I595" s="0" t="n">
        <v>12600.451</v>
      </c>
      <c r="J595" s="0" t="s">
        <v>2221</v>
      </c>
      <c r="M595" s="0" t="s">
        <v>1573</v>
      </c>
      <c r="N595" s="0" t="s">
        <v>162</v>
      </c>
      <c r="Q595" s="0" t="n">
        <v>123</v>
      </c>
      <c r="R595" s="0" t="n">
        <v>205</v>
      </c>
      <c r="U595" s="0" t="s">
        <v>2396</v>
      </c>
      <c r="V595" s="0" t="s">
        <v>2396</v>
      </c>
      <c r="Y595" s="0" t="s">
        <v>1651</v>
      </c>
      <c r="Z595" s="0" t="s">
        <v>1652</v>
      </c>
      <c r="AA595" s="0" t="s">
        <v>2233</v>
      </c>
      <c r="AC595" s="0" t="s">
        <v>2224</v>
      </c>
    </row>
    <row r="596" customFormat="false" ht="15" hidden="false" customHeight="false" outlineLevel="0" collapsed="false">
      <c r="A596" s="0" t="s">
        <v>2427</v>
      </c>
      <c r="B596" s="0" t="s">
        <v>154</v>
      </c>
      <c r="C596" s="0" t="s">
        <v>1862</v>
      </c>
      <c r="D596" s="0" t="n">
        <v>2020</v>
      </c>
      <c r="E596" s="0" t="s">
        <v>65</v>
      </c>
      <c r="F596" s="0" t="n">
        <v>41760881</v>
      </c>
      <c r="G596" s="0" t="s">
        <v>1647</v>
      </c>
      <c r="H596" s="0" t="s">
        <v>1648</v>
      </c>
      <c r="I596" s="0" t="n">
        <v>41760.881</v>
      </c>
      <c r="J596" s="0" t="s">
        <v>2221</v>
      </c>
      <c r="M596" s="0" t="s">
        <v>1570</v>
      </c>
      <c r="N596" s="0" t="s">
        <v>159</v>
      </c>
      <c r="Q596" s="0" t="n">
        <v>127</v>
      </c>
      <c r="R596" s="0" t="n">
        <v>123</v>
      </c>
      <c r="U596" s="0" t="s">
        <v>2246</v>
      </c>
      <c r="V596" s="0" t="s">
        <v>2246</v>
      </c>
      <c r="Y596" s="0" t="s">
        <v>1651</v>
      </c>
      <c r="Z596" s="0" t="s">
        <v>1652</v>
      </c>
      <c r="AA596" s="0" t="s">
        <v>2428</v>
      </c>
      <c r="AC596" s="0" t="s">
        <v>2224</v>
      </c>
    </row>
    <row r="597" customFormat="false" ht="15" hidden="false" customHeight="false" outlineLevel="0" collapsed="false">
      <c r="A597" s="0" t="s">
        <v>2429</v>
      </c>
      <c r="B597" s="0" t="s">
        <v>154</v>
      </c>
      <c r="C597" s="0" t="s">
        <v>1862</v>
      </c>
      <c r="D597" s="0" t="n">
        <v>2020</v>
      </c>
      <c r="E597" s="0" t="s">
        <v>66</v>
      </c>
      <c r="F597" s="0" t="n">
        <v>278133743</v>
      </c>
      <c r="G597" s="0" t="s">
        <v>1647</v>
      </c>
      <c r="H597" s="0" t="s">
        <v>1648</v>
      </c>
      <c r="I597" s="0" t="n">
        <v>278133.743</v>
      </c>
      <c r="J597" s="0" t="s">
        <v>2221</v>
      </c>
      <c r="M597" s="0" t="s">
        <v>1570</v>
      </c>
      <c r="N597" s="0" t="s">
        <v>159</v>
      </c>
      <c r="Q597" s="0" t="n">
        <v>127</v>
      </c>
      <c r="R597" s="0" t="n">
        <v>123</v>
      </c>
      <c r="U597" s="0" t="s">
        <v>2246</v>
      </c>
      <c r="V597" s="0" t="s">
        <v>2246</v>
      </c>
      <c r="Y597" s="0" t="s">
        <v>1651</v>
      </c>
      <c r="Z597" s="0" t="s">
        <v>1652</v>
      </c>
      <c r="AA597" s="0" t="s">
        <v>2428</v>
      </c>
      <c r="AC597" s="0" t="s">
        <v>2224</v>
      </c>
    </row>
    <row r="598" customFormat="false" ht="15" hidden="false" customHeight="false" outlineLevel="0" collapsed="false">
      <c r="A598" s="0" t="s">
        <v>2430</v>
      </c>
      <c r="B598" s="0" t="s">
        <v>154</v>
      </c>
      <c r="C598" s="0" t="s">
        <v>1862</v>
      </c>
      <c r="D598" s="0" t="n">
        <v>2020</v>
      </c>
      <c r="E598" s="0" t="s">
        <v>69</v>
      </c>
      <c r="F598" s="0" t="n">
        <v>15.01</v>
      </c>
      <c r="G598" s="0" t="s">
        <v>1723</v>
      </c>
      <c r="I598" s="0" t="n">
        <v>15.01</v>
      </c>
      <c r="J598" s="0" t="s">
        <v>2221</v>
      </c>
      <c r="M598" s="0" t="s">
        <v>1570</v>
      </c>
      <c r="N598" s="0" t="s">
        <v>159</v>
      </c>
      <c r="Q598" s="0" t="n">
        <v>127</v>
      </c>
      <c r="R598" s="0" t="n">
        <v>123</v>
      </c>
      <c r="U598" s="0" t="s">
        <v>2246</v>
      </c>
      <c r="V598" s="0" t="s">
        <v>2246</v>
      </c>
      <c r="Y598" s="0" t="s">
        <v>1651</v>
      </c>
      <c r="Z598" s="0" t="s">
        <v>1652</v>
      </c>
      <c r="AA598" s="0" t="s">
        <v>2428</v>
      </c>
      <c r="AC598" s="0" t="s">
        <v>2224</v>
      </c>
    </row>
    <row r="599" customFormat="false" ht="15" hidden="false" customHeight="false" outlineLevel="0" collapsed="false">
      <c r="A599" s="0" t="s">
        <v>2431</v>
      </c>
      <c r="B599" s="0" t="s">
        <v>154</v>
      </c>
      <c r="C599" s="0" t="s">
        <v>1862</v>
      </c>
      <c r="D599" s="0" t="n">
        <v>2019</v>
      </c>
      <c r="E599" s="0" t="s">
        <v>65</v>
      </c>
      <c r="F599" s="0" t="n">
        <v>33853301</v>
      </c>
      <c r="G599" s="0" t="s">
        <v>1647</v>
      </c>
      <c r="H599" s="0" t="s">
        <v>1648</v>
      </c>
      <c r="I599" s="0" t="n">
        <v>33853.301</v>
      </c>
      <c r="J599" s="0" t="s">
        <v>2221</v>
      </c>
      <c r="M599" s="0" t="s">
        <v>1570</v>
      </c>
      <c r="N599" s="0" t="s">
        <v>159</v>
      </c>
      <c r="Q599" s="0" t="n">
        <v>127</v>
      </c>
      <c r="R599" s="0" t="n">
        <v>123</v>
      </c>
      <c r="U599" s="0" t="s">
        <v>2252</v>
      </c>
      <c r="V599" s="0" t="s">
        <v>2252</v>
      </c>
      <c r="Y599" s="0" t="s">
        <v>1651</v>
      </c>
      <c r="Z599" s="0" t="s">
        <v>1652</v>
      </c>
      <c r="AA599" s="0" t="s">
        <v>2233</v>
      </c>
      <c r="AC599" s="0" t="s">
        <v>2224</v>
      </c>
    </row>
    <row r="600" customFormat="false" ht="15" hidden="false" customHeight="false" outlineLevel="0" collapsed="false">
      <c r="A600" s="0" t="s">
        <v>2432</v>
      </c>
      <c r="B600" s="0" t="s">
        <v>154</v>
      </c>
      <c r="C600" s="0" t="s">
        <v>1862</v>
      </c>
      <c r="D600" s="0" t="n">
        <v>2019</v>
      </c>
      <c r="E600" s="0" t="s">
        <v>66</v>
      </c>
      <c r="F600" s="0" t="n">
        <v>248951162</v>
      </c>
      <c r="G600" s="0" t="s">
        <v>1647</v>
      </c>
      <c r="H600" s="0" t="s">
        <v>1648</v>
      </c>
      <c r="I600" s="0" t="n">
        <v>248951.162</v>
      </c>
      <c r="J600" s="0" t="s">
        <v>2221</v>
      </c>
      <c r="M600" s="0" t="s">
        <v>1570</v>
      </c>
      <c r="N600" s="0" t="s">
        <v>159</v>
      </c>
      <c r="Q600" s="0" t="n">
        <v>127</v>
      </c>
      <c r="R600" s="0" t="n">
        <v>123</v>
      </c>
      <c r="U600" s="0" t="s">
        <v>2252</v>
      </c>
      <c r="V600" s="0" t="s">
        <v>2252</v>
      </c>
      <c r="Y600" s="0" t="s">
        <v>1651</v>
      </c>
      <c r="Z600" s="0" t="s">
        <v>1652</v>
      </c>
      <c r="AA600" s="0" t="s">
        <v>2233</v>
      </c>
      <c r="AC600" s="0" t="s">
        <v>2224</v>
      </c>
    </row>
    <row r="601" customFormat="false" ht="15" hidden="false" customHeight="false" outlineLevel="0" collapsed="false">
      <c r="A601" s="0" t="s">
        <v>2433</v>
      </c>
      <c r="B601" s="0" t="s">
        <v>154</v>
      </c>
      <c r="C601" s="0" t="s">
        <v>1862</v>
      </c>
      <c r="D601" s="0" t="n">
        <v>2019</v>
      </c>
      <c r="E601" s="0" t="s">
        <v>69</v>
      </c>
      <c r="F601" s="0" t="n">
        <v>13.6</v>
      </c>
      <c r="G601" s="0" t="s">
        <v>1723</v>
      </c>
      <c r="I601" s="0" t="n">
        <v>13.6</v>
      </c>
      <c r="J601" s="0" t="s">
        <v>2221</v>
      </c>
      <c r="M601" s="0" t="s">
        <v>1570</v>
      </c>
      <c r="N601" s="0" t="s">
        <v>159</v>
      </c>
      <c r="Q601" s="0" t="n">
        <v>127</v>
      </c>
      <c r="R601" s="0" t="n">
        <v>123</v>
      </c>
      <c r="U601" s="0" t="s">
        <v>2252</v>
      </c>
      <c r="V601" s="0" t="s">
        <v>2252</v>
      </c>
      <c r="Y601" s="0" t="s">
        <v>1651</v>
      </c>
      <c r="Z601" s="0" t="s">
        <v>1652</v>
      </c>
      <c r="AA601" s="0" t="s">
        <v>2233</v>
      </c>
      <c r="AC601" s="0" t="s">
        <v>2224</v>
      </c>
    </row>
    <row r="602" customFormat="false" ht="15" hidden="false" customHeight="false" outlineLevel="0" collapsed="false">
      <c r="A602" s="0" t="s">
        <v>2434</v>
      </c>
      <c r="B602" s="0" t="s">
        <v>154</v>
      </c>
      <c r="C602" s="0" t="s">
        <v>1862</v>
      </c>
      <c r="D602" s="0" t="n">
        <v>2022</v>
      </c>
      <c r="E602" s="0" t="s">
        <v>65</v>
      </c>
      <c r="F602" s="0" t="n">
        <v>59144646</v>
      </c>
      <c r="G602" s="0" t="s">
        <v>1647</v>
      </c>
      <c r="H602" s="0" t="s">
        <v>1648</v>
      </c>
      <c r="I602" s="0" t="n">
        <v>59144.646</v>
      </c>
      <c r="J602" s="0" t="s">
        <v>2221</v>
      </c>
      <c r="M602" s="0" t="s">
        <v>1573</v>
      </c>
      <c r="N602" s="0" t="s">
        <v>162</v>
      </c>
      <c r="Q602" s="0" t="n">
        <v>187</v>
      </c>
      <c r="R602" s="0" t="n">
        <v>269</v>
      </c>
      <c r="U602" s="0" t="s">
        <v>2396</v>
      </c>
      <c r="V602" s="0" t="s">
        <v>2396</v>
      </c>
      <c r="Y602" s="0" t="s">
        <v>1651</v>
      </c>
      <c r="Z602" s="0" t="s">
        <v>1652</v>
      </c>
      <c r="AA602" s="0" t="s">
        <v>2435</v>
      </c>
      <c r="AC602" s="0" t="s">
        <v>2224</v>
      </c>
    </row>
    <row r="603" customFormat="false" ht="15" hidden="false" customHeight="false" outlineLevel="0" collapsed="false">
      <c r="A603" s="0" t="s">
        <v>2436</v>
      </c>
      <c r="B603" s="0" t="s">
        <v>154</v>
      </c>
      <c r="C603" s="0" t="s">
        <v>1862</v>
      </c>
      <c r="D603" s="0" t="n">
        <v>2022</v>
      </c>
      <c r="E603" s="0" t="s">
        <v>66</v>
      </c>
      <c r="F603" s="0" t="n">
        <v>464338153</v>
      </c>
      <c r="G603" s="0" t="s">
        <v>1647</v>
      </c>
      <c r="H603" s="0" t="s">
        <v>1648</v>
      </c>
      <c r="I603" s="0" t="n">
        <v>464338.153</v>
      </c>
      <c r="J603" s="0" t="s">
        <v>2221</v>
      </c>
      <c r="M603" s="0" t="s">
        <v>1573</v>
      </c>
      <c r="N603" s="0" t="s">
        <v>162</v>
      </c>
      <c r="Q603" s="0" t="n">
        <v>187</v>
      </c>
      <c r="R603" s="0" t="n">
        <v>269</v>
      </c>
      <c r="U603" s="0" t="s">
        <v>2396</v>
      </c>
      <c r="V603" s="0" t="s">
        <v>2396</v>
      </c>
      <c r="Y603" s="0" t="s">
        <v>1651</v>
      </c>
      <c r="Z603" s="0" t="s">
        <v>1652</v>
      </c>
      <c r="AA603" s="0" t="s">
        <v>2435</v>
      </c>
      <c r="AC603" s="0" t="s">
        <v>2224</v>
      </c>
    </row>
    <row r="604" customFormat="false" ht="15" hidden="false" customHeight="false" outlineLevel="0" collapsed="false">
      <c r="A604" s="0" t="s">
        <v>2437</v>
      </c>
      <c r="B604" s="0" t="s">
        <v>154</v>
      </c>
      <c r="C604" s="0" t="s">
        <v>1862</v>
      </c>
      <c r="D604" s="0" t="n">
        <v>2022</v>
      </c>
      <c r="E604" s="0" t="s">
        <v>69</v>
      </c>
      <c r="F604" s="0" t="n">
        <v>12.74</v>
      </c>
      <c r="G604" s="0" t="s">
        <v>1723</v>
      </c>
      <c r="I604" s="0" t="n">
        <v>12.74</v>
      </c>
      <c r="J604" s="0" t="s">
        <v>2221</v>
      </c>
      <c r="M604" s="0" t="s">
        <v>1573</v>
      </c>
      <c r="N604" s="0" t="s">
        <v>162</v>
      </c>
      <c r="Q604" s="0" t="n">
        <v>187</v>
      </c>
      <c r="R604" s="0" t="n">
        <v>269</v>
      </c>
      <c r="U604" s="0" t="s">
        <v>2396</v>
      </c>
      <c r="V604" s="0" t="s">
        <v>2396</v>
      </c>
      <c r="Y604" s="0" t="s">
        <v>1651</v>
      </c>
      <c r="Z604" s="0" t="s">
        <v>1652</v>
      </c>
      <c r="AA604" s="0" t="s">
        <v>2435</v>
      </c>
      <c r="AC604" s="0" t="s">
        <v>2224</v>
      </c>
    </row>
    <row r="605" customFormat="false" ht="15" hidden="false" customHeight="false" outlineLevel="0" collapsed="false">
      <c r="A605" s="0" t="s">
        <v>2438</v>
      </c>
      <c r="B605" s="0" t="s">
        <v>138</v>
      </c>
      <c r="C605" s="0" t="s">
        <v>2105</v>
      </c>
      <c r="D605" s="0" t="n">
        <v>2017</v>
      </c>
      <c r="E605" s="0" t="s">
        <v>54</v>
      </c>
      <c r="F605" s="0" t="n">
        <v>11239</v>
      </c>
      <c r="G605" s="0" t="s">
        <v>1681</v>
      </c>
      <c r="H605" s="0" t="s">
        <v>1648</v>
      </c>
      <c r="I605" s="0" t="n">
        <v>11239</v>
      </c>
      <c r="J605" s="0" t="s">
        <v>2439</v>
      </c>
      <c r="L605" s="0" t="n">
        <v>2018</v>
      </c>
      <c r="M605" s="0" t="s">
        <v>1551</v>
      </c>
      <c r="N605" s="0" t="s">
        <v>142</v>
      </c>
      <c r="Q605" s="0" t="s">
        <v>2440</v>
      </c>
      <c r="R605" s="0" t="s">
        <v>2441</v>
      </c>
      <c r="U605" s="0" t="s">
        <v>143</v>
      </c>
      <c r="V605" s="0" t="s">
        <v>143</v>
      </c>
      <c r="Y605" s="0" t="s">
        <v>1651</v>
      </c>
      <c r="Z605" s="0" t="s">
        <v>1652</v>
      </c>
      <c r="AA605" s="0" t="s">
        <v>2442</v>
      </c>
      <c r="AC605" s="0" t="s">
        <v>2443</v>
      </c>
    </row>
    <row r="606" customFormat="false" ht="15" hidden="false" customHeight="false" outlineLevel="0" collapsed="false">
      <c r="A606" s="0" t="s">
        <v>2444</v>
      </c>
      <c r="B606" s="0" t="s">
        <v>138</v>
      </c>
      <c r="C606" s="0" t="s">
        <v>2105</v>
      </c>
      <c r="D606" s="0" t="n">
        <v>2017</v>
      </c>
      <c r="E606" s="0" t="s">
        <v>55</v>
      </c>
      <c r="F606" s="0" t="n">
        <v>1334921</v>
      </c>
      <c r="G606" s="0" t="s">
        <v>1681</v>
      </c>
      <c r="H606" s="0" t="s">
        <v>1648</v>
      </c>
      <c r="I606" s="0" t="n">
        <v>1334921</v>
      </c>
      <c r="J606" s="0" t="s">
        <v>2439</v>
      </c>
      <c r="L606" s="0" t="n">
        <v>2018</v>
      </c>
      <c r="M606" s="0" t="s">
        <v>1551</v>
      </c>
      <c r="N606" s="0" t="s">
        <v>142</v>
      </c>
      <c r="Q606" s="0" t="n">
        <v>66</v>
      </c>
      <c r="R606" s="0" t="n">
        <v>64</v>
      </c>
      <c r="U606" s="0" t="s">
        <v>143</v>
      </c>
      <c r="V606" s="0" t="s">
        <v>143</v>
      </c>
      <c r="Y606" s="0" t="s">
        <v>1651</v>
      </c>
      <c r="Z606" s="0" t="s">
        <v>1652</v>
      </c>
      <c r="AA606" s="0" t="s">
        <v>2442</v>
      </c>
      <c r="AC606" s="0" t="s">
        <v>2443</v>
      </c>
    </row>
    <row r="607" customFormat="false" ht="15" hidden="false" customHeight="false" outlineLevel="0" collapsed="false">
      <c r="A607" s="0" t="s">
        <v>2445</v>
      </c>
      <c r="B607" s="0" t="s">
        <v>138</v>
      </c>
      <c r="C607" s="0" t="s">
        <v>2105</v>
      </c>
      <c r="D607" s="0" t="n">
        <v>2017</v>
      </c>
      <c r="E607" s="0" t="s">
        <v>56</v>
      </c>
      <c r="F607" s="0" t="n">
        <v>1015802</v>
      </c>
      <c r="G607" s="0" t="s">
        <v>1681</v>
      </c>
      <c r="H607" s="0" t="s">
        <v>1648</v>
      </c>
      <c r="I607" s="0" t="n">
        <v>1015802</v>
      </c>
      <c r="J607" s="0" t="s">
        <v>2439</v>
      </c>
      <c r="L607" s="0" t="n">
        <v>2018</v>
      </c>
      <c r="M607" s="0" t="s">
        <v>1551</v>
      </c>
      <c r="N607" s="0" t="s">
        <v>142</v>
      </c>
      <c r="Q607" s="0" t="n">
        <v>66</v>
      </c>
      <c r="R607" s="0" t="n">
        <v>64</v>
      </c>
      <c r="U607" s="0" t="s">
        <v>143</v>
      </c>
      <c r="V607" s="0" t="s">
        <v>143</v>
      </c>
      <c r="Y607" s="0" t="s">
        <v>1651</v>
      </c>
      <c r="Z607" s="0" t="s">
        <v>1652</v>
      </c>
      <c r="AA607" s="0" t="s">
        <v>2442</v>
      </c>
      <c r="AC607" s="0" t="s">
        <v>2443</v>
      </c>
    </row>
    <row r="608" customFormat="false" ht="15" hidden="false" customHeight="false" outlineLevel="0" collapsed="false">
      <c r="A608" s="0" t="s">
        <v>2446</v>
      </c>
      <c r="B608" s="0" t="s">
        <v>138</v>
      </c>
      <c r="C608" s="0" t="s">
        <v>2105</v>
      </c>
      <c r="D608" s="0" t="n">
        <v>2017</v>
      </c>
      <c r="E608" s="0" t="s">
        <v>57</v>
      </c>
      <c r="F608" s="0" t="n">
        <v>319119</v>
      </c>
      <c r="G608" s="0" t="s">
        <v>1681</v>
      </c>
      <c r="H608" s="0" t="s">
        <v>1648</v>
      </c>
      <c r="I608" s="0" t="n">
        <v>319119</v>
      </c>
      <c r="J608" s="0" t="s">
        <v>2439</v>
      </c>
      <c r="L608" s="0" t="n">
        <v>2018</v>
      </c>
      <c r="M608" s="0" t="s">
        <v>1551</v>
      </c>
      <c r="N608" s="0" t="s">
        <v>142</v>
      </c>
      <c r="Q608" s="0" t="n">
        <v>66</v>
      </c>
      <c r="R608" s="0" t="n">
        <v>64</v>
      </c>
      <c r="U608" s="0" t="s">
        <v>143</v>
      </c>
      <c r="V608" s="0" t="s">
        <v>143</v>
      </c>
      <c r="Y608" s="0" t="s">
        <v>1651</v>
      </c>
      <c r="Z608" s="0" t="s">
        <v>1652</v>
      </c>
      <c r="AA608" s="0" t="s">
        <v>2442</v>
      </c>
      <c r="AC608" s="0" t="s">
        <v>2443</v>
      </c>
    </row>
    <row r="609" customFormat="false" ht="15" hidden="false" customHeight="false" outlineLevel="0" collapsed="false">
      <c r="A609" s="0" t="s">
        <v>2447</v>
      </c>
      <c r="B609" s="0" t="s">
        <v>138</v>
      </c>
      <c r="C609" s="0" t="s">
        <v>2105</v>
      </c>
      <c r="D609" s="0" t="n">
        <v>2017</v>
      </c>
      <c r="E609" s="0" t="s">
        <v>58</v>
      </c>
      <c r="F609" s="0" t="n">
        <v>68160</v>
      </c>
      <c r="G609" s="0" t="s">
        <v>1681</v>
      </c>
      <c r="H609" s="0" t="s">
        <v>1648</v>
      </c>
      <c r="I609" s="0" t="n">
        <v>68160</v>
      </c>
      <c r="J609" s="0" t="s">
        <v>2439</v>
      </c>
      <c r="L609" s="0" t="n">
        <v>2018</v>
      </c>
      <c r="M609" s="0" t="s">
        <v>1551</v>
      </c>
      <c r="N609" s="0" t="s">
        <v>142</v>
      </c>
      <c r="Q609" s="0" t="n">
        <v>69</v>
      </c>
      <c r="R609" s="0" t="n">
        <v>67</v>
      </c>
      <c r="U609" s="0" t="s">
        <v>143</v>
      </c>
      <c r="V609" s="0" t="s">
        <v>143</v>
      </c>
      <c r="Y609" s="0" t="s">
        <v>1651</v>
      </c>
      <c r="Z609" s="0" t="s">
        <v>1652</v>
      </c>
      <c r="AA609" s="0" t="s">
        <v>2442</v>
      </c>
      <c r="AC609" s="0" t="s">
        <v>2443</v>
      </c>
    </row>
    <row r="610" customFormat="false" ht="15" hidden="false" customHeight="false" outlineLevel="0" collapsed="false">
      <c r="A610" s="0" t="s">
        <v>2448</v>
      </c>
      <c r="B610" s="0" t="s">
        <v>138</v>
      </c>
      <c r="C610" s="0" t="s">
        <v>2105</v>
      </c>
      <c r="D610" s="0" t="n">
        <v>2017</v>
      </c>
      <c r="E610" s="0" t="s">
        <v>59</v>
      </c>
      <c r="F610" s="0" t="n">
        <v>1123483</v>
      </c>
      <c r="G610" s="0" t="s">
        <v>1681</v>
      </c>
      <c r="H610" s="0" t="s">
        <v>1648</v>
      </c>
      <c r="I610" s="0" t="n">
        <v>1123483</v>
      </c>
      <c r="J610" s="0" t="s">
        <v>2439</v>
      </c>
      <c r="L610" s="0" t="n">
        <v>2018</v>
      </c>
      <c r="M610" s="0" t="s">
        <v>1551</v>
      </c>
      <c r="N610" s="0" t="s">
        <v>142</v>
      </c>
      <c r="Q610" s="0" t="n">
        <v>66</v>
      </c>
      <c r="R610" s="0" t="n">
        <v>64</v>
      </c>
      <c r="U610" s="0" t="s">
        <v>143</v>
      </c>
      <c r="V610" s="0" t="s">
        <v>143</v>
      </c>
      <c r="Y610" s="0" t="s">
        <v>1651</v>
      </c>
      <c r="Z610" s="0" t="s">
        <v>1652</v>
      </c>
      <c r="AA610" s="0" t="s">
        <v>2449</v>
      </c>
      <c r="AC610" s="0" t="s">
        <v>2443</v>
      </c>
    </row>
    <row r="611" customFormat="false" ht="15" hidden="false" customHeight="false" outlineLevel="0" collapsed="false">
      <c r="A611" s="0" t="s">
        <v>2450</v>
      </c>
      <c r="B611" s="0" t="s">
        <v>138</v>
      </c>
      <c r="C611" s="0" t="s">
        <v>2105</v>
      </c>
      <c r="D611" s="0" t="n">
        <v>2017</v>
      </c>
      <c r="E611" s="0" t="s">
        <v>60</v>
      </c>
      <c r="F611" s="0" t="n">
        <v>531807</v>
      </c>
      <c r="G611" s="0" t="s">
        <v>1681</v>
      </c>
      <c r="H611" s="0" t="s">
        <v>1648</v>
      </c>
      <c r="I611" s="0" t="n">
        <v>531807</v>
      </c>
      <c r="J611" s="0" t="s">
        <v>2439</v>
      </c>
      <c r="L611" s="0" t="n">
        <v>2018</v>
      </c>
      <c r="M611" s="0" t="s">
        <v>1551</v>
      </c>
      <c r="N611" s="0" t="s">
        <v>142</v>
      </c>
      <c r="Q611" s="0" t="n">
        <v>149</v>
      </c>
      <c r="R611" s="0" t="n">
        <v>149</v>
      </c>
      <c r="U611" s="0" t="s">
        <v>143</v>
      </c>
      <c r="V611" s="0" t="s">
        <v>143</v>
      </c>
      <c r="Y611" s="0" t="s">
        <v>1651</v>
      </c>
      <c r="Z611" s="0" t="s">
        <v>1652</v>
      </c>
      <c r="AA611" s="0" t="s">
        <v>2442</v>
      </c>
      <c r="AC611" s="0" t="s">
        <v>2443</v>
      </c>
    </row>
    <row r="612" customFormat="false" ht="15" hidden="false" customHeight="false" outlineLevel="0" collapsed="false">
      <c r="A612" s="0" t="s">
        <v>2451</v>
      </c>
      <c r="B612" s="0" t="s">
        <v>138</v>
      </c>
      <c r="C612" s="0" t="s">
        <v>2105</v>
      </c>
      <c r="D612" s="0" t="n">
        <v>2017</v>
      </c>
      <c r="E612" s="0" t="s">
        <v>61</v>
      </c>
      <c r="F612" s="0" t="n">
        <v>43252</v>
      </c>
      <c r="G612" s="0" t="s">
        <v>1681</v>
      </c>
      <c r="H612" s="0" t="s">
        <v>1648</v>
      </c>
      <c r="I612" s="0" t="n">
        <v>43252</v>
      </c>
      <c r="J612" s="0" t="s">
        <v>2439</v>
      </c>
      <c r="L612" s="0" t="n">
        <v>2018</v>
      </c>
      <c r="M612" s="0" t="s">
        <v>1551</v>
      </c>
      <c r="N612" s="0" t="s">
        <v>142</v>
      </c>
      <c r="Q612" s="0" t="n">
        <v>149</v>
      </c>
      <c r="R612" s="0" t="n">
        <v>149</v>
      </c>
      <c r="U612" s="0" t="s">
        <v>143</v>
      </c>
      <c r="V612" s="0" t="s">
        <v>143</v>
      </c>
      <c r="Y612" s="0" t="s">
        <v>1651</v>
      </c>
      <c r="Z612" s="0" t="s">
        <v>1652</v>
      </c>
      <c r="AA612" s="0" t="s">
        <v>2442</v>
      </c>
      <c r="AC612" s="0" t="s">
        <v>2443</v>
      </c>
    </row>
    <row r="613" customFormat="false" ht="15" hidden="false" customHeight="false" outlineLevel="0" collapsed="false">
      <c r="A613" s="0" t="s">
        <v>2452</v>
      </c>
      <c r="B613" s="0" t="s">
        <v>138</v>
      </c>
      <c r="C613" s="0" t="s">
        <v>2105</v>
      </c>
      <c r="D613" s="0" t="n">
        <v>2017</v>
      </c>
      <c r="E613" s="0" t="s">
        <v>62</v>
      </c>
      <c r="F613" s="0" t="n">
        <v>488555</v>
      </c>
      <c r="G613" s="0" t="s">
        <v>1681</v>
      </c>
      <c r="H613" s="0" t="s">
        <v>1648</v>
      </c>
      <c r="I613" s="0" t="n">
        <v>488555</v>
      </c>
      <c r="J613" s="0" t="s">
        <v>2439</v>
      </c>
      <c r="L613" s="0" t="n">
        <v>2018</v>
      </c>
      <c r="M613" s="0" t="s">
        <v>1551</v>
      </c>
      <c r="N613" s="0" t="s">
        <v>142</v>
      </c>
      <c r="Q613" s="0" t="n">
        <v>149</v>
      </c>
      <c r="R613" s="0" t="n">
        <v>149</v>
      </c>
      <c r="U613" s="0" t="s">
        <v>143</v>
      </c>
      <c r="V613" s="0" t="s">
        <v>143</v>
      </c>
      <c r="Y613" s="0" t="s">
        <v>1651</v>
      </c>
      <c r="Z613" s="0" t="s">
        <v>1652</v>
      </c>
      <c r="AA613" s="0" t="s">
        <v>2442</v>
      </c>
      <c r="AC613" s="0" t="s">
        <v>2443</v>
      </c>
    </row>
    <row r="614" customFormat="false" ht="15" hidden="false" customHeight="false" outlineLevel="0" collapsed="false">
      <c r="A614" s="0" t="s">
        <v>2453</v>
      </c>
      <c r="B614" s="0" t="s">
        <v>138</v>
      </c>
      <c r="C614" s="0" t="s">
        <v>2105</v>
      </c>
      <c r="D614" s="0" t="n">
        <v>2017</v>
      </c>
      <c r="E614" s="0" t="s">
        <v>402</v>
      </c>
      <c r="F614" s="0" t="n">
        <v>11576</v>
      </c>
      <c r="G614" s="0" t="s">
        <v>1681</v>
      </c>
      <c r="H614" s="0" t="s">
        <v>1648</v>
      </c>
      <c r="I614" s="0" t="n">
        <v>11576</v>
      </c>
      <c r="J614" s="0" t="s">
        <v>2439</v>
      </c>
      <c r="L614" s="0" t="n">
        <v>2018</v>
      </c>
      <c r="M614" s="0" t="s">
        <v>1551</v>
      </c>
      <c r="N614" s="0" t="s">
        <v>142</v>
      </c>
      <c r="Q614" s="0" t="s">
        <v>2440</v>
      </c>
      <c r="R614" s="0" t="s">
        <v>2441</v>
      </c>
      <c r="U614" s="0" t="s">
        <v>143</v>
      </c>
      <c r="V614" s="0" t="s">
        <v>143</v>
      </c>
      <c r="Y614" s="0" t="s">
        <v>1651</v>
      </c>
      <c r="Z614" s="0" t="s">
        <v>1652</v>
      </c>
      <c r="AA614" s="0" t="s">
        <v>2442</v>
      </c>
      <c r="AC614" s="0" t="s">
        <v>2443</v>
      </c>
    </row>
    <row r="615" customFormat="false" ht="15" hidden="false" customHeight="false" outlineLevel="0" collapsed="false">
      <c r="A615" s="0" t="s">
        <v>2454</v>
      </c>
      <c r="B615" s="0" t="s">
        <v>138</v>
      </c>
      <c r="C615" s="0" t="s">
        <v>2105</v>
      </c>
      <c r="D615" s="0" t="n">
        <v>2017</v>
      </c>
      <c r="E615" s="0" t="s">
        <v>670</v>
      </c>
      <c r="F615" s="0" t="n">
        <v>157566</v>
      </c>
      <c r="G615" s="0" t="s">
        <v>1681</v>
      </c>
      <c r="H615" s="0" t="s">
        <v>1648</v>
      </c>
      <c r="I615" s="0" t="n">
        <v>157566</v>
      </c>
      <c r="J615" s="0" t="s">
        <v>2439</v>
      </c>
      <c r="L615" s="0" t="n">
        <v>2018</v>
      </c>
      <c r="M615" s="0" t="s">
        <v>1551</v>
      </c>
      <c r="N615" s="0" t="s">
        <v>142</v>
      </c>
      <c r="Q615" s="0" t="s">
        <v>2440</v>
      </c>
      <c r="R615" s="0" t="s">
        <v>2441</v>
      </c>
      <c r="U615" s="0" t="s">
        <v>143</v>
      </c>
      <c r="V615" s="0" t="s">
        <v>143</v>
      </c>
      <c r="Y615" s="0" t="s">
        <v>1651</v>
      </c>
      <c r="Z615" s="0" t="s">
        <v>1652</v>
      </c>
      <c r="AA615" s="0" t="s">
        <v>2442</v>
      </c>
      <c r="AC615" s="0" t="s">
        <v>2443</v>
      </c>
    </row>
    <row r="616" customFormat="false" ht="15" hidden="false" customHeight="false" outlineLevel="0" collapsed="false">
      <c r="A616" s="0" t="s">
        <v>2455</v>
      </c>
      <c r="B616" s="0" t="s">
        <v>138</v>
      </c>
      <c r="C616" s="0" t="s">
        <v>2105</v>
      </c>
      <c r="D616" s="0" t="n">
        <v>2017</v>
      </c>
      <c r="E616" s="0" t="s">
        <v>63</v>
      </c>
      <c r="F616" s="0" t="n">
        <v>25478</v>
      </c>
      <c r="G616" s="0" t="s">
        <v>1681</v>
      </c>
      <c r="H616" s="0" t="s">
        <v>1648</v>
      </c>
      <c r="I616" s="0" t="n">
        <v>25478</v>
      </c>
      <c r="J616" s="0" t="s">
        <v>2439</v>
      </c>
      <c r="L616" s="0" t="n">
        <v>2018</v>
      </c>
      <c r="M616" s="0" t="s">
        <v>1551</v>
      </c>
      <c r="N616" s="0" t="s">
        <v>142</v>
      </c>
      <c r="Q616" s="0" t="s">
        <v>2440</v>
      </c>
      <c r="R616" s="0" t="s">
        <v>2441</v>
      </c>
      <c r="U616" s="0" t="s">
        <v>143</v>
      </c>
      <c r="V616" s="0" t="s">
        <v>143</v>
      </c>
      <c r="Y616" s="0" t="s">
        <v>1651</v>
      </c>
      <c r="Z616" s="0" t="s">
        <v>1652</v>
      </c>
      <c r="AA616" s="0" t="s">
        <v>2456</v>
      </c>
      <c r="AC616" s="0" t="s">
        <v>2443</v>
      </c>
    </row>
    <row r="617" customFormat="false" ht="15" hidden="false" customHeight="false" outlineLevel="0" collapsed="false">
      <c r="A617" s="0" t="s">
        <v>2457</v>
      </c>
      <c r="B617" s="0" t="s">
        <v>138</v>
      </c>
      <c r="C617" s="0" t="s">
        <v>2105</v>
      </c>
      <c r="D617" s="0" t="n">
        <v>2017</v>
      </c>
      <c r="E617" s="0" t="s">
        <v>710</v>
      </c>
      <c r="F617" s="0" t="n">
        <v>25510</v>
      </c>
      <c r="G617" s="0" t="s">
        <v>1681</v>
      </c>
      <c r="H617" s="0" t="s">
        <v>1648</v>
      </c>
      <c r="I617" s="0" t="n">
        <v>25510</v>
      </c>
      <c r="J617" s="0" t="s">
        <v>2439</v>
      </c>
      <c r="L617" s="0" t="n">
        <v>2018</v>
      </c>
      <c r="M617" s="0" t="s">
        <v>1551</v>
      </c>
      <c r="N617" s="0" t="s">
        <v>142</v>
      </c>
      <c r="Q617" s="0" t="s">
        <v>2440</v>
      </c>
      <c r="R617" s="0" t="s">
        <v>2441</v>
      </c>
      <c r="U617" s="0" t="s">
        <v>143</v>
      </c>
      <c r="V617" s="0" t="s">
        <v>143</v>
      </c>
      <c r="Y617" s="0" t="s">
        <v>1651</v>
      </c>
      <c r="Z617" s="0" t="s">
        <v>1652</v>
      </c>
      <c r="AA617" s="0" t="s">
        <v>2442</v>
      </c>
      <c r="AC617" s="0" t="s">
        <v>2443</v>
      </c>
    </row>
    <row r="618" customFormat="false" ht="15" hidden="false" customHeight="false" outlineLevel="0" collapsed="false">
      <c r="A618" s="0" t="s">
        <v>2458</v>
      </c>
      <c r="B618" s="0" t="s">
        <v>138</v>
      </c>
      <c r="C618" s="0" t="s">
        <v>2105</v>
      </c>
      <c r="D618" s="0" t="n">
        <v>2017</v>
      </c>
      <c r="E618" s="0" t="s">
        <v>557</v>
      </c>
      <c r="F618" s="0" t="n">
        <v>-32</v>
      </c>
      <c r="G618" s="0" t="s">
        <v>1681</v>
      </c>
      <c r="H618" s="0" t="s">
        <v>1648</v>
      </c>
      <c r="I618" s="0" t="n">
        <v>-32</v>
      </c>
      <c r="J618" s="0" t="s">
        <v>2439</v>
      </c>
      <c r="L618" s="0" t="n">
        <v>2018</v>
      </c>
      <c r="M618" s="0" t="s">
        <v>1551</v>
      </c>
      <c r="N618" s="0" t="s">
        <v>142</v>
      </c>
      <c r="Q618" s="0" t="s">
        <v>2440</v>
      </c>
      <c r="R618" s="0" t="s">
        <v>2441</v>
      </c>
      <c r="U618" s="0" t="s">
        <v>143</v>
      </c>
      <c r="V618" s="0" t="s">
        <v>143</v>
      </c>
      <c r="Y618" s="0" t="s">
        <v>1651</v>
      </c>
      <c r="Z618" s="0" t="s">
        <v>1652</v>
      </c>
      <c r="AA618" s="0" t="s">
        <v>2442</v>
      </c>
      <c r="AC618" s="0" t="s">
        <v>2443</v>
      </c>
    </row>
    <row r="619" customFormat="false" ht="15" hidden="false" customHeight="false" outlineLevel="0" collapsed="false">
      <c r="A619" s="0" t="s">
        <v>2459</v>
      </c>
      <c r="B619" s="0" t="s">
        <v>138</v>
      </c>
      <c r="C619" s="0" t="s">
        <v>2105</v>
      </c>
      <c r="D619" s="0" t="n">
        <v>2017</v>
      </c>
      <c r="E619" s="0" t="s">
        <v>69</v>
      </c>
      <c r="F619" s="0" t="n">
        <v>17.8</v>
      </c>
      <c r="G619" s="0" t="s">
        <v>1723</v>
      </c>
      <c r="I619" s="0" t="n">
        <v>17.8</v>
      </c>
      <c r="J619" s="0" t="s">
        <v>2439</v>
      </c>
      <c r="L619" s="0" t="n">
        <v>2018</v>
      </c>
      <c r="M619" s="0" t="s">
        <v>1551</v>
      </c>
      <c r="N619" s="0" t="s">
        <v>142</v>
      </c>
      <c r="Q619" s="0" t="n">
        <v>127</v>
      </c>
      <c r="R619" s="0" t="n">
        <v>127</v>
      </c>
      <c r="U619" s="0" t="s">
        <v>143</v>
      </c>
      <c r="V619" s="0" t="s">
        <v>143</v>
      </c>
      <c r="Y619" s="0" t="s">
        <v>1651</v>
      </c>
      <c r="Z619" s="0" t="s">
        <v>1652</v>
      </c>
      <c r="AA619" s="0" t="s">
        <v>2442</v>
      </c>
      <c r="AC619" s="0" t="s">
        <v>2443</v>
      </c>
    </row>
    <row r="620" customFormat="false" ht="15" hidden="false" customHeight="false" outlineLevel="0" collapsed="false">
      <c r="A620" s="0" t="s">
        <v>2460</v>
      </c>
      <c r="B620" s="0" t="s">
        <v>138</v>
      </c>
      <c r="C620" s="0" t="s">
        <v>2105</v>
      </c>
      <c r="D620" s="0" t="n">
        <v>2017</v>
      </c>
      <c r="E620" s="0" t="s">
        <v>65</v>
      </c>
      <c r="F620" s="0" t="n">
        <v>137875</v>
      </c>
      <c r="G620" s="0" t="s">
        <v>1681</v>
      </c>
      <c r="H620" s="0" t="s">
        <v>1648</v>
      </c>
      <c r="I620" s="0" t="n">
        <v>137875</v>
      </c>
      <c r="J620" s="0" t="s">
        <v>2439</v>
      </c>
      <c r="L620" s="0" t="n">
        <v>2018</v>
      </c>
      <c r="M620" s="0" t="s">
        <v>1551</v>
      </c>
      <c r="N620" s="0" t="s">
        <v>142</v>
      </c>
      <c r="Q620" s="0" t="n">
        <v>127</v>
      </c>
      <c r="R620" s="0" t="n">
        <v>127</v>
      </c>
      <c r="U620" s="0" t="s">
        <v>143</v>
      </c>
      <c r="V620" s="0" t="s">
        <v>143</v>
      </c>
      <c r="Y620" s="0" t="s">
        <v>1651</v>
      </c>
      <c r="Z620" s="0" t="s">
        <v>1652</v>
      </c>
      <c r="AA620" s="0" t="s">
        <v>2442</v>
      </c>
      <c r="AC620" s="0" t="s">
        <v>2443</v>
      </c>
    </row>
    <row r="621" customFormat="false" ht="15" hidden="false" customHeight="false" outlineLevel="0" collapsed="false">
      <c r="A621" s="0" t="s">
        <v>2461</v>
      </c>
      <c r="B621" s="0" t="s">
        <v>138</v>
      </c>
      <c r="C621" s="0" t="s">
        <v>2105</v>
      </c>
      <c r="D621" s="0" t="n">
        <v>2017</v>
      </c>
      <c r="E621" s="0" t="s">
        <v>66</v>
      </c>
      <c r="F621" s="0" t="n">
        <v>774497</v>
      </c>
      <c r="G621" s="0" t="s">
        <v>1681</v>
      </c>
      <c r="H621" s="0" t="s">
        <v>1648</v>
      </c>
      <c r="I621" s="0" t="n">
        <v>774497</v>
      </c>
      <c r="J621" s="0" t="s">
        <v>2439</v>
      </c>
      <c r="L621" s="0" t="n">
        <v>2018</v>
      </c>
      <c r="M621" s="0" t="s">
        <v>1551</v>
      </c>
      <c r="N621" s="0" t="s">
        <v>142</v>
      </c>
      <c r="Q621" s="0" t="n">
        <v>127</v>
      </c>
      <c r="R621" s="0" t="n">
        <v>127</v>
      </c>
      <c r="U621" s="0" t="s">
        <v>143</v>
      </c>
      <c r="V621" s="0" t="s">
        <v>143</v>
      </c>
      <c r="Y621" s="0" t="s">
        <v>1651</v>
      </c>
      <c r="Z621" s="0" t="s">
        <v>1652</v>
      </c>
      <c r="AA621" s="0" t="s">
        <v>2442</v>
      </c>
      <c r="AC621" s="0" t="s">
        <v>2443</v>
      </c>
    </row>
    <row r="622" customFormat="false" ht="15" hidden="false" customHeight="false" outlineLevel="0" collapsed="false">
      <c r="A622" s="0" t="s">
        <v>2462</v>
      </c>
      <c r="B622" s="0" t="s">
        <v>138</v>
      </c>
      <c r="C622" s="0" t="s">
        <v>2105</v>
      </c>
      <c r="D622" s="0" t="n">
        <v>2017</v>
      </c>
      <c r="E622" s="0" t="s">
        <v>70</v>
      </c>
      <c r="F622" s="0" t="n">
        <v>15</v>
      </c>
      <c r="G622" s="0" t="s">
        <v>1723</v>
      </c>
      <c r="I622" s="0" t="n">
        <v>15</v>
      </c>
      <c r="J622" s="0" t="s">
        <v>2439</v>
      </c>
      <c r="L622" s="0" t="n">
        <v>2018</v>
      </c>
      <c r="M622" s="0" t="s">
        <v>1551</v>
      </c>
      <c r="N622" s="0" t="s">
        <v>142</v>
      </c>
      <c r="Q622" s="0" t="n">
        <v>127</v>
      </c>
      <c r="R622" s="0" t="n">
        <v>127</v>
      </c>
      <c r="U622" s="0" t="s">
        <v>143</v>
      </c>
      <c r="V622" s="0" t="s">
        <v>143</v>
      </c>
      <c r="Y622" s="0" t="s">
        <v>1651</v>
      </c>
      <c r="Z622" s="0" t="s">
        <v>1652</v>
      </c>
      <c r="AA622" s="0" t="s">
        <v>2442</v>
      </c>
      <c r="AC622" s="0" t="s">
        <v>2443</v>
      </c>
    </row>
    <row r="623" customFormat="false" ht="15" hidden="false" customHeight="false" outlineLevel="0" collapsed="false">
      <c r="A623" s="0" t="s">
        <v>2463</v>
      </c>
      <c r="B623" s="0" t="s">
        <v>138</v>
      </c>
      <c r="C623" s="0" t="s">
        <v>2105</v>
      </c>
      <c r="D623" s="0" t="n">
        <v>2017</v>
      </c>
      <c r="E623" s="0" t="s">
        <v>64</v>
      </c>
      <c r="F623" s="0" t="n">
        <v>110685</v>
      </c>
      <c r="G623" s="0" t="s">
        <v>1681</v>
      </c>
      <c r="H623" s="0" t="s">
        <v>1648</v>
      </c>
      <c r="I623" s="0" t="n">
        <v>110685</v>
      </c>
      <c r="J623" s="0" t="s">
        <v>2439</v>
      </c>
      <c r="L623" s="0" t="n">
        <v>2018</v>
      </c>
      <c r="M623" s="0" t="s">
        <v>1551</v>
      </c>
      <c r="N623" s="0" t="s">
        <v>142</v>
      </c>
      <c r="Q623" s="0" t="n">
        <v>103</v>
      </c>
      <c r="R623" s="0" t="n">
        <v>103</v>
      </c>
      <c r="U623" s="0" t="s">
        <v>143</v>
      </c>
      <c r="V623" s="0" t="s">
        <v>143</v>
      </c>
      <c r="Y623" s="0" t="s">
        <v>1651</v>
      </c>
      <c r="Z623" s="0" t="s">
        <v>1652</v>
      </c>
      <c r="AA623" s="0" t="s">
        <v>2442</v>
      </c>
      <c r="AC623" s="0" t="s">
        <v>2443</v>
      </c>
    </row>
    <row r="624" customFormat="false" ht="15" hidden="false" customHeight="false" outlineLevel="0" collapsed="false">
      <c r="A624" s="0" t="s">
        <v>2464</v>
      </c>
      <c r="B624" s="0" t="s">
        <v>138</v>
      </c>
      <c r="C624" s="0" t="s">
        <v>2105</v>
      </c>
      <c r="D624" s="0" t="n">
        <v>2017</v>
      </c>
      <c r="E624" s="0" t="s">
        <v>404</v>
      </c>
      <c r="F624" s="0" t="n">
        <v>36232</v>
      </c>
      <c r="G624" s="0" t="s">
        <v>1681</v>
      </c>
      <c r="H624" s="0" t="s">
        <v>1648</v>
      </c>
      <c r="I624" s="0" t="n">
        <v>36232</v>
      </c>
      <c r="J624" s="0" t="s">
        <v>2439</v>
      </c>
      <c r="L624" s="0" t="n">
        <v>2018</v>
      </c>
      <c r="M624" s="0" t="s">
        <v>1551</v>
      </c>
      <c r="N624" s="0" t="s">
        <v>142</v>
      </c>
      <c r="Q624" s="0" t="n">
        <v>149</v>
      </c>
      <c r="R624" s="0" t="n">
        <v>149</v>
      </c>
      <c r="U624" s="0" t="s">
        <v>143</v>
      </c>
      <c r="V624" s="0" t="s">
        <v>143</v>
      </c>
      <c r="Y624" s="0" t="s">
        <v>1651</v>
      </c>
      <c r="Z624" s="0" t="s">
        <v>1652</v>
      </c>
      <c r="AA624" s="0" t="s">
        <v>2442</v>
      </c>
      <c r="AC624" s="0" t="s">
        <v>2443</v>
      </c>
    </row>
    <row r="625" customFormat="false" ht="15" hidden="false" customHeight="false" outlineLevel="0" collapsed="false">
      <c r="A625" s="0" t="s">
        <v>2465</v>
      </c>
      <c r="B625" s="0" t="s">
        <v>138</v>
      </c>
      <c r="C625" s="0" t="s">
        <v>2105</v>
      </c>
      <c r="D625" s="0" t="n">
        <v>2017</v>
      </c>
      <c r="E625" s="0" t="s">
        <v>406</v>
      </c>
      <c r="F625" s="0" t="n">
        <v>7020</v>
      </c>
      <c r="G625" s="0" t="s">
        <v>1681</v>
      </c>
      <c r="H625" s="0" t="s">
        <v>1648</v>
      </c>
      <c r="I625" s="0" t="n">
        <v>7020</v>
      </c>
      <c r="J625" s="0" t="s">
        <v>2439</v>
      </c>
      <c r="L625" s="0" t="n">
        <v>2018</v>
      </c>
      <c r="M625" s="0" t="s">
        <v>1551</v>
      </c>
      <c r="N625" s="0" t="s">
        <v>142</v>
      </c>
      <c r="Q625" s="0" t="n">
        <v>149</v>
      </c>
      <c r="R625" s="0" t="n">
        <v>149</v>
      </c>
      <c r="U625" s="0" t="s">
        <v>143</v>
      </c>
      <c r="V625" s="0" t="s">
        <v>143</v>
      </c>
      <c r="Y625" s="0" t="s">
        <v>1651</v>
      </c>
      <c r="Z625" s="0" t="s">
        <v>1652</v>
      </c>
      <c r="AA625" s="0" t="s">
        <v>2442</v>
      </c>
      <c r="AC625" s="0" t="s">
        <v>2443</v>
      </c>
    </row>
    <row r="626" customFormat="false" ht="15" hidden="false" customHeight="false" outlineLevel="0" collapsed="false">
      <c r="A626" s="0" t="s">
        <v>2466</v>
      </c>
      <c r="B626" s="0" t="s">
        <v>138</v>
      </c>
      <c r="C626" s="0" t="s">
        <v>2105</v>
      </c>
      <c r="D626" s="0" t="n">
        <v>2018</v>
      </c>
      <c r="E626" s="0" t="s">
        <v>54</v>
      </c>
      <c r="F626" s="0" t="n">
        <v>18438</v>
      </c>
      <c r="G626" s="0" t="s">
        <v>1681</v>
      </c>
      <c r="H626" s="0" t="s">
        <v>1648</v>
      </c>
      <c r="I626" s="0" t="n">
        <v>18438</v>
      </c>
      <c r="J626" s="0" t="s">
        <v>2439</v>
      </c>
      <c r="L626" s="0" t="n">
        <v>2018</v>
      </c>
      <c r="M626" s="0" t="s">
        <v>1551</v>
      </c>
      <c r="N626" s="0" t="s">
        <v>142</v>
      </c>
      <c r="Q626" s="0" t="s">
        <v>2440</v>
      </c>
      <c r="R626" s="0" t="s">
        <v>2441</v>
      </c>
      <c r="U626" s="0" t="s">
        <v>145</v>
      </c>
      <c r="V626" s="0" t="s">
        <v>145</v>
      </c>
      <c r="Y626" s="0" t="s">
        <v>1651</v>
      </c>
      <c r="Z626" s="0" t="s">
        <v>1652</v>
      </c>
      <c r="AA626" s="0" t="s">
        <v>2442</v>
      </c>
      <c r="AC626" s="0" t="s">
        <v>2443</v>
      </c>
    </row>
    <row r="627" customFormat="false" ht="15" hidden="false" customHeight="false" outlineLevel="0" collapsed="false">
      <c r="A627" s="0" t="s">
        <v>2467</v>
      </c>
      <c r="B627" s="0" t="s">
        <v>138</v>
      </c>
      <c r="C627" s="0" t="s">
        <v>2105</v>
      </c>
      <c r="D627" s="0" t="n">
        <v>2018</v>
      </c>
      <c r="E627" s="0" t="s">
        <v>55</v>
      </c>
      <c r="F627" s="0" t="n">
        <v>1324297</v>
      </c>
      <c r="G627" s="0" t="s">
        <v>1681</v>
      </c>
      <c r="H627" s="0" t="s">
        <v>1648</v>
      </c>
      <c r="I627" s="0" t="n">
        <v>1324297</v>
      </c>
      <c r="J627" s="0" t="s">
        <v>2439</v>
      </c>
      <c r="L627" s="0" t="n">
        <v>2018</v>
      </c>
      <c r="M627" s="0" t="s">
        <v>1551</v>
      </c>
      <c r="N627" s="0" t="s">
        <v>142</v>
      </c>
      <c r="Q627" s="0" t="n">
        <v>66</v>
      </c>
      <c r="R627" s="0" t="n">
        <v>64</v>
      </c>
      <c r="U627" s="0" t="s">
        <v>145</v>
      </c>
      <c r="V627" s="0" t="s">
        <v>145</v>
      </c>
      <c r="Y627" s="0" t="s">
        <v>1651</v>
      </c>
      <c r="Z627" s="0" t="s">
        <v>1652</v>
      </c>
      <c r="AA627" s="0" t="s">
        <v>2442</v>
      </c>
      <c r="AC627" s="0" t="s">
        <v>2443</v>
      </c>
    </row>
    <row r="628" customFormat="false" ht="15" hidden="false" customHeight="false" outlineLevel="0" collapsed="false">
      <c r="A628" s="0" t="s">
        <v>2468</v>
      </c>
      <c r="B628" s="0" t="s">
        <v>138</v>
      </c>
      <c r="C628" s="0" t="s">
        <v>2105</v>
      </c>
      <c r="D628" s="0" t="n">
        <v>2018</v>
      </c>
      <c r="E628" s="0" t="s">
        <v>56</v>
      </c>
      <c r="F628" s="0" t="n">
        <v>1124210</v>
      </c>
      <c r="G628" s="0" t="s">
        <v>1681</v>
      </c>
      <c r="H628" s="0" t="s">
        <v>1648</v>
      </c>
      <c r="I628" s="0" t="n">
        <v>1124210</v>
      </c>
      <c r="J628" s="0" t="s">
        <v>2439</v>
      </c>
      <c r="L628" s="0" t="n">
        <v>2018</v>
      </c>
      <c r="M628" s="0" t="s">
        <v>1551</v>
      </c>
      <c r="N628" s="0" t="s">
        <v>142</v>
      </c>
      <c r="Q628" s="0" t="n">
        <v>66</v>
      </c>
      <c r="R628" s="0" t="n">
        <v>64</v>
      </c>
      <c r="U628" s="0" t="s">
        <v>145</v>
      </c>
      <c r="V628" s="0" t="s">
        <v>145</v>
      </c>
      <c r="Y628" s="0" t="s">
        <v>1651</v>
      </c>
      <c r="Z628" s="0" t="s">
        <v>1652</v>
      </c>
      <c r="AA628" s="0" t="s">
        <v>2442</v>
      </c>
      <c r="AC628" s="0" t="s">
        <v>2443</v>
      </c>
    </row>
    <row r="629" customFormat="false" ht="15" hidden="false" customHeight="false" outlineLevel="0" collapsed="false">
      <c r="A629" s="0" t="s">
        <v>2469</v>
      </c>
      <c r="B629" s="0" t="s">
        <v>138</v>
      </c>
      <c r="C629" s="0" t="s">
        <v>2105</v>
      </c>
      <c r="D629" s="0" t="n">
        <v>2018</v>
      </c>
      <c r="E629" s="0" t="s">
        <v>57</v>
      </c>
      <c r="F629" s="0" t="n">
        <v>200087</v>
      </c>
      <c r="G629" s="0" t="s">
        <v>1681</v>
      </c>
      <c r="H629" s="0" t="s">
        <v>1648</v>
      </c>
      <c r="I629" s="0" t="n">
        <v>200087</v>
      </c>
      <c r="J629" s="0" t="s">
        <v>2439</v>
      </c>
      <c r="L629" s="0" t="n">
        <v>2018</v>
      </c>
      <c r="M629" s="0" t="s">
        <v>1551</v>
      </c>
      <c r="N629" s="0" t="s">
        <v>142</v>
      </c>
      <c r="Q629" s="0" t="n">
        <v>66</v>
      </c>
      <c r="R629" s="0" t="n">
        <v>64</v>
      </c>
      <c r="U629" s="0" t="s">
        <v>145</v>
      </c>
      <c r="V629" s="0" t="s">
        <v>145</v>
      </c>
      <c r="Y629" s="0" t="s">
        <v>1651</v>
      </c>
      <c r="Z629" s="0" t="s">
        <v>1652</v>
      </c>
      <c r="AA629" s="0" t="s">
        <v>2442</v>
      </c>
      <c r="AC629" s="0" t="s">
        <v>2443</v>
      </c>
    </row>
    <row r="630" customFormat="false" ht="15" hidden="false" customHeight="false" outlineLevel="0" collapsed="false">
      <c r="A630" s="0" t="s">
        <v>2470</v>
      </c>
      <c r="B630" s="0" t="s">
        <v>138</v>
      </c>
      <c r="C630" s="0" t="s">
        <v>2105</v>
      </c>
      <c r="D630" s="0" t="n">
        <v>2018</v>
      </c>
      <c r="E630" s="0" t="s">
        <v>58</v>
      </c>
      <c r="F630" s="0" t="n">
        <v>37394</v>
      </c>
      <c r="G630" s="0" t="s">
        <v>1681</v>
      </c>
      <c r="H630" s="0" t="s">
        <v>1648</v>
      </c>
      <c r="I630" s="0" t="n">
        <v>37394</v>
      </c>
      <c r="J630" s="0" t="s">
        <v>2439</v>
      </c>
      <c r="L630" s="0" t="n">
        <v>2018</v>
      </c>
      <c r="M630" s="0" t="s">
        <v>1551</v>
      </c>
      <c r="N630" s="0" t="s">
        <v>142</v>
      </c>
      <c r="Q630" s="0" t="n">
        <v>69</v>
      </c>
      <c r="R630" s="0" t="n">
        <v>67</v>
      </c>
      <c r="U630" s="0" t="s">
        <v>145</v>
      </c>
      <c r="V630" s="0" t="s">
        <v>145</v>
      </c>
      <c r="Y630" s="0" t="s">
        <v>1651</v>
      </c>
      <c r="Z630" s="0" t="s">
        <v>1652</v>
      </c>
      <c r="AA630" s="0" t="s">
        <v>2442</v>
      </c>
      <c r="AC630" s="0" t="s">
        <v>2443</v>
      </c>
    </row>
    <row r="631" customFormat="false" ht="15" hidden="false" customHeight="false" outlineLevel="0" collapsed="false">
      <c r="A631" s="0" t="s">
        <v>2471</v>
      </c>
      <c r="B631" s="0" t="s">
        <v>138</v>
      </c>
      <c r="C631" s="0" t="s">
        <v>2105</v>
      </c>
      <c r="D631" s="0" t="n">
        <v>2018</v>
      </c>
      <c r="E631" s="0" t="s">
        <v>59</v>
      </c>
      <c r="F631" s="0" t="n">
        <v>1334921</v>
      </c>
      <c r="G631" s="0" t="s">
        <v>1681</v>
      </c>
      <c r="H631" s="0" t="s">
        <v>1648</v>
      </c>
      <c r="I631" s="0" t="n">
        <v>1334921</v>
      </c>
      <c r="J631" s="0" t="s">
        <v>2439</v>
      </c>
      <c r="L631" s="0" t="n">
        <v>2018</v>
      </c>
      <c r="M631" s="0" t="s">
        <v>1551</v>
      </c>
      <c r="N631" s="0" t="s">
        <v>142</v>
      </c>
      <c r="Q631" s="0" t="n">
        <v>66</v>
      </c>
      <c r="R631" s="0" t="n">
        <v>64</v>
      </c>
      <c r="U631" s="0" t="s">
        <v>145</v>
      </c>
      <c r="V631" s="0" t="s">
        <v>145</v>
      </c>
      <c r="Y631" s="0" t="s">
        <v>1651</v>
      </c>
      <c r="Z631" s="0" t="s">
        <v>1652</v>
      </c>
      <c r="AA631" s="0" t="s">
        <v>2449</v>
      </c>
      <c r="AC631" s="0" t="s">
        <v>2443</v>
      </c>
    </row>
    <row r="632" customFormat="false" ht="15" hidden="false" customHeight="false" outlineLevel="0" collapsed="false">
      <c r="A632" s="0" t="s">
        <v>2472</v>
      </c>
      <c r="B632" s="0" t="s">
        <v>138</v>
      </c>
      <c r="C632" s="0" t="s">
        <v>2105</v>
      </c>
      <c r="D632" s="0" t="n">
        <v>2018</v>
      </c>
      <c r="E632" s="0" t="s">
        <v>60</v>
      </c>
      <c r="F632" s="0" t="n">
        <v>473396</v>
      </c>
      <c r="G632" s="0" t="s">
        <v>1681</v>
      </c>
      <c r="H632" s="0" t="s">
        <v>1648</v>
      </c>
      <c r="I632" s="0" t="n">
        <v>473396</v>
      </c>
      <c r="J632" s="0" t="s">
        <v>2439</v>
      </c>
      <c r="L632" s="0" t="n">
        <v>2018</v>
      </c>
      <c r="M632" s="0" t="s">
        <v>1551</v>
      </c>
      <c r="N632" s="0" t="s">
        <v>142</v>
      </c>
      <c r="Q632" s="0" t="n">
        <v>149</v>
      </c>
      <c r="R632" s="0" t="n">
        <v>149</v>
      </c>
      <c r="U632" s="0" t="s">
        <v>145</v>
      </c>
      <c r="V632" s="0" t="s">
        <v>145</v>
      </c>
      <c r="Y632" s="0" t="s">
        <v>1651</v>
      </c>
      <c r="Z632" s="0" t="s">
        <v>1652</v>
      </c>
      <c r="AA632" s="0" t="s">
        <v>2473</v>
      </c>
      <c r="AC632" s="0" t="s">
        <v>2443</v>
      </c>
    </row>
    <row r="633" customFormat="false" ht="15" hidden="false" customHeight="false" outlineLevel="0" collapsed="false">
      <c r="A633" s="0" t="s">
        <v>2474</v>
      </c>
      <c r="B633" s="0" t="s">
        <v>138</v>
      </c>
      <c r="C633" s="0" t="s">
        <v>2105</v>
      </c>
      <c r="D633" s="0" t="n">
        <v>2018</v>
      </c>
      <c r="E633" s="0" t="s">
        <v>61</v>
      </c>
      <c r="F633" s="0" t="n">
        <v>45359</v>
      </c>
      <c r="G633" s="0" t="s">
        <v>1681</v>
      </c>
      <c r="H633" s="0" t="s">
        <v>1648</v>
      </c>
      <c r="I633" s="0" t="n">
        <v>45359</v>
      </c>
      <c r="J633" s="0" t="s">
        <v>2439</v>
      </c>
      <c r="L633" s="0" t="n">
        <v>2018</v>
      </c>
      <c r="M633" s="0" t="s">
        <v>1551</v>
      </c>
      <c r="N633" s="0" t="s">
        <v>142</v>
      </c>
      <c r="Q633" s="0" t="n">
        <v>149</v>
      </c>
      <c r="R633" s="0" t="n">
        <v>149</v>
      </c>
      <c r="U633" s="0" t="s">
        <v>145</v>
      </c>
      <c r="V633" s="0" t="s">
        <v>145</v>
      </c>
      <c r="Y633" s="0" t="s">
        <v>1651</v>
      </c>
      <c r="Z633" s="0" t="s">
        <v>1652</v>
      </c>
      <c r="AA633" s="0" t="s">
        <v>2473</v>
      </c>
      <c r="AC633" s="0" t="s">
        <v>2443</v>
      </c>
    </row>
    <row r="634" customFormat="false" ht="15" hidden="false" customHeight="false" outlineLevel="0" collapsed="false">
      <c r="A634" s="0" t="s">
        <v>2475</v>
      </c>
      <c r="B634" s="0" t="s">
        <v>138</v>
      </c>
      <c r="C634" s="0" t="s">
        <v>2105</v>
      </c>
      <c r="D634" s="0" t="n">
        <v>2018</v>
      </c>
      <c r="E634" s="0" t="s">
        <v>62</v>
      </c>
      <c r="F634" s="0" t="n">
        <v>428037</v>
      </c>
      <c r="G634" s="0" t="s">
        <v>1681</v>
      </c>
      <c r="H634" s="0" t="s">
        <v>1648</v>
      </c>
      <c r="I634" s="0" t="n">
        <v>428037</v>
      </c>
      <c r="J634" s="0" t="s">
        <v>2439</v>
      </c>
      <c r="L634" s="0" t="n">
        <v>2018</v>
      </c>
      <c r="M634" s="0" t="s">
        <v>1551</v>
      </c>
      <c r="N634" s="0" t="s">
        <v>142</v>
      </c>
      <c r="Q634" s="0" t="n">
        <v>149</v>
      </c>
      <c r="R634" s="0" t="n">
        <v>149</v>
      </c>
      <c r="U634" s="0" t="s">
        <v>145</v>
      </c>
      <c r="V634" s="0" t="s">
        <v>145</v>
      </c>
      <c r="Y634" s="0" t="s">
        <v>1651</v>
      </c>
      <c r="Z634" s="0" t="s">
        <v>1652</v>
      </c>
      <c r="AA634" s="0" t="s">
        <v>2442</v>
      </c>
      <c r="AC634" s="0" t="s">
        <v>2443</v>
      </c>
    </row>
    <row r="635" customFormat="false" ht="15" hidden="false" customHeight="false" outlineLevel="0" collapsed="false">
      <c r="A635" s="0" t="s">
        <v>2476</v>
      </c>
      <c r="B635" s="0" t="s">
        <v>138</v>
      </c>
      <c r="C635" s="0" t="s">
        <v>2105</v>
      </c>
      <c r="D635" s="0" t="n">
        <v>2018</v>
      </c>
      <c r="E635" s="0" t="s">
        <v>402</v>
      </c>
      <c r="F635" s="0" t="n">
        <v>18660</v>
      </c>
      <c r="G635" s="0" t="s">
        <v>1681</v>
      </c>
      <c r="H635" s="0" t="s">
        <v>1648</v>
      </c>
      <c r="I635" s="0" t="n">
        <v>18660</v>
      </c>
      <c r="J635" s="0" t="s">
        <v>2439</v>
      </c>
      <c r="L635" s="0" t="n">
        <v>2018</v>
      </c>
      <c r="M635" s="0" t="s">
        <v>1551</v>
      </c>
      <c r="N635" s="0" t="s">
        <v>142</v>
      </c>
      <c r="Q635" s="0" t="s">
        <v>2440</v>
      </c>
      <c r="R635" s="0" t="s">
        <v>2441</v>
      </c>
      <c r="U635" s="0" t="s">
        <v>145</v>
      </c>
      <c r="V635" s="0" t="s">
        <v>145</v>
      </c>
      <c r="Y635" s="0" t="s">
        <v>1651</v>
      </c>
      <c r="Z635" s="0" t="s">
        <v>1652</v>
      </c>
      <c r="AA635" s="0" t="s">
        <v>2442</v>
      </c>
      <c r="AC635" s="0" t="s">
        <v>2443</v>
      </c>
    </row>
    <row r="636" customFormat="false" ht="15" hidden="false" customHeight="false" outlineLevel="0" collapsed="false">
      <c r="A636" s="0" t="s">
        <v>2477</v>
      </c>
      <c r="B636" s="0" t="s">
        <v>138</v>
      </c>
      <c r="C636" s="0" t="s">
        <v>2105</v>
      </c>
      <c r="D636" s="0" t="n">
        <v>2018</v>
      </c>
      <c r="E636" s="0" t="s">
        <v>670</v>
      </c>
      <c r="F636" s="0" t="n">
        <v>140066</v>
      </c>
      <c r="G636" s="0" t="s">
        <v>1681</v>
      </c>
      <c r="H636" s="0" t="s">
        <v>1648</v>
      </c>
      <c r="I636" s="0" t="n">
        <v>140066</v>
      </c>
      <c r="J636" s="0" t="s">
        <v>2439</v>
      </c>
      <c r="L636" s="0" t="n">
        <v>2018</v>
      </c>
      <c r="M636" s="0" t="s">
        <v>1551</v>
      </c>
      <c r="N636" s="0" t="s">
        <v>142</v>
      </c>
      <c r="Q636" s="0" t="s">
        <v>2440</v>
      </c>
      <c r="R636" s="0" t="s">
        <v>2441</v>
      </c>
      <c r="U636" s="0" t="s">
        <v>145</v>
      </c>
      <c r="V636" s="0" t="s">
        <v>145</v>
      </c>
      <c r="Y636" s="0" t="s">
        <v>1651</v>
      </c>
      <c r="Z636" s="0" t="s">
        <v>1652</v>
      </c>
      <c r="AA636" s="0" t="s">
        <v>2442</v>
      </c>
      <c r="AC636" s="0" t="s">
        <v>2443</v>
      </c>
    </row>
    <row r="637" customFormat="false" ht="15" hidden="false" customHeight="false" outlineLevel="0" collapsed="false">
      <c r="A637" s="0" t="s">
        <v>2478</v>
      </c>
      <c r="B637" s="0" t="s">
        <v>138</v>
      </c>
      <c r="C637" s="0" t="s">
        <v>2105</v>
      </c>
      <c r="D637" s="0" t="n">
        <v>2018</v>
      </c>
      <c r="E637" s="0" t="s">
        <v>63</v>
      </c>
      <c r="F637" s="0" t="n">
        <v>-3515</v>
      </c>
      <c r="G637" s="0" t="s">
        <v>1681</v>
      </c>
      <c r="H637" s="0" t="s">
        <v>1648</v>
      </c>
      <c r="I637" s="0" t="n">
        <v>-3515</v>
      </c>
      <c r="J637" s="0" t="s">
        <v>2439</v>
      </c>
      <c r="L637" s="0" t="n">
        <v>2018</v>
      </c>
      <c r="M637" s="0" t="s">
        <v>1551</v>
      </c>
      <c r="N637" s="0" t="s">
        <v>142</v>
      </c>
      <c r="Q637" s="0" t="s">
        <v>2440</v>
      </c>
      <c r="R637" s="0" t="s">
        <v>2441</v>
      </c>
      <c r="U637" s="0" t="s">
        <v>145</v>
      </c>
      <c r="V637" s="0" t="s">
        <v>145</v>
      </c>
      <c r="Y637" s="0" t="s">
        <v>1651</v>
      </c>
      <c r="Z637" s="0" t="s">
        <v>1652</v>
      </c>
      <c r="AA637" s="0" t="s">
        <v>2456</v>
      </c>
      <c r="AC637" s="0" t="s">
        <v>2443</v>
      </c>
    </row>
    <row r="638" customFormat="false" ht="15" hidden="false" customHeight="false" outlineLevel="0" collapsed="false">
      <c r="A638" s="0" t="s">
        <v>2479</v>
      </c>
      <c r="B638" s="0" t="s">
        <v>138</v>
      </c>
      <c r="C638" s="0" t="s">
        <v>2105</v>
      </c>
      <c r="D638" s="0" t="n">
        <v>2018</v>
      </c>
      <c r="E638" s="0" t="s">
        <v>710</v>
      </c>
      <c r="F638" s="0" t="n">
        <v>-3897</v>
      </c>
      <c r="G638" s="0" t="s">
        <v>1681</v>
      </c>
      <c r="H638" s="0" t="s">
        <v>1648</v>
      </c>
      <c r="I638" s="0" t="n">
        <v>-3897</v>
      </c>
      <c r="J638" s="0" t="s">
        <v>2439</v>
      </c>
      <c r="L638" s="0" t="n">
        <v>2018</v>
      </c>
      <c r="M638" s="0" t="s">
        <v>1551</v>
      </c>
      <c r="N638" s="0" t="s">
        <v>142</v>
      </c>
      <c r="Q638" s="0" t="s">
        <v>2440</v>
      </c>
      <c r="R638" s="0" t="s">
        <v>2441</v>
      </c>
      <c r="U638" s="0" t="s">
        <v>145</v>
      </c>
      <c r="V638" s="0" t="s">
        <v>145</v>
      </c>
      <c r="Y638" s="0" t="s">
        <v>1651</v>
      </c>
      <c r="Z638" s="0" t="s">
        <v>1652</v>
      </c>
      <c r="AA638" s="0" t="s">
        <v>2442</v>
      </c>
      <c r="AC638" s="0" t="s">
        <v>2443</v>
      </c>
    </row>
    <row r="639" customFormat="false" ht="15" hidden="false" customHeight="false" outlineLevel="0" collapsed="false">
      <c r="A639" s="0" t="s">
        <v>2480</v>
      </c>
      <c r="B639" s="0" t="s">
        <v>138</v>
      </c>
      <c r="C639" s="0" t="s">
        <v>2105</v>
      </c>
      <c r="D639" s="0" t="n">
        <v>2018</v>
      </c>
      <c r="E639" s="0" t="s">
        <v>557</v>
      </c>
      <c r="F639" s="0" t="n">
        <v>382</v>
      </c>
      <c r="G639" s="0" t="s">
        <v>1681</v>
      </c>
      <c r="H639" s="0" t="s">
        <v>1648</v>
      </c>
      <c r="I639" s="0" t="n">
        <v>382</v>
      </c>
      <c r="J639" s="0" t="s">
        <v>2439</v>
      </c>
      <c r="L639" s="0" t="n">
        <v>2018</v>
      </c>
      <c r="M639" s="0" t="s">
        <v>1551</v>
      </c>
      <c r="N639" s="0" t="s">
        <v>142</v>
      </c>
      <c r="Q639" s="0" t="s">
        <v>2440</v>
      </c>
      <c r="R639" s="0" t="s">
        <v>2441</v>
      </c>
      <c r="U639" s="0" t="s">
        <v>145</v>
      </c>
      <c r="V639" s="0" t="s">
        <v>145</v>
      </c>
      <c r="Y639" s="0" t="s">
        <v>1651</v>
      </c>
      <c r="Z639" s="0" t="s">
        <v>1652</v>
      </c>
      <c r="AA639" s="0" t="s">
        <v>2442</v>
      </c>
      <c r="AC639" s="0" t="s">
        <v>2443</v>
      </c>
    </row>
    <row r="640" customFormat="false" ht="15" hidden="false" customHeight="false" outlineLevel="0" collapsed="false">
      <c r="A640" s="0" t="s">
        <v>2481</v>
      </c>
      <c r="B640" s="0" t="s">
        <v>138</v>
      </c>
      <c r="C640" s="0" t="s">
        <v>2105</v>
      </c>
      <c r="D640" s="0" t="n">
        <v>2018</v>
      </c>
      <c r="E640" s="0" t="s">
        <v>247</v>
      </c>
      <c r="F640" s="0" t="n">
        <v>-3732</v>
      </c>
      <c r="G640" s="0" t="s">
        <v>1681</v>
      </c>
      <c r="H640" s="0" t="s">
        <v>1648</v>
      </c>
      <c r="I640" s="0" t="n">
        <v>-3732</v>
      </c>
      <c r="J640" s="0" t="s">
        <v>2439</v>
      </c>
      <c r="L640" s="0" t="n">
        <v>2018</v>
      </c>
      <c r="M640" s="0" t="s">
        <v>1551</v>
      </c>
      <c r="N640" s="0" t="s">
        <v>142</v>
      </c>
      <c r="Q640" s="0" t="n">
        <v>149</v>
      </c>
      <c r="R640" s="0" t="n">
        <v>149</v>
      </c>
      <c r="U640" s="0" t="s">
        <v>145</v>
      </c>
      <c r="V640" s="0" t="s">
        <v>145</v>
      </c>
      <c r="Y640" s="0" t="s">
        <v>1651</v>
      </c>
      <c r="Z640" s="0" t="s">
        <v>1652</v>
      </c>
      <c r="AA640" s="0" t="s">
        <v>2442</v>
      </c>
      <c r="AC640" s="0" t="s">
        <v>2443</v>
      </c>
    </row>
    <row r="641" customFormat="false" ht="15" hidden="false" customHeight="false" outlineLevel="0" collapsed="false">
      <c r="A641" s="0" t="s">
        <v>2482</v>
      </c>
      <c r="B641" s="0" t="s">
        <v>138</v>
      </c>
      <c r="C641" s="0" t="s">
        <v>2105</v>
      </c>
      <c r="D641" s="0" t="n">
        <v>2018</v>
      </c>
      <c r="E641" s="0" t="s">
        <v>69</v>
      </c>
      <c r="F641" s="0" t="n">
        <v>11.5</v>
      </c>
      <c r="G641" s="0" t="s">
        <v>1723</v>
      </c>
      <c r="I641" s="0" t="n">
        <v>11.5</v>
      </c>
      <c r="J641" s="0" t="s">
        <v>2439</v>
      </c>
      <c r="L641" s="0" t="n">
        <v>2018</v>
      </c>
      <c r="M641" s="0" t="s">
        <v>1551</v>
      </c>
      <c r="N641" s="0" t="s">
        <v>142</v>
      </c>
      <c r="Q641" s="0" t="n">
        <v>127</v>
      </c>
      <c r="R641" s="0" t="n">
        <v>127</v>
      </c>
      <c r="U641" s="0" t="s">
        <v>145</v>
      </c>
      <c r="V641" s="0" t="s">
        <v>145</v>
      </c>
      <c r="Y641" s="0" t="s">
        <v>1651</v>
      </c>
      <c r="Z641" s="0" t="s">
        <v>1652</v>
      </c>
      <c r="AA641" s="0" t="s">
        <v>2483</v>
      </c>
      <c r="AC641" s="0" t="s">
        <v>2443</v>
      </c>
    </row>
    <row r="642" customFormat="false" ht="15" hidden="false" customHeight="false" outlineLevel="0" collapsed="false">
      <c r="A642" s="0" t="s">
        <v>2484</v>
      </c>
      <c r="B642" s="0" t="s">
        <v>138</v>
      </c>
      <c r="C642" s="0" t="s">
        <v>2105</v>
      </c>
      <c r="D642" s="0" t="n">
        <v>2018</v>
      </c>
      <c r="E642" s="0" t="s">
        <v>65</v>
      </c>
      <c r="F642" s="0" t="n">
        <v>88017</v>
      </c>
      <c r="G642" s="0" t="s">
        <v>1681</v>
      </c>
      <c r="H642" s="0" t="s">
        <v>1648</v>
      </c>
      <c r="I642" s="0" t="n">
        <v>88017</v>
      </c>
      <c r="J642" s="0" t="s">
        <v>2439</v>
      </c>
      <c r="L642" s="0" t="n">
        <v>2018</v>
      </c>
      <c r="M642" s="0" t="s">
        <v>1551</v>
      </c>
      <c r="N642" s="0" t="s">
        <v>142</v>
      </c>
      <c r="Q642" s="0" t="n">
        <v>127</v>
      </c>
      <c r="R642" s="0" t="n">
        <v>127</v>
      </c>
      <c r="U642" s="0" t="s">
        <v>145</v>
      </c>
      <c r="V642" s="0" t="s">
        <v>145</v>
      </c>
      <c r="Y642" s="0" t="s">
        <v>1651</v>
      </c>
      <c r="Z642" s="0" t="s">
        <v>1652</v>
      </c>
      <c r="AA642" s="0" t="s">
        <v>2442</v>
      </c>
      <c r="AC642" s="0" t="s">
        <v>2443</v>
      </c>
    </row>
    <row r="643" customFormat="false" ht="15" hidden="false" customHeight="false" outlineLevel="0" collapsed="false">
      <c r="A643" s="0" t="s">
        <v>2485</v>
      </c>
      <c r="B643" s="0" t="s">
        <v>138</v>
      </c>
      <c r="C643" s="0" t="s">
        <v>2105</v>
      </c>
      <c r="D643" s="0" t="n">
        <v>2018</v>
      </c>
      <c r="E643" s="0" t="s">
        <v>66</v>
      </c>
      <c r="F643" s="0" t="n">
        <v>767770</v>
      </c>
      <c r="G643" s="0" t="s">
        <v>1681</v>
      </c>
      <c r="H643" s="0" t="s">
        <v>1648</v>
      </c>
      <c r="I643" s="0" t="n">
        <v>767770</v>
      </c>
      <c r="J643" s="0" t="s">
        <v>2439</v>
      </c>
      <c r="L643" s="0" t="n">
        <v>2018</v>
      </c>
      <c r="M643" s="0" t="s">
        <v>1551</v>
      </c>
      <c r="N643" s="0" t="s">
        <v>142</v>
      </c>
      <c r="Q643" s="0" t="n">
        <v>127</v>
      </c>
      <c r="R643" s="0" t="n">
        <v>127</v>
      </c>
      <c r="U643" s="0" t="s">
        <v>145</v>
      </c>
      <c r="V643" s="0" t="s">
        <v>145</v>
      </c>
      <c r="Y643" s="0" t="s">
        <v>1651</v>
      </c>
      <c r="Z643" s="0" t="s">
        <v>1652</v>
      </c>
      <c r="AA643" s="0" t="s">
        <v>2442</v>
      </c>
      <c r="AC643" s="0" t="s">
        <v>2443</v>
      </c>
    </row>
    <row r="644" customFormat="false" ht="15" hidden="false" customHeight="false" outlineLevel="0" collapsed="false">
      <c r="A644" s="0" t="s">
        <v>2486</v>
      </c>
      <c r="B644" s="0" t="s">
        <v>138</v>
      </c>
      <c r="C644" s="0" t="s">
        <v>2105</v>
      </c>
      <c r="D644" s="0" t="n">
        <v>2018</v>
      </c>
      <c r="E644" s="0" t="s">
        <v>591</v>
      </c>
      <c r="F644" s="0" t="n">
        <v>16.4</v>
      </c>
      <c r="G644" s="0" t="s">
        <v>1723</v>
      </c>
      <c r="I644" s="0" t="n">
        <v>16.4</v>
      </c>
      <c r="J644" s="0" t="s">
        <v>2439</v>
      </c>
      <c r="L644" s="0" t="n">
        <v>2018</v>
      </c>
      <c r="M644" s="0" t="s">
        <v>1551</v>
      </c>
      <c r="N644" s="0" t="s">
        <v>142</v>
      </c>
      <c r="Q644" s="0" t="n">
        <v>127</v>
      </c>
      <c r="R644" s="0" t="n">
        <v>127</v>
      </c>
      <c r="U644" s="0" t="s">
        <v>145</v>
      </c>
      <c r="V644" s="0" t="s">
        <v>145</v>
      </c>
      <c r="Y644" s="0" t="s">
        <v>1651</v>
      </c>
      <c r="Z644" s="0" t="s">
        <v>1652</v>
      </c>
      <c r="AA644" s="0" t="s">
        <v>2442</v>
      </c>
      <c r="AC644" s="0" t="s">
        <v>2443</v>
      </c>
    </row>
    <row r="645" customFormat="false" ht="15" hidden="false" customHeight="false" outlineLevel="0" collapsed="false">
      <c r="A645" s="0" t="s">
        <v>2487</v>
      </c>
      <c r="B645" s="0" t="s">
        <v>138</v>
      </c>
      <c r="C645" s="0" t="s">
        <v>2105</v>
      </c>
      <c r="D645" s="0" t="n">
        <v>2018</v>
      </c>
      <c r="E645" s="0" t="s">
        <v>595</v>
      </c>
      <c r="F645" s="0" t="n">
        <v>125859</v>
      </c>
      <c r="G645" s="0" t="s">
        <v>1681</v>
      </c>
      <c r="H645" s="0" t="s">
        <v>1648</v>
      </c>
      <c r="I645" s="0" t="n">
        <v>125859</v>
      </c>
      <c r="J645" s="0" t="s">
        <v>2439</v>
      </c>
      <c r="L645" s="0" t="n">
        <v>2018</v>
      </c>
      <c r="M645" s="0" t="s">
        <v>1551</v>
      </c>
      <c r="N645" s="0" t="s">
        <v>142</v>
      </c>
      <c r="Q645" s="0" t="n">
        <v>127</v>
      </c>
      <c r="R645" s="0" t="n">
        <v>127</v>
      </c>
      <c r="U645" s="0" t="s">
        <v>145</v>
      </c>
      <c r="V645" s="0" t="s">
        <v>145</v>
      </c>
      <c r="Y645" s="0" t="s">
        <v>1651</v>
      </c>
      <c r="Z645" s="0" t="s">
        <v>1652</v>
      </c>
      <c r="AA645" s="0" t="s">
        <v>2442</v>
      </c>
      <c r="AC645" s="0" t="s">
        <v>2443</v>
      </c>
    </row>
    <row r="646" customFormat="false" ht="15" hidden="false" customHeight="false" outlineLevel="0" collapsed="false">
      <c r="A646" s="0" t="s">
        <v>2488</v>
      </c>
      <c r="B646" s="0" t="s">
        <v>138</v>
      </c>
      <c r="C646" s="0" t="s">
        <v>2105</v>
      </c>
      <c r="D646" s="0" t="n">
        <v>2018</v>
      </c>
      <c r="E646" s="0" t="s">
        <v>711</v>
      </c>
      <c r="F646" s="0" t="n">
        <v>37842</v>
      </c>
      <c r="G646" s="0" t="s">
        <v>1681</v>
      </c>
      <c r="H646" s="0" t="s">
        <v>1648</v>
      </c>
      <c r="I646" s="0" t="n">
        <v>37842</v>
      </c>
      <c r="J646" s="0" t="s">
        <v>2439</v>
      </c>
      <c r="L646" s="0" t="n">
        <v>2018</v>
      </c>
      <c r="M646" s="0" t="s">
        <v>1551</v>
      </c>
      <c r="N646" s="0" t="s">
        <v>142</v>
      </c>
      <c r="Q646" s="0" t="n">
        <v>127</v>
      </c>
      <c r="R646" s="0" t="n">
        <v>127</v>
      </c>
      <c r="U646" s="0" t="s">
        <v>145</v>
      </c>
      <c r="V646" s="0" t="s">
        <v>145</v>
      </c>
      <c r="Y646" s="0" t="s">
        <v>1651</v>
      </c>
      <c r="Z646" s="0" t="s">
        <v>1652</v>
      </c>
      <c r="AA646" s="0" t="s">
        <v>2442</v>
      </c>
      <c r="AC646" s="0" t="s">
        <v>2443</v>
      </c>
    </row>
    <row r="647" customFormat="false" ht="15" hidden="false" customHeight="false" outlineLevel="0" collapsed="false">
      <c r="A647" s="0" t="s">
        <v>2489</v>
      </c>
      <c r="B647" s="0" t="s">
        <v>138</v>
      </c>
      <c r="C647" s="0" t="s">
        <v>2105</v>
      </c>
      <c r="D647" s="0" t="n">
        <v>2018</v>
      </c>
      <c r="E647" s="0" t="s">
        <v>70</v>
      </c>
      <c r="F647" s="0" t="n">
        <v>15</v>
      </c>
      <c r="G647" s="0" t="s">
        <v>1723</v>
      </c>
      <c r="I647" s="0" t="n">
        <v>15</v>
      </c>
      <c r="J647" s="0" t="s">
        <v>2439</v>
      </c>
      <c r="L647" s="0" t="n">
        <v>2018</v>
      </c>
      <c r="M647" s="0" t="s">
        <v>1551</v>
      </c>
      <c r="N647" s="0" t="s">
        <v>142</v>
      </c>
      <c r="Q647" s="0" t="n">
        <v>127</v>
      </c>
      <c r="R647" s="0" t="n">
        <v>127</v>
      </c>
      <c r="U647" s="0" t="s">
        <v>145</v>
      </c>
      <c r="V647" s="0" t="s">
        <v>145</v>
      </c>
      <c r="Y647" s="0" t="s">
        <v>1651</v>
      </c>
      <c r="Z647" s="0" t="s">
        <v>1652</v>
      </c>
      <c r="AA647" s="0" t="s">
        <v>2442</v>
      </c>
      <c r="AC647" s="0" t="s">
        <v>2443</v>
      </c>
    </row>
    <row r="648" customFormat="false" ht="15" hidden="false" customHeight="false" outlineLevel="0" collapsed="false">
      <c r="A648" s="0" t="s">
        <v>2490</v>
      </c>
      <c r="B648" s="0" t="s">
        <v>138</v>
      </c>
      <c r="C648" s="0" t="s">
        <v>2105</v>
      </c>
      <c r="D648" s="0" t="n">
        <v>2018</v>
      </c>
      <c r="E648" s="0" t="s">
        <v>64</v>
      </c>
      <c r="F648" s="0" t="n">
        <v>38496</v>
      </c>
      <c r="G648" s="0" t="s">
        <v>1681</v>
      </c>
      <c r="H648" s="0" t="s">
        <v>1648</v>
      </c>
      <c r="I648" s="0" t="n">
        <v>38496</v>
      </c>
      <c r="J648" s="0" t="s">
        <v>2439</v>
      </c>
      <c r="L648" s="0" t="n">
        <v>2018</v>
      </c>
      <c r="M648" s="0" t="s">
        <v>1551</v>
      </c>
      <c r="N648" s="0" t="s">
        <v>142</v>
      </c>
      <c r="Q648" s="0" t="n">
        <v>103</v>
      </c>
      <c r="R648" s="0" t="n">
        <v>103</v>
      </c>
      <c r="U648" s="0" t="s">
        <v>145</v>
      </c>
      <c r="V648" s="0" t="s">
        <v>145</v>
      </c>
      <c r="Y648" s="0" t="s">
        <v>1651</v>
      </c>
      <c r="Z648" s="0" t="s">
        <v>1652</v>
      </c>
      <c r="AA648" s="0" t="s">
        <v>2442</v>
      </c>
      <c r="AC648" s="0" t="s">
        <v>2443</v>
      </c>
    </row>
    <row r="649" customFormat="false" ht="15" hidden="false" customHeight="false" outlineLevel="0" collapsed="false">
      <c r="A649" s="0" t="s">
        <v>2491</v>
      </c>
      <c r="B649" s="0" t="s">
        <v>138</v>
      </c>
      <c r="C649" s="0" t="s">
        <v>2105</v>
      </c>
      <c r="D649" s="0" t="n">
        <v>2018</v>
      </c>
      <c r="E649" s="0" t="s">
        <v>67</v>
      </c>
      <c r="F649" s="0" t="n">
        <v>123328</v>
      </c>
      <c r="G649" s="0" t="s">
        <v>1681</v>
      </c>
      <c r="H649" s="0" t="s">
        <v>1648</v>
      </c>
      <c r="I649" s="0" t="n">
        <v>123328</v>
      </c>
      <c r="J649" s="0" t="s">
        <v>2439</v>
      </c>
      <c r="L649" s="0" t="n">
        <v>2018</v>
      </c>
      <c r="M649" s="0" t="s">
        <v>1551</v>
      </c>
      <c r="N649" s="0" t="s">
        <v>142</v>
      </c>
      <c r="Q649" s="0" t="n">
        <v>149</v>
      </c>
      <c r="R649" s="0" t="n">
        <v>149</v>
      </c>
      <c r="U649" s="0" t="s">
        <v>145</v>
      </c>
      <c r="V649" s="0" t="s">
        <v>145</v>
      </c>
      <c r="Y649" s="0" t="s">
        <v>1651</v>
      </c>
      <c r="Z649" s="0" t="s">
        <v>1652</v>
      </c>
      <c r="AA649" s="0" t="s">
        <v>2442</v>
      </c>
      <c r="AC649" s="0" t="s">
        <v>2443</v>
      </c>
    </row>
    <row r="650" customFormat="false" ht="15" hidden="false" customHeight="false" outlineLevel="0" collapsed="false">
      <c r="A650" s="0" t="s">
        <v>2492</v>
      </c>
      <c r="B650" s="0" t="s">
        <v>138</v>
      </c>
      <c r="C650" s="0" t="s">
        <v>2105</v>
      </c>
      <c r="D650" s="0" t="n">
        <v>2018</v>
      </c>
      <c r="E650" s="0" t="s">
        <v>68</v>
      </c>
      <c r="F650" s="0" t="n">
        <v>30149</v>
      </c>
      <c r="G650" s="0" t="s">
        <v>1681</v>
      </c>
      <c r="H650" s="0" t="s">
        <v>1648</v>
      </c>
      <c r="I650" s="0" t="n">
        <v>30149</v>
      </c>
      <c r="J650" s="0" t="s">
        <v>2439</v>
      </c>
      <c r="L650" s="0" t="n">
        <v>2018</v>
      </c>
      <c r="M650" s="0" t="s">
        <v>1551</v>
      </c>
      <c r="N650" s="0" t="s">
        <v>142</v>
      </c>
      <c r="Q650" s="0" t="n">
        <v>149</v>
      </c>
      <c r="R650" s="0" t="n">
        <v>149</v>
      </c>
      <c r="U650" s="0" t="s">
        <v>145</v>
      </c>
      <c r="V650" s="0" t="s">
        <v>145</v>
      </c>
      <c r="Y650" s="0" t="s">
        <v>1651</v>
      </c>
      <c r="Z650" s="0" t="s">
        <v>1652</v>
      </c>
      <c r="AA650" s="0" t="s">
        <v>2442</v>
      </c>
      <c r="AC650" s="0" t="s">
        <v>2443</v>
      </c>
    </row>
    <row r="651" customFormat="false" ht="15" hidden="false" customHeight="false" outlineLevel="0" collapsed="false">
      <c r="A651" s="0" t="s">
        <v>2493</v>
      </c>
      <c r="B651" s="0" t="s">
        <v>138</v>
      </c>
      <c r="C651" s="0" t="s">
        <v>2105</v>
      </c>
      <c r="D651" s="0" t="n">
        <v>2018</v>
      </c>
      <c r="E651" s="0" t="s">
        <v>2494</v>
      </c>
      <c r="F651" s="0" t="n">
        <v>84832</v>
      </c>
      <c r="G651" s="0" t="s">
        <v>1681</v>
      </c>
      <c r="H651" s="0" t="s">
        <v>1648</v>
      </c>
      <c r="I651" s="0" t="n">
        <v>84832</v>
      </c>
      <c r="J651" s="0" t="s">
        <v>2439</v>
      </c>
      <c r="L651" s="0" t="n">
        <v>2018</v>
      </c>
      <c r="M651" s="0" t="s">
        <v>1551</v>
      </c>
      <c r="N651" s="0" t="s">
        <v>142</v>
      </c>
      <c r="Q651" s="0" t="n">
        <v>103</v>
      </c>
      <c r="R651" s="0" t="n">
        <v>103</v>
      </c>
      <c r="U651" s="0" t="s">
        <v>145</v>
      </c>
      <c r="V651" s="0" t="s">
        <v>145</v>
      </c>
      <c r="Y651" s="0" t="s">
        <v>1651</v>
      </c>
      <c r="Z651" s="0" t="s">
        <v>1652</v>
      </c>
      <c r="AA651" s="0" t="s">
        <v>2442</v>
      </c>
      <c r="AC651" s="0" t="s">
        <v>2443</v>
      </c>
    </row>
    <row r="652" customFormat="false" ht="15" hidden="false" customHeight="false" outlineLevel="0" collapsed="false">
      <c r="A652" s="0" t="s">
        <v>2495</v>
      </c>
      <c r="B652" s="0" t="s">
        <v>138</v>
      </c>
      <c r="C652" s="0" t="s">
        <v>2105</v>
      </c>
      <c r="D652" s="0" t="n">
        <v>2019</v>
      </c>
      <c r="E652" s="0" t="s">
        <v>54</v>
      </c>
      <c r="F652" s="0" t="n">
        <v>24375</v>
      </c>
      <c r="G652" s="0" t="s">
        <v>1681</v>
      </c>
      <c r="H652" s="0" t="s">
        <v>1648</v>
      </c>
      <c r="I652" s="0" t="n">
        <v>24375</v>
      </c>
      <c r="J652" s="0" t="s">
        <v>2439</v>
      </c>
      <c r="L652" s="0" t="n">
        <v>2020</v>
      </c>
      <c r="M652" s="0" t="s">
        <v>2496</v>
      </c>
      <c r="N652" s="0" t="s">
        <v>146</v>
      </c>
      <c r="Q652" s="0" t="n">
        <v>52</v>
      </c>
      <c r="R652" s="0" t="n">
        <v>50</v>
      </c>
      <c r="U652" s="0" t="s">
        <v>147</v>
      </c>
      <c r="V652" s="0" t="s">
        <v>147</v>
      </c>
      <c r="Y652" s="0" t="s">
        <v>1651</v>
      </c>
      <c r="Z652" s="0" t="s">
        <v>1652</v>
      </c>
      <c r="AA652" s="0" t="s">
        <v>2442</v>
      </c>
      <c r="AC652" s="0" t="s">
        <v>2443</v>
      </c>
    </row>
    <row r="653" customFormat="false" ht="15" hidden="false" customHeight="false" outlineLevel="0" collapsed="false">
      <c r="A653" s="0" t="s">
        <v>2497</v>
      </c>
      <c r="B653" s="0" t="s">
        <v>138</v>
      </c>
      <c r="C653" s="0" t="s">
        <v>2105</v>
      </c>
      <c r="D653" s="0" t="n">
        <v>2019</v>
      </c>
      <c r="E653" s="0" t="s">
        <v>55</v>
      </c>
      <c r="F653" s="0" t="n">
        <v>1711739</v>
      </c>
      <c r="G653" s="0" t="s">
        <v>1681</v>
      </c>
      <c r="H653" s="0" t="s">
        <v>1648</v>
      </c>
      <c r="I653" s="0" t="n">
        <v>1711739</v>
      </c>
      <c r="J653" s="0" t="s">
        <v>2439</v>
      </c>
      <c r="L653" s="0" t="n">
        <v>2020</v>
      </c>
      <c r="M653" s="0" t="s">
        <v>2496</v>
      </c>
      <c r="N653" s="0" t="s">
        <v>146</v>
      </c>
      <c r="Q653" s="0" t="n">
        <v>54</v>
      </c>
      <c r="R653" s="0" t="n">
        <v>52</v>
      </c>
      <c r="U653" s="0" t="s">
        <v>147</v>
      </c>
      <c r="V653" s="0" t="s">
        <v>147</v>
      </c>
      <c r="Y653" s="0" t="s">
        <v>1651</v>
      </c>
      <c r="Z653" s="0" t="s">
        <v>1652</v>
      </c>
      <c r="AA653" s="0" t="s">
        <v>2442</v>
      </c>
      <c r="AC653" s="0" t="s">
        <v>2443</v>
      </c>
    </row>
    <row r="654" customFormat="false" ht="15" hidden="false" customHeight="false" outlineLevel="0" collapsed="false">
      <c r="A654" s="0" t="s">
        <v>2498</v>
      </c>
      <c r="B654" s="0" t="s">
        <v>138</v>
      </c>
      <c r="C654" s="0" t="s">
        <v>2105</v>
      </c>
      <c r="D654" s="0" t="n">
        <v>2019</v>
      </c>
      <c r="E654" s="0" t="s">
        <v>56</v>
      </c>
      <c r="F654" s="0" t="n">
        <v>1480547</v>
      </c>
      <c r="G654" s="0" t="s">
        <v>1681</v>
      </c>
      <c r="H654" s="0" t="s">
        <v>1648</v>
      </c>
      <c r="I654" s="0" t="n">
        <v>1480547</v>
      </c>
      <c r="J654" s="0" t="s">
        <v>2439</v>
      </c>
      <c r="L654" s="0" t="n">
        <v>2020</v>
      </c>
      <c r="M654" s="0" t="s">
        <v>2496</v>
      </c>
      <c r="N654" s="0" t="s">
        <v>146</v>
      </c>
      <c r="Q654" s="0" t="n">
        <v>54</v>
      </c>
      <c r="R654" s="0" t="n">
        <v>52</v>
      </c>
      <c r="U654" s="0" t="s">
        <v>147</v>
      </c>
      <c r="V654" s="0" t="s">
        <v>147</v>
      </c>
      <c r="Y654" s="0" t="s">
        <v>1651</v>
      </c>
      <c r="Z654" s="0" t="s">
        <v>1652</v>
      </c>
      <c r="AA654" s="0" t="s">
        <v>2442</v>
      </c>
      <c r="AC654" s="0" t="s">
        <v>2443</v>
      </c>
    </row>
    <row r="655" customFormat="false" ht="15" hidden="false" customHeight="false" outlineLevel="0" collapsed="false">
      <c r="A655" s="0" t="s">
        <v>2499</v>
      </c>
      <c r="B655" s="0" t="s">
        <v>138</v>
      </c>
      <c r="C655" s="0" t="s">
        <v>2105</v>
      </c>
      <c r="D655" s="0" t="n">
        <v>2019</v>
      </c>
      <c r="E655" s="0" t="s">
        <v>57</v>
      </c>
      <c r="F655" s="0" t="n">
        <v>231192</v>
      </c>
      <c r="G655" s="0" t="s">
        <v>1681</v>
      </c>
      <c r="H655" s="0" t="s">
        <v>1648</v>
      </c>
      <c r="I655" s="0" t="n">
        <v>231192</v>
      </c>
      <c r="J655" s="0" t="s">
        <v>2439</v>
      </c>
      <c r="L655" s="0" t="n">
        <v>2020</v>
      </c>
      <c r="M655" s="0" t="s">
        <v>2496</v>
      </c>
      <c r="N655" s="0" t="s">
        <v>146</v>
      </c>
      <c r="Q655" s="0" t="n">
        <v>54</v>
      </c>
      <c r="R655" s="0" t="n">
        <v>52</v>
      </c>
      <c r="U655" s="0" t="s">
        <v>147</v>
      </c>
      <c r="V655" s="0" t="s">
        <v>147</v>
      </c>
      <c r="Y655" s="0" t="s">
        <v>1651</v>
      </c>
      <c r="Z655" s="0" t="s">
        <v>1652</v>
      </c>
      <c r="AA655" s="0" t="s">
        <v>2442</v>
      </c>
      <c r="AC655" s="0" t="s">
        <v>2443</v>
      </c>
    </row>
    <row r="656" customFormat="false" ht="15" hidden="false" customHeight="false" outlineLevel="0" collapsed="false">
      <c r="A656" s="0" t="s">
        <v>2500</v>
      </c>
      <c r="B656" s="0" t="s">
        <v>138</v>
      </c>
      <c r="C656" s="0" t="s">
        <v>2105</v>
      </c>
      <c r="D656" s="0" t="n">
        <v>2019</v>
      </c>
      <c r="E656" s="0" t="s">
        <v>58</v>
      </c>
      <c r="F656" s="0" t="n">
        <v>207318</v>
      </c>
      <c r="G656" s="0" t="s">
        <v>1681</v>
      </c>
      <c r="H656" s="0" t="s">
        <v>1648</v>
      </c>
      <c r="I656" s="0" t="n">
        <v>207318</v>
      </c>
      <c r="J656" s="0" t="s">
        <v>2439</v>
      </c>
      <c r="L656" s="0" t="n">
        <v>2020</v>
      </c>
      <c r="M656" s="0" t="s">
        <v>2496</v>
      </c>
      <c r="N656" s="0" t="s">
        <v>146</v>
      </c>
      <c r="Q656" s="0" t="n">
        <v>59</v>
      </c>
      <c r="R656" s="0" t="n">
        <v>57</v>
      </c>
      <c r="U656" s="0" t="s">
        <v>147</v>
      </c>
      <c r="V656" s="0" t="s">
        <v>147</v>
      </c>
      <c r="Y656" s="0" t="s">
        <v>1651</v>
      </c>
      <c r="Z656" s="0" t="s">
        <v>1652</v>
      </c>
      <c r="AA656" s="0" t="s">
        <v>2442</v>
      </c>
      <c r="AC656" s="0" t="s">
        <v>2443</v>
      </c>
    </row>
    <row r="657" customFormat="false" ht="15" hidden="false" customHeight="false" outlineLevel="0" collapsed="false">
      <c r="A657" s="0" t="s">
        <v>2501</v>
      </c>
      <c r="B657" s="0" t="s">
        <v>138</v>
      </c>
      <c r="C657" s="0" t="s">
        <v>2105</v>
      </c>
      <c r="D657" s="0" t="n">
        <v>2019</v>
      </c>
      <c r="E657" s="0" t="s">
        <v>59</v>
      </c>
      <c r="F657" s="0" t="n">
        <v>1324297</v>
      </c>
      <c r="G657" s="0" t="s">
        <v>1681</v>
      </c>
      <c r="H657" s="0" t="s">
        <v>1648</v>
      </c>
      <c r="I657" s="0" t="n">
        <v>1324297</v>
      </c>
      <c r="J657" s="0" t="s">
        <v>2439</v>
      </c>
      <c r="L657" s="0" t="n">
        <v>2018</v>
      </c>
      <c r="M657" s="0" t="s">
        <v>1551</v>
      </c>
      <c r="N657" s="0" t="s">
        <v>142</v>
      </c>
      <c r="Q657" s="0" t="n">
        <v>66</v>
      </c>
      <c r="R657" s="0" t="n">
        <v>64</v>
      </c>
      <c r="U657" s="0" t="s">
        <v>147</v>
      </c>
      <c r="V657" s="0" t="s">
        <v>147</v>
      </c>
      <c r="Y657" s="0" t="s">
        <v>1651</v>
      </c>
      <c r="Z657" s="0" t="s">
        <v>1652</v>
      </c>
      <c r="AA657" s="0" t="s">
        <v>2449</v>
      </c>
      <c r="AC657" s="0" t="s">
        <v>2443</v>
      </c>
    </row>
    <row r="658" customFormat="false" ht="15" hidden="false" customHeight="false" outlineLevel="0" collapsed="false">
      <c r="A658" s="0" t="s">
        <v>2502</v>
      </c>
      <c r="B658" s="0" t="s">
        <v>138</v>
      </c>
      <c r="C658" s="0" t="s">
        <v>2105</v>
      </c>
      <c r="D658" s="0" t="n">
        <v>2019</v>
      </c>
      <c r="E658" s="0" t="s">
        <v>60</v>
      </c>
      <c r="F658" s="0" t="n">
        <v>595298</v>
      </c>
      <c r="G658" s="0" t="s">
        <v>1681</v>
      </c>
      <c r="H658" s="0" t="s">
        <v>1648</v>
      </c>
      <c r="I658" s="0" t="n">
        <v>595298</v>
      </c>
      <c r="J658" s="0" t="s">
        <v>2439</v>
      </c>
      <c r="L658" s="0" t="n">
        <v>2020</v>
      </c>
      <c r="M658" s="0" t="s">
        <v>2496</v>
      </c>
      <c r="N658" s="0" t="s">
        <v>146</v>
      </c>
      <c r="Q658" s="0" t="s">
        <v>2503</v>
      </c>
      <c r="R658" s="0" t="s">
        <v>2504</v>
      </c>
      <c r="U658" s="0" t="s">
        <v>147</v>
      </c>
      <c r="V658" s="0" t="s">
        <v>147</v>
      </c>
      <c r="Y658" s="0" t="s">
        <v>1651</v>
      </c>
      <c r="Z658" s="0" t="s">
        <v>1652</v>
      </c>
      <c r="AA658" s="0" t="s">
        <v>2442</v>
      </c>
      <c r="AC658" s="0" t="s">
        <v>2443</v>
      </c>
    </row>
    <row r="659" customFormat="false" ht="15" hidden="false" customHeight="false" outlineLevel="0" collapsed="false">
      <c r="A659" s="0" t="s">
        <v>2505</v>
      </c>
      <c r="B659" s="0" t="s">
        <v>138</v>
      </c>
      <c r="C659" s="0" t="s">
        <v>2105</v>
      </c>
      <c r="D659" s="0" t="n">
        <v>2019</v>
      </c>
      <c r="E659" s="0" t="s">
        <v>61</v>
      </c>
      <c r="F659" s="0" t="n">
        <v>44685</v>
      </c>
      <c r="G659" s="0" t="s">
        <v>1681</v>
      </c>
      <c r="H659" s="0" t="s">
        <v>1648</v>
      </c>
      <c r="I659" s="0" t="n">
        <v>44685</v>
      </c>
      <c r="J659" s="0" t="s">
        <v>2439</v>
      </c>
      <c r="L659" s="0" t="n">
        <v>2020</v>
      </c>
      <c r="M659" s="0" t="s">
        <v>2496</v>
      </c>
      <c r="N659" s="0" t="s">
        <v>146</v>
      </c>
      <c r="Q659" s="0" t="s">
        <v>2503</v>
      </c>
      <c r="R659" s="0" t="s">
        <v>2504</v>
      </c>
      <c r="U659" s="0" t="s">
        <v>147</v>
      </c>
      <c r="V659" s="0" t="s">
        <v>147</v>
      </c>
      <c r="Y659" s="0" t="s">
        <v>1651</v>
      </c>
      <c r="Z659" s="0" t="s">
        <v>1652</v>
      </c>
      <c r="AA659" s="0" t="s">
        <v>2442</v>
      </c>
      <c r="AC659" s="0" t="s">
        <v>2443</v>
      </c>
    </row>
    <row r="660" customFormat="false" ht="15" hidden="false" customHeight="false" outlineLevel="0" collapsed="false">
      <c r="A660" s="0" t="s">
        <v>2506</v>
      </c>
      <c r="B660" s="0" t="s">
        <v>138</v>
      </c>
      <c r="C660" s="0" t="s">
        <v>2105</v>
      </c>
      <c r="D660" s="0" t="n">
        <v>2019</v>
      </c>
      <c r="E660" s="0" t="s">
        <v>62</v>
      </c>
      <c r="F660" s="0" t="n">
        <v>550613</v>
      </c>
      <c r="G660" s="0" t="s">
        <v>1681</v>
      </c>
      <c r="H660" s="0" t="s">
        <v>1648</v>
      </c>
      <c r="I660" s="0" t="n">
        <v>550613</v>
      </c>
      <c r="J660" s="0" t="s">
        <v>2439</v>
      </c>
      <c r="L660" s="0" t="n">
        <v>2020</v>
      </c>
      <c r="M660" s="0" t="s">
        <v>2496</v>
      </c>
      <c r="N660" s="0" t="s">
        <v>146</v>
      </c>
      <c r="Q660" s="0" t="s">
        <v>2503</v>
      </c>
      <c r="R660" s="0" t="s">
        <v>2504</v>
      </c>
      <c r="U660" s="0" t="s">
        <v>147</v>
      </c>
      <c r="V660" s="0" t="s">
        <v>147</v>
      </c>
      <c r="Y660" s="0" t="s">
        <v>1651</v>
      </c>
      <c r="Z660" s="0" t="s">
        <v>1652</v>
      </c>
      <c r="AA660" s="0" t="s">
        <v>2442</v>
      </c>
      <c r="AC660" s="0" t="s">
        <v>2443</v>
      </c>
    </row>
    <row r="661" customFormat="false" ht="15" hidden="false" customHeight="false" outlineLevel="0" collapsed="false">
      <c r="A661" s="0" t="s">
        <v>2507</v>
      </c>
      <c r="B661" s="0" t="s">
        <v>138</v>
      </c>
      <c r="C661" s="0" t="s">
        <v>2105</v>
      </c>
      <c r="D661" s="0" t="n">
        <v>2019</v>
      </c>
      <c r="E661" s="0" t="s">
        <v>402</v>
      </c>
      <c r="F661" s="0" t="n">
        <v>24746</v>
      </c>
      <c r="G661" s="0" t="s">
        <v>1681</v>
      </c>
      <c r="H661" s="0" t="s">
        <v>1648</v>
      </c>
      <c r="I661" s="0" t="n">
        <v>24746</v>
      </c>
      <c r="J661" s="0" t="s">
        <v>2439</v>
      </c>
      <c r="L661" s="0" t="n">
        <v>2020</v>
      </c>
      <c r="M661" s="0" t="s">
        <v>2496</v>
      </c>
      <c r="N661" s="0" t="s">
        <v>146</v>
      </c>
      <c r="Q661" s="0" t="n">
        <v>52</v>
      </c>
      <c r="R661" s="0" t="n">
        <v>50</v>
      </c>
      <c r="U661" s="0" t="s">
        <v>147</v>
      </c>
      <c r="V661" s="0" t="s">
        <v>147</v>
      </c>
      <c r="Y661" s="0" t="s">
        <v>1651</v>
      </c>
      <c r="Z661" s="0" t="s">
        <v>1652</v>
      </c>
      <c r="AA661" s="0" t="s">
        <v>2442</v>
      </c>
      <c r="AC661" s="0" t="s">
        <v>2443</v>
      </c>
    </row>
    <row r="662" customFormat="false" ht="15" hidden="false" customHeight="false" outlineLevel="0" collapsed="false">
      <c r="A662" s="0" t="s">
        <v>2508</v>
      </c>
      <c r="B662" s="0" t="s">
        <v>138</v>
      </c>
      <c r="C662" s="0" t="s">
        <v>2105</v>
      </c>
      <c r="D662" s="0" t="n">
        <v>2019</v>
      </c>
      <c r="E662" s="0" t="s">
        <v>670</v>
      </c>
      <c r="F662" s="0" t="n">
        <v>159861</v>
      </c>
      <c r="G662" s="0" t="s">
        <v>1681</v>
      </c>
      <c r="H662" s="0" t="s">
        <v>1648</v>
      </c>
      <c r="I662" s="0" t="n">
        <v>159861</v>
      </c>
      <c r="J662" s="0" t="s">
        <v>2439</v>
      </c>
      <c r="L662" s="0" t="n">
        <v>2020</v>
      </c>
      <c r="M662" s="0" t="s">
        <v>2496</v>
      </c>
      <c r="N662" s="0" t="s">
        <v>146</v>
      </c>
      <c r="Q662" s="0" t="n">
        <v>52</v>
      </c>
      <c r="R662" s="0" t="n">
        <v>50</v>
      </c>
      <c r="U662" s="0" t="s">
        <v>147</v>
      </c>
      <c r="V662" s="0" t="s">
        <v>147</v>
      </c>
      <c r="Y662" s="0" t="s">
        <v>1651</v>
      </c>
      <c r="Z662" s="0" t="s">
        <v>1652</v>
      </c>
      <c r="AA662" s="0" t="s">
        <v>2442</v>
      </c>
      <c r="AC662" s="0" t="s">
        <v>2443</v>
      </c>
    </row>
    <row r="663" customFormat="false" ht="15" hidden="false" customHeight="false" outlineLevel="0" collapsed="false">
      <c r="A663" s="0" t="s">
        <v>2509</v>
      </c>
      <c r="B663" s="0" t="s">
        <v>138</v>
      </c>
      <c r="C663" s="0" t="s">
        <v>2105</v>
      </c>
      <c r="D663" s="0" t="n">
        <v>2019</v>
      </c>
      <c r="E663" s="0" t="s">
        <v>63</v>
      </c>
      <c r="F663" s="0" t="n">
        <v>-504</v>
      </c>
      <c r="G663" s="0" t="s">
        <v>1681</v>
      </c>
      <c r="H663" s="0" t="s">
        <v>1648</v>
      </c>
      <c r="I663" s="0" t="n">
        <v>-504</v>
      </c>
      <c r="J663" s="0" t="s">
        <v>2439</v>
      </c>
      <c r="L663" s="0" t="n">
        <v>2020</v>
      </c>
      <c r="M663" s="0" t="s">
        <v>2496</v>
      </c>
      <c r="N663" s="0" t="s">
        <v>146</v>
      </c>
      <c r="Q663" s="0" t="n">
        <v>52</v>
      </c>
      <c r="R663" s="0" t="n">
        <v>50</v>
      </c>
      <c r="U663" s="0" t="s">
        <v>147</v>
      </c>
      <c r="V663" s="0" t="s">
        <v>147</v>
      </c>
      <c r="Y663" s="0" t="s">
        <v>1651</v>
      </c>
      <c r="Z663" s="0" t="s">
        <v>1652</v>
      </c>
      <c r="AA663" s="0" t="s">
        <v>2456</v>
      </c>
      <c r="AC663" s="0" t="s">
        <v>2443</v>
      </c>
    </row>
    <row r="664" customFormat="false" ht="15" hidden="false" customHeight="false" outlineLevel="0" collapsed="false">
      <c r="A664" s="0" t="s">
        <v>2510</v>
      </c>
      <c r="B664" s="0" t="s">
        <v>138</v>
      </c>
      <c r="C664" s="0" t="s">
        <v>2105</v>
      </c>
      <c r="D664" s="0" t="n">
        <v>2019</v>
      </c>
      <c r="E664" s="0" t="s">
        <v>710</v>
      </c>
      <c r="F664" s="0" t="n">
        <v>184</v>
      </c>
      <c r="G664" s="0" t="s">
        <v>1681</v>
      </c>
      <c r="H664" s="0" t="s">
        <v>1648</v>
      </c>
      <c r="I664" s="0" t="n">
        <v>184</v>
      </c>
      <c r="J664" s="0" t="s">
        <v>2439</v>
      </c>
      <c r="L664" s="0" t="n">
        <v>2020</v>
      </c>
      <c r="M664" s="0" t="s">
        <v>2496</v>
      </c>
      <c r="N664" s="0" t="s">
        <v>146</v>
      </c>
      <c r="Q664" s="0" t="n">
        <v>52</v>
      </c>
      <c r="R664" s="0" t="n">
        <v>50</v>
      </c>
      <c r="U664" s="0" t="s">
        <v>147</v>
      </c>
      <c r="V664" s="0" t="s">
        <v>147</v>
      </c>
      <c r="Y664" s="0" t="s">
        <v>1651</v>
      </c>
      <c r="Z664" s="0" t="s">
        <v>1652</v>
      </c>
      <c r="AA664" s="0" t="s">
        <v>2442</v>
      </c>
      <c r="AC664" s="0" t="s">
        <v>2443</v>
      </c>
    </row>
    <row r="665" customFormat="false" ht="15" hidden="false" customHeight="false" outlineLevel="0" collapsed="false">
      <c r="A665" s="0" t="s">
        <v>2511</v>
      </c>
      <c r="B665" s="0" t="s">
        <v>138</v>
      </c>
      <c r="C665" s="0" t="s">
        <v>2105</v>
      </c>
      <c r="D665" s="0" t="n">
        <v>2019</v>
      </c>
      <c r="E665" s="0" t="s">
        <v>557</v>
      </c>
      <c r="F665" s="0" t="n">
        <v>-688</v>
      </c>
      <c r="G665" s="0" t="s">
        <v>1681</v>
      </c>
      <c r="H665" s="0" t="s">
        <v>1648</v>
      </c>
      <c r="I665" s="0" t="n">
        <v>-688</v>
      </c>
      <c r="J665" s="0" t="s">
        <v>2439</v>
      </c>
      <c r="L665" s="0" t="n">
        <v>2020</v>
      </c>
      <c r="M665" s="0" t="s">
        <v>2496</v>
      </c>
      <c r="N665" s="0" t="s">
        <v>146</v>
      </c>
      <c r="Q665" s="0" t="n">
        <v>52</v>
      </c>
      <c r="R665" s="0" t="n">
        <v>50</v>
      </c>
      <c r="U665" s="0" t="s">
        <v>147</v>
      </c>
      <c r="V665" s="0" t="s">
        <v>147</v>
      </c>
      <c r="Y665" s="0" t="s">
        <v>1651</v>
      </c>
      <c r="Z665" s="0" t="s">
        <v>1652</v>
      </c>
      <c r="AA665" s="0" t="s">
        <v>2442</v>
      </c>
      <c r="AC665" s="0" t="s">
        <v>2443</v>
      </c>
    </row>
    <row r="666" customFormat="false" ht="15" hidden="false" customHeight="false" outlineLevel="0" collapsed="false">
      <c r="A666" s="0" t="s">
        <v>2512</v>
      </c>
      <c r="B666" s="0" t="s">
        <v>138</v>
      </c>
      <c r="C666" s="0" t="s">
        <v>2105</v>
      </c>
      <c r="D666" s="0" t="n">
        <v>2019</v>
      </c>
      <c r="E666" s="0" t="s">
        <v>69</v>
      </c>
      <c r="F666" s="0" t="n">
        <v>15.91</v>
      </c>
      <c r="G666" s="0" t="s">
        <v>1723</v>
      </c>
      <c r="I666" s="0" t="n">
        <v>15.91</v>
      </c>
      <c r="J666" s="0" t="s">
        <v>2439</v>
      </c>
      <c r="L666" s="0" t="n">
        <v>2020</v>
      </c>
      <c r="M666" s="0" t="s">
        <v>2496</v>
      </c>
      <c r="N666" s="0" t="s">
        <v>146</v>
      </c>
      <c r="Q666" s="0" t="s">
        <v>2513</v>
      </c>
      <c r="R666" s="0" t="s">
        <v>2514</v>
      </c>
      <c r="U666" s="0" t="s">
        <v>147</v>
      </c>
      <c r="V666" s="0" t="s">
        <v>147</v>
      </c>
      <c r="Y666" s="0" t="s">
        <v>1651</v>
      </c>
      <c r="Z666" s="0" t="s">
        <v>1652</v>
      </c>
      <c r="AA666" s="0" t="s">
        <v>2483</v>
      </c>
      <c r="AC666" s="0" t="s">
        <v>2443</v>
      </c>
    </row>
    <row r="667" customFormat="false" ht="15" hidden="false" customHeight="false" outlineLevel="0" collapsed="false">
      <c r="A667" s="0" t="s">
        <v>2515</v>
      </c>
      <c r="B667" s="0" t="s">
        <v>138</v>
      </c>
      <c r="C667" s="0" t="s">
        <v>2105</v>
      </c>
      <c r="D667" s="0" t="n">
        <v>2019</v>
      </c>
      <c r="E667" s="0" t="s">
        <v>65</v>
      </c>
      <c r="F667" s="0" t="n">
        <v>139997</v>
      </c>
      <c r="G667" s="0" t="s">
        <v>1681</v>
      </c>
      <c r="H667" s="0" t="s">
        <v>1648</v>
      </c>
      <c r="I667" s="0" t="n">
        <v>139997</v>
      </c>
      <c r="J667" s="0" t="s">
        <v>2439</v>
      </c>
      <c r="L667" s="0" t="n">
        <v>2020</v>
      </c>
      <c r="M667" s="0" t="s">
        <v>2496</v>
      </c>
      <c r="N667" s="0" t="s">
        <v>146</v>
      </c>
      <c r="Q667" s="0" t="s">
        <v>2513</v>
      </c>
      <c r="R667" s="0" t="s">
        <v>2514</v>
      </c>
      <c r="U667" s="0" t="s">
        <v>147</v>
      </c>
      <c r="V667" s="0" t="s">
        <v>147</v>
      </c>
      <c r="Y667" s="0" t="s">
        <v>1651</v>
      </c>
      <c r="Z667" s="0" t="s">
        <v>1652</v>
      </c>
      <c r="AA667" s="0" t="s">
        <v>2442</v>
      </c>
      <c r="AC667" s="0" t="s">
        <v>2443</v>
      </c>
    </row>
    <row r="668" customFormat="false" ht="15" hidden="false" customHeight="false" outlineLevel="0" collapsed="false">
      <c r="A668" s="0" t="s">
        <v>2516</v>
      </c>
      <c r="B668" s="0" t="s">
        <v>138</v>
      </c>
      <c r="C668" s="0" t="s">
        <v>2105</v>
      </c>
      <c r="D668" s="0" t="n">
        <v>2019</v>
      </c>
      <c r="E668" s="0" t="s">
        <v>66</v>
      </c>
      <c r="F668" s="0" t="n">
        <v>880146</v>
      </c>
      <c r="G668" s="0" t="s">
        <v>1681</v>
      </c>
      <c r="H668" s="0" t="s">
        <v>1648</v>
      </c>
      <c r="I668" s="0" t="n">
        <v>880146</v>
      </c>
      <c r="J668" s="0" t="s">
        <v>2439</v>
      </c>
      <c r="L668" s="0" t="n">
        <v>2020</v>
      </c>
      <c r="M668" s="0" t="s">
        <v>2496</v>
      </c>
      <c r="N668" s="0" t="s">
        <v>146</v>
      </c>
      <c r="Q668" s="0" t="s">
        <v>2513</v>
      </c>
      <c r="R668" s="0" t="s">
        <v>2514</v>
      </c>
      <c r="U668" s="0" t="s">
        <v>147</v>
      </c>
      <c r="V668" s="0" t="s">
        <v>147</v>
      </c>
      <c r="Y668" s="0" t="s">
        <v>1651</v>
      </c>
      <c r="Z668" s="0" t="s">
        <v>1652</v>
      </c>
      <c r="AA668" s="0" t="s">
        <v>2442</v>
      </c>
      <c r="AC668" s="0" t="s">
        <v>2443</v>
      </c>
    </row>
    <row r="669" customFormat="false" ht="15" hidden="false" customHeight="false" outlineLevel="0" collapsed="false">
      <c r="A669" s="0" t="s">
        <v>2517</v>
      </c>
      <c r="B669" s="0" t="s">
        <v>138</v>
      </c>
      <c r="C669" s="0" t="s">
        <v>2105</v>
      </c>
      <c r="D669" s="0" t="n">
        <v>2019</v>
      </c>
      <c r="E669" s="0" t="s">
        <v>591</v>
      </c>
      <c r="F669" s="0" t="n">
        <v>19.73</v>
      </c>
      <c r="G669" s="0" t="s">
        <v>1723</v>
      </c>
      <c r="I669" s="0" t="n">
        <v>19.73</v>
      </c>
      <c r="J669" s="0" t="s">
        <v>2439</v>
      </c>
      <c r="L669" s="0" t="n">
        <v>2020</v>
      </c>
      <c r="M669" s="0" t="s">
        <v>2496</v>
      </c>
      <c r="N669" s="0" t="s">
        <v>146</v>
      </c>
      <c r="Q669" s="0" t="s">
        <v>2513</v>
      </c>
      <c r="R669" s="0" t="s">
        <v>2514</v>
      </c>
      <c r="U669" s="0" t="s">
        <v>147</v>
      </c>
      <c r="V669" s="0" t="s">
        <v>147</v>
      </c>
      <c r="Y669" s="0" t="s">
        <v>1651</v>
      </c>
      <c r="Z669" s="0" t="s">
        <v>1652</v>
      </c>
      <c r="AA669" s="0" t="s">
        <v>2442</v>
      </c>
      <c r="AC669" s="0" t="s">
        <v>2443</v>
      </c>
    </row>
    <row r="670" customFormat="false" ht="15" hidden="false" customHeight="false" outlineLevel="0" collapsed="false">
      <c r="A670" s="0" t="s">
        <v>2518</v>
      </c>
      <c r="B670" s="0" t="s">
        <v>138</v>
      </c>
      <c r="C670" s="0" t="s">
        <v>2105</v>
      </c>
      <c r="D670" s="0" t="n">
        <v>2019</v>
      </c>
      <c r="E670" s="0" t="s">
        <v>595</v>
      </c>
      <c r="F670" s="0" t="n">
        <v>173634</v>
      </c>
      <c r="G670" s="0" t="s">
        <v>1681</v>
      </c>
      <c r="H670" s="0" t="s">
        <v>1648</v>
      </c>
      <c r="I670" s="0" t="n">
        <v>173634</v>
      </c>
      <c r="J670" s="0" t="s">
        <v>2439</v>
      </c>
      <c r="L670" s="0" t="n">
        <v>2020</v>
      </c>
      <c r="M670" s="0" t="s">
        <v>2496</v>
      </c>
      <c r="N670" s="0" t="s">
        <v>146</v>
      </c>
      <c r="Q670" s="0" t="s">
        <v>2513</v>
      </c>
      <c r="R670" s="0" t="s">
        <v>2514</v>
      </c>
      <c r="U670" s="0" t="s">
        <v>147</v>
      </c>
      <c r="V670" s="0" t="s">
        <v>147</v>
      </c>
      <c r="Y670" s="0" t="s">
        <v>1651</v>
      </c>
      <c r="Z670" s="0" t="s">
        <v>1652</v>
      </c>
      <c r="AA670" s="0" t="s">
        <v>2442</v>
      </c>
      <c r="AC670" s="0" t="s">
        <v>2443</v>
      </c>
    </row>
    <row r="671" customFormat="false" ht="15" hidden="false" customHeight="false" outlineLevel="0" collapsed="false">
      <c r="A671" s="0" t="s">
        <v>2519</v>
      </c>
      <c r="B671" s="0" t="s">
        <v>138</v>
      </c>
      <c r="C671" s="0" t="s">
        <v>2105</v>
      </c>
      <c r="D671" s="0" t="n">
        <v>2019</v>
      </c>
      <c r="E671" s="0" t="s">
        <v>711</v>
      </c>
      <c r="F671" s="0" t="n">
        <v>33637</v>
      </c>
      <c r="G671" s="0" t="s">
        <v>1681</v>
      </c>
      <c r="H671" s="0" t="s">
        <v>1648</v>
      </c>
      <c r="I671" s="0" t="n">
        <v>33637</v>
      </c>
      <c r="J671" s="0" t="s">
        <v>2439</v>
      </c>
      <c r="L671" s="0" t="n">
        <v>2020</v>
      </c>
      <c r="M671" s="0" t="s">
        <v>2496</v>
      </c>
      <c r="N671" s="0" t="s">
        <v>146</v>
      </c>
      <c r="Q671" s="0" t="s">
        <v>2513</v>
      </c>
      <c r="R671" s="0" t="s">
        <v>2514</v>
      </c>
      <c r="U671" s="0" t="s">
        <v>147</v>
      </c>
      <c r="V671" s="0" t="s">
        <v>147</v>
      </c>
      <c r="Y671" s="0" t="s">
        <v>1651</v>
      </c>
      <c r="Z671" s="0" t="s">
        <v>1652</v>
      </c>
      <c r="AA671" s="0" t="s">
        <v>2442</v>
      </c>
      <c r="AC671" s="0" t="s">
        <v>2443</v>
      </c>
    </row>
    <row r="672" customFormat="false" ht="15" hidden="false" customHeight="false" outlineLevel="0" collapsed="false">
      <c r="A672" s="0" t="s">
        <v>2520</v>
      </c>
      <c r="B672" s="0" t="s">
        <v>138</v>
      </c>
      <c r="C672" s="0" t="s">
        <v>2105</v>
      </c>
      <c r="D672" s="0" t="n">
        <v>2019</v>
      </c>
      <c r="E672" s="0" t="s">
        <v>70</v>
      </c>
      <c r="F672" s="0" t="n">
        <v>15</v>
      </c>
      <c r="G672" s="0" t="s">
        <v>1723</v>
      </c>
      <c r="I672" s="0" t="n">
        <v>15</v>
      </c>
      <c r="J672" s="0" t="s">
        <v>2439</v>
      </c>
      <c r="L672" s="0" t="n">
        <v>2020</v>
      </c>
      <c r="M672" s="0" t="s">
        <v>2496</v>
      </c>
      <c r="N672" s="0" t="s">
        <v>146</v>
      </c>
      <c r="Q672" s="0" t="s">
        <v>2513</v>
      </c>
      <c r="R672" s="0" t="s">
        <v>2514</v>
      </c>
      <c r="U672" s="0" t="s">
        <v>147</v>
      </c>
      <c r="V672" s="0" t="s">
        <v>147</v>
      </c>
      <c r="Y672" s="0" t="s">
        <v>1651</v>
      </c>
      <c r="Z672" s="0" t="s">
        <v>1652</v>
      </c>
      <c r="AA672" s="0" t="s">
        <v>2442</v>
      </c>
      <c r="AC672" s="0" t="s">
        <v>2443</v>
      </c>
    </row>
    <row r="673" customFormat="false" ht="15" hidden="false" customHeight="false" outlineLevel="0" collapsed="false">
      <c r="A673" s="0" t="s">
        <v>2521</v>
      </c>
      <c r="B673" s="0" t="s">
        <v>138</v>
      </c>
      <c r="C673" s="0" t="s">
        <v>2105</v>
      </c>
      <c r="D673" s="0" t="n">
        <v>2019</v>
      </c>
      <c r="E673" s="0" t="s">
        <v>64</v>
      </c>
      <c r="F673" s="0" t="n">
        <v>34760</v>
      </c>
      <c r="G673" s="0" t="s">
        <v>1681</v>
      </c>
      <c r="H673" s="0" t="s">
        <v>1648</v>
      </c>
      <c r="I673" s="0" t="n">
        <v>34760</v>
      </c>
      <c r="J673" s="0" t="s">
        <v>2439</v>
      </c>
      <c r="L673" s="0" t="n">
        <v>2019</v>
      </c>
      <c r="M673" s="0" t="s">
        <v>1611</v>
      </c>
      <c r="N673" s="0" t="s">
        <v>1610</v>
      </c>
      <c r="Q673" s="0" t="n">
        <v>97</v>
      </c>
      <c r="R673" s="0" t="n">
        <v>96</v>
      </c>
      <c r="U673" s="0" t="s">
        <v>147</v>
      </c>
      <c r="V673" s="0" t="s">
        <v>147</v>
      </c>
      <c r="Y673" s="0" t="s">
        <v>1651</v>
      </c>
      <c r="Z673" s="0" t="s">
        <v>1652</v>
      </c>
      <c r="AA673" s="0" t="s">
        <v>2442</v>
      </c>
      <c r="AC673" s="0" t="s">
        <v>2443</v>
      </c>
    </row>
    <row r="674" customFormat="false" ht="15" hidden="false" customHeight="false" outlineLevel="0" collapsed="false">
      <c r="A674" s="0" t="s">
        <v>2522</v>
      </c>
      <c r="B674" s="0" t="s">
        <v>138</v>
      </c>
      <c r="C674" s="0" t="s">
        <v>2105</v>
      </c>
      <c r="D674" s="0" t="n">
        <v>2019</v>
      </c>
      <c r="E674" s="0" t="s">
        <v>67</v>
      </c>
      <c r="F674" s="0" t="n">
        <v>58769</v>
      </c>
      <c r="G674" s="0" t="s">
        <v>1681</v>
      </c>
      <c r="H674" s="0" t="s">
        <v>1648</v>
      </c>
      <c r="I674" s="0" t="n">
        <v>58769</v>
      </c>
      <c r="J674" s="0" t="s">
        <v>2439</v>
      </c>
      <c r="L674" s="0" t="n">
        <v>2019</v>
      </c>
      <c r="M674" s="0" t="s">
        <v>1611</v>
      </c>
      <c r="N674" s="0" t="s">
        <v>1610</v>
      </c>
      <c r="Q674" s="0" t="n">
        <v>144</v>
      </c>
      <c r="R674" s="0" t="n">
        <v>143</v>
      </c>
      <c r="U674" s="0" t="s">
        <v>147</v>
      </c>
      <c r="V674" s="0" t="s">
        <v>147</v>
      </c>
      <c r="Y674" s="0" t="s">
        <v>1651</v>
      </c>
      <c r="Z674" s="0" t="s">
        <v>1652</v>
      </c>
      <c r="AA674" s="0" t="s">
        <v>2442</v>
      </c>
      <c r="AC674" s="0" t="s">
        <v>2443</v>
      </c>
    </row>
    <row r="675" customFormat="false" ht="15" hidden="false" customHeight="false" outlineLevel="0" collapsed="false">
      <c r="A675" s="0" t="s">
        <v>2523</v>
      </c>
      <c r="B675" s="0" t="s">
        <v>138</v>
      </c>
      <c r="C675" s="0" t="s">
        <v>2105</v>
      </c>
      <c r="D675" s="0" t="n">
        <v>2019</v>
      </c>
      <c r="E675" s="0" t="s">
        <v>68</v>
      </c>
      <c r="F675" s="0" t="n">
        <v>16198</v>
      </c>
      <c r="G675" s="0" t="s">
        <v>1681</v>
      </c>
      <c r="H675" s="0" t="s">
        <v>1648</v>
      </c>
      <c r="I675" s="0" t="n">
        <v>16198</v>
      </c>
      <c r="J675" s="0" t="s">
        <v>2439</v>
      </c>
      <c r="L675" s="0" t="n">
        <v>2019</v>
      </c>
      <c r="M675" s="0" t="s">
        <v>1611</v>
      </c>
      <c r="N675" s="0" t="s">
        <v>1610</v>
      </c>
      <c r="Q675" s="0" t="n">
        <v>144</v>
      </c>
      <c r="R675" s="0" t="n">
        <v>143</v>
      </c>
      <c r="U675" s="0" t="s">
        <v>147</v>
      </c>
      <c r="V675" s="0" t="s">
        <v>147</v>
      </c>
      <c r="Y675" s="0" t="s">
        <v>1651</v>
      </c>
      <c r="Z675" s="0" t="s">
        <v>1652</v>
      </c>
      <c r="AA675" s="0" t="s">
        <v>2442</v>
      </c>
      <c r="AC675" s="0" t="s">
        <v>2443</v>
      </c>
    </row>
    <row r="676" customFormat="false" ht="15" hidden="false" customHeight="false" outlineLevel="0" collapsed="false">
      <c r="A676" s="0" t="s">
        <v>2524</v>
      </c>
      <c r="B676" s="0" t="s">
        <v>138</v>
      </c>
      <c r="C676" s="0" t="s">
        <v>2105</v>
      </c>
      <c r="D676" s="0" t="n">
        <v>2019</v>
      </c>
      <c r="E676" s="0" t="s">
        <v>2494</v>
      </c>
      <c r="F676" s="0" t="n">
        <v>24009</v>
      </c>
      <c r="G676" s="0" t="s">
        <v>1681</v>
      </c>
      <c r="H676" s="0" t="s">
        <v>1648</v>
      </c>
      <c r="I676" s="0" t="n">
        <v>24009</v>
      </c>
      <c r="J676" s="0" t="s">
        <v>2439</v>
      </c>
      <c r="L676" s="0" t="n">
        <v>2019</v>
      </c>
      <c r="M676" s="0" t="s">
        <v>1611</v>
      </c>
      <c r="N676" s="0" t="s">
        <v>1610</v>
      </c>
      <c r="Q676" s="0" t="n">
        <v>97</v>
      </c>
      <c r="R676" s="0" t="n">
        <v>96</v>
      </c>
      <c r="U676" s="0" t="s">
        <v>147</v>
      </c>
      <c r="V676" s="0" t="s">
        <v>147</v>
      </c>
      <c r="Y676" s="0" t="s">
        <v>1651</v>
      </c>
      <c r="Z676" s="0" t="s">
        <v>1652</v>
      </c>
      <c r="AA676" s="0" t="s">
        <v>2442</v>
      </c>
      <c r="AC676" s="0" t="s">
        <v>2443</v>
      </c>
    </row>
    <row r="677" customFormat="false" ht="15" hidden="false" customHeight="false" outlineLevel="0" collapsed="false">
      <c r="A677" s="0" t="s">
        <v>2525</v>
      </c>
      <c r="B677" s="0" t="s">
        <v>138</v>
      </c>
      <c r="C677" s="0" t="s">
        <v>2105</v>
      </c>
      <c r="D677" s="0" t="n">
        <v>2020</v>
      </c>
      <c r="E677" s="0" t="s">
        <v>54</v>
      </c>
      <c r="F677" s="0" t="n">
        <v>24653</v>
      </c>
      <c r="G677" s="0" t="s">
        <v>1681</v>
      </c>
      <c r="H677" s="0" t="s">
        <v>1648</v>
      </c>
      <c r="I677" s="0" t="n">
        <v>24653</v>
      </c>
      <c r="J677" s="0" t="s">
        <v>2439</v>
      </c>
      <c r="L677" s="0" t="n">
        <v>2020</v>
      </c>
      <c r="M677" s="0" t="s">
        <v>2496</v>
      </c>
      <c r="N677" s="0" t="s">
        <v>146</v>
      </c>
      <c r="Q677" s="0" t="n">
        <v>52</v>
      </c>
      <c r="R677" s="0" t="n">
        <v>50</v>
      </c>
      <c r="U677" s="0" t="s">
        <v>148</v>
      </c>
      <c r="V677" s="0" t="s">
        <v>148</v>
      </c>
      <c r="Y677" s="0" t="s">
        <v>1651</v>
      </c>
      <c r="Z677" s="0" t="s">
        <v>1652</v>
      </c>
      <c r="AA677" s="0" t="s">
        <v>2442</v>
      </c>
      <c r="AC677" s="0" t="s">
        <v>2443</v>
      </c>
    </row>
    <row r="678" customFormat="false" ht="15" hidden="false" customHeight="false" outlineLevel="0" collapsed="false">
      <c r="A678" s="0" t="s">
        <v>2526</v>
      </c>
      <c r="B678" s="0" t="s">
        <v>138</v>
      </c>
      <c r="C678" s="0" t="s">
        <v>2105</v>
      </c>
      <c r="D678" s="0" t="n">
        <v>2020</v>
      </c>
      <c r="E678" s="0" t="s">
        <v>55</v>
      </c>
      <c r="F678" s="0" t="n">
        <v>2073758</v>
      </c>
      <c r="G678" s="0" t="s">
        <v>1681</v>
      </c>
      <c r="H678" s="0" t="s">
        <v>1648</v>
      </c>
      <c r="I678" s="0" t="n">
        <v>2073758</v>
      </c>
      <c r="J678" s="0" t="s">
        <v>2439</v>
      </c>
      <c r="L678" s="0" t="n">
        <v>2020</v>
      </c>
      <c r="M678" s="0" t="s">
        <v>2496</v>
      </c>
      <c r="N678" s="0" t="s">
        <v>146</v>
      </c>
      <c r="Q678" s="0" t="n">
        <v>54</v>
      </c>
      <c r="R678" s="0" t="n">
        <v>52</v>
      </c>
      <c r="U678" s="0" t="s">
        <v>148</v>
      </c>
      <c r="V678" s="0" t="s">
        <v>148</v>
      </c>
      <c r="Y678" s="0" t="s">
        <v>1651</v>
      </c>
      <c r="Z678" s="0" t="s">
        <v>1652</v>
      </c>
      <c r="AA678" s="0" t="s">
        <v>2442</v>
      </c>
      <c r="AC678" s="0" t="s">
        <v>2443</v>
      </c>
    </row>
    <row r="679" customFormat="false" ht="15" hidden="false" customHeight="false" outlineLevel="0" collapsed="false">
      <c r="A679" s="0" t="s">
        <v>2527</v>
      </c>
      <c r="B679" s="0" t="s">
        <v>138</v>
      </c>
      <c r="C679" s="0" t="s">
        <v>2105</v>
      </c>
      <c r="D679" s="0" t="n">
        <v>2020</v>
      </c>
      <c r="E679" s="0" t="s">
        <v>56</v>
      </c>
      <c r="F679" s="0" t="n">
        <v>1826237</v>
      </c>
      <c r="G679" s="0" t="s">
        <v>1681</v>
      </c>
      <c r="H679" s="0" t="s">
        <v>1648</v>
      </c>
      <c r="I679" s="0" t="n">
        <v>1826237</v>
      </c>
      <c r="J679" s="0" t="s">
        <v>2439</v>
      </c>
      <c r="L679" s="0" t="n">
        <v>2020</v>
      </c>
      <c r="M679" s="0" t="s">
        <v>2496</v>
      </c>
      <c r="N679" s="0" t="s">
        <v>146</v>
      </c>
      <c r="Q679" s="0" t="n">
        <v>54</v>
      </c>
      <c r="R679" s="0" t="n">
        <v>52</v>
      </c>
      <c r="U679" s="0" t="s">
        <v>148</v>
      </c>
      <c r="V679" s="0" t="s">
        <v>148</v>
      </c>
      <c r="Y679" s="0" t="s">
        <v>1651</v>
      </c>
      <c r="Z679" s="0" t="s">
        <v>1652</v>
      </c>
      <c r="AA679" s="0" t="s">
        <v>2442</v>
      </c>
      <c r="AC679" s="0" t="s">
        <v>2443</v>
      </c>
    </row>
    <row r="680" customFormat="false" ht="15" hidden="false" customHeight="false" outlineLevel="0" collapsed="false">
      <c r="A680" s="0" t="s">
        <v>2528</v>
      </c>
      <c r="B680" s="0" t="s">
        <v>138</v>
      </c>
      <c r="C680" s="0" t="s">
        <v>2105</v>
      </c>
      <c r="D680" s="0" t="n">
        <v>2020</v>
      </c>
      <c r="E680" s="0" t="s">
        <v>57</v>
      </c>
      <c r="F680" s="0" t="n">
        <v>247521</v>
      </c>
      <c r="G680" s="0" t="s">
        <v>1681</v>
      </c>
      <c r="H680" s="0" t="s">
        <v>1648</v>
      </c>
      <c r="I680" s="0" t="n">
        <v>247521</v>
      </c>
      <c r="J680" s="0" t="s">
        <v>2439</v>
      </c>
      <c r="L680" s="0" t="n">
        <v>2020</v>
      </c>
      <c r="M680" s="0" t="s">
        <v>2496</v>
      </c>
      <c r="N680" s="0" t="s">
        <v>146</v>
      </c>
      <c r="Q680" s="0" t="n">
        <v>54</v>
      </c>
      <c r="R680" s="0" t="n">
        <v>52</v>
      </c>
      <c r="U680" s="0" t="s">
        <v>148</v>
      </c>
      <c r="V680" s="0" t="s">
        <v>148</v>
      </c>
      <c r="Y680" s="0" t="s">
        <v>1651</v>
      </c>
      <c r="Z680" s="0" t="s">
        <v>1652</v>
      </c>
      <c r="AA680" s="0" t="s">
        <v>2442</v>
      </c>
      <c r="AC680" s="0" t="s">
        <v>2443</v>
      </c>
    </row>
    <row r="681" customFormat="false" ht="15" hidden="false" customHeight="false" outlineLevel="0" collapsed="false">
      <c r="A681" s="0" t="s">
        <v>2529</v>
      </c>
      <c r="B681" s="0" t="s">
        <v>138</v>
      </c>
      <c r="C681" s="0" t="s">
        <v>2105</v>
      </c>
      <c r="D681" s="0" t="n">
        <v>2020</v>
      </c>
      <c r="E681" s="0" t="s">
        <v>58</v>
      </c>
      <c r="F681" s="0" t="n">
        <v>-35912</v>
      </c>
      <c r="G681" s="0" t="s">
        <v>1681</v>
      </c>
      <c r="H681" s="0" t="s">
        <v>1648</v>
      </c>
      <c r="I681" s="0" t="n">
        <v>-35912</v>
      </c>
      <c r="J681" s="0" t="s">
        <v>2439</v>
      </c>
      <c r="L681" s="0" t="n">
        <v>2020</v>
      </c>
      <c r="M681" s="0" t="s">
        <v>2496</v>
      </c>
      <c r="N681" s="0" t="s">
        <v>146</v>
      </c>
      <c r="Q681" s="0" t="n">
        <v>59</v>
      </c>
      <c r="R681" s="0" t="n">
        <v>57</v>
      </c>
      <c r="U681" s="0" t="s">
        <v>148</v>
      </c>
      <c r="V681" s="0" t="s">
        <v>148</v>
      </c>
      <c r="Y681" s="0" t="s">
        <v>1651</v>
      </c>
      <c r="Z681" s="0" t="s">
        <v>1652</v>
      </c>
      <c r="AA681" s="0" t="s">
        <v>2442</v>
      </c>
      <c r="AC681" s="0" t="s">
        <v>2443</v>
      </c>
    </row>
    <row r="682" customFormat="false" ht="15" hidden="false" customHeight="false" outlineLevel="0" collapsed="false">
      <c r="A682" s="0" t="s">
        <v>2530</v>
      </c>
      <c r="B682" s="0" t="s">
        <v>138</v>
      </c>
      <c r="C682" s="0" t="s">
        <v>2105</v>
      </c>
      <c r="D682" s="0" t="n">
        <v>2020</v>
      </c>
      <c r="E682" s="0" t="s">
        <v>59</v>
      </c>
      <c r="F682" s="0" t="n">
        <v>1711739</v>
      </c>
      <c r="G682" s="0" t="s">
        <v>1681</v>
      </c>
      <c r="H682" s="0" t="s">
        <v>1648</v>
      </c>
      <c r="I682" s="0" t="n">
        <v>1711739</v>
      </c>
      <c r="J682" s="0" t="s">
        <v>2439</v>
      </c>
      <c r="L682" s="0" t="n">
        <v>2020</v>
      </c>
      <c r="M682" s="0" t="s">
        <v>2496</v>
      </c>
      <c r="N682" s="0" t="s">
        <v>146</v>
      </c>
      <c r="Q682" s="0" t="n">
        <v>54</v>
      </c>
      <c r="R682" s="0" t="n">
        <v>52</v>
      </c>
      <c r="U682" s="0" t="s">
        <v>148</v>
      </c>
      <c r="V682" s="0" t="s">
        <v>148</v>
      </c>
      <c r="Y682" s="0" t="s">
        <v>1651</v>
      </c>
      <c r="Z682" s="0" t="s">
        <v>1652</v>
      </c>
      <c r="AA682" s="0" t="s">
        <v>2449</v>
      </c>
      <c r="AC682" s="0" t="s">
        <v>2443</v>
      </c>
    </row>
    <row r="683" customFormat="false" ht="15" hidden="false" customHeight="false" outlineLevel="0" collapsed="false">
      <c r="A683" s="0" t="s">
        <v>2531</v>
      </c>
      <c r="B683" s="0" t="s">
        <v>138</v>
      </c>
      <c r="C683" s="0" t="s">
        <v>2105</v>
      </c>
      <c r="D683" s="0" t="n">
        <v>2020</v>
      </c>
      <c r="E683" s="0" t="s">
        <v>60</v>
      </c>
      <c r="F683" s="0" t="n">
        <v>736712</v>
      </c>
      <c r="G683" s="0" t="s">
        <v>1681</v>
      </c>
      <c r="H683" s="0" t="s">
        <v>1648</v>
      </c>
      <c r="I683" s="0" t="n">
        <v>736712</v>
      </c>
      <c r="J683" s="0" t="s">
        <v>2439</v>
      </c>
      <c r="L683" s="0" t="n">
        <v>2020</v>
      </c>
      <c r="M683" s="0" t="s">
        <v>2496</v>
      </c>
      <c r="N683" s="0" t="s">
        <v>146</v>
      </c>
      <c r="Q683" s="0" t="s">
        <v>2503</v>
      </c>
      <c r="R683" s="0" t="s">
        <v>2504</v>
      </c>
      <c r="U683" s="0" t="s">
        <v>148</v>
      </c>
      <c r="V683" s="0" t="s">
        <v>148</v>
      </c>
      <c r="Y683" s="0" t="s">
        <v>1651</v>
      </c>
      <c r="Z683" s="0" t="s">
        <v>1652</v>
      </c>
      <c r="AA683" s="0" t="s">
        <v>2442</v>
      </c>
      <c r="AC683" s="0" t="s">
        <v>2443</v>
      </c>
    </row>
    <row r="684" customFormat="false" ht="15" hidden="false" customHeight="false" outlineLevel="0" collapsed="false">
      <c r="A684" s="0" t="s">
        <v>2532</v>
      </c>
      <c r="B684" s="0" t="s">
        <v>138</v>
      </c>
      <c r="C684" s="0" t="s">
        <v>2105</v>
      </c>
      <c r="D684" s="0" t="n">
        <v>2020</v>
      </c>
      <c r="E684" s="0" t="s">
        <v>61</v>
      </c>
      <c r="F684" s="0" t="n">
        <v>43909</v>
      </c>
      <c r="G684" s="0" t="s">
        <v>1681</v>
      </c>
      <c r="H684" s="0" t="s">
        <v>1648</v>
      </c>
      <c r="I684" s="0" t="n">
        <v>43909</v>
      </c>
      <c r="J684" s="0" t="s">
        <v>2439</v>
      </c>
      <c r="L684" s="0" t="n">
        <v>2020</v>
      </c>
      <c r="M684" s="0" t="s">
        <v>2496</v>
      </c>
      <c r="N684" s="0" t="s">
        <v>146</v>
      </c>
      <c r="Q684" s="0" t="s">
        <v>2503</v>
      </c>
      <c r="R684" s="0" t="s">
        <v>2504</v>
      </c>
      <c r="U684" s="0" t="s">
        <v>148</v>
      </c>
      <c r="V684" s="0" t="s">
        <v>148</v>
      </c>
      <c r="Y684" s="0" t="s">
        <v>1651</v>
      </c>
      <c r="Z684" s="0" t="s">
        <v>1652</v>
      </c>
      <c r="AA684" s="0" t="s">
        <v>2442</v>
      </c>
      <c r="AC684" s="0" t="s">
        <v>2443</v>
      </c>
    </row>
    <row r="685" customFormat="false" ht="15" hidden="false" customHeight="false" outlineLevel="0" collapsed="false">
      <c r="A685" s="0" t="s">
        <v>2533</v>
      </c>
      <c r="B685" s="0" t="s">
        <v>138</v>
      </c>
      <c r="C685" s="0" t="s">
        <v>2105</v>
      </c>
      <c r="D685" s="0" t="n">
        <v>2020</v>
      </c>
      <c r="E685" s="0" t="s">
        <v>62</v>
      </c>
      <c r="F685" s="0" t="n">
        <v>692803</v>
      </c>
      <c r="G685" s="0" t="s">
        <v>1681</v>
      </c>
      <c r="H685" s="0" t="s">
        <v>1648</v>
      </c>
      <c r="I685" s="0" t="n">
        <v>692803</v>
      </c>
      <c r="J685" s="0" t="s">
        <v>2439</v>
      </c>
      <c r="L685" s="0" t="n">
        <v>2020</v>
      </c>
      <c r="M685" s="0" t="s">
        <v>2496</v>
      </c>
      <c r="N685" s="0" t="s">
        <v>146</v>
      </c>
      <c r="Q685" s="0" t="s">
        <v>2503</v>
      </c>
      <c r="R685" s="0" t="s">
        <v>2504</v>
      </c>
      <c r="U685" s="0" t="s">
        <v>148</v>
      </c>
      <c r="V685" s="0" t="s">
        <v>148</v>
      </c>
      <c r="Y685" s="0" t="s">
        <v>1651</v>
      </c>
      <c r="Z685" s="0" t="s">
        <v>1652</v>
      </c>
      <c r="AA685" s="0" t="s">
        <v>2442</v>
      </c>
      <c r="AC685" s="0" t="s">
        <v>2443</v>
      </c>
    </row>
    <row r="686" customFormat="false" ht="15" hidden="false" customHeight="false" outlineLevel="0" collapsed="false">
      <c r="A686" s="0" t="s">
        <v>2534</v>
      </c>
      <c r="B686" s="0" t="s">
        <v>138</v>
      </c>
      <c r="C686" s="0" t="s">
        <v>2105</v>
      </c>
      <c r="D686" s="0" t="n">
        <v>2020</v>
      </c>
      <c r="E686" s="0" t="s">
        <v>402</v>
      </c>
      <c r="F686" s="0" t="n">
        <v>25425</v>
      </c>
      <c r="G686" s="0" t="s">
        <v>1681</v>
      </c>
      <c r="H686" s="0" t="s">
        <v>1648</v>
      </c>
      <c r="I686" s="0" t="n">
        <v>25425</v>
      </c>
      <c r="J686" s="0" t="s">
        <v>2439</v>
      </c>
      <c r="L686" s="0" t="n">
        <v>2020</v>
      </c>
      <c r="M686" s="0" t="s">
        <v>2496</v>
      </c>
      <c r="N686" s="0" t="s">
        <v>146</v>
      </c>
      <c r="Q686" s="0" t="n">
        <v>52</v>
      </c>
      <c r="R686" s="0" t="n">
        <v>50</v>
      </c>
      <c r="U686" s="0" t="s">
        <v>148</v>
      </c>
      <c r="V686" s="0" t="s">
        <v>148</v>
      </c>
      <c r="Y686" s="0" t="s">
        <v>1651</v>
      </c>
      <c r="Z686" s="0" t="s">
        <v>1652</v>
      </c>
      <c r="AA686" s="0" t="s">
        <v>2442</v>
      </c>
      <c r="AC686" s="0" t="s">
        <v>2443</v>
      </c>
    </row>
    <row r="687" customFormat="false" ht="15" hidden="false" customHeight="false" outlineLevel="0" collapsed="false">
      <c r="A687" s="0" t="s">
        <v>2535</v>
      </c>
      <c r="B687" s="0" t="s">
        <v>138</v>
      </c>
      <c r="C687" s="0" t="s">
        <v>2105</v>
      </c>
      <c r="D687" s="0" t="n">
        <v>2020</v>
      </c>
      <c r="E687" s="0" t="s">
        <v>670</v>
      </c>
      <c r="F687" s="0" t="n">
        <v>156885</v>
      </c>
      <c r="G687" s="0" t="s">
        <v>1681</v>
      </c>
      <c r="H687" s="0" t="s">
        <v>1648</v>
      </c>
      <c r="I687" s="0" t="n">
        <v>156885</v>
      </c>
      <c r="J687" s="0" t="s">
        <v>2439</v>
      </c>
      <c r="L687" s="0" t="n">
        <v>2020</v>
      </c>
      <c r="M687" s="0" t="s">
        <v>2496</v>
      </c>
      <c r="N687" s="0" t="s">
        <v>146</v>
      </c>
      <c r="Q687" s="0" t="n">
        <v>52</v>
      </c>
      <c r="R687" s="0" t="n">
        <v>50</v>
      </c>
      <c r="U687" s="0" t="s">
        <v>148</v>
      </c>
      <c r="V687" s="0" t="s">
        <v>148</v>
      </c>
      <c r="Y687" s="0" t="s">
        <v>1651</v>
      </c>
      <c r="Z687" s="0" t="s">
        <v>1652</v>
      </c>
      <c r="AA687" s="0" t="s">
        <v>2442</v>
      </c>
      <c r="AC687" s="0" t="s">
        <v>2443</v>
      </c>
    </row>
    <row r="688" customFormat="false" ht="15" hidden="false" customHeight="false" outlineLevel="0" collapsed="false">
      <c r="A688" s="0" t="s">
        <v>2536</v>
      </c>
      <c r="B688" s="0" t="s">
        <v>138</v>
      </c>
      <c r="C688" s="0" t="s">
        <v>2105</v>
      </c>
      <c r="D688" s="0" t="n">
        <v>2020</v>
      </c>
      <c r="E688" s="0" t="s">
        <v>63</v>
      </c>
      <c r="F688" s="0" t="n">
        <v>-2559</v>
      </c>
      <c r="G688" s="0" t="s">
        <v>1681</v>
      </c>
      <c r="H688" s="0" t="s">
        <v>1648</v>
      </c>
      <c r="I688" s="0" t="n">
        <v>-2559</v>
      </c>
      <c r="J688" s="0" t="s">
        <v>2439</v>
      </c>
      <c r="L688" s="0" t="n">
        <v>2020</v>
      </c>
      <c r="M688" s="0" t="s">
        <v>2496</v>
      </c>
      <c r="N688" s="0" t="s">
        <v>146</v>
      </c>
      <c r="Q688" s="0" t="n">
        <v>52</v>
      </c>
      <c r="R688" s="0" t="n">
        <v>50</v>
      </c>
      <c r="U688" s="0" t="s">
        <v>148</v>
      </c>
      <c r="V688" s="0" t="s">
        <v>148</v>
      </c>
      <c r="Y688" s="0" t="s">
        <v>1651</v>
      </c>
      <c r="Z688" s="0" t="s">
        <v>1652</v>
      </c>
      <c r="AA688" s="0" t="s">
        <v>2456</v>
      </c>
      <c r="AC688" s="0" t="s">
        <v>2443</v>
      </c>
    </row>
    <row r="689" customFormat="false" ht="15" hidden="false" customHeight="false" outlineLevel="0" collapsed="false">
      <c r="A689" s="0" t="s">
        <v>2537</v>
      </c>
      <c r="B689" s="0" t="s">
        <v>138</v>
      </c>
      <c r="C689" s="0" t="s">
        <v>2105</v>
      </c>
      <c r="D689" s="0" t="n">
        <v>2020</v>
      </c>
      <c r="E689" s="0" t="s">
        <v>710</v>
      </c>
      <c r="F689" s="0" t="n">
        <v>-2253</v>
      </c>
      <c r="G689" s="0" t="s">
        <v>1681</v>
      </c>
      <c r="H689" s="0" t="s">
        <v>1648</v>
      </c>
      <c r="I689" s="0" t="n">
        <v>-2253</v>
      </c>
      <c r="J689" s="0" t="s">
        <v>2439</v>
      </c>
      <c r="L689" s="0" t="n">
        <v>2020</v>
      </c>
      <c r="M689" s="0" t="s">
        <v>2496</v>
      </c>
      <c r="N689" s="0" t="s">
        <v>146</v>
      </c>
      <c r="Q689" s="0" t="n">
        <v>52</v>
      </c>
      <c r="R689" s="0" t="n">
        <v>50</v>
      </c>
      <c r="U689" s="0" t="s">
        <v>148</v>
      </c>
      <c r="V689" s="0" t="s">
        <v>148</v>
      </c>
      <c r="Y689" s="0" t="s">
        <v>1651</v>
      </c>
      <c r="Z689" s="0" t="s">
        <v>1652</v>
      </c>
      <c r="AA689" s="0" t="s">
        <v>2442</v>
      </c>
      <c r="AC689" s="0" t="s">
        <v>2443</v>
      </c>
    </row>
    <row r="690" customFormat="false" ht="15" hidden="false" customHeight="false" outlineLevel="0" collapsed="false">
      <c r="A690" s="0" t="s">
        <v>2538</v>
      </c>
      <c r="B690" s="0" t="s">
        <v>138</v>
      </c>
      <c r="C690" s="0" t="s">
        <v>2105</v>
      </c>
      <c r="D690" s="0" t="n">
        <v>2020</v>
      </c>
      <c r="E690" s="0" t="s">
        <v>557</v>
      </c>
      <c r="F690" s="0" t="n">
        <v>-306</v>
      </c>
      <c r="G690" s="0" t="s">
        <v>1681</v>
      </c>
      <c r="H690" s="0" t="s">
        <v>1648</v>
      </c>
      <c r="I690" s="0" t="n">
        <v>-306</v>
      </c>
      <c r="J690" s="0" t="s">
        <v>2439</v>
      </c>
      <c r="L690" s="0" t="n">
        <v>2020</v>
      </c>
      <c r="M690" s="0" t="s">
        <v>2496</v>
      </c>
      <c r="N690" s="0" t="s">
        <v>146</v>
      </c>
      <c r="Q690" s="0" t="n">
        <v>52</v>
      </c>
      <c r="R690" s="0" t="n">
        <v>50</v>
      </c>
      <c r="U690" s="0" t="s">
        <v>148</v>
      </c>
      <c r="V690" s="0" t="s">
        <v>148</v>
      </c>
      <c r="Y690" s="0" t="s">
        <v>1651</v>
      </c>
      <c r="Z690" s="0" t="s">
        <v>1652</v>
      </c>
      <c r="AA690" s="0" t="s">
        <v>2442</v>
      </c>
      <c r="AC690" s="0" t="s">
        <v>2443</v>
      </c>
    </row>
    <row r="691" customFormat="false" ht="15" hidden="false" customHeight="false" outlineLevel="0" collapsed="false">
      <c r="A691" s="0" t="s">
        <v>2539</v>
      </c>
      <c r="B691" s="0" t="s">
        <v>138</v>
      </c>
      <c r="C691" s="0" t="s">
        <v>2105</v>
      </c>
      <c r="D691" s="0" t="n">
        <v>2020</v>
      </c>
      <c r="E691" s="0" t="s">
        <v>69</v>
      </c>
      <c r="F691" s="0" t="n">
        <v>15.76</v>
      </c>
      <c r="G691" s="0" t="s">
        <v>1723</v>
      </c>
      <c r="I691" s="0" t="n">
        <v>15.76</v>
      </c>
      <c r="J691" s="0" t="s">
        <v>2439</v>
      </c>
      <c r="L691" s="0" t="n">
        <v>2020</v>
      </c>
      <c r="M691" s="0" t="s">
        <v>2496</v>
      </c>
      <c r="N691" s="0" t="s">
        <v>146</v>
      </c>
      <c r="Q691" s="0" t="s">
        <v>2513</v>
      </c>
      <c r="R691" s="0" t="s">
        <v>2514</v>
      </c>
      <c r="U691" s="0" t="s">
        <v>148</v>
      </c>
      <c r="V691" s="0" t="s">
        <v>148</v>
      </c>
      <c r="Y691" s="0" t="s">
        <v>1651</v>
      </c>
      <c r="Z691" s="0" t="s">
        <v>1652</v>
      </c>
      <c r="AA691" s="0" t="s">
        <v>2483</v>
      </c>
      <c r="AC691" s="0" t="s">
        <v>2443</v>
      </c>
    </row>
    <row r="692" customFormat="false" ht="15" hidden="false" customHeight="false" outlineLevel="0" collapsed="false">
      <c r="A692" s="0" t="s">
        <v>2540</v>
      </c>
      <c r="B692" s="0" t="s">
        <v>138</v>
      </c>
      <c r="C692" s="0" t="s">
        <v>2105</v>
      </c>
      <c r="D692" s="0" t="n">
        <v>2020</v>
      </c>
      <c r="E692" s="0" t="s">
        <v>65</v>
      </c>
      <c r="F692" s="0" t="n">
        <v>156168</v>
      </c>
      <c r="G692" s="0" t="s">
        <v>1681</v>
      </c>
      <c r="H692" s="0" t="s">
        <v>1648</v>
      </c>
      <c r="I692" s="0" t="n">
        <v>156168</v>
      </c>
      <c r="J692" s="0" t="s">
        <v>2439</v>
      </c>
      <c r="L692" s="0" t="n">
        <v>2020</v>
      </c>
      <c r="M692" s="0" t="s">
        <v>2496</v>
      </c>
      <c r="N692" s="0" t="s">
        <v>146</v>
      </c>
      <c r="Q692" s="0" t="s">
        <v>2513</v>
      </c>
      <c r="R692" s="0" t="s">
        <v>2514</v>
      </c>
      <c r="U692" s="0" t="s">
        <v>148</v>
      </c>
      <c r="V692" s="0" t="s">
        <v>148</v>
      </c>
      <c r="Y692" s="0" t="s">
        <v>1651</v>
      </c>
      <c r="Z692" s="0" t="s">
        <v>1652</v>
      </c>
      <c r="AA692" s="0" t="s">
        <v>2442</v>
      </c>
      <c r="AC692" s="0" t="s">
        <v>2443</v>
      </c>
    </row>
    <row r="693" customFormat="false" ht="15" hidden="false" customHeight="false" outlineLevel="0" collapsed="false">
      <c r="A693" s="0" t="s">
        <v>2541</v>
      </c>
      <c r="B693" s="0" t="s">
        <v>138</v>
      </c>
      <c r="C693" s="0" t="s">
        <v>2105</v>
      </c>
      <c r="D693" s="0" t="n">
        <v>2020</v>
      </c>
      <c r="E693" s="0" t="s">
        <v>66</v>
      </c>
      <c r="F693" s="0" t="n">
        <v>990958</v>
      </c>
      <c r="G693" s="0" t="s">
        <v>1681</v>
      </c>
      <c r="H693" s="0" t="s">
        <v>1648</v>
      </c>
      <c r="I693" s="0" t="n">
        <v>990958</v>
      </c>
      <c r="J693" s="0" t="s">
        <v>2439</v>
      </c>
      <c r="L693" s="0" t="n">
        <v>2020</v>
      </c>
      <c r="M693" s="0" t="s">
        <v>2496</v>
      </c>
      <c r="N693" s="0" t="s">
        <v>146</v>
      </c>
      <c r="Q693" s="0" t="s">
        <v>2513</v>
      </c>
      <c r="R693" s="0" t="s">
        <v>2514</v>
      </c>
      <c r="U693" s="0" t="s">
        <v>148</v>
      </c>
      <c r="V693" s="0" t="s">
        <v>148</v>
      </c>
      <c r="Y693" s="0" t="s">
        <v>1651</v>
      </c>
      <c r="Z693" s="0" t="s">
        <v>1652</v>
      </c>
      <c r="AA693" s="0" t="s">
        <v>2442</v>
      </c>
      <c r="AC693" s="0" t="s">
        <v>2443</v>
      </c>
    </row>
    <row r="694" customFormat="false" ht="15" hidden="false" customHeight="false" outlineLevel="0" collapsed="false">
      <c r="A694" s="0" t="s">
        <v>2542</v>
      </c>
      <c r="B694" s="0" t="s">
        <v>138</v>
      </c>
      <c r="C694" s="0" t="s">
        <v>2105</v>
      </c>
      <c r="D694" s="0" t="n">
        <v>2020</v>
      </c>
      <c r="E694" s="0" t="s">
        <v>591</v>
      </c>
      <c r="F694" s="0" t="n">
        <v>17.46</v>
      </c>
      <c r="G694" s="0" t="s">
        <v>1723</v>
      </c>
      <c r="I694" s="0" t="n">
        <v>17.46</v>
      </c>
      <c r="J694" s="0" t="s">
        <v>2439</v>
      </c>
      <c r="L694" s="0" t="n">
        <v>2020</v>
      </c>
      <c r="M694" s="0" t="s">
        <v>2496</v>
      </c>
      <c r="N694" s="0" t="s">
        <v>146</v>
      </c>
      <c r="Q694" s="0" t="s">
        <v>2513</v>
      </c>
      <c r="R694" s="0" t="s">
        <v>2514</v>
      </c>
      <c r="U694" s="0" t="s">
        <v>148</v>
      </c>
      <c r="V694" s="0" t="s">
        <v>148</v>
      </c>
      <c r="Y694" s="0" t="s">
        <v>1651</v>
      </c>
      <c r="Z694" s="0" t="s">
        <v>1652</v>
      </c>
      <c r="AA694" s="0" t="s">
        <v>2442</v>
      </c>
      <c r="AC694" s="0" t="s">
        <v>2443</v>
      </c>
    </row>
    <row r="695" customFormat="false" ht="15" hidden="false" customHeight="false" outlineLevel="0" collapsed="false">
      <c r="A695" s="0" t="s">
        <v>2543</v>
      </c>
      <c r="B695" s="0" t="s">
        <v>138</v>
      </c>
      <c r="C695" s="0" t="s">
        <v>2105</v>
      </c>
      <c r="D695" s="0" t="n">
        <v>2020</v>
      </c>
      <c r="E695" s="0" t="s">
        <v>595</v>
      </c>
      <c r="F695" s="0" t="n">
        <v>172986</v>
      </c>
      <c r="G695" s="0" t="s">
        <v>1681</v>
      </c>
      <c r="H695" s="0" t="s">
        <v>1648</v>
      </c>
      <c r="I695" s="0" t="n">
        <v>172986</v>
      </c>
      <c r="J695" s="0" t="s">
        <v>2439</v>
      </c>
      <c r="L695" s="0" t="n">
        <v>2020</v>
      </c>
      <c r="M695" s="0" t="s">
        <v>2496</v>
      </c>
      <c r="N695" s="0" t="s">
        <v>146</v>
      </c>
      <c r="Q695" s="0" t="s">
        <v>2513</v>
      </c>
      <c r="R695" s="0" t="s">
        <v>2514</v>
      </c>
      <c r="U695" s="0" t="s">
        <v>148</v>
      </c>
      <c r="V695" s="0" t="s">
        <v>148</v>
      </c>
      <c r="Y695" s="0" t="s">
        <v>1651</v>
      </c>
      <c r="Z695" s="0" t="s">
        <v>1652</v>
      </c>
      <c r="AA695" s="0" t="s">
        <v>2442</v>
      </c>
      <c r="AC695" s="0" t="s">
        <v>2443</v>
      </c>
    </row>
    <row r="696" customFormat="false" ht="15" hidden="false" customHeight="false" outlineLevel="0" collapsed="false">
      <c r="A696" s="0" t="s">
        <v>2544</v>
      </c>
      <c r="B696" s="0" t="s">
        <v>138</v>
      </c>
      <c r="C696" s="0" t="s">
        <v>2105</v>
      </c>
      <c r="D696" s="0" t="n">
        <v>2020</v>
      </c>
      <c r="E696" s="0" t="s">
        <v>711</v>
      </c>
      <c r="F696" s="0" t="n">
        <v>16818</v>
      </c>
      <c r="G696" s="0" t="s">
        <v>1681</v>
      </c>
      <c r="H696" s="0" t="s">
        <v>1648</v>
      </c>
      <c r="I696" s="0" t="n">
        <v>16818</v>
      </c>
      <c r="J696" s="0" t="s">
        <v>2439</v>
      </c>
      <c r="L696" s="0" t="n">
        <v>2020</v>
      </c>
      <c r="M696" s="0" t="s">
        <v>2496</v>
      </c>
      <c r="N696" s="0" t="s">
        <v>146</v>
      </c>
      <c r="Q696" s="0" t="s">
        <v>2513</v>
      </c>
      <c r="R696" s="0" t="s">
        <v>2514</v>
      </c>
      <c r="U696" s="0" t="s">
        <v>148</v>
      </c>
      <c r="V696" s="0" t="s">
        <v>148</v>
      </c>
      <c r="Y696" s="0" t="s">
        <v>1651</v>
      </c>
      <c r="Z696" s="0" t="s">
        <v>1652</v>
      </c>
      <c r="AA696" s="0" t="s">
        <v>2442</v>
      </c>
      <c r="AC696" s="0" t="s">
        <v>2443</v>
      </c>
    </row>
    <row r="697" customFormat="false" ht="15" hidden="false" customHeight="false" outlineLevel="0" collapsed="false">
      <c r="A697" s="0" t="s">
        <v>2545</v>
      </c>
      <c r="B697" s="0" t="s">
        <v>138</v>
      </c>
      <c r="C697" s="0" t="s">
        <v>2105</v>
      </c>
      <c r="D697" s="0" t="n">
        <v>2020</v>
      </c>
      <c r="E697" s="0" t="s">
        <v>70</v>
      </c>
      <c r="F697" s="0" t="n">
        <v>15</v>
      </c>
      <c r="G697" s="0" t="s">
        <v>1723</v>
      </c>
      <c r="I697" s="0" t="n">
        <v>15</v>
      </c>
      <c r="J697" s="0" t="s">
        <v>2439</v>
      </c>
      <c r="L697" s="0" t="n">
        <v>2020</v>
      </c>
      <c r="M697" s="0" t="s">
        <v>2496</v>
      </c>
      <c r="N697" s="0" t="s">
        <v>146</v>
      </c>
      <c r="Q697" s="0" t="s">
        <v>2513</v>
      </c>
      <c r="R697" s="0" t="s">
        <v>2514</v>
      </c>
      <c r="U697" s="0" t="s">
        <v>148</v>
      </c>
      <c r="V697" s="0" t="s">
        <v>148</v>
      </c>
      <c r="Y697" s="0" t="s">
        <v>1651</v>
      </c>
      <c r="Z697" s="0" t="s">
        <v>1652</v>
      </c>
      <c r="AA697" s="0" t="s">
        <v>2442</v>
      </c>
      <c r="AC697" s="0" t="s">
        <v>2443</v>
      </c>
    </row>
    <row r="698" customFormat="false" ht="15" hidden="false" customHeight="false" outlineLevel="0" collapsed="false">
      <c r="A698" s="0" t="s">
        <v>2546</v>
      </c>
      <c r="B698" s="0" t="s">
        <v>138</v>
      </c>
      <c r="C698" s="0" t="s">
        <v>2105</v>
      </c>
      <c r="D698" s="0" t="n">
        <v>2020</v>
      </c>
      <c r="E698" s="0" t="s">
        <v>67</v>
      </c>
      <c r="F698" s="0" t="n">
        <v>61895</v>
      </c>
      <c r="G698" s="0" t="s">
        <v>1681</v>
      </c>
      <c r="H698" s="0" t="s">
        <v>1648</v>
      </c>
      <c r="I698" s="0" t="n">
        <v>61895</v>
      </c>
      <c r="J698" s="0" t="s">
        <v>2439</v>
      </c>
      <c r="L698" s="0" t="n">
        <v>2020</v>
      </c>
      <c r="M698" s="0" t="s">
        <v>2496</v>
      </c>
      <c r="N698" s="0" t="s">
        <v>146</v>
      </c>
      <c r="Q698" s="0" t="s">
        <v>2503</v>
      </c>
      <c r="R698" s="0" t="s">
        <v>2504</v>
      </c>
      <c r="U698" s="0" t="s">
        <v>148</v>
      </c>
      <c r="V698" s="0" t="s">
        <v>148</v>
      </c>
      <c r="Y698" s="0" t="s">
        <v>1651</v>
      </c>
      <c r="Z698" s="0" t="s">
        <v>1652</v>
      </c>
      <c r="AA698" s="0" t="s">
        <v>2442</v>
      </c>
      <c r="AC698" s="0" t="s">
        <v>2443</v>
      </c>
    </row>
    <row r="699" customFormat="false" ht="15" hidden="false" customHeight="false" outlineLevel="0" collapsed="false">
      <c r="A699" s="0" t="s">
        <v>2547</v>
      </c>
      <c r="B699" s="0" t="s">
        <v>138</v>
      </c>
      <c r="C699" s="0" t="s">
        <v>2105</v>
      </c>
      <c r="D699" s="0" t="n">
        <v>2020</v>
      </c>
      <c r="E699" s="0" t="s">
        <v>68</v>
      </c>
      <c r="F699" s="0" t="n">
        <v>22564</v>
      </c>
      <c r="G699" s="0" t="s">
        <v>1681</v>
      </c>
      <c r="H699" s="0" t="s">
        <v>1648</v>
      </c>
      <c r="I699" s="0" t="n">
        <v>22564</v>
      </c>
      <c r="J699" s="0" t="s">
        <v>2439</v>
      </c>
      <c r="L699" s="0" t="n">
        <v>2020</v>
      </c>
      <c r="M699" s="0" t="s">
        <v>2496</v>
      </c>
      <c r="N699" s="0" t="s">
        <v>146</v>
      </c>
      <c r="Q699" s="0" t="s">
        <v>2503</v>
      </c>
      <c r="R699" s="0" t="s">
        <v>2504</v>
      </c>
      <c r="U699" s="0" t="s">
        <v>148</v>
      </c>
      <c r="V699" s="0" t="s">
        <v>148</v>
      </c>
      <c r="Y699" s="0" t="s">
        <v>1651</v>
      </c>
      <c r="Z699" s="0" t="s">
        <v>1652</v>
      </c>
      <c r="AA699" s="0" t="s">
        <v>2442</v>
      </c>
      <c r="AC699" s="0" t="s">
        <v>2443</v>
      </c>
    </row>
    <row r="700" customFormat="false" ht="15" hidden="false" customHeight="false" outlineLevel="0" collapsed="false">
      <c r="A700" s="0" t="s">
        <v>2548</v>
      </c>
      <c r="B700" s="0" t="s">
        <v>138</v>
      </c>
      <c r="C700" s="0" t="s">
        <v>2105</v>
      </c>
      <c r="D700" s="0" t="n">
        <v>2021</v>
      </c>
      <c r="E700" s="0" t="s">
        <v>54</v>
      </c>
      <c r="F700" s="0" t="n">
        <v>19180</v>
      </c>
      <c r="G700" s="0" t="s">
        <v>1681</v>
      </c>
      <c r="H700" s="0" t="s">
        <v>1648</v>
      </c>
      <c r="I700" s="0" t="n">
        <v>19180</v>
      </c>
      <c r="J700" s="0" t="s">
        <v>2439</v>
      </c>
      <c r="L700" s="0" t="n">
        <v>2022</v>
      </c>
      <c r="M700" s="0" t="s">
        <v>2549</v>
      </c>
      <c r="N700" s="0" t="s">
        <v>149</v>
      </c>
      <c r="Q700" s="0" t="n">
        <v>58</v>
      </c>
      <c r="R700" s="0" t="n">
        <v>58</v>
      </c>
      <c r="U700" s="0" t="s">
        <v>150</v>
      </c>
      <c r="V700" s="0" t="s">
        <v>150</v>
      </c>
      <c r="Y700" s="0" t="s">
        <v>1651</v>
      </c>
      <c r="Z700" s="0" t="s">
        <v>1652</v>
      </c>
      <c r="AA700" s="0" t="s">
        <v>2442</v>
      </c>
      <c r="AC700" s="0" t="s">
        <v>2443</v>
      </c>
    </row>
    <row r="701" customFormat="false" ht="15" hidden="false" customHeight="false" outlineLevel="0" collapsed="false">
      <c r="A701" s="0" t="s">
        <v>2550</v>
      </c>
      <c r="B701" s="0" t="s">
        <v>138</v>
      </c>
      <c r="C701" s="0" t="s">
        <v>2105</v>
      </c>
      <c r="D701" s="0" t="n">
        <v>2021</v>
      </c>
      <c r="E701" s="0" t="s">
        <v>55</v>
      </c>
      <c r="F701" s="0" t="n">
        <v>2567441</v>
      </c>
      <c r="G701" s="0" t="s">
        <v>1681</v>
      </c>
      <c r="H701" s="0" t="s">
        <v>1648</v>
      </c>
      <c r="I701" s="0" t="n">
        <v>2567441</v>
      </c>
      <c r="J701" s="0" t="s">
        <v>2439</v>
      </c>
      <c r="L701" s="0" t="n">
        <v>2022</v>
      </c>
      <c r="M701" s="0" t="s">
        <v>2549</v>
      </c>
      <c r="N701" s="0" t="s">
        <v>149</v>
      </c>
      <c r="Q701" s="0" t="n">
        <v>60</v>
      </c>
      <c r="R701" s="0" t="n">
        <v>60</v>
      </c>
      <c r="U701" s="0" t="s">
        <v>150</v>
      </c>
      <c r="V701" s="0" t="s">
        <v>150</v>
      </c>
      <c r="Y701" s="0" t="s">
        <v>1651</v>
      </c>
      <c r="Z701" s="0" t="s">
        <v>1652</v>
      </c>
      <c r="AA701" s="0" t="s">
        <v>2442</v>
      </c>
      <c r="AC701" s="0" t="s">
        <v>2443</v>
      </c>
    </row>
    <row r="702" customFormat="false" ht="15" hidden="false" customHeight="false" outlineLevel="0" collapsed="false">
      <c r="A702" s="0" t="s">
        <v>2551</v>
      </c>
      <c r="B702" s="0" t="s">
        <v>138</v>
      </c>
      <c r="C702" s="0" t="s">
        <v>2105</v>
      </c>
      <c r="D702" s="0" t="n">
        <v>2021</v>
      </c>
      <c r="E702" s="0" t="s">
        <v>56</v>
      </c>
      <c r="F702" s="0" t="n">
        <v>2315954</v>
      </c>
      <c r="G702" s="0" t="s">
        <v>1681</v>
      </c>
      <c r="H702" s="0" t="s">
        <v>1648</v>
      </c>
      <c r="I702" s="0" t="n">
        <v>2315954</v>
      </c>
      <c r="J702" s="0" t="s">
        <v>2439</v>
      </c>
      <c r="L702" s="0" t="n">
        <v>2022</v>
      </c>
      <c r="M702" s="0" t="s">
        <v>2549</v>
      </c>
      <c r="N702" s="0" t="s">
        <v>149</v>
      </c>
      <c r="Q702" s="0" t="n">
        <v>60</v>
      </c>
      <c r="R702" s="0" t="n">
        <v>60</v>
      </c>
      <c r="U702" s="0" t="s">
        <v>150</v>
      </c>
      <c r="V702" s="0" t="s">
        <v>150</v>
      </c>
      <c r="Y702" s="0" t="s">
        <v>1651</v>
      </c>
      <c r="Z702" s="0" t="s">
        <v>1652</v>
      </c>
      <c r="AA702" s="0" t="s">
        <v>2442</v>
      </c>
      <c r="AC702" s="0" t="s">
        <v>2443</v>
      </c>
    </row>
    <row r="703" customFormat="false" ht="15" hidden="false" customHeight="false" outlineLevel="0" collapsed="false">
      <c r="A703" s="0" t="s">
        <v>2552</v>
      </c>
      <c r="B703" s="0" t="s">
        <v>138</v>
      </c>
      <c r="C703" s="0" t="s">
        <v>2105</v>
      </c>
      <c r="D703" s="0" t="n">
        <v>2021</v>
      </c>
      <c r="E703" s="0" t="s">
        <v>57</v>
      </c>
      <c r="F703" s="0" t="n">
        <v>251487</v>
      </c>
      <c r="G703" s="0" t="s">
        <v>1681</v>
      </c>
      <c r="H703" s="0" t="s">
        <v>1648</v>
      </c>
      <c r="I703" s="0" t="n">
        <v>251487</v>
      </c>
      <c r="J703" s="0" t="s">
        <v>2439</v>
      </c>
      <c r="L703" s="0" t="n">
        <v>2022</v>
      </c>
      <c r="M703" s="0" t="s">
        <v>2549</v>
      </c>
      <c r="N703" s="0" t="s">
        <v>149</v>
      </c>
      <c r="Q703" s="0" t="n">
        <v>60</v>
      </c>
      <c r="R703" s="0" t="n">
        <v>60</v>
      </c>
      <c r="U703" s="0" t="s">
        <v>150</v>
      </c>
      <c r="V703" s="0" t="s">
        <v>150</v>
      </c>
      <c r="Y703" s="0" t="s">
        <v>1651</v>
      </c>
      <c r="Z703" s="0" t="s">
        <v>1652</v>
      </c>
      <c r="AA703" s="0" t="s">
        <v>2442</v>
      </c>
      <c r="AC703" s="0" t="s">
        <v>2443</v>
      </c>
    </row>
    <row r="704" customFormat="false" ht="15" hidden="false" customHeight="false" outlineLevel="0" collapsed="false">
      <c r="A704" s="0" t="s">
        <v>2553</v>
      </c>
      <c r="B704" s="0" t="s">
        <v>138</v>
      </c>
      <c r="C704" s="0" t="s">
        <v>2105</v>
      </c>
      <c r="D704" s="0" t="n">
        <v>2021</v>
      </c>
      <c r="E704" s="0" t="s">
        <v>58</v>
      </c>
      <c r="F704" s="0" t="n">
        <v>252140</v>
      </c>
      <c r="G704" s="0" t="s">
        <v>1681</v>
      </c>
      <c r="H704" s="0" t="s">
        <v>1648</v>
      </c>
      <c r="I704" s="0" t="n">
        <v>252140</v>
      </c>
      <c r="J704" s="0" t="s">
        <v>2439</v>
      </c>
      <c r="L704" s="0" t="n">
        <v>2022</v>
      </c>
      <c r="M704" s="0" t="s">
        <v>2549</v>
      </c>
      <c r="N704" s="0" t="s">
        <v>149</v>
      </c>
      <c r="Q704" s="0" t="n">
        <v>65</v>
      </c>
      <c r="R704" s="0" t="n">
        <v>65</v>
      </c>
      <c r="U704" s="0" t="s">
        <v>150</v>
      </c>
      <c r="V704" s="0" t="s">
        <v>150</v>
      </c>
      <c r="Y704" s="0" t="s">
        <v>1651</v>
      </c>
      <c r="Z704" s="0" t="s">
        <v>1652</v>
      </c>
      <c r="AA704" s="0" t="s">
        <v>2442</v>
      </c>
      <c r="AC704" s="0" t="s">
        <v>2443</v>
      </c>
    </row>
    <row r="705" customFormat="false" ht="15" hidden="false" customHeight="false" outlineLevel="0" collapsed="false">
      <c r="A705" s="0" t="s">
        <v>2554</v>
      </c>
      <c r="B705" s="0" t="s">
        <v>138</v>
      </c>
      <c r="C705" s="0" t="s">
        <v>2105</v>
      </c>
      <c r="D705" s="0" t="n">
        <v>2021</v>
      </c>
      <c r="E705" s="0" t="s">
        <v>59</v>
      </c>
      <c r="F705" s="0" t="n">
        <v>2073758</v>
      </c>
      <c r="G705" s="0" t="s">
        <v>1681</v>
      </c>
      <c r="H705" s="0" t="s">
        <v>1648</v>
      </c>
      <c r="I705" s="0" t="n">
        <v>2073758</v>
      </c>
      <c r="J705" s="0" t="s">
        <v>2439</v>
      </c>
      <c r="L705" s="0" t="n">
        <v>2020</v>
      </c>
      <c r="M705" s="0" t="s">
        <v>2496</v>
      </c>
      <c r="N705" s="0" t="s">
        <v>146</v>
      </c>
      <c r="Q705" s="0" t="n">
        <v>54</v>
      </c>
      <c r="R705" s="0" t="n">
        <v>52</v>
      </c>
      <c r="U705" s="0" t="s">
        <v>150</v>
      </c>
      <c r="V705" s="0" t="s">
        <v>150</v>
      </c>
      <c r="Y705" s="0" t="s">
        <v>1651</v>
      </c>
      <c r="Z705" s="0" t="s">
        <v>1652</v>
      </c>
      <c r="AA705" s="0" t="s">
        <v>2449</v>
      </c>
      <c r="AC705" s="0" t="s">
        <v>2443</v>
      </c>
    </row>
    <row r="706" customFormat="false" ht="15" hidden="false" customHeight="false" outlineLevel="0" collapsed="false">
      <c r="A706" s="0" t="s">
        <v>2555</v>
      </c>
      <c r="B706" s="0" t="s">
        <v>138</v>
      </c>
      <c r="C706" s="0" t="s">
        <v>2105</v>
      </c>
      <c r="D706" s="0" t="n">
        <v>2021</v>
      </c>
      <c r="E706" s="0" t="s">
        <v>60</v>
      </c>
      <c r="F706" s="0" t="n">
        <v>899106</v>
      </c>
      <c r="G706" s="0" t="s">
        <v>1681</v>
      </c>
      <c r="H706" s="0" t="s">
        <v>1648</v>
      </c>
      <c r="I706" s="0" t="n">
        <v>899106</v>
      </c>
      <c r="J706" s="0" t="s">
        <v>2439</v>
      </c>
      <c r="L706" s="0" t="n">
        <v>2022</v>
      </c>
      <c r="M706" s="0" t="s">
        <v>2549</v>
      </c>
      <c r="N706" s="0" t="s">
        <v>149</v>
      </c>
      <c r="Q706" s="0" t="s">
        <v>2556</v>
      </c>
      <c r="R706" s="0" t="s">
        <v>2556</v>
      </c>
      <c r="U706" s="0" t="s">
        <v>150</v>
      </c>
      <c r="V706" s="0" t="s">
        <v>150</v>
      </c>
      <c r="Y706" s="0" t="s">
        <v>1651</v>
      </c>
      <c r="Z706" s="0" t="s">
        <v>1652</v>
      </c>
      <c r="AA706" s="0" t="s">
        <v>2442</v>
      </c>
      <c r="AC706" s="0" t="s">
        <v>2443</v>
      </c>
    </row>
    <row r="707" customFormat="false" ht="15" hidden="false" customHeight="false" outlineLevel="0" collapsed="false">
      <c r="A707" s="0" t="s">
        <v>2557</v>
      </c>
      <c r="B707" s="0" t="s">
        <v>138</v>
      </c>
      <c r="C707" s="0" t="s">
        <v>2105</v>
      </c>
      <c r="D707" s="0" t="n">
        <v>2021</v>
      </c>
      <c r="E707" s="0" t="s">
        <v>61</v>
      </c>
      <c r="F707" s="0" t="n">
        <v>30266</v>
      </c>
      <c r="G707" s="0" t="s">
        <v>1681</v>
      </c>
      <c r="H707" s="0" t="s">
        <v>1648</v>
      </c>
      <c r="I707" s="0" t="n">
        <v>30266</v>
      </c>
      <c r="J707" s="0" t="s">
        <v>2439</v>
      </c>
      <c r="L707" s="0" t="n">
        <v>2022</v>
      </c>
      <c r="M707" s="0" t="s">
        <v>2549</v>
      </c>
      <c r="N707" s="0" t="s">
        <v>149</v>
      </c>
      <c r="Q707" s="0" t="s">
        <v>2556</v>
      </c>
      <c r="R707" s="0" t="s">
        <v>2556</v>
      </c>
      <c r="U707" s="0" t="s">
        <v>150</v>
      </c>
      <c r="V707" s="0" t="s">
        <v>150</v>
      </c>
      <c r="Y707" s="0" t="s">
        <v>1651</v>
      </c>
      <c r="Z707" s="0" t="s">
        <v>1652</v>
      </c>
      <c r="AA707" s="0" t="s">
        <v>2442</v>
      </c>
      <c r="AC707" s="0" t="s">
        <v>2443</v>
      </c>
    </row>
    <row r="708" customFormat="false" ht="15" hidden="false" customHeight="false" outlineLevel="0" collapsed="false">
      <c r="A708" s="0" t="s">
        <v>2558</v>
      </c>
      <c r="B708" s="0" t="s">
        <v>138</v>
      </c>
      <c r="C708" s="0" t="s">
        <v>2105</v>
      </c>
      <c r="D708" s="0" t="n">
        <v>2021</v>
      </c>
      <c r="E708" s="0" t="s">
        <v>62</v>
      </c>
      <c r="F708" s="0" t="n">
        <v>868840</v>
      </c>
      <c r="G708" s="0" t="s">
        <v>1681</v>
      </c>
      <c r="H708" s="0" t="s">
        <v>1648</v>
      </c>
      <c r="I708" s="0" t="n">
        <v>868840</v>
      </c>
      <c r="J708" s="0" t="s">
        <v>2439</v>
      </c>
      <c r="L708" s="0" t="n">
        <v>2022</v>
      </c>
      <c r="M708" s="0" t="s">
        <v>2549</v>
      </c>
      <c r="N708" s="0" t="s">
        <v>149</v>
      </c>
      <c r="Q708" s="0" t="s">
        <v>2556</v>
      </c>
      <c r="R708" s="0" t="s">
        <v>2556</v>
      </c>
      <c r="U708" s="0" t="s">
        <v>150</v>
      </c>
      <c r="V708" s="0" t="s">
        <v>150</v>
      </c>
      <c r="Y708" s="0" t="s">
        <v>1651</v>
      </c>
      <c r="Z708" s="0" t="s">
        <v>1652</v>
      </c>
      <c r="AA708" s="0" t="s">
        <v>2442</v>
      </c>
      <c r="AC708" s="0" t="s">
        <v>2443</v>
      </c>
    </row>
    <row r="709" customFormat="false" ht="15" hidden="false" customHeight="false" outlineLevel="0" collapsed="false">
      <c r="A709" s="0" t="s">
        <v>2559</v>
      </c>
      <c r="B709" s="0" t="s">
        <v>138</v>
      </c>
      <c r="C709" s="0" t="s">
        <v>2105</v>
      </c>
      <c r="D709" s="0" t="n">
        <v>2021</v>
      </c>
      <c r="E709" s="0" t="s">
        <v>402</v>
      </c>
      <c r="F709" s="0" t="n">
        <v>20532</v>
      </c>
      <c r="G709" s="0" t="s">
        <v>1681</v>
      </c>
      <c r="H709" s="0" t="s">
        <v>1648</v>
      </c>
      <c r="I709" s="0" t="n">
        <v>20532</v>
      </c>
      <c r="J709" s="0" t="s">
        <v>2439</v>
      </c>
      <c r="L709" s="0" t="n">
        <v>2022</v>
      </c>
      <c r="M709" s="0" t="s">
        <v>2549</v>
      </c>
      <c r="N709" s="0" t="s">
        <v>149</v>
      </c>
      <c r="Q709" s="0" t="n">
        <v>58</v>
      </c>
      <c r="R709" s="0" t="n">
        <v>58</v>
      </c>
      <c r="U709" s="0" t="s">
        <v>150</v>
      </c>
      <c r="V709" s="0" t="s">
        <v>150</v>
      </c>
      <c r="Y709" s="0" t="s">
        <v>1651</v>
      </c>
      <c r="Z709" s="0" t="s">
        <v>1652</v>
      </c>
      <c r="AA709" s="0" t="s">
        <v>2442</v>
      </c>
      <c r="AC709" s="0" t="s">
        <v>2443</v>
      </c>
    </row>
    <row r="710" customFormat="false" ht="15" hidden="false" customHeight="false" outlineLevel="0" collapsed="false">
      <c r="A710" s="0" t="s">
        <v>2560</v>
      </c>
      <c r="B710" s="0" t="s">
        <v>138</v>
      </c>
      <c r="C710" s="0" t="s">
        <v>2105</v>
      </c>
      <c r="D710" s="0" t="n">
        <v>2021</v>
      </c>
      <c r="E710" s="0" t="s">
        <v>670</v>
      </c>
      <c r="F710" s="0" t="n">
        <v>175006</v>
      </c>
      <c r="G710" s="0" t="s">
        <v>1681</v>
      </c>
      <c r="H710" s="0" t="s">
        <v>1648</v>
      </c>
      <c r="I710" s="0" t="n">
        <v>175006</v>
      </c>
      <c r="J710" s="0" t="s">
        <v>2439</v>
      </c>
      <c r="L710" s="0" t="n">
        <v>2022</v>
      </c>
      <c r="M710" s="0" t="s">
        <v>2549</v>
      </c>
      <c r="N710" s="0" t="s">
        <v>149</v>
      </c>
      <c r="Q710" s="0" t="n">
        <v>58</v>
      </c>
      <c r="R710" s="0" t="n">
        <v>58</v>
      </c>
      <c r="U710" s="0" t="s">
        <v>150</v>
      </c>
      <c r="V710" s="0" t="s">
        <v>150</v>
      </c>
      <c r="Y710" s="0" t="s">
        <v>1651</v>
      </c>
      <c r="Z710" s="0" t="s">
        <v>1652</v>
      </c>
      <c r="AA710" s="0" t="s">
        <v>2442</v>
      </c>
      <c r="AC710" s="0" t="s">
        <v>2443</v>
      </c>
    </row>
    <row r="711" customFormat="false" ht="15" hidden="false" customHeight="false" outlineLevel="0" collapsed="false">
      <c r="A711" s="0" t="s">
        <v>2561</v>
      </c>
      <c r="B711" s="0" t="s">
        <v>138</v>
      </c>
      <c r="C711" s="0" t="s">
        <v>2105</v>
      </c>
      <c r="D711" s="0" t="n">
        <v>2021</v>
      </c>
      <c r="E711" s="0" t="s">
        <v>63</v>
      </c>
      <c r="F711" s="0" t="n">
        <v>286</v>
      </c>
      <c r="G711" s="0" t="s">
        <v>1681</v>
      </c>
      <c r="H711" s="0" t="s">
        <v>1648</v>
      </c>
      <c r="I711" s="0" t="n">
        <v>286</v>
      </c>
      <c r="J711" s="0" t="s">
        <v>2439</v>
      </c>
      <c r="L711" s="0" t="n">
        <v>2022</v>
      </c>
      <c r="M711" s="0" t="s">
        <v>2549</v>
      </c>
      <c r="N711" s="0" t="s">
        <v>149</v>
      </c>
      <c r="Q711" s="0" t="n">
        <v>58</v>
      </c>
      <c r="R711" s="0" t="n">
        <v>58</v>
      </c>
      <c r="U711" s="0" t="s">
        <v>150</v>
      </c>
      <c r="V711" s="0" t="s">
        <v>150</v>
      </c>
      <c r="Y711" s="0" t="s">
        <v>1651</v>
      </c>
      <c r="Z711" s="0" t="s">
        <v>1652</v>
      </c>
      <c r="AA711" s="0" t="s">
        <v>2456</v>
      </c>
      <c r="AC711" s="0" t="s">
        <v>2443</v>
      </c>
    </row>
    <row r="712" customFormat="false" ht="15" hidden="false" customHeight="false" outlineLevel="0" collapsed="false">
      <c r="A712" s="0" t="s">
        <v>2562</v>
      </c>
      <c r="B712" s="0" t="s">
        <v>138</v>
      </c>
      <c r="C712" s="0" t="s">
        <v>2105</v>
      </c>
      <c r="D712" s="0" t="n">
        <v>2021</v>
      </c>
      <c r="E712" s="0" t="s">
        <v>710</v>
      </c>
      <c r="F712" s="0" t="n">
        <v>-34</v>
      </c>
      <c r="G712" s="0" t="s">
        <v>1681</v>
      </c>
      <c r="H712" s="0" t="s">
        <v>1648</v>
      </c>
      <c r="I712" s="0" t="n">
        <v>-34</v>
      </c>
      <c r="J712" s="0" t="s">
        <v>2439</v>
      </c>
      <c r="L712" s="0" t="n">
        <v>2022</v>
      </c>
      <c r="M712" s="0" t="s">
        <v>2549</v>
      </c>
      <c r="N712" s="0" t="s">
        <v>149</v>
      </c>
      <c r="Q712" s="0" t="n">
        <v>58</v>
      </c>
      <c r="R712" s="0" t="n">
        <v>58</v>
      </c>
      <c r="U712" s="0" t="s">
        <v>150</v>
      </c>
      <c r="V712" s="0" t="s">
        <v>150</v>
      </c>
      <c r="Y712" s="0" t="s">
        <v>1651</v>
      </c>
      <c r="Z712" s="0" t="s">
        <v>1652</v>
      </c>
      <c r="AA712" s="0" t="s">
        <v>2442</v>
      </c>
      <c r="AC712" s="0" t="s">
        <v>2443</v>
      </c>
    </row>
    <row r="713" customFormat="false" ht="15" hidden="false" customHeight="false" outlineLevel="0" collapsed="false">
      <c r="A713" s="0" t="s">
        <v>2563</v>
      </c>
      <c r="B713" s="0" t="s">
        <v>138</v>
      </c>
      <c r="C713" s="0" t="s">
        <v>2105</v>
      </c>
      <c r="D713" s="0" t="n">
        <v>2021</v>
      </c>
      <c r="E713" s="0" t="s">
        <v>557</v>
      </c>
      <c r="F713" s="0" t="n">
        <v>320</v>
      </c>
      <c r="G713" s="0" t="s">
        <v>1681</v>
      </c>
      <c r="H713" s="0" t="s">
        <v>1648</v>
      </c>
      <c r="I713" s="0" t="n">
        <v>320</v>
      </c>
      <c r="J713" s="0" t="s">
        <v>2439</v>
      </c>
      <c r="L713" s="0" t="n">
        <v>2022</v>
      </c>
      <c r="M713" s="0" t="s">
        <v>2549</v>
      </c>
      <c r="N713" s="0" t="s">
        <v>149</v>
      </c>
      <c r="Q713" s="0" t="n">
        <v>58</v>
      </c>
      <c r="R713" s="0" t="n">
        <v>58</v>
      </c>
      <c r="U713" s="0" t="s">
        <v>150</v>
      </c>
      <c r="V713" s="0" t="s">
        <v>150</v>
      </c>
      <c r="Y713" s="0" t="s">
        <v>1651</v>
      </c>
      <c r="Z713" s="0" t="s">
        <v>1652</v>
      </c>
      <c r="AA713" s="0" t="s">
        <v>2442</v>
      </c>
      <c r="AC713" s="0" t="s">
        <v>2443</v>
      </c>
    </row>
    <row r="714" customFormat="false" ht="15" hidden="false" customHeight="false" outlineLevel="0" collapsed="false">
      <c r="A714" s="0" t="s">
        <v>2564</v>
      </c>
      <c r="B714" s="0" t="s">
        <v>138</v>
      </c>
      <c r="C714" s="0" t="s">
        <v>2105</v>
      </c>
      <c r="D714" s="0" t="n">
        <v>2021</v>
      </c>
      <c r="E714" s="0" t="s">
        <v>69</v>
      </c>
      <c r="F714" s="0" t="n">
        <v>14.61</v>
      </c>
      <c r="G714" s="0" t="s">
        <v>1723</v>
      </c>
      <c r="I714" s="0" t="n">
        <v>14.61</v>
      </c>
      <c r="J714" s="0" t="s">
        <v>2439</v>
      </c>
      <c r="L714" s="0" t="n">
        <v>2022</v>
      </c>
      <c r="M714" s="0" t="s">
        <v>2549</v>
      </c>
      <c r="N714" s="0" t="s">
        <v>149</v>
      </c>
      <c r="Q714" s="0" t="s">
        <v>2565</v>
      </c>
      <c r="R714" s="0" t="s">
        <v>2565</v>
      </c>
      <c r="U714" s="0" t="s">
        <v>150</v>
      </c>
      <c r="V714" s="0" t="s">
        <v>150</v>
      </c>
      <c r="Y714" s="0" t="s">
        <v>1651</v>
      </c>
      <c r="Z714" s="0" t="s">
        <v>1652</v>
      </c>
      <c r="AA714" s="0" t="s">
        <v>2442</v>
      </c>
      <c r="AC714" s="0" t="s">
        <v>2443</v>
      </c>
    </row>
    <row r="715" customFormat="false" ht="15" hidden="false" customHeight="false" outlineLevel="0" collapsed="false">
      <c r="A715" s="0" t="s">
        <v>2566</v>
      </c>
      <c r="B715" s="0" t="s">
        <v>138</v>
      </c>
      <c r="C715" s="0" t="s">
        <v>2105</v>
      </c>
      <c r="D715" s="0" t="n">
        <v>2021</v>
      </c>
      <c r="E715" s="0" t="s">
        <v>65</v>
      </c>
      <c r="F715" s="0" t="n">
        <v>156040</v>
      </c>
      <c r="G715" s="0" t="s">
        <v>1681</v>
      </c>
      <c r="H715" s="0" t="s">
        <v>1648</v>
      </c>
      <c r="I715" s="0" t="n">
        <v>156040</v>
      </c>
      <c r="J715" s="0" t="s">
        <v>2439</v>
      </c>
      <c r="L715" s="0" t="n">
        <v>2022</v>
      </c>
      <c r="M715" s="0" t="s">
        <v>2549</v>
      </c>
      <c r="N715" s="0" t="s">
        <v>149</v>
      </c>
      <c r="Q715" s="0" t="s">
        <v>2565</v>
      </c>
      <c r="R715" s="0" t="s">
        <v>2565</v>
      </c>
      <c r="U715" s="0" t="s">
        <v>150</v>
      </c>
      <c r="V715" s="0" t="s">
        <v>150</v>
      </c>
      <c r="Y715" s="0" t="s">
        <v>1651</v>
      </c>
      <c r="Z715" s="0" t="s">
        <v>1652</v>
      </c>
      <c r="AA715" s="0" t="s">
        <v>2442</v>
      </c>
      <c r="AC715" s="0" t="s">
        <v>2443</v>
      </c>
    </row>
    <row r="716" customFormat="false" ht="15" hidden="false" customHeight="false" outlineLevel="0" collapsed="false">
      <c r="A716" s="0" t="s">
        <v>2567</v>
      </c>
      <c r="B716" s="0" t="s">
        <v>138</v>
      </c>
      <c r="C716" s="0" t="s">
        <v>2105</v>
      </c>
      <c r="D716" s="0" t="n">
        <v>2021</v>
      </c>
      <c r="E716" s="0" t="s">
        <v>66</v>
      </c>
      <c r="F716" s="0" t="n">
        <v>1068135</v>
      </c>
      <c r="G716" s="0" t="s">
        <v>1681</v>
      </c>
      <c r="H716" s="0" t="s">
        <v>1648</v>
      </c>
      <c r="I716" s="0" t="n">
        <v>1068135</v>
      </c>
      <c r="J716" s="0" t="s">
        <v>2439</v>
      </c>
      <c r="L716" s="0" t="n">
        <v>2022</v>
      </c>
      <c r="M716" s="0" t="s">
        <v>2549</v>
      </c>
      <c r="N716" s="0" t="s">
        <v>149</v>
      </c>
      <c r="Q716" s="0" t="s">
        <v>2565</v>
      </c>
      <c r="R716" s="0" t="s">
        <v>2565</v>
      </c>
      <c r="U716" s="0" t="s">
        <v>150</v>
      </c>
      <c r="V716" s="0" t="s">
        <v>150</v>
      </c>
      <c r="Y716" s="0" t="s">
        <v>1651</v>
      </c>
      <c r="Z716" s="0" t="s">
        <v>1652</v>
      </c>
      <c r="AA716" s="0" t="s">
        <v>2442</v>
      </c>
      <c r="AC716" s="0" t="s">
        <v>2443</v>
      </c>
    </row>
    <row r="717" customFormat="false" ht="15" hidden="false" customHeight="false" outlineLevel="0" collapsed="false">
      <c r="A717" s="0" t="s">
        <v>2568</v>
      </c>
      <c r="B717" s="0" t="s">
        <v>138</v>
      </c>
      <c r="C717" s="0" t="s">
        <v>2105</v>
      </c>
      <c r="D717" s="0" t="n">
        <v>2021</v>
      </c>
      <c r="E717" s="0" t="s">
        <v>64</v>
      </c>
      <c r="F717" s="0" t="n">
        <v>38660</v>
      </c>
      <c r="G717" s="0" t="s">
        <v>1681</v>
      </c>
      <c r="H717" s="0" t="s">
        <v>1648</v>
      </c>
      <c r="I717" s="0" t="n">
        <v>38660</v>
      </c>
      <c r="J717" s="0" t="s">
        <v>2439</v>
      </c>
      <c r="L717" s="0" t="n">
        <v>2022</v>
      </c>
      <c r="M717" s="0" t="s">
        <v>2549</v>
      </c>
      <c r="N717" s="0" t="s">
        <v>149</v>
      </c>
      <c r="Q717" s="0" t="n">
        <v>113</v>
      </c>
      <c r="R717" s="0" t="n">
        <v>113</v>
      </c>
      <c r="U717" s="0" t="s">
        <v>150</v>
      </c>
      <c r="V717" s="0" t="s">
        <v>150</v>
      </c>
      <c r="Y717" s="0" t="s">
        <v>1651</v>
      </c>
      <c r="Z717" s="0" t="s">
        <v>1652</v>
      </c>
      <c r="AA717" s="0" t="s">
        <v>2442</v>
      </c>
      <c r="AC717" s="0" t="s">
        <v>2443</v>
      </c>
    </row>
    <row r="718" customFormat="false" ht="15" hidden="false" customHeight="false" outlineLevel="0" collapsed="false">
      <c r="A718" s="0" t="s">
        <v>2569</v>
      </c>
      <c r="B718" s="0" t="s">
        <v>138</v>
      </c>
      <c r="C718" s="0" t="s">
        <v>2105</v>
      </c>
      <c r="D718" s="0" t="n">
        <v>2021</v>
      </c>
      <c r="E718" s="0" t="s">
        <v>67</v>
      </c>
      <c r="F718" s="0" t="n">
        <v>62064</v>
      </c>
      <c r="G718" s="0" t="s">
        <v>1681</v>
      </c>
      <c r="H718" s="0" t="s">
        <v>1648</v>
      </c>
      <c r="I718" s="0" t="n">
        <v>62064</v>
      </c>
      <c r="J718" s="0" t="s">
        <v>2439</v>
      </c>
      <c r="L718" s="0" t="n">
        <v>2022</v>
      </c>
      <c r="M718" s="0" t="s">
        <v>2549</v>
      </c>
      <c r="N718" s="0" t="s">
        <v>149</v>
      </c>
      <c r="Q718" s="0" t="s">
        <v>2556</v>
      </c>
      <c r="R718" s="0" t="s">
        <v>2556</v>
      </c>
      <c r="U718" s="0" t="s">
        <v>150</v>
      </c>
      <c r="V718" s="0" t="s">
        <v>150</v>
      </c>
      <c r="Y718" s="0" t="s">
        <v>1651</v>
      </c>
      <c r="Z718" s="0" t="s">
        <v>1652</v>
      </c>
      <c r="AA718" s="0" t="s">
        <v>2442</v>
      </c>
      <c r="AC718" s="0" t="s">
        <v>2443</v>
      </c>
    </row>
    <row r="719" customFormat="false" ht="15" hidden="false" customHeight="false" outlineLevel="0" collapsed="false">
      <c r="A719" s="0" t="s">
        <v>2570</v>
      </c>
      <c r="B719" s="0" t="s">
        <v>138</v>
      </c>
      <c r="C719" s="0" t="s">
        <v>2105</v>
      </c>
      <c r="D719" s="0" t="n">
        <v>2021</v>
      </c>
      <c r="E719" s="0" t="s">
        <v>68</v>
      </c>
      <c r="F719" s="0" t="n">
        <v>13274</v>
      </c>
      <c r="G719" s="0" t="s">
        <v>1681</v>
      </c>
      <c r="H719" s="0" t="s">
        <v>1648</v>
      </c>
      <c r="I719" s="0" t="n">
        <v>13274</v>
      </c>
      <c r="J719" s="0" t="s">
        <v>2439</v>
      </c>
      <c r="L719" s="0" t="n">
        <v>2022</v>
      </c>
      <c r="M719" s="0" t="s">
        <v>2549</v>
      </c>
      <c r="N719" s="0" t="s">
        <v>149</v>
      </c>
      <c r="Q719" s="0" t="s">
        <v>2556</v>
      </c>
      <c r="R719" s="0" t="s">
        <v>2556</v>
      </c>
      <c r="U719" s="0" t="s">
        <v>150</v>
      </c>
      <c r="V719" s="0" t="s">
        <v>150</v>
      </c>
      <c r="Y719" s="0" t="s">
        <v>1651</v>
      </c>
      <c r="Z719" s="0" t="s">
        <v>1652</v>
      </c>
      <c r="AA719" s="0" t="s">
        <v>2442</v>
      </c>
      <c r="AC719" s="0" t="s">
        <v>2443</v>
      </c>
    </row>
    <row r="720" customFormat="false" ht="15" hidden="false" customHeight="false" outlineLevel="0" collapsed="false">
      <c r="A720" s="0" t="s">
        <v>2571</v>
      </c>
      <c r="B720" s="0" t="s">
        <v>138</v>
      </c>
      <c r="C720" s="0" t="s">
        <v>2105</v>
      </c>
      <c r="D720" s="0" t="n">
        <v>2021</v>
      </c>
      <c r="E720" s="0" t="s">
        <v>2494</v>
      </c>
      <c r="F720" s="0" t="n">
        <v>23404</v>
      </c>
      <c r="G720" s="0" t="s">
        <v>1681</v>
      </c>
      <c r="H720" s="0" t="s">
        <v>1648</v>
      </c>
      <c r="I720" s="0" t="n">
        <v>23404</v>
      </c>
      <c r="J720" s="0" t="s">
        <v>2439</v>
      </c>
      <c r="L720" s="0" t="n">
        <v>2022</v>
      </c>
      <c r="M720" s="0" t="s">
        <v>2549</v>
      </c>
      <c r="N720" s="0" t="s">
        <v>149</v>
      </c>
      <c r="Q720" s="0" t="n">
        <v>113</v>
      </c>
      <c r="R720" s="0" t="n">
        <v>113</v>
      </c>
      <c r="U720" s="0" t="s">
        <v>150</v>
      </c>
      <c r="V720" s="0" t="s">
        <v>150</v>
      </c>
      <c r="Y720" s="0" t="s">
        <v>1651</v>
      </c>
      <c r="Z720" s="0" t="s">
        <v>1652</v>
      </c>
      <c r="AA720" s="0" t="s">
        <v>2442</v>
      </c>
      <c r="AC720" s="0" t="s">
        <v>2443</v>
      </c>
    </row>
    <row r="721" customFormat="false" ht="15" hidden="false" customHeight="false" outlineLevel="0" collapsed="false">
      <c r="A721" s="0" t="s">
        <v>2572</v>
      </c>
      <c r="B721" s="0" t="s">
        <v>138</v>
      </c>
      <c r="C721" s="0" t="s">
        <v>2105</v>
      </c>
      <c r="D721" s="0" t="n">
        <v>2022</v>
      </c>
      <c r="E721" s="0" t="s">
        <v>54</v>
      </c>
      <c r="F721" s="0" t="n">
        <v>29009</v>
      </c>
      <c r="G721" s="0" t="s">
        <v>1681</v>
      </c>
      <c r="H721" s="0" t="s">
        <v>1648</v>
      </c>
      <c r="I721" s="0" t="n">
        <v>29009</v>
      </c>
      <c r="J721" s="0" t="s">
        <v>2439</v>
      </c>
      <c r="L721" s="0" t="n">
        <v>2022</v>
      </c>
      <c r="M721" s="0" t="s">
        <v>2549</v>
      </c>
      <c r="N721" s="0" t="s">
        <v>149</v>
      </c>
      <c r="Q721" s="0" t="n">
        <v>58</v>
      </c>
      <c r="R721" s="0" t="n">
        <v>58</v>
      </c>
      <c r="U721" s="0" t="s">
        <v>151</v>
      </c>
      <c r="V721" s="0" t="s">
        <v>151</v>
      </c>
      <c r="Y721" s="0" t="s">
        <v>1651</v>
      </c>
      <c r="Z721" s="0" t="s">
        <v>1652</v>
      </c>
      <c r="AA721" s="0" t="s">
        <v>2442</v>
      </c>
      <c r="AC721" s="0" t="s">
        <v>2443</v>
      </c>
    </row>
    <row r="722" customFormat="false" ht="15" hidden="false" customHeight="false" outlineLevel="0" collapsed="false">
      <c r="A722" s="0" t="s">
        <v>2573</v>
      </c>
      <c r="B722" s="0" t="s">
        <v>138</v>
      </c>
      <c r="C722" s="0" t="s">
        <v>2105</v>
      </c>
      <c r="D722" s="0" t="n">
        <v>2022</v>
      </c>
      <c r="E722" s="0" t="s">
        <v>55</v>
      </c>
      <c r="F722" s="0" t="n">
        <v>2793674</v>
      </c>
      <c r="G722" s="0" t="s">
        <v>1681</v>
      </c>
      <c r="H722" s="0" t="s">
        <v>1648</v>
      </c>
      <c r="I722" s="0" t="n">
        <v>2793674</v>
      </c>
      <c r="J722" s="0" t="s">
        <v>2439</v>
      </c>
      <c r="L722" s="0" t="n">
        <v>2022</v>
      </c>
      <c r="M722" s="0" t="s">
        <v>2549</v>
      </c>
      <c r="N722" s="0" t="s">
        <v>149</v>
      </c>
      <c r="Q722" s="0" t="n">
        <v>60</v>
      </c>
      <c r="R722" s="0" t="n">
        <v>60</v>
      </c>
      <c r="U722" s="0" t="s">
        <v>151</v>
      </c>
      <c r="V722" s="0" t="s">
        <v>151</v>
      </c>
      <c r="Y722" s="0" t="s">
        <v>1651</v>
      </c>
      <c r="Z722" s="0" t="s">
        <v>1652</v>
      </c>
      <c r="AA722" s="0" t="s">
        <v>2442</v>
      </c>
      <c r="AC722" s="0" t="s">
        <v>2443</v>
      </c>
    </row>
    <row r="723" customFormat="false" ht="15" hidden="false" customHeight="false" outlineLevel="0" collapsed="false">
      <c r="A723" s="0" t="s">
        <v>2574</v>
      </c>
      <c r="B723" s="0" t="s">
        <v>138</v>
      </c>
      <c r="C723" s="0" t="s">
        <v>2105</v>
      </c>
      <c r="D723" s="0" t="n">
        <v>2022</v>
      </c>
      <c r="E723" s="0" t="s">
        <v>56</v>
      </c>
      <c r="F723" s="0" t="n">
        <v>2503824</v>
      </c>
      <c r="G723" s="0" t="s">
        <v>1681</v>
      </c>
      <c r="H723" s="0" t="s">
        <v>1648</v>
      </c>
      <c r="I723" s="0" t="n">
        <v>2503824</v>
      </c>
      <c r="J723" s="0" t="s">
        <v>2439</v>
      </c>
      <c r="L723" s="0" t="n">
        <v>2022</v>
      </c>
      <c r="M723" s="0" t="s">
        <v>2549</v>
      </c>
      <c r="N723" s="0" t="s">
        <v>149</v>
      </c>
      <c r="Q723" s="0" t="n">
        <v>60</v>
      </c>
      <c r="R723" s="0" t="n">
        <v>60</v>
      </c>
      <c r="U723" s="0" t="s">
        <v>151</v>
      </c>
      <c r="V723" s="0" t="s">
        <v>151</v>
      </c>
      <c r="Y723" s="0" t="s">
        <v>1651</v>
      </c>
      <c r="Z723" s="0" t="s">
        <v>1652</v>
      </c>
      <c r="AA723" s="0" t="s">
        <v>2442</v>
      </c>
      <c r="AC723" s="0" t="s">
        <v>2443</v>
      </c>
    </row>
    <row r="724" customFormat="false" ht="15" hidden="false" customHeight="false" outlineLevel="0" collapsed="false">
      <c r="A724" s="0" t="s">
        <v>2575</v>
      </c>
      <c r="B724" s="0" t="s">
        <v>138</v>
      </c>
      <c r="C724" s="0" t="s">
        <v>2105</v>
      </c>
      <c r="D724" s="0" t="n">
        <v>2022</v>
      </c>
      <c r="E724" s="0" t="s">
        <v>57</v>
      </c>
      <c r="F724" s="0" t="n">
        <v>289850</v>
      </c>
      <c r="G724" s="0" t="s">
        <v>1681</v>
      </c>
      <c r="H724" s="0" t="s">
        <v>1648</v>
      </c>
      <c r="I724" s="0" t="n">
        <v>289850</v>
      </c>
      <c r="J724" s="0" t="s">
        <v>2439</v>
      </c>
      <c r="L724" s="0" t="n">
        <v>2022</v>
      </c>
      <c r="M724" s="0" t="s">
        <v>2549</v>
      </c>
      <c r="N724" s="0" t="s">
        <v>149</v>
      </c>
      <c r="Q724" s="0" t="n">
        <v>60</v>
      </c>
      <c r="R724" s="0" t="n">
        <v>60</v>
      </c>
      <c r="U724" s="0" t="s">
        <v>151</v>
      </c>
      <c r="V724" s="0" t="s">
        <v>151</v>
      </c>
      <c r="Y724" s="0" t="s">
        <v>1651</v>
      </c>
      <c r="Z724" s="0" t="s">
        <v>1652</v>
      </c>
      <c r="AA724" s="0" t="s">
        <v>2442</v>
      </c>
      <c r="AC724" s="0" t="s">
        <v>2443</v>
      </c>
    </row>
    <row r="725" customFormat="false" ht="15" hidden="false" customHeight="false" outlineLevel="0" collapsed="false">
      <c r="A725" s="0" t="s">
        <v>2576</v>
      </c>
      <c r="B725" s="0" t="s">
        <v>138</v>
      </c>
      <c r="C725" s="0" t="s">
        <v>2105</v>
      </c>
      <c r="D725" s="0" t="n">
        <v>2022</v>
      </c>
      <c r="E725" s="0" t="s">
        <v>58</v>
      </c>
      <c r="F725" s="0" t="n">
        <v>80277</v>
      </c>
      <c r="G725" s="0" t="s">
        <v>1681</v>
      </c>
      <c r="H725" s="0" t="s">
        <v>1648</v>
      </c>
      <c r="I725" s="0" t="n">
        <v>80277</v>
      </c>
      <c r="J725" s="0" t="s">
        <v>2439</v>
      </c>
      <c r="L725" s="0" t="n">
        <v>2022</v>
      </c>
      <c r="M725" s="0" t="s">
        <v>2549</v>
      </c>
      <c r="N725" s="0" t="s">
        <v>149</v>
      </c>
      <c r="Q725" s="0" t="n">
        <v>65</v>
      </c>
      <c r="R725" s="0" t="n">
        <v>65</v>
      </c>
      <c r="U725" s="0" t="s">
        <v>151</v>
      </c>
      <c r="V725" s="0" t="s">
        <v>151</v>
      </c>
      <c r="Y725" s="0" t="s">
        <v>1651</v>
      </c>
      <c r="Z725" s="0" t="s">
        <v>1652</v>
      </c>
      <c r="AA725" s="0" t="s">
        <v>2442</v>
      </c>
      <c r="AC725" s="0" t="s">
        <v>2443</v>
      </c>
    </row>
    <row r="726" customFormat="false" ht="15" hidden="false" customHeight="false" outlineLevel="0" collapsed="false">
      <c r="A726" s="0" t="s">
        <v>2577</v>
      </c>
      <c r="B726" s="0" t="s">
        <v>138</v>
      </c>
      <c r="C726" s="0" t="s">
        <v>2105</v>
      </c>
      <c r="D726" s="0" t="n">
        <v>2022</v>
      </c>
      <c r="E726" s="0" t="s">
        <v>59</v>
      </c>
      <c r="F726" s="0" t="n">
        <v>2567441</v>
      </c>
      <c r="G726" s="0" t="s">
        <v>1681</v>
      </c>
      <c r="H726" s="0" t="s">
        <v>1648</v>
      </c>
      <c r="I726" s="0" t="n">
        <v>2567441</v>
      </c>
      <c r="J726" s="0" t="s">
        <v>2439</v>
      </c>
      <c r="L726" s="0" t="n">
        <v>2022</v>
      </c>
      <c r="M726" s="0" t="s">
        <v>2549</v>
      </c>
      <c r="N726" s="0" t="s">
        <v>149</v>
      </c>
      <c r="Q726" s="0" t="n">
        <v>60</v>
      </c>
      <c r="R726" s="0" t="n">
        <v>60</v>
      </c>
      <c r="U726" s="0" t="s">
        <v>151</v>
      </c>
      <c r="V726" s="0" t="s">
        <v>151</v>
      </c>
      <c r="Y726" s="0" t="s">
        <v>1651</v>
      </c>
      <c r="Z726" s="0" t="s">
        <v>1652</v>
      </c>
      <c r="AA726" s="0" t="s">
        <v>2449</v>
      </c>
      <c r="AC726" s="0" t="s">
        <v>2443</v>
      </c>
    </row>
    <row r="727" customFormat="false" ht="15" hidden="false" customHeight="false" outlineLevel="0" collapsed="false">
      <c r="A727" s="0" t="s">
        <v>2578</v>
      </c>
      <c r="B727" s="0" t="s">
        <v>138</v>
      </c>
      <c r="C727" s="0" t="s">
        <v>2105</v>
      </c>
      <c r="D727" s="0" t="n">
        <v>2022</v>
      </c>
      <c r="E727" s="0" t="s">
        <v>60</v>
      </c>
      <c r="F727" s="0" t="n">
        <v>1000903</v>
      </c>
      <c r="G727" s="0" t="s">
        <v>1681</v>
      </c>
      <c r="H727" s="0" t="s">
        <v>1648</v>
      </c>
      <c r="I727" s="0" t="n">
        <v>1000903</v>
      </c>
      <c r="J727" s="0" t="s">
        <v>2439</v>
      </c>
      <c r="L727" s="0" t="n">
        <v>2022</v>
      </c>
      <c r="M727" s="0" t="s">
        <v>2549</v>
      </c>
      <c r="N727" s="0" t="s">
        <v>149</v>
      </c>
      <c r="Q727" s="0" t="s">
        <v>2556</v>
      </c>
      <c r="R727" s="0" t="s">
        <v>2556</v>
      </c>
      <c r="U727" s="0" t="s">
        <v>151</v>
      </c>
      <c r="V727" s="0" t="s">
        <v>151</v>
      </c>
      <c r="Y727" s="0" t="s">
        <v>1651</v>
      </c>
      <c r="Z727" s="0" t="s">
        <v>1652</v>
      </c>
      <c r="AA727" s="0" t="s">
        <v>2442</v>
      </c>
      <c r="AC727" s="0" t="s">
        <v>2443</v>
      </c>
    </row>
    <row r="728" customFormat="false" ht="15" hidden="false" customHeight="false" outlineLevel="0" collapsed="false">
      <c r="A728" s="0" t="s">
        <v>2579</v>
      </c>
      <c r="B728" s="0" t="s">
        <v>138</v>
      </c>
      <c r="C728" s="0" t="s">
        <v>2105</v>
      </c>
      <c r="D728" s="0" t="n">
        <v>2022</v>
      </c>
      <c r="E728" s="0" t="s">
        <v>61</v>
      </c>
      <c r="F728" s="0" t="n">
        <v>32015</v>
      </c>
      <c r="G728" s="0" t="s">
        <v>1681</v>
      </c>
      <c r="H728" s="0" t="s">
        <v>1648</v>
      </c>
      <c r="I728" s="0" t="n">
        <v>32015</v>
      </c>
      <c r="J728" s="0" t="s">
        <v>2439</v>
      </c>
      <c r="L728" s="0" t="n">
        <v>2022</v>
      </c>
      <c r="M728" s="0" t="s">
        <v>2549</v>
      </c>
      <c r="N728" s="0" t="s">
        <v>149</v>
      </c>
      <c r="Q728" s="0" t="s">
        <v>2556</v>
      </c>
      <c r="R728" s="0" t="s">
        <v>2556</v>
      </c>
      <c r="U728" s="0" t="s">
        <v>151</v>
      </c>
      <c r="V728" s="0" t="s">
        <v>151</v>
      </c>
      <c r="Y728" s="0" t="s">
        <v>1651</v>
      </c>
      <c r="Z728" s="0" t="s">
        <v>1652</v>
      </c>
      <c r="AA728" s="0" t="s">
        <v>2442</v>
      </c>
      <c r="AC728" s="0" t="s">
        <v>2443</v>
      </c>
    </row>
    <row r="729" customFormat="false" ht="15" hidden="false" customHeight="false" outlineLevel="0" collapsed="false">
      <c r="A729" s="0" t="s">
        <v>2580</v>
      </c>
      <c r="B729" s="0" t="s">
        <v>138</v>
      </c>
      <c r="C729" s="0" t="s">
        <v>2105</v>
      </c>
      <c r="D729" s="0" t="n">
        <v>2022</v>
      </c>
      <c r="E729" s="0" t="s">
        <v>62</v>
      </c>
      <c r="F729" s="0" t="n">
        <v>968888</v>
      </c>
      <c r="G729" s="0" t="s">
        <v>1681</v>
      </c>
      <c r="H729" s="0" t="s">
        <v>1648</v>
      </c>
      <c r="I729" s="0" t="n">
        <v>968888</v>
      </c>
      <c r="J729" s="0" t="s">
        <v>2439</v>
      </c>
      <c r="L729" s="0" t="n">
        <v>2022</v>
      </c>
      <c r="M729" s="0" t="s">
        <v>2549</v>
      </c>
      <c r="N729" s="0" t="s">
        <v>149</v>
      </c>
      <c r="Q729" s="0" t="s">
        <v>2556</v>
      </c>
      <c r="R729" s="0" t="s">
        <v>2556</v>
      </c>
      <c r="U729" s="0" t="s">
        <v>151</v>
      </c>
      <c r="V729" s="0" t="s">
        <v>151</v>
      </c>
      <c r="Y729" s="0" t="s">
        <v>1651</v>
      </c>
      <c r="Z729" s="0" t="s">
        <v>1652</v>
      </c>
      <c r="AA729" s="0" t="s">
        <v>2442</v>
      </c>
      <c r="AC729" s="0" t="s">
        <v>2443</v>
      </c>
    </row>
    <row r="730" customFormat="false" ht="15" hidden="false" customHeight="false" outlineLevel="0" collapsed="false">
      <c r="A730" s="0" t="s">
        <v>2581</v>
      </c>
      <c r="B730" s="0" t="s">
        <v>138</v>
      </c>
      <c r="C730" s="0" t="s">
        <v>2105</v>
      </c>
      <c r="D730" s="0" t="n">
        <v>2022</v>
      </c>
      <c r="E730" s="0" t="s">
        <v>402</v>
      </c>
      <c r="F730" s="0" t="n">
        <v>30206</v>
      </c>
      <c r="G730" s="0" t="s">
        <v>1681</v>
      </c>
      <c r="H730" s="0" t="s">
        <v>1648</v>
      </c>
      <c r="I730" s="0" t="n">
        <v>30206</v>
      </c>
      <c r="J730" s="0" t="s">
        <v>2439</v>
      </c>
      <c r="L730" s="0" t="n">
        <v>2022</v>
      </c>
      <c r="M730" s="0" t="s">
        <v>2549</v>
      </c>
      <c r="N730" s="0" t="s">
        <v>149</v>
      </c>
      <c r="Q730" s="0" t="n">
        <v>58</v>
      </c>
      <c r="R730" s="0" t="n">
        <v>58</v>
      </c>
      <c r="U730" s="0" t="s">
        <v>151</v>
      </c>
      <c r="V730" s="0" t="s">
        <v>151</v>
      </c>
      <c r="Y730" s="0" t="s">
        <v>1651</v>
      </c>
      <c r="Z730" s="0" t="s">
        <v>1652</v>
      </c>
      <c r="AA730" s="0" t="s">
        <v>2442</v>
      </c>
      <c r="AC730" s="0" t="s">
        <v>2443</v>
      </c>
    </row>
    <row r="731" customFormat="false" ht="15" hidden="false" customHeight="false" outlineLevel="0" collapsed="false">
      <c r="A731" s="0" t="s">
        <v>2582</v>
      </c>
      <c r="B731" s="0" t="s">
        <v>138</v>
      </c>
      <c r="C731" s="0" t="s">
        <v>2105</v>
      </c>
      <c r="D731" s="0" t="n">
        <v>2022</v>
      </c>
      <c r="E731" s="0" t="s">
        <v>670</v>
      </c>
      <c r="F731" s="0" t="n">
        <v>208171</v>
      </c>
      <c r="G731" s="0" t="s">
        <v>1681</v>
      </c>
      <c r="H731" s="0" t="s">
        <v>1648</v>
      </c>
      <c r="I731" s="0" t="n">
        <v>208171</v>
      </c>
      <c r="J731" s="0" t="s">
        <v>2439</v>
      </c>
      <c r="L731" s="0" t="n">
        <v>2022</v>
      </c>
      <c r="M731" s="0" t="s">
        <v>2549</v>
      </c>
      <c r="N731" s="0" t="s">
        <v>149</v>
      </c>
      <c r="Q731" s="0" t="n">
        <v>58</v>
      </c>
      <c r="R731" s="0" t="n">
        <v>58</v>
      </c>
      <c r="U731" s="0" t="s">
        <v>151</v>
      </c>
      <c r="V731" s="0" t="s">
        <v>151</v>
      </c>
      <c r="Y731" s="0" t="s">
        <v>1651</v>
      </c>
      <c r="Z731" s="0" t="s">
        <v>1652</v>
      </c>
      <c r="AA731" s="0" t="s">
        <v>2442</v>
      </c>
      <c r="AC731" s="0" t="s">
        <v>2443</v>
      </c>
    </row>
    <row r="732" customFormat="false" ht="15" hidden="false" customHeight="false" outlineLevel="0" collapsed="false">
      <c r="A732" s="0" t="s">
        <v>2583</v>
      </c>
      <c r="B732" s="0" t="s">
        <v>138</v>
      </c>
      <c r="C732" s="0" t="s">
        <v>2105</v>
      </c>
      <c r="D732" s="0" t="n">
        <v>2022</v>
      </c>
      <c r="E732" s="0" t="s">
        <v>63</v>
      </c>
      <c r="F732" s="0" t="n">
        <v>4475</v>
      </c>
      <c r="G732" s="0" t="s">
        <v>1681</v>
      </c>
      <c r="H732" s="0" t="s">
        <v>1648</v>
      </c>
      <c r="I732" s="0" t="n">
        <v>4475</v>
      </c>
      <c r="J732" s="0" t="s">
        <v>2439</v>
      </c>
      <c r="L732" s="0" t="n">
        <v>2022</v>
      </c>
      <c r="M732" s="0" t="s">
        <v>2549</v>
      </c>
      <c r="N732" s="0" t="s">
        <v>149</v>
      </c>
      <c r="Q732" s="0" t="n">
        <v>58</v>
      </c>
      <c r="R732" s="0" t="n">
        <v>58</v>
      </c>
      <c r="U732" s="0" t="s">
        <v>151</v>
      </c>
      <c r="V732" s="0" t="s">
        <v>151</v>
      </c>
      <c r="Y732" s="0" t="s">
        <v>1651</v>
      </c>
      <c r="Z732" s="0" t="s">
        <v>1652</v>
      </c>
      <c r="AA732" s="0" t="s">
        <v>2456</v>
      </c>
      <c r="AC732" s="0" t="s">
        <v>2443</v>
      </c>
    </row>
    <row r="733" customFormat="false" ht="15" hidden="false" customHeight="false" outlineLevel="0" collapsed="false">
      <c r="A733" s="0" t="s">
        <v>2584</v>
      </c>
      <c r="B733" s="0" t="s">
        <v>138</v>
      </c>
      <c r="C733" s="0" t="s">
        <v>2105</v>
      </c>
      <c r="D733" s="0" t="n">
        <v>2022</v>
      </c>
      <c r="E733" s="0" t="s">
        <v>710</v>
      </c>
      <c r="F733" s="0" t="n">
        <v>3209</v>
      </c>
      <c r="G733" s="0" t="s">
        <v>1681</v>
      </c>
      <c r="H733" s="0" t="s">
        <v>1648</v>
      </c>
      <c r="I733" s="0" t="n">
        <v>3209</v>
      </c>
      <c r="J733" s="0" t="s">
        <v>2439</v>
      </c>
      <c r="L733" s="0" t="n">
        <v>2022</v>
      </c>
      <c r="M733" s="0" t="s">
        <v>2549</v>
      </c>
      <c r="N733" s="0" t="s">
        <v>149</v>
      </c>
      <c r="Q733" s="0" t="n">
        <v>58</v>
      </c>
      <c r="R733" s="0" t="n">
        <v>58</v>
      </c>
      <c r="U733" s="0" t="s">
        <v>151</v>
      </c>
      <c r="V733" s="0" t="s">
        <v>151</v>
      </c>
      <c r="Y733" s="0" t="s">
        <v>1651</v>
      </c>
      <c r="Z733" s="0" t="s">
        <v>1652</v>
      </c>
      <c r="AA733" s="0" t="s">
        <v>2442</v>
      </c>
      <c r="AC733" s="0" t="s">
        <v>2443</v>
      </c>
    </row>
    <row r="734" customFormat="false" ht="15" hidden="false" customHeight="false" outlineLevel="0" collapsed="false">
      <c r="A734" s="0" t="s">
        <v>2585</v>
      </c>
      <c r="B734" s="0" t="s">
        <v>138</v>
      </c>
      <c r="C734" s="0" t="s">
        <v>2105</v>
      </c>
      <c r="D734" s="0" t="n">
        <v>2022</v>
      </c>
      <c r="E734" s="0" t="s">
        <v>557</v>
      </c>
      <c r="F734" s="0" t="n">
        <v>1266</v>
      </c>
      <c r="G734" s="0" t="s">
        <v>1681</v>
      </c>
      <c r="H734" s="0" t="s">
        <v>1648</v>
      </c>
      <c r="I734" s="0" t="n">
        <v>1266</v>
      </c>
      <c r="J734" s="0" t="s">
        <v>2439</v>
      </c>
      <c r="L734" s="0" t="n">
        <v>2022</v>
      </c>
      <c r="M734" s="0" t="s">
        <v>2549</v>
      </c>
      <c r="N734" s="0" t="s">
        <v>149</v>
      </c>
      <c r="Q734" s="0" t="n">
        <v>58</v>
      </c>
      <c r="R734" s="0" t="n">
        <v>58</v>
      </c>
      <c r="U734" s="0" t="s">
        <v>151</v>
      </c>
      <c r="V734" s="0" t="s">
        <v>151</v>
      </c>
      <c r="Y734" s="0" t="s">
        <v>1651</v>
      </c>
      <c r="Z734" s="0" t="s">
        <v>1652</v>
      </c>
      <c r="AA734" s="0" t="s">
        <v>2442</v>
      </c>
      <c r="AC734" s="0" t="s">
        <v>2443</v>
      </c>
    </row>
    <row r="735" customFormat="false" ht="15" hidden="false" customHeight="false" outlineLevel="0" collapsed="false">
      <c r="A735" s="0" t="s">
        <v>2586</v>
      </c>
      <c r="B735" s="0" t="s">
        <v>138</v>
      </c>
      <c r="C735" s="0" t="s">
        <v>2105</v>
      </c>
      <c r="D735" s="0" t="n">
        <v>2022</v>
      </c>
      <c r="E735" s="0" t="s">
        <v>69</v>
      </c>
      <c r="F735" s="0" t="n">
        <v>14.42</v>
      </c>
      <c r="G735" s="0" t="s">
        <v>1723</v>
      </c>
      <c r="I735" s="0" t="n">
        <v>14.42</v>
      </c>
      <c r="J735" s="0" t="s">
        <v>2439</v>
      </c>
      <c r="L735" s="0" t="n">
        <v>2022</v>
      </c>
      <c r="M735" s="0" t="s">
        <v>2549</v>
      </c>
      <c r="N735" s="0" t="s">
        <v>149</v>
      </c>
      <c r="Q735" s="0" t="s">
        <v>2565</v>
      </c>
      <c r="R735" s="0" t="s">
        <v>2565</v>
      </c>
      <c r="U735" s="0" t="s">
        <v>151</v>
      </c>
      <c r="V735" s="0" t="s">
        <v>151</v>
      </c>
      <c r="Y735" s="0" t="s">
        <v>1651</v>
      </c>
      <c r="Z735" s="0" t="s">
        <v>1652</v>
      </c>
      <c r="AA735" s="0" t="s">
        <v>2442</v>
      </c>
      <c r="AC735" s="0" t="s">
        <v>2443</v>
      </c>
    </row>
    <row r="736" customFormat="false" ht="15" hidden="false" customHeight="false" outlineLevel="0" collapsed="false">
      <c r="A736" s="0" t="s">
        <v>2587</v>
      </c>
      <c r="B736" s="0" t="s">
        <v>138</v>
      </c>
      <c r="C736" s="0" t="s">
        <v>2105</v>
      </c>
      <c r="D736" s="0" t="n">
        <v>2022</v>
      </c>
      <c r="E736" s="0" t="s">
        <v>65</v>
      </c>
      <c r="F736" s="0" t="n">
        <v>180613</v>
      </c>
      <c r="G736" s="0" t="s">
        <v>1681</v>
      </c>
      <c r="H736" s="0" t="s">
        <v>1648</v>
      </c>
      <c r="I736" s="0" t="n">
        <v>180613</v>
      </c>
      <c r="J736" s="0" t="s">
        <v>2439</v>
      </c>
      <c r="L736" s="0" t="n">
        <v>2022</v>
      </c>
      <c r="M736" s="0" t="s">
        <v>2549</v>
      </c>
      <c r="N736" s="0" t="s">
        <v>149</v>
      </c>
      <c r="Q736" s="0" t="s">
        <v>2565</v>
      </c>
      <c r="R736" s="0" t="s">
        <v>2565</v>
      </c>
      <c r="U736" s="0" t="s">
        <v>151</v>
      </c>
      <c r="V736" s="0" t="s">
        <v>151</v>
      </c>
      <c r="Y736" s="0" t="s">
        <v>1651</v>
      </c>
      <c r="Z736" s="0" t="s">
        <v>1652</v>
      </c>
      <c r="AA736" s="0" t="s">
        <v>2442</v>
      </c>
      <c r="AC736" s="0" t="s">
        <v>2443</v>
      </c>
    </row>
    <row r="737" customFormat="false" ht="15" hidden="false" customHeight="false" outlineLevel="0" collapsed="false">
      <c r="A737" s="0" t="s">
        <v>2588</v>
      </c>
      <c r="B737" s="0" t="s">
        <v>138</v>
      </c>
      <c r="C737" s="0" t="s">
        <v>2105</v>
      </c>
      <c r="D737" s="0" t="n">
        <v>2022</v>
      </c>
      <c r="E737" s="0" t="s">
        <v>66</v>
      </c>
      <c r="F737" s="0" t="n">
        <v>1252579</v>
      </c>
      <c r="G737" s="0" t="s">
        <v>1681</v>
      </c>
      <c r="H737" s="0" t="s">
        <v>1648</v>
      </c>
      <c r="I737" s="0" t="n">
        <v>1252579</v>
      </c>
      <c r="J737" s="0" t="s">
        <v>2439</v>
      </c>
      <c r="L737" s="0" t="n">
        <v>2022</v>
      </c>
      <c r="M737" s="0" t="s">
        <v>2549</v>
      </c>
      <c r="N737" s="0" t="s">
        <v>149</v>
      </c>
      <c r="Q737" s="0" t="s">
        <v>2565</v>
      </c>
      <c r="R737" s="0" t="s">
        <v>2565</v>
      </c>
      <c r="U737" s="0" t="s">
        <v>151</v>
      </c>
      <c r="V737" s="0" t="s">
        <v>151</v>
      </c>
      <c r="Y737" s="0" t="s">
        <v>1651</v>
      </c>
      <c r="Z737" s="0" t="s">
        <v>1652</v>
      </c>
      <c r="AA737" s="0" t="s">
        <v>2442</v>
      </c>
      <c r="AC737" s="0" t="s">
        <v>2443</v>
      </c>
    </row>
    <row r="738" customFormat="false" ht="15" hidden="false" customHeight="false" outlineLevel="0" collapsed="false">
      <c r="A738" s="0" t="s">
        <v>2589</v>
      </c>
      <c r="B738" s="0" t="s">
        <v>138</v>
      </c>
      <c r="C738" s="0" t="s">
        <v>2105</v>
      </c>
      <c r="D738" s="0" t="n">
        <v>2022</v>
      </c>
      <c r="E738" s="0" t="s">
        <v>70</v>
      </c>
      <c r="F738" s="0" t="n">
        <v>10</v>
      </c>
      <c r="G738" s="0" t="s">
        <v>1723</v>
      </c>
      <c r="I738" s="0" t="n">
        <v>10</v>
      </c>
      <c r="J738" s="0" t="s">
        <v>2439</v>
      </c>
      <c r="L738" s="0" t="n">
        <v>2022</v>
      </c>
      <c r="M738" s="0" t="s">
        <v>2549</v>
      </c>
      <c r="N738" s="0" t="s">
        <v>149</v>
      </c>
      <c r="Q738" s="0" t="s">
        <v>2565</v>
      </c>
      <c r="R738" s="0" t="s">
        <v>2565</v>
      </c>
      <c r="U738" s="0" t="s">
        <v>151</v>
      </c>
      <c r="V738" s="0" t="s">
        <v>151</v>
      </c>
      <c r="Y738" s="0" t="s">
        <v>1651</v>
      </c>
      <c r="Z738" s="0" t="s">
        <v>1652</v>
      </c>
      <c r="AA738" s="0" t="s">
        <v>2590</v>
      </c>
      <c r="AC738" s="0" t="s">
        <v>2443</v>
      </c>
    </row>
    <row r="739" customFormat="false" ht="15" hidden="false" customHeight="false" outlineLevel="0" collapsed="false">
      <c r="A739" s="0" t="s">
        <v>2591</v>
      </c>
      <c r="B739" s="0" t="s">
        <v>138</v>
      </c>
      <c r="C739" s="0" t="s">
        <v>2105</v>
      </c>
      <c r="D739" s="0" t="n">
        <v>2022</v>
      </c>
      <c r="E739" s="0" t="s">
        <v>64</v>
      </c>
      <c r="F739" s="0" t="n">
        <v>40276</v>
      </c>
      <c r="G739" s="0" t="s">
        <v>1681</v>
      </c>
      <c r="H739" s="0" t="s">
        <v>1648</v>
      </c>
      <c r="I739" s="0" t="n">
        <v>40276</v>
      </c>
      <c r="J739" s="0" t="s">
        <v>2439</v>
      </c>
      <c r="L739" s="0" t="n">
        <v>2022</v>
      </c>
      <c r="M739" s="0" t="s">
        <v>2549</v>
      </c>
      <c r="N739" s="0" t="s">
        <v>149</v>
      </c>
      <c r="Q739" s="0" t="n">
        <v>113</v>
      </c>
      <c r="R739" s="0" t="n">
        <v>113</v>
      </c>
      <c r="U739" s="0" t="s">
        <v>151</v>
      </c>
      <c r="V739" s="0" t="s">
        <v>151</v>
      </c>
      <c r="Y739" s="0" t="s">
        <v>1651</v>
      </c>
      <c r="Z739" s="0" t="s">
        <v>1652</v>
      </c>
      <c r="AA739" s="0" t="s">
        <v>2442</v>
      </c>
      <c r="AC739" s="0" t="s">
        <v>2443</v>
      </c>
    </row>
    <row r="740" customFormat="false" ht="15" hidden="false" customHeight="false" outlineLevel="0" collapsed="false">
      <c r="A740" s="0" t="s">
        <v>2592</v>
      </c>
      <c r="B740" s="0" t="s">
        <v>138</v>
      </c>
      <c r="C740" s="0" t="s">
        <v>2105</v>
      </c>
      <c r="D740" s="0" t="n">
        <v>2022</v>
      </c>
      <c r="E740" s="0" t="s">
        <v>67</v>
      </c>
      <c r="F740" s="0" t="n">
        <v>74070</v>
      </c>
      <c r="G740" s="0" t="s">
        <v>1681</v>
      </c>
      <c r="H740" s="0" t="s">
        <v>1648</v>
      </c>
      <c r="I740" s="0" t="n">
        <v>74070</v>
      </c>
      <c r="J740" s="0" t="s">
        <v>2439</v>
      </c>
      <c r="L740" s="0" t="n">
        <v>2022</v>
      </c>
      <c r="M740" s="0" t="s">
        <v>2549</v>
      </c>
      <c r="N740" s="0" t="s">
        <v>149</v>
      </c>
      <c r="Q740" s="0" t="s">
        <v>2556</v>
      </c>
      <c r="R740" s="0" t="s">
        <v>2556</v>
      </c>
      <c r="U740" s="0" t="s">
        <v>151</v>
      </c>
      <c r="V740" s="0" t="s">
        <v>151</v>
      </c>
      <c r="Y740" s="0" t="s">
        <v>1651</v>
      </c>
      <c r="Z740" s="0" t="s">
        <v>1652</v>
      </c>
      <c r="AA740" s="0" t="s">
        <v>2442</v>
      </c>
      <c r="AC740" s="0" t="s">
        <v>2443</v>
      </c>
    </row>
    <row r="741" customFormat="false" ht="15" hidden="false" customHeight="false" outlineLevel="0" collapsed="false">
      <c r="A741" s="0" t="s">
        <v>2593</v>
      </c>
      <c r="B741" s="0" t="s">
        <v>138</v>
      </c>
      <c r="C741" s="0" t="s">
        <v>2105</v>
      </c>
      <c r="D741" s="0" t="n">
        <v>2017</v>
      </c>
      <c r="E741" s="0" t="s">
        <v>2594</v>
      </c>
      <c r="F741" s="0" t="n">
        <v>12839</v>
      </c>
      <c r="G741" s="0" t="s">
        <v>1681</v>
      </c>
      <c r="H741" s="0" t="s">
        <v>1648</v>
      </c>
      <c r="I741" s="0" t="n">
        <v>12839</v>
      </c>
      <c r="J741" s="0" t="s">
        <v>2439</v>
      </c>
      <c r="L741" s="0" t="n">
        <v>2018</v>
      </c>
      <c r="M741" s="0" t="s">
        <v>1551</v>
      </c>
      <c r="N741" s="0" t="s">
        <v>142</v>
      </c>
      <c r="Q741" s="0" t="n">
        <v>98</v>
      </c>
      <c r="R741" s="0" t="n">
        <v>96</v>
      </c>
      <c r="Y741" s="0" t="s">
        <v>1651</v>
      </c>
      <c r="Z741" s="0" t="s">
        <v>1652</v>
      </c>
      <c r="AA741" s="0" t="s">
        <v>2595</v>
      </c>
      <c r="AC741" s="0" t="s">
        <v>2443</v>
      </c>
    </row>
    <row r="742" customFormat="false" ht="15" hidden="false" customHeight="false" outlineLevel="0" collapsed="false">
      <c r="A742" s="0" t="s">
        <v>2596</v>
      </c>
      <c r="B742" s="0" t="s">
        <v>138</v>
      </c>
      <c r="C742" s="0" t="s">
        <v>2105</v>
      </c>
      <c r="D742" s="0" t="n">
        <v>2017</v>
      </c>
      <c r="E742" s="0" t="s">
        <v>2597</v>
      </c>
      <c r="F742" s="0" t="n">
        <v>-1600</v>
      </c>
      <c r="G742" s="0" t="s">
        <v>1681</v>
      </c>
      <c r="H742" s="0" t="s">
        <v>1648</v>
      </c>
      <c r="I742" s="0" t="n">
        <v>-1600</v>
      </c>
      <c r="J742" s="0" t="s">
        <v>2439</v>
      </c>
      <c r="L742" s="0" t="n">
        <v>2018</v>
      </c>
      <c r="M742" s="0" t="s">
        <v>1551</v>
      </c>
      <c r="N742" s="0" t="s">
        <v>142</v>
      </c>
      <c r="Q742" s="0" t="n">
        <v>98</v>
      </c>
      <c r="R742" s="0" t="n">
        <v>96</v>
      </c>
      <c r="Y742" s="0" t="s">
        <v>1651</v>
      </c>
      <c r="Z742" s="0" t="s">
        <v>1652</v>
      </c>
      <c r="AA742" s="0" t="s">
        <v>2598</v>
      </c>
      <c r="AC742" s="0" t="s">
        <v>2443</v>
      </c>
    </row>
    <row r="743" customFormat="false" ht="15" hidden="false" customHeight="false" outlineLevel="0" collapsed="false">
      <c r="A743" s="0" t="s">
        <v>2599</v>
      </c>
      <c r="B743" s="0" t="s">
        <v>138</v>
      </c>
      <c r="C743" s="0" t="s">
        <v>2105</v>
      </c>
      <c r="D743" s="0" t="n">
        <v>2017</v>
      </c>
      <c r="E743" s="0" t="s">
        <v>2600</v>
      </c>
      <c r="F743" s="0" t="n">
        <v>321388</v>
      </c>
      <c r="G743" s="0" t="s">
        <v>1681</v>
      </c>
      <c r="H743" s="0" t="s">
        <v>1648</v>
      </c>
      <c r="I743" s="0" t="n">
        <v>321388</v>
      </c>
      <c r="J743" s="0" t="s">
        <v>2439</v>
      </c>
      <c r="L743" s="0" t="n">
        <v>2018</v>
      </c>
      <c r="M743" s="0" t="s">
        <v>1551</v>
      </c>
      <c r="N743" s="0" t="s">
        <v>142</v>
      </c>
      <c r="Q743" s="0" t="n">
        <v>99</v>
      </c>
      <c r="R743" s="0" t="n">
        <v>97</v>
      </c>
      <c r="Y743" s="0" t="s">
        <v>1651</v>
      </c>
      <c r="Z743" s="0" t="s">
        <v>1652</v>
      </c>
      <c r="AA743" s="0" t="s">
        <v>2601</v>
      </c>
      <c r="AC743" s="0" t="s">
        <v>2443</v>
      </c>
    </row>
    <row r="744" customFormat="false" ht="15" hidden="false" customHeight="false" outlineLevel="0" collapsed="false">
      <c r="A744" s="0" t="s">
        <v>2602</v>
      </c>
      <c r="B744" s="0" t="s">
        <v>138</v>
      </c>
      <c r="C744" s="0" t="s">
        <v>2105</v>
      </c>
      <c r="D744" s="0" t="n">
        <v>2017</v>
      </c>
      <c r="E744" s="0" t="s">
        <v>2603</v>
      </c>
      <c r="F744" s="0" t="n">
        <v>319119</v>
      </c>
      <c r="G744" s="0" t="s">
        <v>1681</v>
      </c>
      <c r="H744" s="0" t="s">
        <v>1648</v>
      </c>
      <c r="I744" s="0" t="n">
        <v>319119</v>
      </c>
      <c r="J744" s="0" t="s">
        <v>2439</v>
      </c>
      <c r="L744" s="0" t="n">
        <v>2018</v>
      </c>
      <c r="M744" s="0" t="s">
        <v>1551</v>
      </c>
      <c r="N744" s="0" t="s">
        <v>142</v>
      </c>
      <c r="Q744" s="0" t="n">
        <v>99</v>
      </c>
      <c r="R744" s="0" t="n">
        <v>97</v>
      </c>
      <c r="Y744" s="0" t="s">
        <v>1651</v>
      </c>
      <c r="Z744" s="0" t="s">
        <v>1652</v>
      </c>
      <c r="AA744" s="0" t="s">
        <v>2604</v>
      </c>
      <c r="AC744" s="0" t="s">
        <v>2443</v>
      </c>
    </row>
    <row r="745" customFormat="false" ht="15" hidden="false" customHeight="false" outlineLevel="0" collapsed="false">
      <c r="A745" s="0" t="s">
        <v>2605</v>
      </c>
      <c r="B745" s="0" t="s">
        <v>138</v>
      </c>
      <c r="C745" s="0" t="s">
        <v>2105</v>
      </c>
      <c r="D745" s="0" t="n">
        <v>2018</v>
      </c>
      <c r="E745" s="0" t="s">
        <v>2606</v>
      </c>
      <c r="F745" s="0" t="n">
        <v>43252</v>
      </c>
      <c r="G745" s="0" t="s">
        <v>1681</v>
      </c>
      <c r="H745" s="0" t="s">
        <v>1648</v>
      </c>
      <c r="I745" s="0" t="n">
        <v>43252</v>
      </c>
      <c r="J745" s="0" t="s">
        <v>2439</v>
      </c>
      <c r="L745" s="0" t="n">
        <v>2018</v>
      </c>
      <c r="M745" s="0" t="s">
        <v>1551</v>
      </c>
      <c r="N745" s="0" t="s">
        <v>142</v>
      </c>
      <c r="Q745" s="0" t="n">
        <v>149</v>
      </c>
      <c r="R745" s="0" t="n">
        <v>149</v>
      </c>
      <c r="Y745" s="0" t="s">
        <v>1651</v>
      </c>
      <c r="Z745" s="0" t="s">
        <v>1652</v>
      </c>
      <c r="AA745" s="0" t="s">
        <v>2607</v>
      </c>
      <c r="AC745" s="0" t="s">
        <v>2443</v>
      </c>
    </row>
    <row r="746" customFormat="false" ht="15" hidden="false" customHeight="false" outlineLevel="0" collapsed="false">
      <c r="A746" s="0" t="s">
        <v>2608</v>
      </c>
      <c r="B746" s="0" t="s">
        <v>138</v>
      </c>
      <c r="C746" s="0" t="s">
        <v>2105</v>
      </c>
      <c r="D746" s="0" t="n">
        <v>2018</v>
      </c>
      <c r="E746" s="0" t="s">
        <v>2609</v>
      </c>
      <c r="F746" s="0" t="n">
        <v>133685</v>
      </c>
      <c r="G746" s="0" t="s">
        <v>1681</v>
      </c>
      <c r="H746" s="0" t="s">
        <v>1648</v>
      </c>
      <c r="I746" s="0" t="n">
        <v>133685</v>
      </c>
      <c r="J746" s="0" t="s">
        <v>2439</v>
      </c>
      <c r="L746" s="0" t="n">
        <v>2018</v>
      </c>
      <c r="M746" s="0" t="s">
        <v>1551</v>
      </c>
      <c r="N746" s="0" t="s">
        <v>142</v>
      </c>
      <c r="Q746" s="0" t="n">
        <v>149</v>
      </c>
      <c r="R746" s="0" t="n">
        <v>149</v>
      </c>
      <c r="Y746" s="0" t="s">
        <v>1651</v>
      </c>
      <c r="Z746" s="0" t="s">
        <v>1652</v>
      </c>
      <c r="AA746" s="0" t="s">
        <v>2610</v>
      </c>
      <c r="AC746" s="0" t="s">
        <v>2443</v>
      </c>
    </row>
    <row r="747" customFormat="false" ht="15" hidden="false" customHeight="false" outlineLevel="0" collapsed="false">
      <c r="A747" s="0" t="s">
        <v>2611</v>
      </c>
      <c r="B747" s="0" t="s">
        <v>138</v>
      </c>
      <c r="C747" s="0" t="s">
        <v>2105</v>
      </c>
      <c r="D747" s="0" t="n">
        <v>2018</v>
      </c>
      <c r="E747" s="0" t="s">
        <v>2612</v>
      </c>
      <c r="F747" s="0" t="n">
        <v>176937</v>
      </c>
      <c r="G747" s="0" t="s">
        <v>1681</v>
      </c>
      <c r="H747" s="0" t="s">
        <v>1648</v>
      </c>
      <c r="I747" s="0" t="n">
        <v>176937</v>
      </c>
      <c r="J747" s="0" t="s">
        <v>2439</v>
      </c>
      <c r="L747" s="0" t="n">
        <v>2018</v>
      </c>
      <c r="M747" s="0" t="s">
        <v>1551</v>
      </c>
      <c r="N747" s="0" t="s">
        <v>142</v>
      </c>
      <c r="Q747" s="0" t="n">
        <v>149</v>
      </c>
      <c r="R747" s="0" t="n">
        <v>149</v>
      </c>
      <c r="Y747" s="0" t="s">
        <v>1651</v>
      </c>
      <c r="Z747" s="0" t="s">
        <v>1652</v>
      </c>
      <c r="AA747" s="0" t="s">
        <v>2613</v>
      </c>
      <c r="AC747" s="0" t="s">
        <v>2443</v>
      </c>
    </row>
    <row r="748" customFormat="false" ht="15" hidden="false" customHeight="false" outlineLevel="0" collapsed="false">
      <c r="A748" s="0" t="s">
        <v>2614</v>
      </c>
      <c r="B748" s="0" t="s">
        <v>138</v>
      </c>
      <c r="C748" s="0" t="s">
        <v>2105</v>
      </c>
      <c r="D748" s="0" t="n">
        <v>2018</v>
      </c>
      <c r="E748" s="0" t="s">
        <v>2615</v>
      </c>
      <c r="F748" s="0" t="n">
        <v>-3732</v>
      </c>
      <c r="G748" s="0" t="s">
        <v>1681</v>
      </c>
      <c r="H748" s="0" t="s">
        <v>1648</v>
      </c>
      <c r="I748" s="0" t="n">
        <v>-3732</v>
      </c>
      <c r="J748" s="0" t="s">
        <v>2439</v>
      </c>
      <c r="L748" s="0" t="n">
        <v>2018</v>
      </c>
      <c r="M748" s="0" t="s">
        <v>1551</v>
      </c>
      <c r="N748" s="0" t="s">
        <v>142</v>
      </c>
      <c r="Q748" s="0" t="n">
        <v>149</v>
      </c>
      <c r="R748" s="0" t="n">
        <v>149</v>
      </c>
      <c r="Y748" s="0" t="s">
        <v>1651</v>
      </c>
      <c r="Z748" s="0" t="s">
        <v>1652</v>
      </c>
      <c r="AA748" s="0" t="s">
        <v>2616</v>
      </c>
      <c r="AC748" s="0" t="s">
        <v>2443</v>
      </c>
    </row>
    <row r="749" customFormat="false" ht="15" hidden="false" customHeight="false" outlineLevel="0" collapsed="false">
      <c r="A749" s="0" t="s">
        <v>2617</v>
      </c>
      <c r="B749" s="0" t="s">
        <v>138</v>
      </c>
      <c r="C749" s="0" t="s">
        <v>2105</v>
      </c>
      <c r="D749" s="0" t="n">
        <v>2018</v>
      </c>
      <c r="E749" s="0" t="s">
        <v>2618</v>
      </c>
      <c r="F749" s="0" t="n">
        <v>-132598</v>
      </c>
      <c r="G749" s="0" t="s">
        <v>1681</v>
      </c>
      <c r="H749" s="0" t="s">
        <v>1648</v>
      </c>
      <c r="I749" s="0" t="n">
        <v>-132598</v>
      </c>
      <c r="J749" s="0" t="s">
        <v>2439</v>
      </c>
      <c r="L749" s="0" t="n">
        <v>2018</v>
      </c>
      <c r="M749" s="0" t="s">
        <v>1551</v>
      </c>
      <c r="N749" s="0" t="s">
        <v>142</v>
      </c>
      <c r="Q749" s="0" t="n">
        <v>149</v>
      </c>
      <c r="R749" s="0" t="n">
        <v>149</v>
      </c>
      <c r="Y749" s="0" t="s">
        <v>1651</v>
      </c>
      <c r="Z749" s="0" t="s">
        <v>1652</v>
      </c>
      <c r="AA749" s="0" t="s">
        <v>2619</v>
      </c>
      <c r="AC749" s="0" t="s">
        <v>2443</v>
      </c>
    </row>
    <row r="750" customFormat="false" ht="15" hidden="false" customHeight="false" outlineLevel="0" collapsed="false">
      <c r="A750" s="0" t="s">
        <v>2620</v>
      </c>
      <c r="B750" s="0" t="s">
        <v>138</v>
      </c>
      <c r="C750" s="0" t="s">
        <v>2105</v>
      </c>
      <c r="D750" s="0" t="n">
        <v>2018</v>
      </c>
      <c r="E750" s="0" t="s">
        <v>2621</v>
      </c>
      <c r="F750" s="0" t="n">
        <v>4386</v>
      </c>
      <c r="G750" s="0" t="s">
        <v>1681</v>
      </c>
      <c r="H750" s="0" t="s">
        <v>1648</v>
      </c>
      <c r="I750" s="0" t="n">
        <v>4386</v>
      </c>
      <c r="J750" s="0" t="s">
        <v>2439</v>
      </c>
      <c r="L750" s="0" t="n">
        <v>2018</v>
      </c>
      <c r="M750" s="0" t="s">
        <v>1551</v>
      </c>
      <c r="N750" s="0" t="s">
        <v>142</v>
      </c>
      <c r="Q750" s="0" t="n">
        <v>149</v>
      </c>
      <c r="R750" s="0" t="n">
        <v>149</v>
      </c>
      <c r="Y750" s="0" t="s">
        <v>1651</v>
      </c>
      <c r="Z750" s="0" t="s">
        <v>1652</v>
      </c>
      <c r="AA750" s="0" t="s">
        <v>2622</v>
      </c>
      <c r="AC750" s="0" t="s">
        <v>2443</v>
      </c>
    </row>
    <row r="751" customFormat="false" ht="15" hidden="false" customHeight="false" outlineLevel="0" collapsed="false">
      <c r="A751" s="0" t="s">
        <v>2623</v>
      </c>
      <c r="B751" s="0" t="s">
        <v>138</v>
      </c>
      <c r="C751" s="0" t="s">
        <v>2105</v>
      </c>
      <c r="D751" s="0" t="n">
        <v>2018</v>
      </c>
      <c r="E751" s="0" t="s">
        <v>2624</v>
      </c>
      <c r="F751" s="0" t="n">
        <v>366</v>
      </c>
      <c r="G751" s="0" t="s">
        <v>1681</v>
      </c>
      <c r="H751" s="0" t="s">
        <v>1648</v>
      </c>
      <c r="I751" s="0" t="n">
        <v>366</v>
      </c>
      <c r="J751" s="0" t="s">
        <v>2439</v>
      </c>
      <c r="L751" s="0" t="n">
        <v>2018</v>
      </c>
      <c r="M751" s="0" t="s">
        <v>1551</v>
      </c>
      <c r="N751" s="0" t="s">
        <v>142</v>
      </c>
      <c r="Q751" s="0" t="n">
        <v>149</v>
      </c>
      <c r="R751" s="0" t="n">
        <v>149</v>
      </c>
      <c r="Y751" s="0" t="s">
        <v>1651</v>
      </c>
      <c r="Z751" s="0" t="s">
        <v>1652</v>
      </c>
      <c r="AA751" s="0" t="s">
        <v>2625</v>
      </c>
      <c r="AC751" s="0" t="s">
        <v>2443</v>
      </c>
    </row>
    <row r="752" customFormat="false" ht="15" hidden="false" customHeight="false" outlineLevel="0" collapsed="false">
      <c r="A752" s="0" t="s">
        <v>2626</v>
      </c>
      <c r="B752" s="0" t="s">
        <v>138</v>
      </c>
      <c r="C752" s="0" t="s">
        <v>2105</v>
      </c>
      <c r="D752" s="0" t="n">
        <v>2018</v>
      </c>
      <c r="E752" s="0" t="s">
        <v>2627</v>
      </c>
      <c r="F752" s="0" t="n">
        <v>496630</v>
      </c>
      <c r="G752" s="0" t="s">
        <v>1681</v>
      </c>
      <c r="H752" s="0" t="s">
        <v>1648</v>
      </c>
      <c r="I752" s="0" t="n">
        <v>496630</v>
      </c>
      <c r="J752" s="0" t="s">
        <v>2439</v>
      </c>
      <c r="L752" s="0" t="n">
        <v>2019</v>
      </c>
      <c r="M752" s="0" t="s">
        <v>1611</v>
      </c>
      <c r="N752" s="0" t="s">
        <v>1610</v>
      </c>
      <c r="Q752" s="0" t="n">
        <v>91</v>
      </c>
      <c r="R752" s="0" t="n">
        <v>90</v>
      </c>
      <c r="Y752" s="0" t="s">
        <v>1651</v>
      </c>
      <c r="Z752" s="0" t="s">
        <v>1652</v>
      </c>
      <c r="AA752" s="0" t="s">
        <v>2628</v>
      </c>
      <c r="AC752" s="0" t="s">
        <v>2443</v>
      </c>
    </row>
    <row r="753" customFormat="false" ht="15" hidden="false" customHeight="false" outlineLevel="0" collapsed="false">
      <c r="A753" s="0" t="s">
        <v>2629</v>
      </c>
      <c r="B753" s="0" t="s">
        <v>138</v>
      </c>
      <c r="C753" s="0" t="s">
        <v>2105</v>
      </c>
      <c r="D753" s="0" t="n">
        <v>2018</v>
      </c>
      <c r="E753" s="0" t="s">
        <v>2630</v>
      </c>
      <c r="F753" s="0" t="n">
        <v>68593</v>
      </c>
      <c r="G753" s="0" t="s">
        <v>1681</v>
      </c>
      <c r="H753" s="0" t="s">
        <v>1648</v>
      </c>
      <c r="I753" s="0" t="n">
        <v>68593</v>
      </c>
      <c r="J753" s="0" t="s">
        <v>2439</v>
      </c>
      <c r="L753" s="0" t="n">
        <v>2019</v>
      </c>
      <c r="M753" s="0" t="s">
        <v>1611</v>
      </c>
      <c r="N753" s="0" t="s">
        <v>1610</v>
      </c>
      <c r="Q753" s="0" t="n">
        <v>91</v>
      </c>
      <c r="R753" s="0" t="n">
        <v>90</v>
      </c>
      <c r="Y753" s="0" t="s">
        <v>1651</v>
      </c>
      <c r="Z753" s="0" t="s">
        <v>1652</v>
      </c>
      <c r="AA753" s="0" t="s">
        <v>2628</v>
      </c>
      <c r="AC753" s="0" t="s">
        <v>2443</v>
      </c>
    </row>
    <row r="754" customFormat="false" ht="15" hidden="false" customHeight="false" outlineLevel="0" collapsed="false">
      <c r="A754" s="0" t="s">
        <v>2631</v>
      </c>
      <c r="B754" s="0" t="s">
        <v>138</v>
      </c>
      <c r="C754" s="0" t="s">
        <v>2105</v>
      </c>
      <c r="D754" s="0" t="n">
        <v>2018</v>
      </c>
      <c r="E754" s="0" t="s">
        <v>2632</v>
      </c>
      <c r="F754" s="0" t="n">
        <v>23234</v>
      </c>
      <c r="G754" s="0" t="s">
        <v>1681</v>
      </c>
      <c r="H754" s="0" t="s">
        <v>1648</v>
      </c>
      <c r="I754" s="0" t="n">
        <v>23234</v>
      </c>
      <c r="J754" s="0" t="s">
        <v>2439</v>
      </c>
      <c r="L754" s="0" t="n">
        <v>2019</v>
      </c>
      <c r="M754" s="0" t="s">
        <v>1611</v>
      </c>
      <c r="N754" s="0" t="s">
        <v>1610</v>
      </c>
      <c r="Q754" s="0" t="n">
        <v>91</v>
      </c>
      <c r="R754" s="0" t="n">
        <v>90</v>
      </c>
      <c r="Y754" s="0" t="s">
        <v>1651</v>
      </c>
      <c r="Z754" s="0" t="s">
        <v>1652</v>
      </c>
      <c r="AA754" s="0" t="s">
        <v>2633</v>
      </c>
      <c r="AC754" s="0" t="s">
        <v>2443</v>
      </c>
    </row>
    <row r="755" customFormat="false" ht="15" hidden="false" customHeight="false" outlineLevel="0" collapsed="false">
      <c r="A755" s="0" t="s">
        <v>2634</v>
      </c>
      <c r="B755" s="0" t="s">
        <v>138</v>
      </c>
      <c r="C755" s="0" t="s">
        <v>2105</v>
      </c>
      <c r="D755" s="0" t="n">
        <v>2018</v>
      </c>
      <c r="E755" s="0" t="s">
        <v>2635</v>
      </c>
      <c r="F755" s="0" t="n">
        <v>496820</v>
      </c>
      <c r="G755" s="0" t="s">
        <v>1681</v>
      </c>
      <c r="H755" s="0" t="s">
        <v>1648</v>
      </c>
      <c r="I755" s="0" t="n">
        <v>496820</v>
      </c>
      <c r="J755" s="0" t="s">
        <v>2439</v>
      </c>
      <c r="L755" s="0" t="n">
        <v>2019</v>
      </c>
      <c r="M755" s="0" t="s">
        <v>1611</v>
      </c>
      <c r="N755" s="0" t="s">
        <v>1610</v>
      </c>
      <c r="Q755" s="0" t="n">
        <v>144</v>
      </c>
      <c r="R755" s="0" t="n">
        <v>143</v>
      </c>
      <c r="Y755" s="0" t="s">
        <v>1651</v>
      </c>
      <c r="Z755" s="0" t="s">
        <v>1652</v>
      </c>
      <c r="AA755" s="0" t="s">
        <v>2636</v>
      </c>
      <c r="AC755" s="0" t="s">
        <v>2443</v>
      </c>
    </row>
    <row r="756" customFormat="false" ht="15" hidden="false" customHeight="false" outlineLevel="0" collapsed="false">
      <c r="A756" s="0" t="s">
        <v>2637</v>
      </c>
      <c r="B756" s="0" t="s">
        <v>138</v>
      </c>
      <c r="C756" s="0" t="s">
        <v>2105</v>
      </c>
      <c r="D756" s="0" t="n">
        <v>2018</v>
      </c>
      <c r="E756" s="0" t="s">
        <v>2638</v>
      </c>
      <c r="F756" s="0" t="n">
        <v>68783</v>
      </c>
      <c r="G756" s="0" t="s">
        <v>1681</v>
      </c>
      <c r="H756" s="0" t="s">
        <v>1648</v>
      </c>
      <c r="I756" s="0" t="n">
        <v>68783</v>
      </c>
      <c r="J756" s="0" t="s">
        <v>2439</v>
      </c>
      <c r="L756" s="0" t="n">
        <v>2019</v>
      </c>
      <c r="M756" s="0" t="s">
        <v>1611</v>
      </c>
      <c r="N756" s="0" t="s">
        <v>1610</v>
      </c>
      <c r="Q756" s="0" t="n">
        <v>144</v>
      </c>
      <c r="R756" s="0" t="n">
        <v>143</v>
      </c>
      <c r="Y756" s="0" t="s">
        <v>1651</v>
      </c>
      <c r="Z756" s="0" t="s">
        <v>1652</v>
      </c>
      <c r="AA756" s="0" t="s">
        <v>2636</v>
      </c>
      <c r="AC756" s="0" t="s">
        <v>2443</v>
      </c>
    </row>
    <row r="757" customFormat="false" ht="15" hidden="false" customHeight="false" outlineLevel="0" collapsed="false">
      <c r="A757" s="0" t="s">
        <v>2639</v>
      </c>
      <c r="B757" s="0" t="s">
        <v>138</v>
      </c>
      <c r="C757" s="0" t="s">
        <v>2105</v>
      </c>
      <c r="D757" s="0" t="n">
        <v>2018</v>
      </c>
      <c r="E757" s="0" t="s">
        <v>2640</v>
      </c>
      <c r="F757" s="0" t="n">
        <v>260044</v>
      </c>
      <c r="G757" s="0" t="s">
        <v>1681</v>
      </c>
      <c r="H757" s="0" t="s">
        <v>1648</v>
      </c>
      <c r="I757" s="0" t="n">
        <v>260044</v>
      </c>
      <c r="J757" s="0" t="s">
        <v>2439</v>
      </c>
      <c r="L757" s="0" t="n">
        <v>2018</v>
      </c>
      <c r="M757" s="0" t="s">
        <v>1551</v>
      </c>
      <c r="N757" s="0" t="s">
        <v>142</v>
      </c>
      <c r="Q757" s="0" t="n">
        <v>149</v>
      </c>
      <c r="R757" s="0" t="n">
        <v>149</v>
      </c>
      <c r="Y757" s="0" t="s">
        <v>1651</v>
      </c>
      <c r="Z757" s="0" t="s">
        <v>1652</v>
      </c>
      <c r="AA757" s="0" t="s">
        <v>2641</v>
      </c>
      <c r="AC757" s="0" t="s">
        <v>2443</v>
      </c>
    </row>
    <row r="758" customFormat="false" ht="15" hidden="false" customHeight="false" outlineLevel="0" collapsed="false">
      <c r="A758" s="0" t="s">
        <v>2642</v>
      </c>
      <c r="B758" s="0" t="s">
        <v>138</v>
      </c>
      <c r="C758" s="0" t="s">
        <v>2105</v>
      </c>
      <c r="D758" s="0" t="n">
        <v>2018</v>
      </c>
      <c r="E758" s="0" t="s">
        <v>2643</v>
      </c>
      <c r="F758" s="0" t="n">
        <v>90024</v>
      </c>
      <c r="G758" s="0" t="s">
        <v>1681</v>
      </c>
      <c r="H758" s="0" t="s">
        <v>1648</v>
      </c>
      <c r="I758" s="0" t="n">
        <v>90024</v>
      </c>
      <c r="J758" s="0" t="s">
        <v>2439</v>
      </c>
      <c r="L758" s="0" t="n">
        <v>2018</v>
      </c>
      <c r="M758" s="0" t="s">
        <v>1551</v>
      </c>
      <c r="N758" s="0" t="s">
        <v>142</v>
      </c>
      <c r="Q758" s="0" t="n">
        <v>149</v>
      </c>
      <c r="R758" s="0" t="n">
        <v>149</v>
      </c>
      <c r="Y758" s="0" t="s">
        <v>1651</v>
      </c>
      <c r="Z758" s="0" t="s">
        <v>1652</v>
      </c>
      <c r="AA758" s="0" t="s">
        <v>2641</v>
      </c>
      <c r="AC758" s="0" t="s">
        <v>2443</v>
      </c>
    </row>
    <row r="759" customFormat="false" ht="15" hidden="false" customHeight="false" outlineLevel="0" collapsed="false">
      <c r="A759" s="0" t="s">
        <v>2644</v>
      </c>
      <c r="B759" s="0" t="s">
        <v>138</v>
      </c>
      <c r="C759" s="0" t="s">
        <v>2105</v>
      </c>
      <c r="D759" s="0" t="n">
        <v>2018</v>
      </c>
      <c r="E759" s="0" t="s">
        <v>2645</v>
      </c>
      <c r="F759" s="0" t="n">
        <v>8822</v>
      </c>
      <c r="G759" s="0" t="s">
        <v>1681</v>
      </c>
      <c r="H759" s="0" t="s">
        <v>1648</v>
      </c>
      <c r="I759" s="0" t="n">
        <v>8822</v>
      </c>
      <c r="J759" s="0" t="s">
        <v>2439</v>
      </c>
      <c r="L759" s="0" t="n">
        <v>2018</v>
      </c>
      <c r="M759" s="0" t="s">
        <v>1551</v>
      </c>
      <c r="N759" s="0" t="s">
        <v>142</v>
      </c>
      <c r="Q759" s="0" t="n">
        <v>149</v>
      </c>
      <c r="R759" s="0" t="n">
        <v>149</v>
      </c>
      <c r="Y759" s="0" t="s">
        <v>1651</v>
      </c>
      <c r="Z759" s="0" t="s">
        <v>1652</v>
      </c>
      <c r="AA759" s="0" t="s">
        <v>2641</v>
      </c>
      <c r="AC759" s="0" t="s">
        <v>2443</v>
      </c>
    </row>
    <row r="760" customFormat="false" ht="15" hidden="false" customHeight="false" outlineLevel="0" collapsed="false">
      <c r="A760" s="0" t="s">
        <v>2646</v>
      </c>
      <c r="B760" s="0" t="s">
        <v>138</v>
      </c>
      <c r="C760" s="0" t="s">
        <v>2105</v>
      </c>
      <c r="D760" s="0" t="n">
        <v>2018</v>
      </c>
      <c r="E760" s="0" t="s">
        <v>2647</v>
      </c>
      <c r="F760" s="0" t="n">
        <v>6388</v>
      </c>
      <c r="G760" s="0" t="s">
        <v>1681</v>
      </c>
      <c r="H760" s="0" t="s">
        <v>1648</v>
      </c>
      <c r="I760" s="0" t="n">
        <v>6388</v>
      </c>
      <c r="J760" s="0" t="s">
        <v>2439</v>
      </c>
      <c r="L760" s="0" t="n">
        <v>2018</v>
      </c>
      <c r="M760" s="0" t="s">
        <v>1551</v>
      </c>
      <c r="N760" s="0" t="s">
        <v>142</v>
      </c>
      <c r="Q760" s="0" t="n">
        <v>149</v>
      </c>
      <c r="R760" s="0" t="n">
        <v>149</v>
      </c>
      <c r="Y760" s="0" t="s">
        <v>1651</v>
      </c>
      <c r="Z760" s="0" t="s">
        <v>1652</v>
      </c>
      <c r="AA760" s="0" t="s">
        <v>2641</v>
      </c>
      <c r="AC760" s="0" t="s">
        <v>2443</v>
      </c>
    </row>
    <row r="761" customFormat="false" ht="15" hidden="false" customHeight="false" outlineLevel="0" collapsed="false">
      <c r="A761" s="0" t="s">
        <v>2648</v>
      </c>
      <c r="B761" s="0" t="s">
        <v>138</v>
      </c>
      <c r="C761" s="0" t="s">
        <v>2105</v>
      </c>
      <c r="D761" s="0" t="n">
        <v>2019</v>
      </c>
      <c r="E761" s="0" t="s">
        <v>2649</v>
      </c>
      <c r="F761" s="0" t="n">
        <v>-9342</v>
      </c>
      <c r="G761" s="0" t="s">
        <v>1681</v>
      </c>
      <c r="H761" s="0" t="s">
        <v>1648</v>
      </c>
      <c r="I761" s="0" t="n">
        <v>-9342</v>
      </c>
      <c r="J761" s="0" t="s">
        <v>2439</v>
      </c>
      <c r="L761" s="0" t="n">
        <v>2020</v>
      </c>
      <c r="M761" s="0" t="s">
        <v>2496</v>
      </c>
      <c r="N761" s="0" t="s">
        <v>146</v>
      </c>
      <c r="Q761" s="0" t="n">
        <v>59</v>
      </c>
      <c r="R761" s="0" t="n">
        <v>57</v>
      </c>
      <c r="Y761" s="0" t="s">
        <v>1651</v>
      </c>
      <c r="Z761" s="0" t="s">
        <v>1652</v>
      </c>
      <c r="AA761" s="0" t="s">
        <v>2650</v>
      </c>
      <c r="AC761" s="0" t="s">
        <v>2443</v>
      </c>
    </row>
    <row r="762" customFormat="false" ht="15" hidden="false" customHeight="false" outlineLevel="0" collapsed="false">
      <c r="A762" s="0" t="s">
        <v>2651</v>
      </c>
      <c r="B762" s="0" t="s">
        <v>138</v>
      </c>
      <c r="C762" s="0" t="s">
        <v>2105</v>
      </c>
      <c r="D762" s="0" t="n">
        <v>2019</v>
      </c>
      <c r="E762" s="0" t="s">
        <v>2652</v>
      </c>
      <c r="F762" s="0" t="n">
        <v>9480</v>
      </c>
      <c r="G762" s="0" t="s">
        <v>1681</v>
      </c>
      <c r="H762" s="0" t="s">
        <v>1648</v>
      </c>
      <c r="I762" s="0" t="n">
        <v>9480</v>
      </c>
      <c r="J762" s="0" t="s">
        <v>2439</v>
      </c>
      <c r="L762" s="0" t="n">
        <v>2020</v>
      </c>
      <c r="M762" s="0" t="s">
        <v>2496</v>
      </c>
      <c r="N762" s="0" t="s">
        <v>146</v>
      </c>
      <c r="Q762" s="0" t="n">
        <v>59</v>
      </c>
      <c r="R762" s="0" t="n">
        <v>57</v>
      </c>
      <c r="Y762" s="0" t="s">
        <v>1651</v>
      </c>
      <c r="Z762" s="0" t="s">
        <v>1652</v>
      </c>
      <c r="AA762" s="0" t="s">
        <v>2653</v>
      </c>
      <c r="AC762" s="0" t="s">
        <v>2443</v>
      </c>
    </row>
    <row r="763" customFormat="false" ht="15" hidden="false" customHeight="false" outlineLevel="0" collapsed="false">
      <c r="A763" s="0" t="s">
        <v>2654</v>
      </c>
      <c r="B763" s="0" t="s">
        <v>138</v>
      </c>
      <c r="C763" s="0" t="s">
        <v>2105</v>
      </c>
      <c r="D763" s="0" t="n">
        <v>2020</v>
      </c>
      <c r="E763" s="0" t="s">
        <v>2649</v>
      </c>
      <c r="F763" s="0" t="n">
        <v>-2401</v>
      </c>
      <c r="G763" s="0" t="s">
        <v>1681</v>
      </c>
      <c r="H763" s="0" t="s">
        <v>1648</v>
      </c>
      <c r="I763" s="0" t="n">
        <v>-2401</v>
      </c>
      <c r="J763" s="0" t="s">
        <v>2439</v>
      </c>
      <c r="L763" s="0" t="n">
        <v>2020</v>
      </c>
      <c r="M763" s="0" t="s">
        <v>2496</v>
      </c>
      <c r="N763" s="0" t="s">
        <v>146</v>
      </c>
      <c r="Q763" s="0" t="n">
        <v>59</v>
      </c>
      <c r="R763" s="0" t="n">
        <v>57</v>
      </c>
      <c r="Y763" s="0" t="s">
        <v>1651</v>
      </c>
      <c r="Z763" s="0" t="s">
        <v>1652</v>
      </c>
      <c r="AA763" s="0" t="s">
        <v>2655</v>
      </c>
      <c r="AC763" s="0" t="s">
        <v>2443</v>
      </c>
    </row>
    <row r="764" customFormat="false" ht="15" hidden="false" customHeight="false" outlineLevel="0" collapsed="false">
      <c r="A764" s="0" t="s">
        <v>2656</v>
      </c>
      <c r="B764" s="0" t="s">
        <v>138</v>
      </c>
      <c r="C764" s="0" t="s">
        <v>2105</v>
      </c>
      <c r="D764" s="0" t="n">
        <v>2020</v>
      </c>
      <c r="E764" s="0" t="s">
        <v>2657</v>
      </c>
      <c r="F764" s="0" t="n">
        <v>-2335</v>
      </c>
      <c r="G764" s="0" t="s">
        <v>1681</v>
      </c>
      <c r="H764" s="0" t="s">
        <v>1648</v>
      </c>
      <c r="I764" s="0" t="n">
        <v>-2335</v>
      </c>
      <c r="J764" s="0" t="s">
        <v>2439</v>
      </c>
      <c r="L764" s="0" t="n">
        <v>2020</v>
      </c>
      <c r="M764" s="0" t="s">
        <v>2496</v>
      </c>
      <c r="N764" s="0" t="s">
        <v>146</v>
      </c>
      <c r="Q764" s="0" t="n">
        <v>143</v>
      </c>
      <c r="R764" s="0" t="n">
        <v>141</v>
      </c>
      <c r="Y764" s="0" t="s">
        <v>1651</v>
      </c>
      <c r="Z764" s="0" t="s">
        <v>1652</v>
      </c>
      <c r="AA764" s="0" t="s">
        <v>2658</v>
      </c>
      <c r="AC764" s="0" t="s">
        <v>2443</v>
      </c>
    </row>
    <row r="765" customFormat="false" ht="15" hidden="false" customHeight="false" outlineLevel="0" collapsed="false">
      <c r="A765" s="0" t="s">
        <v>2659</v>
      </c>
      <c r="B765" s="0" t="s">
        <v>138</v>
      </c>
      <c r="C765" s="0" t="s">
        <v>2105</v>
      </c>
      <c r="D765" s="0" t="n">
        <v>2021</v>
      </c>
      <c r="E765" s="0" t="s">
        <v>2649</v>
      </c>
      <c r="F765" s="0" t="n">
        <v>157</v>
      </c>
      <c r="G765" s="0" t="s">
        <v>1681</v>
      </c>
      <c r="H765" s="0" t="s">
        <v>1648</v>
      </c>
      <c r="I765" s="0" t="n">
        <v>157</v>
      </c>
      <c r="J765" s="0" t="s">
        <v>2439</v>
      </c>
      <c r="L765" s="0" t="n">
        <v>2022</v>
      </c>
      <c r="M765" s="0" t="s">
        <v>2549</v>
      </c>
      <c r="N765" s="0" t="s">
        <v>149</v>
      </c>
      <c r="Q765" s="0" t="n">
        <v>65</v>
      </c>
      <c r="R765" s="0" t="n">
        <v>65</v>
      </c>
      <c r="Y765" s="0" t="s">
        <v>1651</v>
      </c>
      <c r="Z765" s="0" t="s">
        <v>1652</v>
      </c>
      <c r="AA765" s="0" t="s">
        <v>2660</v>
      </c>
      <c r="AC765" s="0" t="s">
        <v>2443</v>
      </c>
    </row>
    <row r="766" customFormat="false" ht="15" hidden="false" customHeight="false" outlineLevel="0" collapsed="false">
      <c r="A766" s="0" t="s">
        <v>2661</v>
      </c>
      <c r="B766" s="0" t="s">
        <v>138</v>
      </c>
      <c r="C766" s="0" t="s">
        <v>2105</v>
      </c>
      <c r="D766" s="0" t="n">
        <v>2021</v>
      </c>
      <c r="E766" s="0" t="s">
        <v>2662</v>
      </c>
      <c r="F766" s="0" t="n">
        <v>156</v>
      </c>
      <c r="G766" s="0" t="s">
        <v>1681</v>
      </c>
      <c r="H766" s="0" t="s">
        <v>1648</v>
      </c>
      <c r="I766" s="0" t="n">
        <v>156</v>
      </c>
      <c r="J766" s="0" t="s">
        <v>2439</v>
      </c>
      <c r="L766" s="0" t="n">
        <v>2022</v>
      </c>
      <c r="M766" s="0" t="s">
        <v>2549</v>
      </c>
      <c r="N766" s="0" t="s">
        <v>149</v>
      </c>
      <c r="Q766" s="0" t="n">
        <v>160</v>
      </c>
      <c r="R766" s="0" t="n">
        <v>160</v>
      </c>
      <c r="Y766" s="0" t="s">
        <v>1651</v>
      </c>
      <c r="Z766" s="0" t="s">
        <v>1652</v>
      </c>
      <c r="AA766" s="0" t="s">
        <v>2663</v>
      </c>
      <c r="AC766" s="0" t="s">
        <v>2443</v>
      </c>
    </row>
    <row r="767" customFormat="false" ht="15" hidden="false" customHeight="false" outlineLevel="0" collapsed="false">
      <c r="A767" s="0" t="s">
        <v>2664</v>
      </c>
      <c r="B767" s="0" t="s">
        <v>138</v>
      </c>
      <c r="C767" s="0" t="s">
        <v>2105</v>
      </c>
      <c r="D767" s="0" t="n">
        <v>2022</v>
      </c>
      <c r="E767" s="0" t="s">
        <v>2649</v>
      </c>
      <c r="F767" s="0" t="n">
        <v>3205</v>
      </c>
      <c r="G767" s="0" t="s">
        <v>1681</v>
      </c>
      <c r="H767" s="0" t="s">
        <v>1648</v>
      </c>
      <c r="I767" s="0" t="n">
        <v>3205</v>
      </c>
      <c r="J767" s="0" t="s">
        <v>2439</v>
      </c>
      <c r="L767" s="0" t="n">
        <v>2022</v>
      </c>
      <c r="M767" s="0" t="s">
        <v>2549</v>
      </c>
      <c r="N767" s="0" t="s">
        <v>149</v>
      </c>
      <c r="Q767" s="0" t="n">
        <v>65</v>
      </c>
      <c r="R767" s="0" t="n">
        <v>65</v>
      </c>
      <c r="Y767" s="0" t="s">
        <v>1651</v>
      </c>
      <c r="Z767" s="0" t="s">
        <v>1652</v>
      </c>
      <c r="AA767" s="0" t="s">
        <v>2665</v>
      </c>
      <c r="AC767" s="0" t="s">
        <v>2443</v>
      </c>
    </row>
    <row r="768" customFormat="false" ht="15" hidden="false" customHeight="false" outlineLevel="0" collapsed="false">
      <c r="A768" s="0" t="s">
        <v>2666</v>
      </c>
      <c r="B768" s="0" t="s">
        <v>138</v>
      </c>
      <c r="C768" s="0" t="s">
        <v>2105</v>
      </c>
      <c r="D768" s="0" t="n">
        <v>2022</v>
      </c>
      <c r="E768" s="0" t="s">
        <v>2662</v>
      </c>
      <c r="F768" s="0" t="n">
        <v>3210</v>
      </c>
      <c r="G768" s="0" t="s">
        <v>1681</v>
      </c>
      <c r="H768" s="0" t="s">
        <v>1648</v>
      </c>
      <c r="I768" s="0" t="n">
        <v>3210</v>
      </c>
      <c r="J768" s="0" t="s">
        <v>2439</v>
      </c>
      <c r="L768" s="0" t="n">
        <v>2022</v>
      </c>
      <c r="M768" s="0" t="s">
        <v>2549</v>
      </c>
      <c r="N768" s="0" t="s">
        <v>149</v>
      </c>
      <c r="Q768" s="0" t="n">
        <v>160</v>
      </c>
      <c r="R768" s="0" t="n">
        <v>160</v>
      </c>
      <c r="Y768" s="0" t="s">
        <v>1651</v>
      </c>
      <c r="Z768" s="0" t="s">
        <v>1652</v>
      </c>
      <c r="AA768" s="0" t="s">
        <v>2667</v>
      </c>
      <c r="AC768" s="0" t="s">
        <v>2443</v>
      </c>
    </row>
    <row r="769" customFormat="false" ht="15" hidden="false" customHeight="false" outlineLevel="0" collapsed="false">
      <c r="A769" s="0" t="s">
        <v>2668</v>
      </c>
      <c r="B769" s="0" t="s">
        <v>138</v>
      </c>
      <c r="C769" s="0" t="s">
        <v>2105</v>
      </c>
      <c r="D769" s="0" t="n">
        <v>2022</v>
      </c>
      <c r="E769" s="0" t="s">
        <v>2669</v>
      </c>
      <c r="F769" s="0" t="n">
        <v>22610</v>
      </c>
      <c r="G769" s="0" t="s">
        <v>1681</v>
      </c>
      <c r="H769" s="0" t="s">
        <v>1648</v>
      </c>
      <c r="I769" s="0" t="n">
        <v>22610</v>
      </c>
      <c r="J769" s="0" t="s">
        <v>2439</v>
      </c>
      <c r="L769" s="0" t="n">
        <v>2022</v>
      </c>
      <c r="M769" s="0" t="s">
        <v>2549</v>
      </c>
      <c r="N769" s="0" t="s">
        <v>149</v>
      </c>
      <c r="Q769" s="0" t="n">
        <v>161</v>
      </c>
      <c r="R769" s="0" t="n">
        <v>161</v>
      </c>
      <c r="Y769" s="0" t="s">
        <v>1651</v>
      </c>
      <c r="Z769" s="0" t="s">
        <v>1652</v>
      </c>
      <c r="AA769" s="0" t="s">
        <v>2670</v>
      </c>
      <c r="AC769" s="0" t="s">
        <v>2443</v>
      </c>
    </row>
    <row r="770" customFormat="false" ht="15" hidden="false" customHeight="false" outlineLevel="0" collapsed="false">
      <c r="A770" s="0" t="s">
        <v>2671</v>
      </c>
      <c r="B770" s="0" t="s">
        <v>138</v>
      </c>
      <c r="C770" s="0" t="s">
        <v>2105</v>
      </c>
      <c r="D770" s="0" t="n">
        <v>2022</v>
      </c>
      <c r="E770" s="0" t="s">
        <v>2672</v>
      </c>
      <c r="F770" s="0" t="n">
        <v>22496</v>
      </c>
      <c r="G770" s="0" t="s">
        <v>1681</v>
      </c>
      <c r="H770" s="0" t="s">
        <v>1648</v>
      </c>
      <c r="I770" s="0" t="n">
        <v>22496</v>
      </c>
      <c r="J770" s="0" t="s">
        <v>2439</v>
      </c>
      <c r="L770" s="0" t="n">
        <v>2022</v>
      </c>
      <c r="M770" s="0" t="s">
        <v>2549</v>
      </c>
      <c r="N770" s="0" t="s">
        <v>149</v>
      </c>
      <c r="Q770" s="0" t="n">
        <v>160</v>
      </c>
      <c r="R770" s="0" t="n">
        <v>160</v>
      </c>
      <c r="Y770" s="0" t="s">
        <v>1651</v>
      </c>
      <c r="Z770" s="0" t="s">
        <v>1652</v>
      </c>
      <c r="AA770" s="0" t="s">
        <v>2673</v>
      </c>
      <c r="AC770" s="0" t="s">
        <v>2443</v>
      </c>
    </row>
    <row r="771" customFormat="false" ht="15" hidden="false" customHeight="false" outlineLevel="0" collapsed="false">
      <c r="A771" s="0" t="s">
        <v>2674</v>
      </c>
      <c r="B771" s="0" t="s">
        <v>138</v>
      </c>
      <c r="C771" s="0" t="s">
        <v>2105</v>
      </c>
      <c r="D771" s="0" t="n">
        <v>2022</v>
      </c>
      <c r="E771" s="0" t="s">
        <v>2675</v>
      </c>
      <c r="F771" s="0" t="n">
        <v>16470</v>
      </c>
      <c r="G771" s="0" t="s">
        <v>1681</v>
      </c>
      <c r="H771" s="0" t="s">
        <v>1648</v>
      </c>
      <c r="I771" s="0" t="n">
        <v>16470</v>
      </c>
      <c r="J771" s="0" t="s">
        <v>2439</v>
      </c>
      <c r="L771" s="0" t="n">
        <v>2022</v>
      </c>
      <c r="M771" s="0" t="s">
        <v>2549</v>
      </c>
      <c r="N771" s="0" t="s">
        <v>149</v>
      </c>
      <c r="Q771" s="0" t="n">
        <v>135</v>
      </c>
      <c r="R771" s="0" t="n">
        <v>135</v>
      </c>
      <c r="Y771" s="0" t="s">
        <v>1651</v>
      </c>
      <c r="Z771" s="0" t="s">
        <v>1652</v>
      </c>
      <c r="AA771" s="0" t="s">
        <v>2676</v>
      </c>
      <c r="AC771" s="0" t="s">
        <v>2443</v>
      </c>
    </row>
    <row r="772" customFormat="false" ht="15" hidden="false" customHeight="false" outlineLevel="0" collapsed="false">
      <c r="A772" s="0" t="s">
        <v>2677</v>
      </c>
      <c r="B772" s="0" t="s">
        <v>138</v>
      </c>
      <c r="C772" s="0" t="s">
        <v>2105</v>
      </c>
      <c r="D772" s="0" t="n">
        <v>2019</v>
      </c>
      <c r="E772" s="0" t="s">
        <v>2678</v>
      </c>
      <c r="F772" s="0" t="n">
        <v>51</v>
      </c>
      <c r="G772" s="0" t="s">
        <v>1723</v>
      </c>
      <c r="I772" s="0" t="n">
        <v>51</v>
      </c>
      <c r="J772" s="0" t="s">
        <v>2679</v>
      </c>
      <c r="L772" s="0" t="n">
        <v>2020</v>
      </c>
      <c r="M772" s="0" t="s">
        <v>2496</v>
      </c>
      <c r="N772" s="0" t="s">
        <v>146</v>
      </c>
      <c r="Q772" s="0" t="n">
        <v>103</v>
      </c>
      <c r="R772" s="0" t="n">
        <v>101</v>
      </c>
      <c r="Y772" s="0" t="s">
        <v>1651</v>
      </c>
      <c r="Z772" s="0" t="s">
        <v>1652</v>
      </c>
      <c r="AA772" s="0" t="s">
        <v>2680</v>
      </c>
      <c r="AC772" s="0" t="s">
        <v>2443</v>
      </c>
    </row>
    <row r="773" customFormat="false" ht="15" hidden="false" customHeight="false" outlineLevel="0" collapsed="false">
      <c r="A773" s="0" t="s">
        <v>2681</v>
      </c>
      <c r="B773" s="0" t="s">
        <v>138</v>
      </c>
      <c r="C773" s="0" t="s">
        <v>2105</v>
      </c>
      <c r="D773" s="0" t="n">
        <v>2020</v>
      </c>
      <c r="E773" s="0" t="s">
        <v>2678</v>
      </c>
      <c r="F773" s="0" t="n">
        <v>41</v>
      </c>
      <c r="G773" s="0" t="s">
        <v>1723</v>
      </c>
      <c r="I773" s="0" t="n">
        <v>41</v>
      </c>
      <c r="J773" s="0" t="s">
        <v>2679</v>
      </c>
      <c r="L773" s="0" t="n">
        <v>2020</v>
      </c>
      <c r="M773" s="0" t="s">
        <v>2496</v>
      </c>
      <c r="N773" s="0" t="s">
        <v>146</v>
      </c>
      <c r="Q773" s="0" t="n">
        <v>103</v>
      </c>
      <c r="R773" s="0" t="n">
        <v>101</v>
      </c>
      <c r="Y773" s="0" t="s">
        <v>1651</v>
      </c>
      <c r="Z773" s="0" t="s">
        <v>1652</v>
      </c>
      <c r="AA773" s="0" t="s">
        <v>2680</v>
      </c>
      <c r="AC773" s="0" t="s">
        <v>2443</v>
      </c>
    </row>
    <row r="774" customFormat="false" ht="15" hidden="false" customHeight="false" outlineLevel="0" collapsed="false">
      <c r="A774" s="0" t="s">
        <v>2682</v>
      </c>
      <c r="B774" s="0" t="s">
        <v>138</v>
      </c>
      <c r="C774" s="0" t="s">
        <v>2105</v>
      </c>
      <c r="D774" s="0" t="n">
        <v>2021</v>
      </c>
      <c r="E774" s="0" t="s">
        <v>2678</v>
      </c>
      <c r="F774" s="0" t="n">
        <v>35</v>
      </c>
      <c r="G774" s="0" t="s">
        <v>1723</v>
      </c>
      <c r="I774" s="0" t="n">
        <v>35</v>
      </c>
      <c r="J774" s="0" t="s">
        <v>2679</v>
      </c>
      <c r="L774" s="0" t="n">
        <v>2022</v>
      </c>
      <c r="M774" s="0" t="s">
        <v>2549</v>
      </c>
      <c r="N774" s="0" t="s">
        <v>149</v>
      </c>
      <c r="Q774" s="0" t="n">
        <v>122</v>
      </c>
      <c r="R774" s="0" t="n">
        <v>122</v>
      </c>
      <c r="Y774" s="0" t="s">
        <v>1651</v>
      </c>
      <c r="Z774" s="0" t="s">
        <v>1652</v>
      </c>
      <c r="AA774" s="0" t="s">
        <v>2680</v>
      </c>
      <c r="AC774" s="0" t="s">
        <v>2443</v>
      </c>
    </row>
    <row r="775" customFormat="false" ht="15" hidden="false" customHeight="false" outlineLevel="0" collapsed="false">
      <c r="A775" s="0" t="s">
        <v>2683</v>
      </c>
      <c r="B775" s="0" t="s">
        <v>138</v>
      </c>
      <c r="C775" s="0" t="s">
        <v>2105</v>
      </c>
      <c r="D775" s="0" t="n">
        <v>2022</v>
      </c>
      <c r="E775" s="0" t="s">
        <v>2678</v>
      </c>
      <c r="F775" s="0" t="n">
        <v>39</v>
      </c>
      <c r="G775" s="0" t="s">
        <v>1723</v>
      </c>
      <c r="I775" s="0" t="n">
        <v>39</v>
      </c>
      <c r="J775" s="0" t="s">
        <v>2679</v>
      </c>
      <c r="L775" s="0" t="n">
        <v>2022</v>
      </c>
      <c r="M775" s="0" t="s">
        <v>2549</v>
      </c>
      <c r="N775" s="0" t="s">
        <v>149</v>
      </c>
      <c r="Q775" s="0" t="n">
        <v>122</v>
      </c>
      <c r="R775" s="0" t="n">
        <v>122</v>
      </c>
      <c r="Y775" s="0" t="s">
        <v>1651</v>
      </c>
      <c r="Z775" s="0" t="s">
        <v>1652</v>
      </c>
      <c r="AA775" s="0" t="s">
        <v>2680</v>
      </c>
      <c r="AC775" s="0" t="s">
        <v>2443</v>
      </c>
    </row>
    <row r="776" customFormat="false" ht="15" hidden="false" customHeight="false" outlineLevel="0" collapsed="false">
      <c r="A776" s="0" t="s">
        <v>2684</v>
      </c>
      <c r="B776" s="0" t="s">
        <v>129</v>
      </c>
      <c r="C776" s="0" t="s">
        <v>1678</v>
      </c>
      <c r="D776" s="0" t="n">
        <v>2015</v>
      </c>
      <c r="E776" s="0" t="s">
        <v>54</v>
      </c>
      <c r="F776" s="0" t="n">
        <v>47642</v>
      </c>
      <c r="G776" s="0" t="s">
        <v>1681</v>
      </c>
      <c r="H776" s="0" t="s">
        <v>1648</v>
      </c>
      <c r="I776" s="0" t="n">
        <v>47642</v>
      </c>
      <c r="J776" s="0" t="s">
        <v>2685</v>
      </c>
      <c r="L776" s="0" t="n">
        <v>2016</v>
      </c>
      <c r="M776" s="0" t="s">
        <v>2686</v>
      </c>
      <c r="N776" s="0" t="s">
        <v>131</v>
      </c>
      <c r="Q776" s="0" t="n">
        <v>76</v>
      </c>
      <c r="R776" s="0" t="n">
        <v>74</v>
      </c>
      <c r="U776" s="0" t="s">
        <v>2687</v>
      </c>
      <c r="V776" s="0" t="s">
        <v>2687</v>
      </c>
      <c r="Y776" s="0" t="s">
        <v>1651</v>
      </c>
      <c r="Z776" s="0" t="s">
        <v>1652</v>
      </c>
      <c r="AA776" s="0" t="s">
        <v>2688</v>
      </c>
      <c r="AC776" s="0" t="s">
        <v>2689</v>
      </c>
    </row>
    <row r="777" customFormat="false" ht="15" hidden="false" customHeight="false" outlineLevel="0" collapsed="false">
      <c r="A777" s="0" t="s">
        <v>2690</v>
      </c>
      <c r="B777" s="0" t="s">
        <v>129</v>
      </c>
      <c r="C777" s="0" t="s">
        <v>1678</v>
      </c>
      <c r="D777" s="0" t="n">
        <v>2015</v>
      </c>
      <c r="E777" s="0" t="s">
        <v>670</v>
      </c>
      <c r="F777" s="0" t="n">
        <v>247378</v>
      </c>
      <c r="G777" s="0" t="s">
        <v>1681</v>
      </c>
      <c r="H777" s="0" t="s">
        <v>1648</v>
      </c>
      <c r="I777" s="0" t="n">
        <v>247378</v>
      </c>
      <c r="J777" s="0" t="s">
        <v>2685</v>
      </c>
      <c r="L777" s="0" t="n">
        <v>2016</v>
      </c>
      <c r="M777" s="0" t="s">
        <v>2686</v>
      </c>
      <c r="N777" s="0" t="s">
        <v>131</v>
      </c>
      <c r="Q777" s="0" t="n">
        <v>76</v>
      </c>
      <c r="R777" s="0" t="n">
        <v>74</v>
      </c>
      <c r="U777" s="0" t="s">
        <v>2687</v>
      </c>
      <c r="V777" s="0" t="s">
        <v>2687</v>
      </c>
      <c r="Y777" s="0" t="s">
        <v>1651</v>
      </c>
      <c r="Z777" s="0" t="s">
        <v>1652</v>
      </c>
      <c r="AA777" s="0" t="s">
        <v>2688</v>
      </c>
      <c r="AC777" s="0" t="s">
        <v>2689</v>
      </c>
    </row>
    <row r="778" customFormat="false" ht="15" hidden="false" customHeight="false" outlineLevel="0" collapsed="false">
      <c r="A778" s="0" t="s">
        <v>2691</v>
      </c>
      <c r="B778" s="0" t="s">
        <v>129</v>
      </c>
      <c r="C778" s="0" t="s">
        <v>1678</v>
      </c>
      <c r="D778" s="0" t="n">
        <v>2015</v>
      </c>
      <c r="E778" s="0" t="s">
        <v>402</v>
      </c>
      <c r="F778" s="0" t="n">
        <v>50735</v>
      </c>
      <c r="G778" s="0" t="s">
        <v>1681</v>
      </c>
      <c r="H778" s="0" t="s">
        <v>1648</v>
      </c>
      <c r="I778" s="0" t="n">
        <v>50735</v>
      </c>
      <c r="J778" s="0" t="s">
        <v>2685</v>
      </c>
      <c r="L778" s="0" t="n">
        <v>2016</v>
      </c>
      <c r="M778" s="0" t="s">
        <v>2686</v>
      </c>
      <c r="N778" s="0" t="s">
        <v>131</v>
      </c>
      <c r="Q778" s="0" t="n">
        <v>76</v>
      </c>
      <c r="R778" s="0" t="n">
        <v>74</v>
      </c>
      <c r="U778" s="0" t="s">
        <v>2687</v>
      </c>
      <c r="V778" s="0" t="s">
        <v>2687</v>
      </c>
      <c r="Y778" s="0" t="s">
        <v>1651</v>
      </c>
      <c r="Z778" s="0" t="s">
        <v>1652</v>
      </c>
      <c r="AA778" s="0" t="s">
        <v>2688</v>
      </c>
      <c r="AC778" s="0" t="s">
        <v>2689</v>
      </c>
    </row>
    <row r="779" customFormat="false" ht="15" hidden="false" customHeight="false" outlineLevel="0" collapsed="false">
      <c r="A779" s="0" t="s">
        <v>2692</v>
      </c>
      <c r="B779" s="0" t="s">
        <v>129</v>
      </c>
      <c r="C779" s="0" t="s">
        <v>1678</v>
      </c>
      <c r="D779" s="0" t="n">
        <v>2015</v>
      </c>
      <c r="E779" s="0" t="s">
        <v>63</v>
      </c>
      <c r="F779" s="0" t="n">
        <v>3491</v>
      </c>
      <c r="G779" s="0" t="s">
        <v>1681</v>
      </c>
      <c r="H779" s="0" t="s">
        <v>1648</v>
      </c>
      <c r="I779" s="0" t="n">
        <v>3491</v>
      </c>
      <c r="J779" s="0" t="s">
        <v>2685</v>
      </c>
      <c r="L779" s="0" t="n">
        <v>2016</v>
      </c>
      <c r="M779" s="0" t="s">
        <v>2686</v>
      </c>
      <c r="N779" s="0" t="s">
        <v>131</v>
      </c>
      <c r="Q779" s="0" t="n">
        <v>76</v>
      </c>
      <c r="R779" s="0" t="n">
        <v>74</v>
      </c>
      <c r="U779" s="0" t="s">
        <v>2687</v>
      </c>
      <c r="V779" s="0" t="s">
        <v>2687</v>
      </c>
      <c r="Y779" s="0" t="s">
        <v>1651</v>
      </c>
      <c r="Z779" s="0" t="s">
        <v>1652</v>
      </c>
      <c r="AA779" s="0" t="s">
        <v>2693</v>
      </c>
      <c r="AC779" s="0" t="s">
        <v>2689</v>
      </c>
    </row>
    <row r="780" customFormat="false" ht="15" hidden="false" customHeight="false" outlineLevel="0" collapsed="false">
      <c r="A780" s="0" t="s">
        <v>2694</v>
      </c>
      <c r="B780" s="0" t="s">
        <v>129</v>
      </c>
      <c r="C780" s="0" t="s">
        <v>1678</v>
      </c>
      <c r="D780" s="0" t="n">
        <v>2015</v>
      </c>
      <c r="E780" s="0" t="s">
        <v>55</v>
      </c>
      <c r="F780" s="0" t="n">
        <v>2216337</v>
      </c>
      <c r="G780" s="0" t="s">
        <v>1681</v>
      </c>
      <c r="H780" s="0" t="s">
        <v>1648</v>
      </c>
      <c r="I780" s="0" t="n">
        <v>2216337</v>
      </c>
      <c r="J780" s="0" t="s">
        <v>2685</v>
      </c>
      <c r="L780" s="0" t="n">
        <v>2016</v>
      </c>
      <c r="M780" s="0" t="s">
        <v>2686</v>
      </c>
      <c r="N780" s="0" t="s">
        <v>131</v>
      </c>
      <c r="Q780" s="0" t="n">
        <v>77</v>
      </c>
      <c r="R780" s="0" t="n">
        <v>75</v>
      </c>
      <c r="U780" s="0" t="s">
        <v>2687</v>
      </c>
      <c r="V780" s="0" t="s">
        <v>2687</v>
      </c>
      <c r="Y780" s="0" t="s">
        <v>1651</v>
      </c>
      <c r="Z780" s="0" t="s">
        <v>1652</v>
      </c>
      <c r="AA780" s="0" t="s">
        <v>2695</v>
      </c>
      <c r="AC780" s="0" t="s">
        <v>2689</v>
      </c>
    </row>
    <row r="781" customFormat="false" ht="15" hidden="false" customHeight="false" outlineLevel="0" collapsed="false">
      <c r="A781" s="0" t="s">
        <v>2696</v>
      </c>
      <c r="B781" s="0" t="s">
        <v>129</v>
      </c>
      <c r="C781" s="0" t="s">
        <v>1678</v>
      </c>
      <c r="D781" s="0" t="n">
        <v>2015</v>
      </c>
      <c r="E781" s="0" t="s">
        <v>56</v>
      </c>
      <c r="F781" s="0" t="n">
        <v>1878106</v>
      </c>
      <c r="G781" s="0" t="s">
        <v>1681</v>
      </c>
      <c r="H781" s="0" t="s">
        <v>1648</v>
      </c>
      <c r="I781" s="0" t="n">
        <v>1878106</v>
      </c>
      <c r="J781" s="0" t="s">
        <v>2685</v>
      </c>
      <c r="L781" s="0" t="n">
        <v>2016</v>
      </c>
      <c r="M781" s="0" t="s">
        <v>2686</v>
      </c>
      <c r="N781" s="0" t="s">
        <v>131</v>
      </c>
      <c r="Q781" s="0" t="n">
        <v>77</v>
      </c>
      <c r="R781" s="0" t="n">
        <v>75</v>
      </c>
      <c r="U781" s="0" t="s">
        <v>2687</v>
      </c>
      <c r="V781" s="0" t="s">
        <v>2687</v>
      </c>
      <c r="Y781" s="0" t="s">
        <v>1651</v>
      </c>
      <c r="Z781" s="0" t="s">
        <v>1652</v>
      </c>
      <c r="AA781" s="0" t="s">
        <v>2695</v>
      </c>
      <c r="AC781" s="0" t="s">
        <v>2689</v>
      </c>
    </row>
    <row r="782" customFormat="false" ht="15" hidden="false" customHeight="false" outlineLevel="0" collapsed="false">
      <c r="A782" s="0" t="s">
        <v>2697</v>
      </c>
      <c r="B782" s="0" t="s">
        <v>129</v>
      </c>
      <c r="C782" s="0" t="s">
        <v>1678</v>
      </c>
      <c r="D782" s="0" t="n">
        <v>2015</v>
      </c>
      <c r="E782" s="0" t="s">
        <v>57</v>
      </c>
      <c r="F782" s="0" t="n">
        <v>338231</v>
      </c>
      <c r="G782" s="0" t="s">
        <v>1681</v>
      </c>
      <c r="H782" s="0" t="s">
        <v>1648</v>
      </c>
      <c r="I782" s="0" t="n">
        <v>338231</v>
      </c>
      <c r="J782" s="0" t="s">
        <v>2685</v>
      </c>
      <c r="L782" s="0" t="n">
        <v>2016</v>
      </c>
      <c r="M782" s="0" t="s">
        <v>2686</v>
      </c>
      <c r="N782" s="0" t="s">
        <v>131</v>
      </c>
      <c r="Q782" s="0" t="n">
        <v>77</v>
      </c>
      <c r="R782" s="0" t="n">
        <v>75</v>
      </c>
      <c r="U782" s="0" t="s">
        <v>2687</v>
      </c>
      <c r="V782" s="0" t="s">
        <v>2687</v>
      </c>
      <c r="Y782" s="0" t="s">
        <v>1651</v>
      </c>
      <c r="Z782" s="0" t="s">
        <v>1652</v>
      </c>
      <c r="AA782" s="0" t="s">
        <v>2695</v>
      </c>
      <c r="AC782" s="0" t="s">
        <v>2689</v>
      </c>
    </row>
    <row r="783" customFormat="false" ht="15" hidden="false" customHeight="false" outlineLevel="0" collapsed="false">
      <c r="A783" s="0" t="s">
        <v>2698</v>
      </c>
      <c r="B783" s="0" t="s">
        <v>129</v>
      </c>
      <c r="C783" s="0" t="s">
        <v>1678</v>
      </c>
      <c r="D783" s="0" t="n">
        <v>2015</v>
      </c>
      <c r="E783" s="0" t="s">
        <v>58</v>
      </c>
      <c r="F783" s="0" t="n">
        <v>58408</v>
      </c>
      <c r="G783" s="0" t="s">
        <v>1681</v>
      </c>
      <c r="H783" s="0" t="s">
        <v>1648</v>
      </c>
      <c r="I783" s="0" t="n">
        <v>58408</v>
      </c>
      <c r="J783" s="0" t="s">
        <v>2685</v>
      </c>
      <c r="L783" s="0" t="n">
        <v>2016</v>
      </c>
      <c r="M783" s="0" t="s">
        <v>2686</v>
      </c>
      <c r="N783" s="0" t="s">
        <v>131</v>
      </c>
      <c r="Q783" s="0" t="n">
        <v>80</v>
      </c>
      <c r="R783" s="0" t="n">
        <v>78</v>
      </c>
      <c r="U783" s="0" t="s">
        <v>2687</v>
      </c>
      <c r="V783" s="0" t="s">
        <v>2687</v>
      </c>
      <c r="Y783" s="0" t="s">
        <v>1651</v>
      </c>
      <c r="Z783" s="0" t="s">
        <v>1652</v>
      </c>
      <c r="AA783" s="0" t="s">
        <v>2699</v>
      </c>
      <c r="AC783" s="0" t="s">
        <v>2689</v>
      </c>
    </row>
    <row r="784" customFormat="false" ht="15" hidden="false" customHeight="false" outlineLevel="0" collapsed="false">
      <c r="A784" s="0" t="s">
        <v>2700</v>
      </c>
      <c r="B784" s="0" t="s">
        <v>129</v>
      </c>
      <c r="C784" s="0" t="s">
        <v>1678</v>
      </c>
      <c r="D784" s="0" t="n">
        <v>2015</v>
      </c>
      <c r="E784" s="0" t="s">
        <v>65</v>
      </c>
      <c r="F784" s="0" t="n">
        <v>241091</v>
      </c>
      <c r="G784" s="0" t="s">
        <v>1681</v>
      </c>
      <c r="H784" s="0" t="s">
        <v>1648</v>
      </c>
      <c r="I784" s="0" t="n">
        <v>241091</v>
      </c>
      <c r="J784" s="0" t="s">
        <v>2685</v>
      </c>
      <c r="L784" s="0" t="n">
        <v>2016</v>
      </c>
      <c r="M784" s="0" t="s">
        <v>2686</v>
      </c>
      <c r="N784" s="0" t="s">
        <v>131</v>
      </c>
      <c r="Q784" s="0" t="n">
        <v>150</v>
      </c>
      <c r="R784" s="0" t="n">
        <v>148</v>
      </c>
      <c r="U784" s="0" t="s">
        <v>2687</v>
      </c>
      <c r="V784" s="0" t="s">
        <v>2687</v>
      </c>
      <c r="Y784" s="0" t="s">
        <v>1651</v>
      </c>
      <c r="Z784" s="0" t="s">
        <v>1652</v>
      </c>
      <c r="AA784" s="0" t="s">
        <v>2701</v>
      </c>
      <c r="AC784" s="0" t="s">
        <v>2689</v>
      </c>
    </row>
    <row r="785" customFormat="false" ht="15" hidden="false" customHeight="false" outlineLevel="0" collapsed="false">
      <c r="A785" s="0" t="s">
        <v>2702</v>
      </c>
      <c r="B785" s="0" t="s">
        <v>129</v>
      </c>
      <c r="C785" s="0" t="s">
        <v>1678</v>
      </c>
      <c r="D785" s="0" t="n">
        <v>2015</v>
      </c>
      <c r="E785" s="0" t="s">
        <v>66</v>
      </c>
      <c r="F785" s="0" t="n">
        <v>1208372</v>
      </c>
      <c r="G785" s="0" t="s">
        <v>1681</v>
      </c>
      <c r="H785" s="0" t="s">
        <v>1648</v>
      </c>
      <c r="I785" s="0" t="n">
        <v>1208372</v>
      </c>
      <c r="J785" s="0" t="s">
        <v>2685</v>
      </c>
      <c r="L785" s="0" t="n">
        <v>2016</v>
      </c>
      <c r="M785" s="0" t="s">
        <v>2686</v>
      </c>
      <c r="N785" s="0" t="s">
        <v>131</v>
      </c>
      <c r="Q785" s="0" t="n">
        <v>150</v>
      </c>
      <c r="R785" s="0" t="n">
        <v>148</v>
      </c>
      <c r="U785" s="0" t="s">
        <v>2687</v>
      </c>
      <c r="V785" s="0" t="s">
        <v>2687</v>
      </c>
      <c r="Y785" s="0" t="s">
        <v>1651</v>
      </c>
      <c r="Z785" s="0" t="s">
        <v>1652</v>
      </c>
      <c r="AA785" s="0" t="s">
        <v>2701</v>
      </c>
      <c r="AC785" s="0" t="s">
        <v>2689</v>
      </c>
    </row>
    <row r="786" customFormat="false" ht="15" hidden="false" customHeight="false" outlineLevel="0" collapsed="false">
      <c r="A786" s="0" t="s">
        <v>2703</v>
      </c>
      <c r="B786" s="0" t="s">
        <v>129</v>
      </c>
      <c r="C786" s="0" t="s">
        <v>1678</v>
      </c>
      <c r="D786" s="0" t="n">
        <v>2015</v>
      </c>
      <c r="E786" s="0" t="s">
        <v>69</v>
      </c>
      <c r="F786" s="0" t="n">
        <v>20</v>
      </c>
      <c r="G786" s="0" t="s">
        <v>1723</v>
      </c>
      <c r="I786" s="0" t="n">
        <v>20</v>
      </c>
      <c r="J786" s="0" t="s">
        <v>2685</v>
      </c>
      <c r="L786" s="0" t="n">
        <v>2016</v>
      </c>
      <c r="M786" s="0" t="s">
        <v>2686</v>
      </c>
      <c r="N786" s="0" t="s">
        <v>131</v>
      </c>
      <c r="Q786" s="0" t="n">
        <v>150</v>
      </c>
      <c r="R786" s="0" t="n">
        <v>148</v>
      </c>
      <c r="U786" s="0" t="s">
        <v>2687</v>
      </c>
      <c r="V786" s="0" t="s">
        <v>2687</v>
      </c>
      <c r="Y786" s="0" t="s">
        <v>1651</v>
      </c>
      <c r="Z786" s="0" t="s">
        <v>1652</v>
      </c>
      <c r="AA786" s="0" t="s">
        <v>2701</v>
      </c>
      <c r="AC786" s="0" t="s">
        <v>2689</v>
      </c>
    </row>
    <row r="787" customFormat="false" ht="15" hidden="false" customHeight="false" outlineLevel="0" collapsed="false">
      <c r="A787" s="0" t="s">
        <v>2704</v>
      </c>
      <c r="B787" s="0" t="s">
        <v>129</v>
      </c>
      <c r="C787" s="0" t="s">
        <v>1678</v>
      </c>
      <c r="D787" s="0" t="n">
        <v>2015</v>
      </c>
      <c r="E787" s="0" t="s">
        <v>71</v>
      </c>
      <c r="F787" s="0" t="n">
        <v>52.57</v>
      </c>
      <c r="G787" s="0" t="s">
        <v>1723</v>
      </c>
      <c r="I787" s="0" t="n">
        <v>52.57</v>
      </c>
      <c r="J787" s="0" t="s">
        <v>2685</v>
      </c>
      <c r="L787" s="0" t="n">
        <v>2016</v>
      </c>
      <c r="M787" s="0" t="s">
        <v>2686</v>
      </c>
      <c r="N787" s="0" t="s">
        <v>131</v>
      </c>
      <c r="Q787" s="0" t="n">
        <v>130</v>
      </c>
      <c r="R787" s="0" t="n">
        <v>128</v>
      </c>
      <c r="U787" s="0" t="s">
        <v>2687</v>
      </c>
      <c r="V787" s="0" t="s">
        <v>2687</v>
      </c>
      <c r="Y787" s="0" t="s">
        <v>1651</v>
      </c>
      <c r="Z787" s="0" t="s">
        <v>1652</v>
      </c>
      <c r="AA787" s="0" t="s">
        <v>2705</v>
      </c>
      <c r="AC787" s="0" t="s">
        <v>2689</v>
      </c>
    </row>
    <row r="788" customFormat="false" ht="15" hidden="false" customHeight="false" outlineLevel="0" collapsed="false">
      <c r="A788" s="0" t="s">
        <v>2706</v>
      </c>
      <c r="B788" s="0" t="s">
        <v>129</v>
      </c>
      <c r="C788" s="0" t="s">
        <v>1678</v>
      </c>
      <c r="D788" s="0" t="n">
        <v>2015</v>
      </c>
      <c r="E788" s="0" t="s">
        <v>2333</v>
      </c>
      <c r="F788" s="0" t="n">
        <v>42.61</v>
      </c>
      <c r="G788" s="0" t="s">
        <v>1723</v>
      </c>
      <c r="I788" s="0" t="n">
        <v>42.61</v>
      </c>
      <c r="J788" s="0" t="s">
        <v>2685</v>
      </c>
      <c r="L788" s="0" t="n">
        <v>2016</v>
      </c>
      <c r="M788" s="0" t="s">
        <v>2686</v>
      </c>
      <c r="N788" s="0" t="s">
        <v>131</v>
      </c>
      <c r="Q788" s="0" t="n">
        <v>130</v>
      </c>
      <c r="R788" s="0" t="n">
        <v>128</v>
      </c>
      <c r="U788" s="0" t="s">
        <v>2687</v>
      </c>
      <c r="V788" s="0" t="s">
        <v>2687</v>
      </c>
      <c r="Y788" s="0" t="s">
        <v>1651</v>
      </c>
      <c r="Z788" s="0" t="s">
        <v>1652</v>
      </c>
      <c r="AA788" s="0" t="s">
        <v>2705</v>
      </c>
      <c r="AC788" s="0" t="s">
        <v>2689</v>
      </c>
    </row>
    <row r="789" customFormat="false" ht="15" hidden="false" customHeight="false" outlineLevel="0" collapsed="false">
      <c r="A789" s="0" t="s">
        <v>2707</v>
      </c>
      <c r="B789" s="0" t="s">
        <v>129</v>
      </c>
      <c r="C789" s="0" t="s">
        <v>1678</v>
      </c>
      <c r="D789" s="0" t="n">
        <v>2015</v>
      </c>
      <c r="E789" s="0" t="s">
        <v>2335</v>
      </c>
      <c r="F789" s="0" t="n">
        <v>52.57</v>
      </c>
      <c r="G789" s="0" t="s">
        <v>1723</v>
      </c>
      <c r="I789" s="0" t="n">
        <v>52.57</v>
      </c>
      <c r="J789" s="0" t="s">
        <v>2685</v>
      </c>
      <c r="L789" s="0" t="n">
        <v>2016</v>
      </c>
      <c r="M789" s="0" t="s">
        <v>2686</v>
      </c>
      <c r="N789" s="0" t="s">
        <v>131</v>
      </c>
      <c r="Q789" s="0" t="n">
        <v>130</v>
      </c>
      <c r="R789" s="0" t="n">
        <v>128</v>
      </c>
      <c r="U789" s="0" t="s">
        <v>2687</v>
      </c>
      <c r="V789" s="0" t="s">
        <v>2687</v>
      </c>
      <c r="Y789" s="0" t="s">
        <v>1651</v>
      </c>
      <c r="Z789" s="0" t="s">
        <v>1652</v>
      </c>
      <c r="AA789" s="0" t="s">
        <v>2705</v>
      </c>
      <c r="AC789" s="0" t="s">
        <v>2689</v>
      </c>
    </row>
    <row r="790" customFormat="false" ht="15" hidden="false" customHeight="false" outlineLevel="0" collapsed="false">
      <c r="A790" s="0" t="s">
        <v>2708</v>
      </c>
      <c r="B790" s="0" t="s">
        <v>129</v>
      </c>
      <c r="C790" s="0" t="s">
        <v>1678</v>
      </c>
      <c r="D790" s="0" t="n">
        <v>2015</v>
      </c>
      <c r="E790" s="0" t="s">
        <v>2337</v>
      </c>
      <c r="F790" s="0" t="n">
        <v>35.7</v>
      </c>
      <c r="G790" s="0" t="s">
        <v>1723</v>
      </c>
      <c r="I790" s="0" t="n">
        <v>35.7</v>
      </c>
      <c r="J790" s="0" t="s">
        <v>2685</v>
      </c>
      <c r="L790" s="0" t="n">
        <v>2016</v>
      </c>
      <c r="M790" s="0" t="s">
        <v>2686</v>
      </c>
      <c r="N790" s="0" t="s">
        <v>131</v>
      </c>
      <c r="Q790" s="0" t="n">
        <v>130</v>
      </c>
      <c r="R790" s="0" t="n">
        <v>128</v>
      </c>
      <c r="U790" s="0" t="s">
        <v>2687</v>
      </c>
      <c r="V790" s="0" t="s">
        <v>2687</v>
      </c>
      <c r="Y790" s="0" t="s">
        <v>1651</v>
      </c>
      <c r="Z790" s="0" t="s">
        <v>1652</v>
      </c>
      <c r="AA790" s="0" t="s">
        <v>2705</v>
      </c>
      <c r="AC790" s="0" t="s">
        <v>2689</v>
      </c>
    </row>
    <row r="791" customFormat="false" ht="15" hidden="false" customHeight="false" outlineLevel="0" collapsed="false">
      <c r="A791" s="0" t="s">
        <v>2709</v>
      </c>
      <c r="B791" s="0" t="s">
        <v>129</v>
      </c>
      <c r="C791" s="0" t="s">
        <v>1678</v>
      </c>
      <c r="D791" s="0" t="n">
        <v>2015</v>
      </c>
      <c r="E791" s="0" t="s">
        <v>60</v>
      </c>
      <c r="F791" s="0" t="n">
        <v>835737</v>
      </c>
      <c r="G791" s="0" t="s">
        <v>1681</v>
      </c>
      <c r="H791" s="0" t="s">
        <v>1648</v>
      </c>
      <c r="I791" s="0" t="n">
        <v>835737</v>
      </c>
      <c r="J791" s="0" t="s">
        <v>2685</v>
      </c>
      <c r="L791" s="0" t="n">
        <v>2016</v>
      </c>
      <c r="M791" s="0" t="s">
        <v>2686</v>
      </c>
      <c r="N791" s="0" t="s">
        <v>131</v>
      </c>
      <c r="Q791" s="0" t="n">
        <v>172</v>
      </c>
      <c r="R791" s="0" t="n">
        <v>170</v>
      </c>
      <c r="U791" s="0" t="s">
        <v>2687</v>
      </c>
      <c r="V791" s="0" t="s">
        <v>2687</v>
      </c>
      <c r="Y791" s="0" t="s">
        <v>1651</v>
      </c>
      <c r="Z791" s="0" t="s">
        <v>1652</v>
      </c>
      <c r="AA791" s="0" t="s">
        <v>2710</v>
      </c>
      <c r="AC791" s="0" t="s">
        <v>2689</v>
      </c>
    </row>
    <row r="792" customFormat="false" ht="15" hidden="false" customHeight="false" outlineLevel="0" collapsed="false">
      <c r="A792" s="0" t="s">
        <v>2711</v>
      </c>
      <c r="B792" s="0" t="s">
        <v>129</v>
      </c>
      <c r="C792" s="0" t="s">
        <v>1678</v>
      </c>
      <c r="D792" s="0" t="n">
        <v>2015</v>
      </c>
      <c r="E792" s="0" t="s">
        <v>61</v>
      </c>
      <c r="F792" s="0" t="n">
        <v>13043</v>
      </c>
      <c r="G792" s="0" t="s">
        <v>1681</v>
      </c>
      <c r="H792" s="0" t="s">
        <v>1648</v>
      </c>
      <c r="I792" s="0" t="n">
        <v>13043</v>
      </c>
      <c r="J792" s="0" t="s">
        <v>2685</v>
      </c>
      <c r="L792" s="0" t="n">
        <v>2016</v>
      </c>
      <c r="M792" s="0" t="s">
        <v>2686</v>
      </c>
      <c r="N792" s="0" t="s">
        <v>131</v>
      </c>
      <c r="Q792" s="0" t="n">
        <v>172</v>
      </c>
      <c r="R792" s="0" t="n">
        <v>170</v>
      </c>
      <c r="U792" s="0" t="s">
        <v>2687</v>
      </c>
      <c r="V792" s="0" t="s">
        <v>2687</v>
      </c>
      <c r="Y792" s="0" t="s">
        <v>1651</v>
      </c>
      <c r="Z792" s="0" t="s">
        <v>1652</v>
      </c>
      <c r="AA792" s="0" t="s">
        <v>2710</v>
      </c>
      <c r="AC792" s="0" t="s">
        <v>2689</v>
      </c>
    </row>
    <row r="793" customFormat="false" ht="15" hidden="false" customHeight="false" outlineLevel="0" collapsed="false">
      <c r="A793" s="0" t="s">
        <v>2712</v>
      </c>
      <c r="B793" s="0" t="s">
        <v>129</v>
      </c>
      <c r="C793" s="0" t="s">
        <v>1678</v>
      </c>
      <c r="D793" s="0" t="n">
        <v>2015</v>
      </c>
      <c r="E793" s="0" t="s">
        <v>404</v>
      </c>
      <c r="F793" s="0" t="n">
        <v>6031</v>
      </c>
      <c r="G793" s="0" t="s">
        <v>1681</v>
      </c>
      <c r="H793" s="0" t="s">
        <v>1648</v>
      </c>
      <c r="I793" s="0" t="n">
        <v>6031</v>
      </c>
      <c r="J793" s="0" t="s">
        <v>2685</v>
      </c>
      <c r="L793" s="0" t="n">
        <v>2016</v>
      </c>
      <c r="M793" s="0" t="s">
        <v>2686</v>
      </c>
      <c r="N793" s="0" t="s">
        <v>131</v>
      </c>
      <c r="Q793" s="0" t="n">
        <v>172</v>
      </c>
      <c r="R793" s="0" t="n">
        <v>170</v>
      </c>
      <c r="U793" s="0" t="s">
        <v>2687</v>
      </c>
      <c r="V793" s="0" t="s">
        <v>2687</v>
      </c>
      <c r="Y793" s="0" t="s">
        <v>1651</v>
      </c>
      <c r="Z793" s="0" t="s">
        <v>1652</v>
      </c>
      <c r="AA793" s="0" t="s">
        <v>2710</v>
      </c>
      <c r="AC793" s="0" t="s">
        <v>2689</v>
      </c>
    </row>
    <row r="794" customFormat="false" ht="15" hidden="false" customHeight="false" outlineLevel="0" collapsed="false">
      <c r="A794" s="0" t="s">
        <v>2713</v>
      </c>
      <c r="B794" s="0" t="s">
        <v>129</v>
      </c>
      <c r="C794" s="0" t="s">
        <v>1678</v>
      </c>
      <c r="D794" s="0" t="n">
        <v>2015</v>
      </c>
      <c r="E794" s="0" t="s">
        <v>406</v>
      </c>
      <c r="F794" s="0" t="n">
        <v>7012</v>
      </c>
      <c r="G794" s="0" t="s">
        <v>1681</v>
      </c>
      <c r="H794" s="0" t="s">
        <v>1648</v>
      </c>
      <c r="I794" s="0" t="n">
        <v>7012</v>
      </c>
      <c r="J794" s="0" t="s">
        <v>2685</v>
      </c>
      <c r="L794" s="0" t="n">
        <v>2016</v>
      </c>
      <c r="M794" s="0" t="s">
        <v>2686</v>
      </c>
      <c r="N794" s="0" t="s">
        <v>131</v>
      </c>
      <c r="Q794" s="0" t="n">
        <v>172</v>
      </c>
      <c r="R794" s="0" t="n">
        <v>170</v>
      </c>
      <c r="U794" s="0" t="s">
        <v>2687</v>
      </c>
      <c r="V794" s="0" t="s">
        <v>2687</v>
      </c>
      <c r="Y794" s="0" t="s">
        <v>1651</v>
      </c>
      <c r="Z794" s="0" t="s">
        <v>1652</v>
      </c>
      <c r="AA794" s="0" t="s">
        <v>2710</v>
      </c>
      <c r="AC794" s="0" t="s">
        <v>2689</v>
      </c>
    </row>
    <row r="795" customFormat="false" ht="15" hidden="false" customHeight="false" outlineLevel="0" collapsed="false">
      <c r="A795" s="0" t="s">
        <v>2714</v>
      </c>
      <c r="B795" s="0" t="s">
        <v>129</v>
      </c>
      <c r="C795" s="0" t="s">
        <v>1678</v>
      </c>
      <c r="D795" s="0" t="n">
        <v>2015</v>
      </c>
      <c r="E795" s="0" t="s">
        <v>62</v>
      </c>
      <c r="F795" s="0" t="n">
        <v>822694</v>
      </c>
      <c r="G795" s="0" t="s">
        <v>1681</v>
      </c>
      <c r="H795" s="0" t="s">
        <v>1648</v>
      </c>
      <c r="I795" s="0" t="n">
        <v>822694</v>
      </c>
      <c r="J795" s="0" t="s">
        <v>2685</v>
      </c>
      <c r="L795" s="0" t="n">
        <v>2016</v>
      </c>
      <c r="M795" s="0" t="s">
        <v>2686</v>
      </c>
      <c r="N795" s="0" t="s">
        <v>131</v>
      </c>
      <c r="Q795" s="0" t="n">
        <v>172</v>
      </c>
      <c r="R795" s="0" t="n">
        <v>170</v>
      </c>
      <c r="U795" s="0" t="s">
        <v>2687</v>
      </c>
      <c r="V795" s="0" t="s">
        <v>2687</v>
      </c>
      <c r="Y795" s="0" t="s">
        <v>1651</v>
      </c>
      <c r="Z795" s="0" t="s">
        <v>1652</v>
      </c>
      <c r="AA795" s="0" t="s">
        <v>2710</v>
      </c>
      <c r="AC795" s="0" t="s">
        <v>2689</v>
      </c>
    </row>
    <row r="796" customFormat="false" ht="15" hidden="false" customHeight="false" outlineLevel="0" collapsed="false">
      <c r="A796" s="0" t="s">
        <v>2715</v>
      </c>
      <c r="B796" s="0" t="s">
        <v>129</v>
      </c>
      <c r="C796" s="0" t="s">
        <v>1678</v>
      </c>
      <c r="D796" s="0" t="n">
        <v>2016</v>
      </c>
      <c r="E796" s="0" t="s">
        <v>54</v>
      </c>
      <c r="F796" s="0" t="n">
        <v>47541</v>
      </c>
      <c r="G796" s="0" t="s">
        <v>1681</v>
      </c>
      <c r="H796" s="0" t="s">
        <v>1648</v>
      </c>
      <c r="I796" s="0" t="n">
        <v>47541</v>
      </c>
      <c r="J796" s="0" t="s">
        <v>2685</v>
      </c>
      <c r="L796" s="0" t="n">
        <v>2016</v>
      </c>
      <c r="M796" s="0" t="s">
        <v>2686</v>
      </c>
      <c r="N796" s="0" t="s">
        <v>131</v>
      </c>
      <c r="Q796" s="0" t="n">
        <v>76</v>
      </c>
      <c r="R796" s="0" t="n">
        <v>74</v>
      </c>
      <c r="U796" s="0" t="s">
        <v>2716</v>
      </c>
      <c r="V796" s="0" t="s">
        <v>2716</v>
      </c>
      <c r="Y796" s="0" t="s">
        <v>1651</v>
      </c>
      <c r="Z796" s="0" t="s">
        <v>1652</v>
      </c>
      <c r="AA796" s="0" t="s">
        <v>2688</v>
      </c>
      <c r="AC796" s="0" t="s">
        <v>2689</v>
      </c>
    </row>
    <row r="797" customFormat="false" ht="15" hidden="false" customHeight="false" outlineLevel="0" collapsed="false">
      <c r="A797" s="0" t="s">
        <v>2717</v>
      </c>
      <c r="B797" s="0" t="s">
        <v>129</v>
      </c>
      <c r="C797" s="0" t="s">
        <v>1678</v>
      </c>
      <c r="D797" s="0" t="n">
        <v>2016</v>
      </c>
      <c r="E797" s="0" t="s">
        <v>670</v>
      </c>
      <c r="F797" s="0" t="n">
        <v>269895</v>
      </c>
      <c r="G797" s="0" t="s">
        <v>1681</v>
      </c>
      <c r="H797" s="0" t="s">
        <v>1648</v>
      </c>
      <c r="I797" s="0" t="n">
        <v>269895</v>
      </c>
      <c r="J797" s="0" t="s">
        <v>2685</v>
      </c>
      <c r="L797" s="0" t="n">
        <v>2016</v>
      </c>
      <c r="M797" s="0" t="s">
        <v>2686</v>
      </c>
      <c r="N797" s="0" t="s">
        <v>131</v>
      </c>
      <c r="Q797" s="0" t="n">
        <v>76</v>
      </c>
      <c r="R797" s="0" t="n">
        <v>74</v>
      </c>
      <c r="U797" s="0" t="s">
        <v>2716</v>
      </c>
      <c r="V797" s="0" t="s">
        <v>2716</v>
      </c>
      <c r="Y797" s="0" t="s">
        <v>1651</v>
      </c>
      <c r="Z797" s="0" t="s">
        <v>1652</v>
      </c>
      <c r="AA797" s="0" t="s">
        <v>2688</v>
      </c>
      <c r="AC797" s="0" t="s">
        <v>2689</v>
      </c>
    </row>
    <row r="798" customFormat="false" ht="15" hidden="false" customHeight="false" outlineLevel="0" collapsed="false">
      <c r="A798" s="0" t="s">
        <v>2718</v>
      </c>
      <c r="B798" s="0" t="s">
        <v>129</v>
      </c>
      <c r="C798" s="0" t="s">
        <v>1678</v>
      </c>
      <c r="D798" s="0" t="n">
        <v>2016</v>
      </c>
      <c r="E798" s="0" t="s">
        <v>402</v>
      </c>
      <c r="F798" s="0" t="n">
        <v>57649</v>
      </c>
      <c r="G798" s="0" t="s">
        <v>1681</v>
      </c>
      <c r="H798" s="0" t="s">
        <v>1648</v>
      </c>
      <c r="I798" s="0" t="n">
        <v>57649</v>
      </c>
      <c r="J798" s="0" t="s">
        <v>2685</v>
      </c>
      <c r="L798" s="0" t="n">
        <v>2016</v>
      </c>
      <c r="M798" s="0" t="s">
        <v>2686</v>
      </c>
      <c r="N798" s="0" t="s">
        <v>131</v>
      </c>
      <c r="Q798" s="0" t="n">
        <v>76</v>
      </c>
      <c r="R798" s="0" t="n">
        <v>74</v>
      </c>
      <c r="U798" s="0" t="s">
        <v>2716</v>
      </c>
      <c r="V798" s="0" t="s">
        <v>2716</v>
      </c>
      <c r="Y798" s="0" t="s">
        <v>1651</v>
      </c>
      <c r="Z798" s="0" t="s">
        <v>1652</v>
      </c>
      <c r="AA798" s="0" t="s">
        <v>2688</v>
      </c>
      <c r="AC798" s="0" t="s">
        <v>2689</v>
      </c>
    </row>
    <row r="799" customFormat="false" ht="15" hidden="false" customHeight="false" outlineLevel="0" collapsed="false">
      <c r="A799" s="0" t="s">
        <v>2719</v>
      </c>
      <c r="B799" s="0" t="s">
        <v>129</v>
      </c>
      <c r="C799" s="0" t="s">
        <v>1678</v>
      </c>
      <c r="D799" s="0" t="n">
        <v>2016</v>
      </c>
      <c r="E799" s="0" t="s">
        <v>63</v>
      </c>
      <c r="F799" s="0" t="n">
        <v>25521</v>
      </c>
      <c r="G799" s="0" t="s">
        <v>1681</v>
      </c>
      <c r="H799" s="0" t="s">
        <v>1648</v>
      </c>
      <c r="I799" s="0" t="n">
        <v>25521</v>
      </c>
      <c r="J799" s="0" t="s">
        <v>2685</v>
      </c>
      <c r="L799" s="0" t="n">
        <v>2016</v>
      </c>
      <c r="M799" s="0" t="s">
        <v>2686</v>
      </c>
      <c r="N799" s="0" t="s">
        <v>131</v>
      </c>
      <c r="Q799" s="0" t="n">
        <v>76</v>
      </c>
      <c r="R799" s="0" t="n">
        <v>74</v>
      </c>
      <c r="U799" s="0" t="s">
        <v>2716</v>
      </c>
      <c r="V799" s="0" t="s">
        <v>2716</v>
      </c>
      <c r="Y799" s="0" t="s">
        <v>1651</v>
      </c>
      <c r="Z799" s="0" t="s">
        <v>1652</v>
      </c>
      <c r="AA799" s="0" t="s">
        <v>2693</v>
      </c>
      <c r="AC799" s="0" t="s">
        <v>2689</v>
      </c>
    </row>
    <row r="800" customFormat="false" ht="15" hidden="false" customHeight="false" outlineLevel="0" collapsed="false">
      <c r="A800" s="0" t="s">
        <v>2720</v>
      </c>
      <c r="B800" s="0" t="s">
        <v>129</v>
      </c>
      <c r="C800" s="0" t="s">
        <v>1678</v>
      </c>
      <c r="D800" s="0" t="n">
        <v>2016</v>
      </c>
      <c r="E800" s="0" t="s">
        <v>55</v>
      </c>
      <c r="F800" s="0" t="n">
        <v>2539585</v>
      </c>
      <c r="G800" s="0" t="s">
        <v>1681</v>
      </c>
      <c r="H800" s="0" t="s">
        <v>1648</v>
      </c>
      <c r="I800" s="0" t="n">
        <v>2539585</v>
      </c>
      <c r="J800" s="0" t="s">
        <v>2685</v>
      </c>
      <c r="L800" s="0" t="n">
        <v>2016</v>
      </c>
      <c r="M800" s="0" t="s">
        <v>2686</v>
      </c>
      <c r="N800" s="0" t="s">
        <v>131</v>
      </c>
      <c r="Q800" s="0" t="n">
        <v>77</v>
      </c>
      <c r="R800" s="0" t="n">
        <v>75</v>
      </c>
      <c r="U800" s="0" t="s">
        <v>2716</v>
      </c>
      <c r="V800" s="0" t="s">
        <v>2716</v>
      </c>
      <c r="Y800" s="0" t="s">
        <v>1651</v>
      </c>
      <c r="Z800" s="0" t="s">
        <v>1652</v>
      </c>
      <c r="AA800" s="0" t="s">
        <v>2695</v>
      </c>
      <c r="AC800" s="0" t="s">
        <v>2689</v>
      </c>
    </row>
    <row r="801" customFormat="false" ht="15" hidden="false" customHeight="false" outlineLevel="0" collapsed="false">
      <c r="A801" s="0" t="s">
        <v>2721</v>
      </c>
      <c r="B801" s="0" t="s">
        <v>129</v>
      </c>
      <c r="C801" s="0" t="s">
        <v>1678</v>
      </c>
      <c r="D801" s="0" t="n">
        <v>2016</v>
      </c>
      <c r="E801" s="0" t="s">
        <v>56</v>
      </c>
      <c r="F801" s="0" t="n">
        <v>2148685</v>
      </c>
      <c r="G801" s="0" t="s">
        <v>1681</v>
      </c>
      <c r="H801" s="0" t="s">
        <v>1648</v>
      </c>
      <c r="I801" s="0" t="n">
        <v>2148685</v>
      </c>
      <c r="J801" s="0" t="s">
        <v>2685</v>
      </c>
      <c r="L801" s="0" t="n">
        <v>2016</v>
      </c>
      <c r="M801" s="0" t="s">
        <v>2686</v>
      </c>
      <c r="N801" s="0" t="s">
        <v>131</v>
      </c>
      <c r="Q801" s="0" t="n">
        <v>77</v>
      </c>
      <c r="R801" s="0" t="n">
        <v>75</v>
      </c>
      <c r="U801" s="0" t="s">
        <v>2716</v>
      </c>
      <c r="V801" s="0" t="s">
        <v>2716</v>
      </c>
      <c r="Y801" s="0" t="s">
        <v>1651</v>
      </c>
      <c r="Z801" s="0" t="s">
        <v>1652</v>
      </c>
      <c r="AA801" s="0" t="s">
        <v>2695</v>
      </c>
      <c r="AC801" s="0" t="s">
        <v>2689</v>
      </c>
    </row>
    <row r="802" customFormat="false" ht="15" hidden="false" customHeight="false" outlineLevel="0" collapsed="false">
      <c r="A802" s="0" t="s">
        <v>2722</v>
      </c>
      <c r="B802" s="0" t="s">
        <v>129</v>
      </c>
      <c r="C802" s="0" t="s">
        <v>1678</v>
      </c>
      <c r="D802" s="0" t="n">
        <v>2016</v>
      </c>
      <c r="E802" s="0" t="s">
        <v>57</v>
      </c>
      <c r="F802" s="0" t="n">
        <v>390900</v>
      </c>
      <c r="G802" s="0" t="s">
        <v>1681</v>
      </c>
      <c r="H802" s="0" t="s">
        <v>1648</v>
      </c>
      <c r="I802" s="0" t="n">
        <v>390900</v>
      </c>
      <c r="J802" s="0" t="s">
        <v>2685</v>
      </c>
      <c r="L802" s="0" t="n">
        <v>2016</v>
      </c>
      <c r="M802" s="0" t="s">
        <v>2686</v>
      </c>
      <c r="N802" s="0" t="s">
        <v>131</v>
      </c>
      <c r="Q802" s="0" t="n">
        <v>77</v>
      </c>
      <c r="R802" s="0" t="n">
        <v>75</v>
      </c>
      <c r="U802" s="0" t="s">
        <v>2716</v>
      </c>
      <c r="V802" s="0" t="s">
        <v>2716</v>
      </c>
      <c r="Y802" s="0" t="s">
        <v>1651</v>
      </c>
      <c r="Z802" s="0" t="s">
        <v>1652</v>
      </c>
      <c r="AA802" s="0" t="s">
        <v>2695</v>
      </c>
      <c r="AC802" s="0" t="s">
        <v>2689</v>
      </c>
    </row>
    <row r="803" customFormat="false" ht="15" hidden="false" customHeight="false" outlineLevel="0" collapsed="false">
      <c r="A803" s="0" t="s">
        <v>2723</v>
      </c>
      <c r="B803" s="0" t="s">
        <v>129</v>
      </c>
      <c r="C803" s="0" t="s">
        <v>1678</v>
      </c>
      <c r="D803" s="0" t="n">
        <v>2016</v>
      </c>
      <c r="E803" s="0" t="s">
        <v>58</v>
      </c>
      <c r="F803" s="0" t="n">
        <v>-213392</v>
      </c>
      <c r="G803" s="0" t="s">
        <v>1681</v>
      </c>
      <c r="H803" s="0" t="s">
        <v>1648</v>
      </c>
      <c r="I803" s="0" t="n">
        <v>-213392</v>
      </c>
      <c r="J803" s="0" t="s">
        <v>2685</v>
      </c>
      <c r="L803" s="0" t="n">
        <v>2016</v>
      </c>
      <c r="M803" s="0" t="s">
        <v>2686</v>
      </c>
      <c r="N803" s="0" t="s">
        <v>131</v>
      </c>
      <c r="Q803" s="0" t="n">
        <v>80</v>
      </c>
      <c r="R803" s="0" t="n">
        <v>78</v>
      </c>
      <c r="U803" s="0" t="s">
        <v>2716</v>
      </c>
      <c r="V803" s="0" t="s">
        <v>2716</v>
      </c>
      <c r="Y803" s="0" t="s">
        <v>1651</v>
      </c>
      <c r="Z803" s="0" t="s">
        <v>1652</v>
      </c>
      <c r="AA803" s="0" t="s">
        <v>2699</v>
      </c>
      <c r="AC803" s="0" t="s">
        <v>2689</v>
      </c>
    </row>
    <row r="804" customFormat="false" ht="15" hidden="false" customHeight="false" outlineLevel="0" collapsed="false">
      <c r="A804" s="0" t="s">
        <v>2724</v>
      </c>
      <c r="B804" s="0" t="s">
        <v>129</v>
      </c>
      <c r="C804" s="0" t="s">
        <v>1678</v>
      </c>
      <c r="D804" s="0" t="n">
        <v>2016</v>
      </c>
      <c r="E804" s="0" t="s">
        <v>65</v>
      </c>
      <c r="F804" s="0" t="n">
        <v>262423</v>
      </c>
      <c r="G804" s="0" t="s">
        <v>1681</v>
      </c>
      <c r="H804" s="0" t="s">
        <v>1648</v>
      </c>
      <c r="I804" s="0" t="n">
        <v>262423</v>
      </c>
      <c r="J804" s="0" t="s">
        <v>2685</v>
      </c>
      <c r="L804" s="0" t="n">
        <v>2016</v>
      </c>
      <c r="M804" s="0" t="s">
        <v>2686</v>
      </c>
      <c r="N804" s="0" t="s">
        <v>131</v>
      </c>
      <c r="Q804" s="0" t="n">
        <v>150</v>
      </c>
      <c r="R804" s="0" t="n">
        <v>148</v>
      </c>
      <c r="U804" s="0" t="s">
        <v>2716</v>
      </c>
      <c r="V804" s="0" t="s">
        <v>2716</v>
      </c>
      <c r="Y804" s="0" t="s">
        <v>1651</v>
      </c>
      <c r="Z804" s="0" t="s">
        <v>1652</v>
      </c>
      <c r="AA804" s="0" t="s">
        <v>2701</v>
      </c>
      <c r="AC804" s="0" t="s">
        <v>2689</v>
      </c>
    </row>
    <row r="805" customFormat="false" ht="15" hidden="false" customHeight="false" outlineLevel="0" collapsed="false">
      <c r="A805" s="0" t="s">
        <v>2725</v>
      </c>
      <c r="B805" s="0" t="s">
        <v>129</v>
      </c>
      <c r="C805" s="0" t="s">
        <v>1678</v>
      </c>
      <c r="D805" s="0" t="n">
        <v>2016</v>
      </c>
      <c r="E805" s="0" t="s">
        <v>66</v>
      </c>
      <c r="F805" s="0" t="n">
        <v>1331901</v>
      </c>
      <c r="G805" s="0" t="s">
        <v>1681</v>
      </c>
      <c r="H805" s="0" t="s">
        <v>1648</v>
      </c>
      <c r="I805" s="0" t="n">
        <v>1331901</v>
      </c>
      <c r="J805" s="0" t="s">
        <v>2685</v>
      </c>
      <c r="L805" s="0" t="n">
        <v>2016</v>
      </c>
      <c r="M805" s="0" t="s">
        <v>2686</v>
      </c>
      <c r="N805" s="0" t="s">
        <v>131</v>
      </c>
      <c r="Q805" s="0" t="n">
        <v>150</v>
      </c>
      <c r="R805" s="0" t="n">
        <v>148</v>
      </c>
      <c r="U805" s="0" t="s">
        <v>2716</v>
      </c>
      <c r="V805" s="0" t="s">
        <v>2716</v>
      </c>
      <c r="Y805" s="0" t="s">
        <v>1651</v>
      </c>
      <c r="Z805" s="0" t="s">
        <v>1652</v>
      </c>
      <c r="AA805" s="0" t="s">
        <v>2701</v>
      </c>
      <c r="AC805" s="0" t="s">
        <v>2689</v>
      </c>
    </row>
    <row r="806" customFormat="false" ht="15" hidden="false" customHeight="false" outlineLevel="0" collapsed="false">
      <c r="A806" s="0" t="s">
        <v>2726</v>
      </c>
      <c r="B806" s="0" t="s">
        <v>129</v>
      </c>
      <c r="C806" s="0" t="s">
        <v>1678</v>
      </c>
      <c r="D806" s="0" t="n">
        <v>2016</v>
      </c>
      <c r="E806" s="0" t="s">
        <v>69</v>
      </c>
      <c r="F806" s="0" t="n">
        <v>20</v>
      </c>
      <c r="G806" s="0" t="s">
        <v>1723</v>
      </c>
      <c r="I806" s="0" t="n">
        <v>20</v>
      </c>
      <c r="J806" s="0" t="s">
        <v>2685</v>
      </c>
      <c r="L806" s="0" t="n">
        <v>2016</v>
      </c>
      <c r="M806" s="0" t="s">
        <v>2686</v>
      </c>
      <c r="N806" s="0" t="s">
        <v>131</v>
      </c>
      <c r="Q806" s="0" t="n">
        <v>150</v>
      </c>
      <c r="R806" s="0" t="n">
        <v>148</v>
      </c>
      <c r="U806" s="0" t="s">
        <v>2716</v>
      </c>
      <c r="V806" s="0" t="s">
        <v>2716</v>
      </c>
      <c r="Y806" s="0" t="s">
        <v>1651</v>
      </c>
      <c r="Z806" s="0" t="s">
        <v>1652</v>
      </c>
      <c r="AA806" s="0" t="s">
        <v>2701</v>
      </c>
      <c r="AC806" s="0" t="s">
        <v>2689</v>
      </c>
    </row>
    <row r="807" customFormat="false" ht="15" hidden="false" customHeight="false" outlineLevel="0" collapsed="false">
      <c r="A807" s="0" t="s">
        <v>2727</v>
      </c>
      <c r="B807" s="0" t="s">
        <v>129</v>
      </c>
      <c r="C807" s="0" t="s">
        <v>1678</v>
      </c>
      <c r="D807" s="0" t="n">
        <v>2016</v>
      </c>
      <c r="E807" s="0" t="s">
        <v>70</v>
      </c>
      <c r="F807" s="0" t="n">
        <v>15</v>
      </c>
      <c r="G807" s="0" t="s">
        <v>1723</v>
      </c>
      <c r="I807" s="0" t="n">
        <v>15</v>
      </c>
      <c r="J807" s="0" t="s">
        <v>2685</v>
      </c>
      <c r="L807" s="0" t="n">
        <v>2016</v>
      </c>
      <c r="M807" s="0" t="s">
        <v>2686</v>
      </c>
      <c r="N807" s="0" t="s">
        <v>131</v>
      </c>
      <c r="Q807" s="0" t="n">
        <v>149</v>
      </c>
      <c r="R807" s="0" t="n">
        <v>147</v>
      </c>
      <c r="U807" s="0" t="s">
        <v>2716</v>
      </c>
      <c r="V807" s="0" t="s">
        <v>2716</v>
      </c>
      <c r="Y807" s="0" t="s">
        <v>1651</v>
      </c>
      <c r="Z807" s="0" t="s">
        <v>1652</v>
      </c>
      <c r="AA807" s="0" t="s">
        <v>2701</v>
      </c>
      <c r="AC807" s="0" t="s">
        <v>2689</v>
      </c>
    </row>
    <row r="808" customFormat="false" ht="15" hidden="false" customHeight="false" outlineLevel="0" collapsed="false">
      <c r="A808" s="0" t="s">
        <v>2728</v>
      </c>
      <c r="B808" s="0" t="s">
        <v>129</v>
      </c>
      <c r="C808" s="0" t="s">
        <v>1678</v>
      </c>
      <c r="D808" s="0" t="n">
        <v>2016</v>
      </c>
      <c r="E808" s="0" t="s">
        <v>71</v>
      </c>
      <c r="F808" s="0" t="n">
        <v>38.57</v>
      </c>
      <c r="G808" s="0" t="s">
        <v>1723</v>
      </c>
      <c r="I808" s="0" t="n">
        <v>38.57</v>
      </c>
      <c r="J808" s="0" t="s">
        <v>2685</v>
      </c>
      <c r="L808" s="0" t="n">
        <v>2016</v>
      </c>
      <c r="M808" s="0" t="s">
        <v>2686</v>
      </c>
      <c r="N808" s="0" t="s">
        <v>131</v>
      </c>
      <c r="Q808" s="0" t="n">
        <v>130</v>
      </c>
      <c r="R808" s="0" t="n">
        <v>128</v>
      </c>
      <c r="U808" s="0" t="s">
        <v>2716</v>
      </c>
      <c r="V808" s="0" t="s">
        <v>2716</v>
      </c>
      <c r="Y808" s="0" t="s">
        <v>1651</v>
      </c>
      <c r="Z808" s="0" t="s">
        <v>1652</v>
      </c>
      <c r="AA808" s="0" t="s">
        <v>2705</v>
      </c>
      <c r="AC808" s="0" t="s">
        <v>2689</v>
      </c>
    </row>
    <row r="809" customFormat="false" ht="15" hidden="false" customHeight="false" outlineLevel="0" collapsed="false">
      <c r="A809" s="0" t="s">
        <v>2729</v>
      </c>
      <c r="B809" s="0" t="s">
        <v>129</v>
      </c>
      <c r="C809" s="0" t="s">
        <v>1678</v>
      </c>
      <c r="D809" s="0" t="n">
        <v>2016</v>
      </c>
      <c r="E809" s="0" t="s">
        <v>2333</v>
      </c>
      <c r="F809" s="0" t="n">
        <v>41.97</v>
      </c>
      <c r="G809" s="0" t="s">
        <v>1723</v>
      </c>
      <c r="I809" s="0" t="n">
        <v>41.97</v>
      </c>
      <c r="J809" s="0" t="s">
        <v>2685</v>
      </c>
      <c r="L809" s="0" t="n">
        <v>2016</v>
      </c>
      <c r="M809" s="0" t="s">
        <v>2686</v>
      </c>
      <c r="N809" s="0" t="s">
        <v>131</v>
      </c>
      <c r="Q809" s="0" t="n">
        <v>130</v>
      </c>
      <c r="R809" s="0" t="n">
        <v>128</v>
      </c>
      <c r="U809" s="0" t="s">
        <v>2716</v>
      </c>
      <c r="V809" s="0" t="s">
        <v>2716</v>
      </c>
      <c r="Y809" s="0" t="s">
        <v>1651</v>
      </c>
      <c r="Z809" s="0" t="s">
        <v>1652</v>
      </c>
      <c r="AA809" s="0" t="s">
        <v>2705</v>
      </c>
      <c r="AC809" s="0" t="s">
        <v>2689</v>
      </c>
    </row>
    <row r="810" customFormat="false" ht="15" hidden="false" customHeight="false" outlineLevel="0" collapsed="false">
      <c r="A810" s="0" t="s">
        <v>2730</v>
      </c>
      <c r="B810" s="0" t="s">
        <v>129</v>
      </c>
      <c r="C810" s="0" t="s">
        <v>1678</v>
      </c>
      <c r="D810" s="0" t="n">
        <v>2016</v>
      </c>
      <c r="E810" s="0" t="s">
        <v>2335</v>
      </c>
      <c r="F810" s="0" t="n">
        <v>46.72</v>
      </c>
      <c r="G810" s="0" t="s">
        <v>1723</v>
      </c>
      <c r="I810" s="0" t="n">
        <v>46.72</v>
      </c>
      <c r="J810" s="0" t="s">
        <v>2685</v>
      </c>
      <c r="L810" s="0" t="n">
        <v>2016</v>
      </c>
      <c r="M810" s="0" t="s">
        <v>2686</v>
      </c>
      <c r="N810" s="0" t="s">
        <v>131</v>
      </c>
      <c r="Q810" s="0" t="n">
        <v>130</v>
      </c>
      <c r="R810" s="0" t="n">
        <v>128</v>
      </c>
      <c r="U810" s="0" t="s">
        <v>2716</v>
      </c>
      <c r="V810" s="0" t="s">
        <v>2716</v>
      </c>
      <c r="Y810" s="0" t="s">
        <v>1651</v>
      </c>
      <c r="Z810" s="0" t="s">
        <v>1652</v>
      </c>
      <c r="AA810" s="0" t="s">
        <v>2705</v>
      </c>
      <c r="AC810" s="0" t="s">
        <v>2689</v>
      </c>
    </row>
    <row r="811" customFormat="false" ht="15" hidden="false" customHeight="false" outlineLevel="0" collapsed="false">
      <c r="A811" s="0" t="s">
        <v>2731</v>
      </c>
      <c r="B811" s="0" t="s">
        <v>129</v>
      </c>
      <c r="C811" s="0" t="s">
        <v>1678</v>
      </c>
      <c r="D811" s="0" t="n">
        <v>2016</v>
      </c>
      <c r="E811" s="0" t="s">
        <v>2337</v>
      </c>
      <c r="F811" s="0" t="n">
        <v>35.52</v>
      </c>
      <c r="G811" s="0" t="s">
        <v>1723</v>
      </c>
      <c r="I811" s="0" t="n">
        <v>35.52</v>
      </c>
      <c r="J811" s="0" t="s">
        <v>2685</v>
      </c>
      <c r="L811" s="0" t="n">
        <v>2016</v>
      </c>
      <c r="M811" s="0" t="s">
        <v>2686</v>
      </c>
      <c r="N811" s="0" t="s">
        <v>131</v>
      </c>
      <c r="Q811" s="0" t="n">
        <v>130</v>
      </c>
      <c r="R811" s="0" t="n">
        <v>128</v>
      </c>
      <c r="U811" s="0" t="s">
        <v>2716</v>
      </c>
      <c r="V811" s="0" t="s">
        <v>2716</v>
      </c>
      <c r="Y811" s="0" t="s">
        <v>1651</v>
      </c>
      <c r="Z811" s="0" t="s">
        <v>1652</v>
      </c>
      <c r="AA811" s="0" t="s">
        <v>2705</v>
      </c>
      <c r="AC811" s="0" t="s">
        <v>2689</v>
      </c>
    </row>
    <row r="812" customFormat="false" ht="15" hidden="false" customHeight="false" outlineLevel="0" collapsed="false">
      <c r="A812" s="0" t="s">
        <v>2732</v>
      </c>
      <c r="B812" s="0" t="s">
        <v>129</v>
      </c>
      <c r="C812" s="0" t="s">
        <v>1678</v>
      </c>
      <c r="D812" s="0" t="n">
        <v>2016</v>
      </c>
      <c r="E812" s="0" t="s">
        <v>60</v>
      </c>
      <c r="F812" s="0" t="n">
        <v>1120096</v>
      </c>
      <c r="G812" s="0" t="s">
        <v>1681</v>
      </c>
      <c r="H812" s="0" t="s">
        <v>1648</v>
      </c>
      <c r="I812" s="0" t="n">
        <v>1120096</v>
      </c>
      <c r="J812" s="0" t="s">
        <v>2685</v>
      </c>
      <c r="L812" s="0" t="n">
        <v>2016</v>
      </c>
      <c r="M812" s="0" t="s">
        <v>2686</v>
      </c>
      <c r="N812" s="0" t="s">
        <v>131</v>
      </c>
      <c r="Q812" s="0" t="n">
        <v>171</v>
      </c>
      <c r="R812" s="0" t="n">
        <v>169</v>
      </c>
      <c r="U812" s="0" t="s">
        <v>2716</v>
      </c>
      <c r="V812" s="0" t="s">
        <v>2716</v>
      </c>
      <c r="Y812" s="0" t="s">
        <v>1651</v>
      </c>
      <c r="Z812" s="0" t="s">
        <v>1652</v>
      </c>
      <c r="AA812" s="0" t="s">
        <v>2733</v>
      </c>
      <c r="AC812" s="0" t="s">
        <v>2689</v>
      </c>
    </row>
    <row r="813" customFormat="false" ht="15" hidden="false" customHeight="false" outlineLevel="0" collapsed="false">
      <c r="A813" s="0" t="s">
        <v>2734</v>
      </c>
      <c r="B813" s="0" t="s">
        <v>129</v>
      </c>
      <c r="C813" s="0" t="s">
        <v>1678</v>
      </c>
      <c r="D813" s="0" t="n">
        <v>2016</v>
      </c>
      <c r="E813" s="0" t="s">
        <v>61</v>
      </c>
      <c r="F813" s="0" t="n">
        <v>29741</v>
      </c>
      <c r="G813" s="0" t="s">
        <v>1681</v>
      </c>
      <c r="H813" s="0" t="s">
        <v>1648</v>
      </c>
      <c r="I813" s="0" t="n">
        <v>29741</v>
      </c>
      <c r="J813" s="0" t="s">
        <v>2685</v>
      </c>
      <c r="L813" s="0" t="n">
        <v>2016</v>
      </c>
      <c r="M813" s="0" t="s">
        <v>2686</v>
      </c>
      <c r="N813" s="0" t="s">
        <v>131</v>
      </c>
      <c r="Q813" s="0" t="n">
        <v>171</v>
      </c>
      <c r="R813" s="0" t="n">
        <v>169</v>
      </c>
      <c r="U813" s="0" t="s">
        <v>2716</v>
      </c>
      <c r="V813" s="0" t="s">
        <v>2716</v>
      </c>
      <c r="Y813" s="0" t="s">
        <v>1651</v>
      </c>
      <c r="Z813" s="0" t="s">
        <v>1652</v>
      </c>
      <c r="AA813" s="0" t="s">
        <v>2733</v>
      </c>
      <c r="AC813" s="0" t="s">
        <v>2689</v>
      </c>
    </row>
    <row r="814" customFormat="false" ht="15" hidden="false" customHeight="false" outlineLevel="0" collapsed="false">
      <c r="A814" s="0" t="s">
        <v>2735</v>
      </c>
      <c r="B814" s="0" t="s">
        <v>129</v>
      </c>
      <c r="C814" s="0" t="s">
        <v>1678</v>
      </c>
      <c r="D814" s="0" t="n">
        <v>2016</v>
      </c>
      <c r="E814" s="0" t="s">
        <v>404</v>
      </c>
      <c r="F814" s="0" t="n">
        <v>17107</v>
      </c>
      <c r="G814" s="0" t="s">
        <v>1681</v>
      </c>
      <c r="H814" s="0" t="s">
        <v>1648</v>
      </c>
      <c r="I814" s="0" t="n">
        <v>17107</v>
      </c>
      <c r="J814" s="0" t="s">
        <v>2685</v>
      </c>
      <c r="L814" s="0" t="n">
        <v>2016</v>
      </c>
      <c r="M814" s="0" t="s">
        <v>2686</v>
      </c>
      <c r="N814" s="0" t="s">
        <v>131</v>
      </c>
      <c r="Q814" s="0" t="n">
        <v>171</v>
      </c>
      <c r="R814" s="0" t="n">
        <v>169</v>
      </c>
      <c r="U814" s="0" t="s">
        <v>2716</v>
      </c>
      <c r="V814" s="0" t="s">
        <v>2716</v>
      </c>
      <c r="Y814" s="0" t="s">
        <v>1651</v>
      </c>
      <c r="Z814" s="0" t="s">
        <v>1652</v>
      </c>
      <c r="AA814" s="0" t="s">
        <v>2733</v>
      </c>
      <c r="AC814" s="0" t="s">
        <v>2689</v>
      </c>
    </row>
    <row r="815" customFormat="false" ht="15" hidden="false" customHeight="false" outlineLevel="0" collapsed="false">
      <c r="A815" s="0" t="s">
        <v>2736</v>
      </c>
      <c r="B815" s="0" t="s">
        <v>129</v>
      </c>
      <c r="C815" s="0" t="s">
        <v>1678</v>
      </c>
      <c r="D815" s="0" t="n">
        <v>2016</v>
      </c>
      <c r="E815" s="0" t="s">
        <v>406</v>
      </c>
      <c r="F815" s="0" t="n">
        <v>12634</v>
      </c>
      <c r="G815" s="0" t="s">
        <v>1681</v>
      </c>
      <c r="H815" s="0" t="s">
        <v>1648</v>
      </c>
      <c r="I815" s="0" t="n">
        <v>12634</v>
      </c>
      <c r="J815" s="0" t="s">
        <v>2685</v>
      </c>
      <c r="L815" s="0" t="n">
        <v>2016</v>
      </c>
      <c r="M815" s="0" t="s">
        <v>2686</v>
      </c>
      <c r="N815" s="0" t="s">
        <v>131</v>
      </c>
      <c r="Q815" s="0" t="n">
        <v>171</v>
      </c>
      <c r="R815" s="0" t="n">
        <v>169</v>
      </c>
      <c r="U815" s="0" t="s">
        <v>2716</v>
      </c>
      <c r="V815" s="0" t="s">
        <v>2716</v>
      </c>
      <c r="Y815" s="0" t="s">
        <v>1651</v>
      </c>
      <c r="Z815" s="0" t="s">
        <v>1652</v>
      </c>
      <c r="AA815" s="0" t="s">
        <v>2733</v>
      </c>
      <c r="AC815" s="0" t="s">
        <v>2689</v>
      </c>
    </row>
    <row r="816" customFormat="false" ht="15" hidden="false" customHeight="false" outlineLevel="0" collapsed="false">
      <c r="A816" s="0" t="s">
        <v>2737</v>
      </c>
      <c r="B816" s="0" t="s">
        <v>129</v>
      </c>
      <c r="C816" s="0" t="s">
        <v>1678</v>
      </c>
      <c r="D816" s="0" t="n">
        <v>2016</v>
      </c>
      <c r="E816" s="0" t="s">
        <v>62</v>
      </c>
      <c r="F816" s="0" t="n">
        <v>1090355</v>
      </c>
      <c r="G816" s="0" t="s">
        <v>1681</v>
      </c>
      <c r="H816" s="0" t="s">
        <v>1648</v>
      </c>
      <c r="I816" s="0" t="n">
        <v>1090355</v>
      </c>
      <c r="J816" s="0" t="s">
        <v>2685</v>
      </c>
      <c r="L816" s="0" t="n">
        <v>2016</v>
      </c>
      <c r="M816" s="0" t="s">
        <v>2686</v>
      </c>
      <c r="N816" s="0" t="s">
        <v>131</v>
      </c>
      <c r="Q816" s="0" t="n">
        <v>171</v>
      </c>
      <c r="R816" s="0" t="n">
        <v>169</v>
      </c>
      <c r="U816" s="0" t="s">
        <v>2716</v>
      </c>
      <c r="V816" s="0" t="s">
        <v>2716</v>
      </c>
      <c r="Y816" s="0" t="s">
        <v>1651</v>
      </c>
      <c r="Z816" s="0" t="s">
        <v>1652</v>
      </c>
      <c r="AA816" s="0" t="s">
        <v>2733</v>
      </c>
      <c r="AC816" s="0" t="s">
        <v>2689</v>
      </c>
    </row>
    <row r="817" customFormat="false" ht="15" hidden="false" customHeight="false" outlineLevel="0" collapsed="false">
      <c r="A817" s="0" t="s">
        <v>716</v>
      </c>
      <c r="B817" s="0" t="s">
        <v>154</v>
      </c>
      <c r="C817" s="0" t="s">
        <v>2738</v>
      </c>
      <c r="D817" s="0" t="n">
        <v>2021</v>
      </c>
      <c r="E817" s="0" t="s">
        <v>55</v>
      </c>
      <c r="F817" s="0" t="n">
        <v>1164517865</v>
      </c>
      <c r="G817" s="0" t="s">
        <v>1647</v>
      </c>
      <c r="H817" s="0" t="s">
        <v>1648</v>
      </c>
      <c r="I817" s="0" t="n">
        <v>1164517.865</v>
      </c>
      <c r="J817" s="0" t="s">
        <v>2739</v>
      </c>
      <c r="K817" s="0" t="s">
        <v>999</v>
      </c>
      <c r="L817" s="0" t="n">
        <v>2022</v>
      </c>
      <c r="M817" s="0" t="s">
        <v>1000</v>
      </c>
      <c r="N817" s="0" t="s">
        <v>160</v>
      </c>
      <c r="O817" s="0" t="s">
        <v>1158</v>
      </c>
      <c r="P817" s="0" t="s">
        <v>1608</v>
      </c>
      <c r="Q817" s="0" t="n">
        <v>115</v>
      </c>
      <c r="R817" s="0" t="n">
        <v>110</v>
      </c>
      <c r="T817" s="0" t="s">
        <v>2740</v>
      </c>
      <c r="U817" s="0" t="s">
        <v>2741</v>
      </c>
      <c r="V817" s="0" t="s">
        <v>161</v>
      </c>
      <c r="W817" s="0" t="s">
        <v>2742</v>
      </c>
      <c r="X817" s="0" t="s">
        <v>2743</v>
      </c>
      <c r="Y817" s="0" t="s">
        <v>2744</v>
      </c>
      <c r="Z817" s="0" t="s">
        <v>2745</v>
      </c>
      <c r="AA817" s="0" t="s">
        <v>2746</v>
      </c>
      <c r="AB817" s="0" t="s">
        <v>1609</v>
      </c>
      <c r="AC817" s="0" t="s">
        <v>2747</v>
      </c>
      <c r="AD817" s="0" t="s">
        <v>2748</v>
      </c>
      <c r="AE817" s="0" t="s">
        <v>2749</v>
      </c>
      <c r="AF817" s="0" t="s">
        <v>2750</v>
      </c>
      <c r="AH817" s="0" t="s">
        <v>2751</v>
      </c>
      <c r="AL817" s="0" t="s">
        <v>384</v>
      </c>
    </row>
    <row r="818" customFormat="false" ht="15" hidden="false" customHeight="false" outlineLevel="0" collapsed="false">
      <c r="A818" s="0" t="s">
        <v>717</v>
      </c>
      <c r="B818" s="0" t="s">
        <v>154</v>
      </c>
      <c r="C818" s="0" t="s">
        <v>2738</v>
      </c>
      <c r="D818" s="0" t="n">
        <v>2021</v>
      </c>
      <c r="E818" s="0" t="s">
        <v>56</v>
      </c>
      <c r="F818" s="0" t="n">
        <v>1094153520</v>
      </c>
      <c r="G818" s="0" t="s">
        <v>1647</v>
      </c>
      <c r="H818" s="0" t="s">
        <v>1648</v>
      </c>
      <c r="I818" s="0" t="n">
        <v>1094153.52</v>
      </c>
      <c r="J818" s="0" t="s">
        <v>2739</v>
      </c>
      <c r="K818" s="0" t="s">
        <v>999</v>
      </c>
      <c r="L818" s="0" t="n">
        <v>2022</v>
      </c>
      <c r="M818" s="0" t="s">
        <v>1000</v>
      </c>
      <c r="N818" s="0" t="s">
        <v>160</v>
      </c>
      <c r="O818" s="0" t="s">
        <v>1158</v>
      </c>
      <c r="P818" s="0" t="s">
        <v>1608</v>
      </c>
      <c r="Q818" s="0" t="n">
        <v>115</v>
      </c>
      <c r="R818" s="0" t="n">
        <v>110</v>
      </c>
      <c r="T818" s="0" t="s">
        <v>2740</v>
      </c>
      <c r="U818" s="0" t="s">
        <v>2741</v>
      </c>
      <c r="V818" s="0" t="s">
        <v>161</v>
      </c>
      <c r="W818" s="0" t="s">
        <v>2752</v>
      </c>
      <c r="X818" s="0" t="s">
        <v>2743</v>
      </c>
      <c r="Y818" s="0" t="s">
        <v>2744</v>
      </c>
      <c r="Z818" s="0" t="s">
        <v>2745</v>
      </c>
      <c r="AB818" s="0" t="s">
        <v>1609</v>
      </c>
      <c r="AC818" s="0" t="s">
        <v>2747</v>
      </c>
      <c r="AD818" s="0" t="s">
        <v>2748</v>
      </c>
      <c r="AE818" s="0" t="s">
        <v>2749</v>
      </c>
      <c r="AF818" s="0" t="s">
        <v>2750</v>
      </c>
      <c r="AH818" s="0" t="s">
        <v>2751</v>
      </c>
      <c r="AL818" s="0" t="s">
        <v>384</v>
      </c>
    </row>
    <row r="819" customFormat="false" ht="15" hidden="false" customHeight="false" outlineLevel="0" collapsed="false">
      <c r="A819" s="0" t="s">
        <v>718</v>
      </c>
      <c r="B819" s="0" t="s">
        <v>154</v>
      </c>
      <c r="C819" s="0" t="s">
        <v>2738</v>
      </c>
      <c r="D819" s="0" t="n">
        <v>2021</v>
      </c>
      <c r="E819" s="0" t="s">
        <v>57</v>
      </c>
      <c r="F819" s="0" t="n">
        <v>70364344</v>
      </c>
      <c r="G819" s="0" t="s">
        <v>1647</v>
      </c>
      <c r="H819" s="0" t="s">
        <v>1648</v>
      </c>
      <c r="I819" s="0" t="n">
        <v>70364.344</v>
      </c>
      <c r="J819" s="0" t="s">
        <v>2739</v>
      </c>
      <c r="K819" s="0" t="s">
        <v>999</v>
      </c>
      <c r="L819" s="0" t="n">
        <v>2022</v>
      </c>
      <c r="M819" s="0" t="s">
        <v>1000</v>
      </c>
      <c r="N819" s="0" t="s">
        <v>160</v>
      </c>
      <c r="O819" s="0" t="s">
        <v>1158</v>
      </c>
      <c r="P819" s="0" t="s">
        <v>1608</v>
      </c>
      <c r="Q819" s="0" t="n">
        <v>115</v>
      </c>
      <c r="R819" s="0" t="n">
        <v>110</v>
      </c>
      <c r="T819" s="0" t="s">
        <v>2740</v>
      </c>
      <c r="U819" s="0" t="s">
        <v>2741</v>
      </c>
      <c r="V819" s="0" t="s">
        <v>161</v>
      </c>
      <c r="W819" s="0" t="s">
        <v>2753</v>
      </c>
      <c r="X819" s="0" t="s">
        <v>2743</v>
      </c>
      <c r="Y819" s="0" t="s">
        <v>2744</v>
      </c>
      <c r="Z819" s="0" t="s">
        <v>2745</v>
      </c>
      <c r="AA819" s="0" t="s">
        <v>2754</v>
      </c>
      <c r="AB819" s="0" t="s">
        <v>1609</v>
      </c>
      <c r="AC819" s="0" t="s">
        <v>2747</v>
      </c>
      <c r="AD819" s="0" t="s">
        <v>2748</v>
      </c>
      <c r="AE819" s="0" t="s">
        <v>2749</v>
      </c>
      <c r="AF819" s="0" t="s">
        <v>2750</v>
      </c>
      <c r="AH819" s="0" t="s">
        <v>2751</v>
      </c>
      <c r="AL819" s="0" t="s">
        <v>384</v>
      </c>
    </row>
    <row r="820" customFormat="false" ht="15" hidden="false" customHeight="false" outlineLevel="0" collapsed="false">
      <c r="A820" s="0" t="s">
        <v>715</v>
      </c>
      <c r="B820" s="0" t="s">
        <v>154</v>
      </c>
      <c r="C820" s="0" t="s">
        <v>2738</v>
      </c>
      <c r="D820" s="0" t="n">
        <v>2021</v>
      </c>
      <c r="E820" s="0" t="s">
        <v>54</v>
      </c>
      <c r="F820" s="0" t="n">
        <v>8933202</v>
      </c>
      <c r="G820" s="0" t="s">
        <v>1647</v>
      </c>
      <c r="H820" s="0" t="s">
        <v>1648</v>
      </c>
      <c r="I820" s="0" t="n">
        <v>8933.202</v>
      </c>
      <c r="J820" s="0" t="s">
        <v>2739</v>
      </c>
      <c r="K820" s="0" t="s">
        <v>999</v>
      </c>
      <c r="L820" s="0" t="n">
        <v>2022</v>
      </c>
      <c r="M820" s="0" t="s">
        <v>1000</v>
      </c>
      <c r="N820" s="0" t="s">
        <v>160</v>
      </c>
      <c r="O820" s="0" t="s">
        <v>1158</v>
      </c>
      <c r="P820" s="0" t="s">
        <v>1608</v>
      </c>
      <c r="Q820" s="0" t="n">
        <v>114</v>
      </c>
      <c r="R820" s="0" t="n">
        <v>109</v>
      </c>
      <c r="T820" s="0" t="s">
        <v>2740</v>
      </c>
      <c r="U820" s="0" t="s">
        <v>2741</v>
      </c>
      <c r="V820" s="0" t="s">
        <v>161</v>
      </c>
      <c r="W820" s="0" t="s">
        <v>2755</v>
      </c>
      <c r="X820" s="0" t="s">
        <v>2756</v>
      </c>
      <c r="Y820" s="0" t="s">
        <v>2744</v>
      </c>
      <c r="Z820" s="0" t="s">
        <v>2745</v>
      </c>
      <c r="AB820" s="0" t="s">
        <v>1609</v>
      </c>
      <c r="AC820" s="0" t="s">
        <v>2747</v>
      </c>
      <c r="AD820" s="0" t="s">
        <v>2748</v>
      </c>
      <c r="AE820" s="0" t="s">
        <v>2749</v>
      </c>
      <c r="AF820" s="0" t="s">
        <v>2750</v>
      </c>
      <c r="AH820" s="0" t="s">
        <v>2751</v>
      </c>
      <c r="AL820" s="0" t="s">
        <v>384</v>
      </c>
    </row>
    <row r="821" customFormat="false" ht="15" hidden="false" customHeight="false" outlineLevel="0" collapsed="false">
      <c r="A821" s="0" t="s">
        <v>731</v>
      </c>
      <c r="B821" s="0" t="s">
        <v>154</v>
      </c>
      <c r="C821" s="0" t="s">
        <v>2738</v>
      </c>
      <c r="D821" s="0" t="n">
        <v>2021</v>
      </c>
      <c r="E821" s="0" t="s">
        <v>402</v>
      </c>
      <c r="F821" s="0" t="n">
        <v>12384142</v>
      </c>
      <c r="G821" s="0" t="s">
        <v>1647</v>
      </c>
      <c r="H821" s="0" t="s">
        <v>1648</v>
      </c>
      <c r="I821" s="0" t="n">
        <v>12384.142</v>
      </c>
      <c r="J821" s="0" t="s">
        <v>2739</v>
      </c>
      <c r="K821" s="0" t="s">
        <v>999</v>
      </c>
      <c r="L821" s="0" t="n">
        <v>2022</v>
      </c>
      <c r="M821" s="0" t="s">
        <v>1000</v>
      </c>
      <c r="N821" s="0" t="s">
        <v>160</v>
      </c>
      <c r="O821" s="0" t="s">
        <v>1158</v>
      </c>
      <c r="P821" s="0" t="s">
        <v>1608</v>
      </c>
      <c r="Q821" s="0" t="n">
        <v>114</v>
      </c>
      <c r="R821" s="0" t="n">
        <v>109</v>
      </c>
      <c r="T821" s="0" t="s">
        <v>2740</v>
      </c>
      <c r="U821" s="0" t="s">
        <v>2741</v>
      </c>
      <c r="V821" s="0" t="s">
        <v>161</v>
      </c>
      <c r="W821" s="0" t="s">
        <v>2757</v>
      </c>
      <c r="X821" s="0" t="s">
        <v>2756</v>
      </c>
      <c r="Y821" s="0" t="s">
        <v>2744</v>
      </c>
      <c r="Z821" s="0" t="s">
        <v>2745</v>
      </c>
      <c r="AB821" s="0" t="s">
        <v>1609</v>
      </c>
      <c r="AC821" s="0" t="s">
        <v>2747</v>
      </c>
      <c r="AD821" s="0" t="s">
        <v>2748</v>
      </c>
      <c r="AE821" s="0" t="s">
        <v>2749</v>
      </c>
      <c r="AF821" s="0" t="s">
        <v>2750</v>
      </c>
      <c r="AH821" s="0" t="s">
        <v>2751</v>
      </c>
      <c r="AL821" s="0" t="s">
        <v>384</v>
      </c>
    </row>
    <row r="822" customFormat="false" ht="15" hidden="false" customHeight="false" outlineLevel="0" collapsed="false">
      <c r="A822" s="0" t="s">
        <v>724</v>
      </c>
      <c r="B822" s="0" t="s">
        <v>154</v>
      </c>
      <c r="C822" s="0" t="s">
        <v>2738</v>
      </c>
      <c r="D822" s="0" t="n">
        <v>2021</v>
      </c>
      <c r="E822" s="0" t="s">
        <v>63</v>
      </c>
      <c r="F822" s="0" t="n">
        <v>-2104393</v>
      </c>
      <c r="G822" s="0" t="s">
        <v>1647</v>
      </c>
      <c r="H822" s="0" t="s">
        <v>1648</v>
      </c>
      <c r="I822" s="0" t="n">
        <v>2104.393</v>
      </c>
      <c r="J822" s="0" t="s">
        <v>2739</v>
      </c>
      <c r="K822" s="0" t="s">
        <v>999</v>
      </c>
      <c r="L822" s="0" t="n">
        <v>2022</v>
      </c>
      <c r="M822" s="0" t="s">
        <v>1000</v>
      </c>
      <c r="N822" s="0" t="s">
        <v>160</v>
      </c>
      <c r="O822" s="0" t="s">
        <v>1158</v>
      </c>
      <c r="P822" s="0" t="s">
        <v>1608</v>
      </c>
      <c r="Q822" s="0" t="n">
        <v>114</v>
      </c>
      <c r="R822" s="0" t="n">
        <v>109</v>
      </c>
      <c r="S822" s="0" t="n">
        <v>11</v>
      </c>
      <c r="T822" s="0" t="s">
        <v>2740</v>
      </c>
      <c r="U822" s="0" t="s">
        <v>2741</v>
      </c>
      <c r="V822" s="0" t="s">
        <v>161</v>
      </c>
      <c r="W822" s="0" t="s">
        <v>2758</v>
      </c>
      <c r="X822" s="0" t="s">
        <v>2756</v>
      </c>
      <c r="Y822" s="0" t="s">
        <v>2744</v>
      </c>
      <c r="Z822" s="0" t="s">
        <v>2745</v>
      </c>
      <c r="AA822" s="0" t="s">
        <v>2759</v>
      </c>
      <c r="AB822" s="0" t="s">
        <v>1609</v>
      </c>
      <c r="AC822" s="0" t="s">
        <v>2747</v>
      </c>
      <c r="AD822" s="0" t="s">
        <v>2748</v>
      </c>
      <c r="AE822" s="0" t="s">
        <v>2749</v>
      </c>
      <c r="AF822" s="0" t="s">
        <v>2750</v>
      </c>
      <c r="AH822" s="0" t="s">
        <v>2760</v>
      </c>
      <c r="AI822" s="0" t="s">
        <v>2761</v>
      </c>
      <c r="AL822" s="0" t="s">
        <v>384</v>
      </c>
    </row>
    <row r="823" customFormat="false" ht="15" hidden="false" customHeight="false" outlineLevel="0" collapsed="false">
      <c r="A823" s="0" t="s">
        <v>719</v>
      </c>
      <c r="B823" s="0" t="s">
        <v>154</v>
      </c>
      <c r="C823" s="0" t="s">
        <v>2738</v>
      </c>
      <c r="D823" s="0" t="n">
        <v>2021</v>
      </c>
      <c r="E823" s="0" t="s">
        <v>58</v>
      </c>
      <c r="F823" s="0" t="n">
        <v>9851888</v>
      </c>
      <c r="G823" s="0" t="s">
        <v>1647</v>
      </c>
      <c r="H823" s="0" t="s">
        <v>1648</v>
      </c>
      <c r="I823" s="0" t="n">
        <v>9851.888</v>
      </c>
      <c r="J823" s="0" t="s">
        <v>2739</v>
      </c>
      <c r="K823" s="0" t="s">
        <v>999</v>
      </c>
      <c r="L823" s="0" t="n">
        <v>2022</v>
      </c>
      <c r="M823" s="0" t="s">
        <v>1000</v>
      </c>
      <c r="N823" s="0" t="s">
        <v>160</v>
      </c>
      <c r="O823" s="0" t="s">
        <v>1158</v>
      </c>
      <c r="P823" s="0" t="s">
        <v>1608</v>
      </c>
      <c r="Q823" s="0" t="n">
        <v>118</v>
      </c>
      <c r="R823" s="0" t="n">
        <v>113</v>
      </c>
      <c r="T823" s="0" t="s">
        <v>2762</v>
      </c>
      <c r="U823" s="0" t="s">
        <v>2741</v>
      </c>
      <c r="V823" s="0" t="s">
        <v>161</v>
      </c>
      <c r="W823" s="0" t="s">
        <v>2763</v>
      </c>
      <c r="X823" s="0" t="s">
        <v>2764</v>
      </c>
      <c r="Y823" s="0" t="s">
        <v>2744</v>
      </c>
      <c r="Z823" s="0" t="s">
        <v>2745</v>
      </c>
      <c r="AB823" s="0" t="s">
        <v>1609</v>
      </c>
      <c r="AC823" s="0" t="s">
        <v>2747</v>
      </c>
      <c r="AD823" s="0" t="s">
        <v>2748</v>
      </c>
      <c r="AE823" s="0" t="s">
        <v>2749</v>
      </c>
      <c r="AF823" s="0" t="s">
        <v>2750</v>
      </c>
      <c r="AH823" s="0" t="s">
        <v>2751</v>
      </c>
      <c r="AL823" s="0" t="s">
        <v>384</v>
      </c>
    </row>
    <row r="824" customFormat="false" ht="15" hidden="false" customHeight="false" outlineLevel="0" collapsed="false">
      <c r="A824" s="0" t="s">
        <v>721</v>
      </c>
      <c r="B824" s="0" t="s">
        <v>154</v>
      </c>
      <c r="C824" s="0" t="s">
        <v>2738</v>
      </c>
      <c r="D824" s="0" t="n">
        <v>2021</v>
      </c>
      <c r="E824" s="0" t="s">
        <v>60</v>
      </c>
      <c r="F824" s="0" t="n">
        <v>435551971</v>
      </c>
      <c r="G824" s="0" t="s">
        <v>1647</v>
      </c>
      <c r="H824" s="0" t="s">
        <v>1648</v>
      </c>
      <c r="I824" s="0" t="n">
        <v>435551.971</v>
      </c>
      <c r="J824" s="0" t="s">
        <v>2739</v>
      </c>
      <c r="K824" s="0" t="s">
        <v>999</v>
      </c>
      <c r="L824" s="0" t="n">
        <v>2022</v>
      </c>
      <c r="M824" s="0" t="s">
        <v>1000</v>
      </c>
      <c r="N824" s="0" t="s">
        <v>160</v>
      </c>
      <c r="O824" s="0" t="s">
        <v>1158</v>
      </c>
      <c r="P824" s="0" t="s">
        <v>1608</v>
      </c>
      <c r="Q824" s="0" t="n">
        <v>152</v>
      </c>
      <c r="R824" s="0" t="n">
        <v>147</v>
      </c>
      <c r="S824" s="0" t="n">
        <v>18</v>
      </c>
      <c r="T824" s="0" t="s">
        <v>2740</v>
      </c>
      <c r="U824" s="0" t="s">
        <v>2741</v>
      </c>
      <c r="V824" s="0" t="s">
        <v>161</v>
      </c>
      <c r="W824" s="0" t="s">
        <v>2765</v>
      </c>
      <c r="X824" s="0" t="s">
        <v>2766</v>
      </c>
      <c r="Y824" s="0" t="s">
        <v>2744</v>
      </c>
      <c r="Z824" s="0" t="s">
        <v>2745</v>
      </c>
      <c r="AA824" s="0" t="s">
        <v>2767</v>
      </c>
      <c r="AB824" s="0" t="s">
        <v>1609</v>
      </c>
      <c r="AC824" s="0" t="s">
        <v>2747</v>
      </c>
      <c r="AD824" s="0" t="s">
        <v>2748</v>
      </c>
      <c r="AE824" s="0" t="s">
        <v>2749</v>
      </c>
      <c r="AF824" s="0" t="s">
        <v>2750</v>
      </c>
      <c r="AH824" s="0" t="s">
        <v>2751</v>
      </c>
      <c r="AL824" s="0" t="s">
        <v>384</v>
      </c>
    </row>
    <row r="825" customFormat="false" ht="15" hidden="false" customHeight="false" outlineLevel="0" collapsed="false">
      <c r="A825" s="0" t="s">
        <v>722</v>
      </c>
      <c r="B825" s="0" t="s">
        <v>154</v>
      </c>
      <c r="C825" s="0" t="s">
        <v>2738</v>
      </c>
      <c r="D825" s="0" t="n">
        <v>2021</v>
      </c>
      <c r="E825" s="0" t="s">
        <v>61</v>
      </c>
      <c r="F825" s="0" t="n">
        <v>-16687668</v>
      </c>
      <c r="G825" s="0" t="s">
        <v>1647</v>
      </c>
      <c r="H825" s="0" t="s">
        <v>1648</v>
      </c>
      <c r="I825" s="0" t="n">
        <v>16687.668</v>
      </c>
      <c r="J825" s="0" t="s">
        <v>2739</v>
      </c>
      <c r="K825" s="0" t="s">
        <v>999</v>
      </c>
      <c r="L825" s="0" t="n">
        <v>2022</v>
      </c>
      <c r="M825" s="0" t="s">
        <v>1000</v>
      </c>
      <c r="N825" s="0" t="s">
        <v>160</v>
      </c>
      <c r="O825" s="0" t="s">
        <v>1158</v>
      </c>
      <c r="P825" s="0" t="s">
        <v>1608</v>
      </c>
      <c r="Q825" s="0" t="n">
        <v>152</v>
      </c>
      <c r="R825" s="0" t="n">
        <v>147</v>
      </c>
      <c r="S825" s="0" t="n">
        <v>18</v>
      </c>
      <c r="T825" s="0" t="s">
        <v>2740</v>
      </c>
      <c r="U825" s="0" t="s">
        <v>2741</v>
      </c>
      <c r="V825" s="0" t="s">
        <v>161</v>
      </c>
      <c r="W825" s="0" t="s">
        <v>2768</v>
      </c>
      <c r="X825" s="0" t="s">
        <v>2766</v>
      </c>
      <c r="Y825" s="0" t="s">
        <v>2744</v>
      </c>
      <c r="Z825" s="0" t="s">
        <v>2745</v>
      </c>
      <c r="AA825" s="0" t="s">
        <v>2769</v>
      </c>
      <c r="AB825" s="0" t="s">
        <v>1609</v>
      </c>
      <c r="AC825" s="0" t="s">
        <v>2747</v>
      </c>
      <c r="AD825" s="0" t="s">
        <v>2748</v>
      </c>
      <c r="AE825" s="0" t="s">
        <v>2749</v>
      </c>
      <c r="AF825" s="0" t="s">
        <v>2750</v>
      </c>
      <c r="AH825" s="0" t="s">
        <v>2760</v>
      </c>
      <c r="AI825" s="0" t="s">
        <v>2770</v>
      </c>
      <c r="AL825" s="0" t="s">
        <v>384</v>
      </c>
    </row>
    <row r="826" customFormat="false" ht="15" hidden="false" customHeight="false" outlineLevel="0" collapsed="false">
      <c r="A826" s="0" t="s">
        <v>723</v>
      </c>
      <c r="B826" s="0" t="s">
        <v>154</v>
      </c>
      <c r="C826" s="0" t="s">
        <v>2738</v>
      </c>
      <c r="D826" s="0" t="n">
        <v>2021</v>
      </c>
      <c r="E826" s="0" t="s">
        <v>62</v>
      </c>
      <c r="F826" s="0" t="n">
        <v>418864303</v>
      </c>
      <c r="G826" s="0" t="s">
        <v>1647</v>
      </c>
      <c r="H826" s="0" t="s">
        <v>1648</v>
      </c>
      <c r="I826" s="0" t="n">
        <v>418864.303</v>
      </c>
      <c r="J826" s="0" t="s">
        <v>2739</v>
      </c>
      <c r="K826" s="0" t="s">
        <v>999</v>
      </c>
      <c r="L826" s="0" t="n">
        <v>2022</v>
      </c>
      <c r="M826" s="0" t="s">
        <v>1000</v>
      </c>
      <c r="N826" s="0" t="s">
        <v>160</v>
      </c>
      <c r="O826" s="0" t="s">
        <v>1158</v>
      </c>
      <c r="P826" s="0" t="s">
        <v>1608</v>
      </c>
      <c r="Q826" s="0" t="n">
        <v>152</v>
      </c>
      <c r="R826" s="0" t="n">
        <v>147</v>
      </c>
      <c r="S826" s="0" t="n">
        <v>18</v>
      </c>
      <c r="T826" s="0" t="s">
        <v>2740</v>
      </c>
      <c r="U826" s="0" t="s">
        <v>2741</v>
      </c>
      <c r="V826" s="0" t="s">
        <v>161</v>
      </c>
      <c r="W826" s="0" t="s">
        <v>2771</v>
      </c>
      <c r="X826" s="0" t="s">
        <v>2766</v>
      </c>
      <c r="Y826" s="0" t="s">
        <v>2744</v>
      </c>
      <c r="Z826" s="0" t="s">
        <v>2745</v>
      </c>
      <c r="AB826" s="0" t="s">
        <v>1609</v>
      </c>
      <c r="AC826" s="0" t="s">
        <v>2747</v>
      </c>
      <c r="AD826" s="0" t="s">
        <v>2748</v>
      </c>
      <c r="AE826" s="0" t="s">
        <v>2749</v>
      </c>
      <c r="AF826" s="0" t="s">
        <v>2750</v>
      </c>
      <c r="AH826" s="0" t="s">
        <v>2751</v>
      </c>
      <c r="AL826" s="0" t="s">
        <v>384</v>
      </c>
    </row>
    <row r="827" customFormat="false" ht="15" hidden="false" customHeight="false" outlineLevel="0" collapsed="false">
      <c r="A827" s="0" t="s">
        <v>730</v>
      </c>
      <c r="B827" s="0" t="s">
        <v>154</v>
      </c>
      <c r="C827" s="0" t="s">
        <v>2738</v>
      </c>
      <c r="D827" s="0" t="n">
        <v>2021</v>
      </c>
      <c r="E827" s="0" t="s">
        <v>68</v>
      </c>
      <c r="F827" s="0" t="n">
        <v>-11225979</v>
      </c>
      <c r="G827" s="0" t="s">
        <v>1647</v>
      </c>
      <c r="H827" s="0" t="s">
        <v>1648</v>
      </c>
      <c r="I827" s="0" t="n">
        <v>11225.979</v>
      </c>
      <c r="J827" s="0" t="s">
        <v>2739</v>
      </c>
      <c r="K827" s="0" t="s">
        <v>999</v>
      </c>
      <c r="L827" s="0" t="n">
        <v>2022</v>
      </c>
      <c r="M827" s="0" t="s">
        <v>1000</v>
      </c>
      <c r="N827" s="0" t="s">
        <v>160</v>
      </c>
      <c r="O827" s="0" t="s">
        <v>1158</v>
      </c>
      <c r="P827" s="0" t="s">
        <v>1608</v>
      </c>
      <c r="Q827" s="0" t="n">
        <v>152</v>
      </c>
      <c r="R827" s="0" t="n">
        <v>147</v>
      </c>
      <c r="S827" s="0" t="n">
        <v>18</v>
      </c>
      <c r="T827" s="0" t="s">
        <v>2740</v>
      </c>
      <c r="U827" s="0" t="s">
        <v>2741</v>
      </c>
      <c r="V827" s="0" t="s">
        <v>161</v>
      </c>
      <c r="W827" s="0" t="s">
        <v>2772</v>
      </c>
      <c r="X827" s="0" t="s">
        <v>2766</v>
      </c>
      <c r="Y827" s="0" t="s">
        <v>2744</v>
      </c>
      <c r="Z827" s="0" t="s">
        <v>2745</v>
      </c>
      <c r="AA827" s="0" t="s">
        <v>2773</v>
      </c>
      <c r="AB827" s="0" t="s">
        <v>1609</v>
      </c>
      <c r="AC827" s="0" t="s">
        <v>2747</v>
      </c>
      <c r="AD827" s="0" t="s">
        <v>2748</v>
      </c>
      <c r="AE827" s="0" t="s">
        <v>2749</v>
      </c>
      <c r="AF827" s="0" t="s">
        <v>2750</v>
      </c>
      <c r="AH827" s="0" t="s">
        <v>2760</v>
      </c>
      <c r="AI827" s="0" t="s">
        <v>2770</v>
      </c>
      <c r="AL827" s="0" t="s">
        <v>384</v>
      </c>
    </row>
    <row r="828" customFormat="false" ht="15" hidden="false" customHeight="false" outlineLevel="0" collapsed="false">
      <c r="A828" s="0" t="s">
        <v>725</v>
      </c>
      <c r="B828" s="0" t="s">
        <v>154</v>
      </c>
      <c r="C828" s="0" t="s">
        <v>2738</v>
      </c>
      <c r="D828" s="0" t="n">
        <v>2021</v>
      </c>
      <c r="E828" s="0" t="s">
        <v>64</v>
      </c>
      <c r="F828" s="0" t="n">
        <v>21263336</v>
      </c>
      <c r="G828" s="0" t="s">
        <v>1647</v>
      </c>
      <c r="H828" s="0" t="s">
        <v>1648</v>
      </c>
      <c r="I828" s="0" t="n">
        <v>21263.336</v>
      </c>
      <c r="J828" s="0" t="s">
        <v>2739</v>
      </c>
      <c r="K828" s="0" t="s">
        <v>999</v>
      </c>
      <c r="L828" s="0" t="n">
        <v>2022</v>
      </c>
      <c r="M828" s="0" t="s">
        <v>1000</v>
      </c>
      <c r="N828" s="0" t="s">
        <v>160</v>
      </c>
      <c r="O828" s="0" t="s">
        <v>1158</v>
      </c>
      <c r="P828" s="0" t="s">
        <v>1608</v>
      </c>
      <c r="Q828" s="0" t="n">
        <v>182</v>
      </c>
      <c r="R828" s="0" t="n">
        <v>177</v>
      </c>
      <c r="T828" s="0" t="s">
        <v>2774</v>
      </c>
      <c r="U828" s="0" t="s">
        <v>2741</v>
      </c>
      <c r="V828" s="0" t="s">
        <v>161</v>
      </c>
      <c r="W828" s="0" t="s">
        <v>2775</v>
      </c>
      <c r="X828" s="0" t="s">
        <v>2776</v>
      </c>
      <c r="Y828" s="0" t="s">
        <v>2744</v>
      </c>
      <c r="Z828" s="0" t="s">
        <v>2745</v>
      </c>
      <c r="AA828" s="0" t="s">
        <v>2777</v>
      </c>
      <c r="AB828" s="0" t="s">
        <v>1609</v>
      </c>
      <c r="AC828" s="0" t="s">
        <v>2747</v>
      </c>
      <c r="AD828" s="0" t="s">
        <v>2748</v>
      </c>
      <c r="AE828" s="0" t="s">
        <v>2749</v>
      </c>
      <c r="AF828" s="0" t="s">
        <v>2750</v>
      </c>
      <c r="AH828" s="0" t="s">
        <v>2751</v>
      </c>
      <c r="AL828" s="0" t="s">
        <v>384</v>
      </c>
    </row>
    <row r="829" customFormat="false" ht="15" hidden="false" customHeight="false" outlineLevel="0" collapsed="false">
      <c r="A829" s="0" t="s">
        <v>728</v>
      </c>
      <c r="B829" s="0" t="s">
        <v>154</v>
      </c>
      <c r="C829" s="0" t="s">
        <v>2738</v>
      </c>
      <c r="D829" s="0" t="n">
        <v>2021</v>
      </c>
      <c r="E829" s="0" t="s">
        <v>65</v>
      </c>
      <c r="F829" s="0" t="n">
        <v>40009725</v>
      </c>
      <c r="G829" s="0" t="s">
        <v>1647</v>
      </c>
      <c r="H829" s="0" t="s">
        <v>1648</v>
      </c>
      <c r="I829" s="0" t="n">
        <v>40009.725</v>
      </c>
      <c r="J829" s="0" t="s">
        <v>2739</v>
      </c>
      <c r="K829" s="0" t="s">
        <v>999</v>
      </c>
      <c r="L829" s="0" t="n">
        <v>2022</v>
      </c>
      <c r="M829" s="0" t="s">
        <v>1000</v>
      </c>
      <c r="N829" s="0" t="s">
        <v>160</v>
      </c>
      <c r="O829" s="0" t="s">
        <v>1158</v>
      </c>
      <c r="P829" s="0" t="s">
        <v>1608</v>
      </c>
      <c r="Q829" s="0" t="n">
        <v>215</v>
      </c>
      <c r="R829" s="0" t="n">
        <v>210</v>
      </c>
      <c r="T829" s="0" t="s">
        <v>2778</v>
      </c>
      <c r="U829" s="0" t="s">
        <v>2741</v>
      </c>
      <c r="V829" s="0" t="s">
        <v>161</v>
      </c>
      <c r="W829" s="0" t="s">
        <v>2779</v>
      </c>
      <c r="X829" s="0" t="s">
        <v>2780</v>
      </c>
      <c r="Y829" s="0" t="s">
        <v>2744</v>
      </c>
      <c r="Z829" s="0" t="s">
        <v>2745</v>
      </c>
      <c r="AA829" s="0" t="s">
        <v>2781</v>
      </c>
      <c r="AB829" s="0" t="s">
        <v>1609</v>
      </c>
      <c r="AC829" s="0" t="s">
        <v>2747</v>
      </c>
      <c r="AD829" s="0" t="s">
        <v>2748</v>
      </c>
      <c r="AE829" s="0" t="s">
        <v>2749</v>
      </c>
      <c r="AF829" s="0" t="s">
        <v>2750</v>
      </c>
      <c r="AH829" s="0" t="s">
        <v>2751</v>
      </c>
      <c r="AL829" s="0" t="s">
        <v>384</v>
      </c>
    </row>
    <row r="830" customFormat="false" ht="15" hidden="false" customHeight="false" outlineLevel="0" collapsed="false">
      <c r="A830" s="0" t="s">
        <v>729</v>
      </c>
      <c r="B830" s="0" t="s">
        <v>154</v>
      </c>
      <c r="C830" s="0" t="s">
        <v>2738</v>
      </c>
      <c r="D830" s="0" t="n">
        <v>2021</v>
      </c>
      <c r="E830" s="0" t="s">
        <v>66</v>
      </c>
      <c r="F830" s="0" t="n">
        <v>346012969</v>
      </c>
      <c r="G830" s="0" t="s">
        <v>1647</v>
      </c>
      <c r="H830" s="0" t="s">
        <v>1648</v>
      </c>
      <c r="I830" s="0" t="n">
        <v>346012.969</v>
      </c>
      <c r="J830" s="0" t="s">
        <v>2739</v>
      </c>
      <c r="K830" s="0" t="s">
        <v>999</v>
      </c>
      <c r="L830" s="0" t="n">
        <v>2022</v>
      </c>
      <c r="M830" s="0" t="s">
        <v>1000</v>
      </c>
      <c r="N830" s="0" t="s">
        <v>160</v>
      </c>
      <c r="O830" s="0" t="s">
        <v>1158</v>
      </c>
      <c r="P830" s="0" t="s">
        <v>1608</v>
      </c>
      <c r="Q830" s="0" t="n">
        <v>215</v>
      </c>
      <c r="R830" s="0" t="n">
        <v>210</v>
      </c>
      <c r="T830" s="0" t="s">
        <v>2778</v>
      </c>
      <c r="U830" s="0" t="s">
        <v>2741</v>
      </c>
      <c r="V830" s="0" t="s">
        <v>161</v>
      </c>
      <c r="W830" s="0" t="s">
        <v>2782</v>
      </c>
      <c r="X830" s="0" t="s">
        <v>2780</v>
      </c>
      <c r="Y830" s="0" t="s">
        <v>2744</v>
      </c>
      <c r="Z830" s="0" t="s">
        <v>2745</v>
      </c>
      <c r="AB830" s="0" t="s">
        <v>1609</v>
      </c>
      <c r="AC830" s="0" t="s">
        <v>2747</v>
      </c>
      <c r="AD830" s="0" t="s">
        <v>2748</v>
      </c>
      <c r="AE830" s="0" t="s">
        <v>2749</v>
      </c>
      <c r="AF830" s="0" t="s">
        <v>2750</v>
      </c>
      <c r="AH830" s="0" t="s">
        <v>2751</v>
      </c>
      <c r="AL830" s="0" t="s">
        <v>384</v>
      </c>
    </row>
    <row r="831" customFormat="false" ht="15" hidden="false" customHeight="false" outlineLevel="0" collapsed="false">
      <c r="A831" s="0" t="s">
        <v>727</v>
      </c>
      <c r="B831" s="0" t="s">
        <v>154</v>
      </c>
      <c r="C831" s="0" t="s">
        <v>2738</v>
      </c>
      <c r="D831" s="0" t="n">
        <v>2021</v>
      </c>
      <c r="E831" s="0" t="s">
        <v>69</v>
      </c>
      <c r="F831" s="0" t="s">
        <v>2783</v>
      </c>
      <c r="G831" s="0" t="s">
        <v>1723</v>
      </c>
      <c r="I831" s="0" t="n">
        <v>11.71</v>
      </c>
      <c r="J831" s="0" t="s">
        <v>2739</v>
      </c>
      <c r="K831" s="0" t="s">
        <v>999</v>
      </c>
      <c r="L831" s="0" t="n">
        <v>2022</v>
      </c>
      <c r="M831" s="0" t="s">
        <v>1000</v>
      </c>
      <c r="N831" s="0" t="s">
        <v>160</v>
      </c>
      <c r="O831" s="0" t="s">
        <v>1158</v>
      </c>
      <c r="P831" s="0" t="s">
        <v>1608</v>
      </c>
      <c r="Q831" s="0" t="n">
        <v>215</v>
      </c>
      <c r="R831" s="0" t="n">
        <v>210</v>
      </c>
      <c r="T831" s="0" t="s">
        <v>2778</v>
      </c>
      <c r="U831" s="0" t="s">
        <v>2741</v>
      </c>
      <c r="V831" s="0" t="s">
        <v>161</v>
      </c>
      <c r="W831" s="0" t="s">
        <v>2784</v>
      </c>
      <c r="X831" s="0" t="s">
        <v>2780</v>
      </c>
      <c r="Y831" s="0" t="s">
        <v>2744</v>
      </c>
      <c r="Z831" s="0" t="s">
        <v>2745</v>
      </c>
      <c r="AA831" s="0" t="s">
        <v>2785</v>
      </c>
      <c r="AB831" s="0" t="s">
        <v>1609</v>
      </c>
      <c r="AC831" s="0" t="s">
        <v>2747</v>
      </c>
      <c r="AD831" s="0" t="s">
        <v>2748</v>
      </c>
      <c r="AE831" s="0" t="s">
        <v>2749</v>
      </c>
      <c r="AF831" s="0" t="s">
        <v>2750</v>
      </c>
      <c r="AH831" s="0" t="s">
        <v>2751</v>
      </c>
      <c r="AL831" s="0" t="s">
        <v>384</v>
      </c>
    </row>
    <row r="832" customFormat="false" ht="15" hidden="false" customHeight="false" outlineLevel="0" collapsed="false">
      <c r="A832" s="0" t="s">
        <v>720</v>
      </c>
      <c r="B832" s="0" t="s">
        <v>154</v>
      </c>
      <c r="C832" s="0" t="s">
        <v>2738</v>
      </c>
      <c r="D832" s="0" t="n">
        <v>2021</v>
      </c>
      <c r="E832" s="0" t="s">
        <v>59</v>
      </c>
      <c r="F832" s="0" t="n">
        <v>968582084</v>
      </c>
      <c r="G832" s="0" t="s">
        <v>1647</v>
      </c>
      <c r="H832" s="0" t="s">
        <v>1648</v>
      </c>
      <c r="I832" s="0" t="n">
        <v>968582.084</v>
      </c>
      <c r="J832" s="0" t="s">
        <v>2739</v>
      </c>
      <c r="K832" s="0" t="s">
        <v>992</v>
      </c>
      <c r="L832" s="0" t="n">
        <v>2020</v>
      </c>
      <c r="M832" s="0" t="s">
        <v>993</v>
      </c>
      <c r="N832" s="0" t="s">
        <v>159</v>
      </c>
      <c r="O832" s="0" t="s">
        <v>1202</v>
      </c>
      <c r="P832" s="0" t="s">
        <v>1571</v>
      </c>
      <c r="Q832" s="0" t="n">
        <v>34</v>
      </c>
      <c r="R832" s="0" t="n">
        <v>30</v>
      </c>
      <c r="T832" s="0" t="s">
        <v>2786</v>
      </c>
      <c r="U832" s="0" t="s">
        <v>2787</v>
      </c>
      <c r="V832" s="0" t="s">
        <v>100</v>
      </c>
      <c r="W832" s="0" t="s">
        <v>2788</v>
      </c>
      <c r="X832" s="0" t="s">
        <v>2789</v>
      </c>
      <c r="Y832" s="0" t="s">
        <v>2744</v>
      </c>
      <c r="Z832" s="0" t="s">
        <v>2745</v>
      </c>
      <c r="AA832" s="0" t="s">
        <v>2790</v>
      </c>
      <c r="AB832" s="0" t="s">
        <v>1572</v>
      </c>
      <c r="AC832" s="0" t="s">
        <v>2747</v>
      </c>
      <c r="AD832" s="0" t="s">
        <v>2748</v>
      </c>
      <c r="AE832" s="0" t="s">
        <v>2749</v>
      </c>
      <c r="AF832" s="0" t="s">
        <v>2791</v>
      </c>
      <c r="AH832" s="0" t="s">
        <v>2751</v>
      </c>
      <c r="AL832" s="0" t="s">
        <v>384</v>
      </c>
    </row>
    <row r="833" customFormat="false" ht="15" hidden="false" customHeight="false" outlineLevel="0" collapsed="false">
      <c r="A833" s="0" t="s">
        <v>691</v>
      </c>
      <c r="B833" s="0" t="s">
        <v>138</v>
      </c>
      <c r="C833" s="0" t="s">
        <v>2792</v>
      </c>
      <c r="D833" s="0" t="n">
        <v>2016</v>
      </c>
      <c r="E833" s="0" t="s">
        <v>55</v>
      </c>
      <c r="F833" s="0" t="n">
        <v>1123483</v>
      </c>
      <c r="G833" s="0" t="s">
        <v>1681</v>
      </c>
      <c r="H833" s="0" t="s">
        <v>1648</v>
      </c>
      <c r="I833" s="0" t="n">
        <v>1123483</v>
      </c>
      <c r="J833" s="0" t="s">
        <v>2739</v>
      </c>
      <c r="K833" s="0" t="s">
        <v>2793</v>
      </c>
      <c r="L833" s="0" t="n">
        <v>2016</v>
      </c>
      <c r="M833" s="0" t="s">
        <v>938</v>
      </c>
      <c r="N833" s="0" t="s">
        <v>140</v>
      </c>
      <c r="O833" s="0" t="s">
        <v>1222</v>
      </c>
      <c r="P833" s="0" t="s">
        <v>2794</v>
      </c>
      <c r="Q833" s="0" t="n">
        <v>42</v>
      </c>
      <c r="R833" s="0" t="n">
        <v>41</v>
      </c>
      <c r="T833" s="0" t="s">
        <v>2795</v>
      </c>
      <c r="U833" s="0" t="s">
        <v>2796</v>
      </c>
      <c r="V833" s="0" t="s">
        <v>94</v>
      </c>
      <c r="W833" s="0" t="s">
        <v>2797</v>
      </c>
      <c r="X833" s="0" t="s">
        <v>2798</v>
      </c>
      <c r="Y833" s="0" t="s">
        <v>2799</v>
      </c>
      <c r="Z833" s="0" t="s">
        <v>2745</v>
      </c>
      <c r="AA833" s="0" t="s">
        <v>2800</v>
      </c>
      <c r="AB833" s="0" t="s">
        <v>2801</v>
      </c>
      <c r="AC833" s="0" t="s">
        <v>2747</v>
      </c>
      <c r="AD833" s="0" t="s">
        <v>2748</v>
      </c>
      <c r="AE833" s="0" t="s">
        <v>2749</v>
      </c>
      <c r="AF833" s="0" t="s">
        <v>2802</v>
      </c>
      <c r="AH833" s="0" t="s">
        <v>2751</v>
      </c>
      <c r="AL833" s="0" t="s">
        <v>400</v>
      </c>
    </row>
    <row r="834" customFormat="false" ht="15" hidden="false" customHeight="false" outlineLevel="0" collapsed="false">
      <c r="A834" s="0" t="s">
        <v>692</v>
      </c>
      <c r="B834" s="0" t="s">
        <v>138</v>
      </c>
      <c r="C834" s="0" t="s">
        <v>2792</v>
      </c>
      <c r="D834" s="0" t="n">
        <v>2016</v>
      </c>
      <c r="E834" s="0" t="s">
        <v>56</v>
      </c>
      <c r="F834" s="0" t="n">
        <v>872144</v>
      </c>
      <c r="G834" s="0" t="s">
        <v>1681</v>
      </c>
      <c r="H834" s="0" t="s">
        <v>1648</v>
      </c>
      <c r="I834" s="0" t="n">
        <v>872144</v>
      </c>
      <c r="J834" s="0" t="s">
        <v>2739</v>
      </c>
      <c r="K834" s="0" t="s">
        <v>2793</v>
      </c>
      <c r="L834" s="0" t="n">
        <v>2016</v>
      </c>
      <c r="M834" s="0" t="s">
        <v>938</v>
      </c>
      <c r="N834" s="0" t="s">
        <v>140</v>
      </c>
      <c r="O834" s="0" t="s">
        <v>1222</v>
      </c>
      <c r="P834" s="0" t="s">
        <v>2794</v>
      </c>
      <c r="Q834" s="0" t="n">
        <v>42</v>
      </c>
      <c r="R834" s="0" t="n">
        <v>41</v>
      </c>
      <c r="T834" s="0" t="s">
        <v>2795</v>
      </c>
      <c r="U834" s="0" t="s">
        <v>2796</v>
      </c>
      <c r="V834" s="0" t="s">
        <v>94</v>
      </c>
      <c r="W834" s="0" t="s">
        <v>2803</v>
      </c>
      <c r="X834" s="0" t="s">
        <v>2798</v>
      </c>
      <c r="Y834" s="0" t="s">
        <v>2799</v>
      </c>
      <c r="Z834" s="0" t="s">
        <v>2745</v>
      </c>
      <c r="AA834" s="0" t="s">
        <v>2800</v>
      </c>
      <c r="AB834" s="0" t="s">
        <v>2801</v>
      </c>
      <c r="AC834" s="0" t="s">
        <v>2747</v>
      </c>
      <c r="AD834" s="0" t="s">
        <v>2748</v>
      </c>
      <c r="AE834" s="0" t="s">
        <v>2749</v>
      </c>
      <c r="AF834" s="0" t="s">
        <v>2802</v>
      </c>
      <c r="AH834" s="0" t="s">
        <v>2751</v>
      </c>
      <c r="AL834" s="0" t="s">
        <v>400</v>
      </c>
    </row>
    <row r="835" customFormat="false" ht="15" hidden="false" customHeight="false" outlineLevel="0" collapsed="false">
      <c r="A835" s="0" t="s">
        <v>693</v>
      </c>
      <c r="B835" s="0" t="s">
        <v>138</v>
      </c>
      <c r="C835" s="0" t="s">
        <v>2792</v>
      </c>
      <c r="D835" s="0" t="n">
        <v>2016</v>
      </c>
      <c r="E835" s="0" t="s">
        <v>57</v>
      </c>
      <c r="F835" s="0" t="n">
        <v>251339</v>
      </c>
      <c r="G835" s="0" t="s">
        <v>1681</v>
      </c>
      <c r="H835" s="0" t="s">
        <v>1648</v>
      </c>
      <c r="I835" s="0" t="n">
        <v>251339</v>
      </c>
      <c r="J835" s="0" t="s">
        <v>2739</v>
      </c>
      <c r="K835" s="0" t="s">
        <v>2793</v>
      </c>
      <c r="L835" s="0" t="n">
        <v>2016</v>
      </c>
      <c r="M835" s="0" t="s">
        <v>938</v>
      </c>
      <c r="N835" s="0" t="s">
        <v>140</v>
      </c>
      <c r="O835" s="0" t="s">
        <v>1222</v>
      </c>
      <c r="P835" s="0" t="s">
        <v>2794</v>
      </c>
      <c r="Q835" s="0" t="n">
        <v>42</v>
      </c>
      <c r="R835" s="0" t="n">
        <v>41</v>
      </c>
      <c r="T835" s="0" t="s">
        <v>2795</v>
      </c>
      <c r="U835" s="0" t="s">
        <v>2796</v>
      </c>
      <c r="V835" s="0" t="s">
        <v>94</v>
      </c>
      <c r="W835" s="0" t="s">
        <v>2804</v>
      </c>
      <c r="X835" s="0" t="s">
        <v>2798</v>
      </c>
      <c r="Y835" s="0" t="s">
        <v>2799</v>
      </c>
      <c r="Z835" s="0" t="s">
        <v>2745</v>
      </c>
      <c r="AA835" s="0" t="s">
        <v>2800</v>
      </c>
      <c r="AB835" s="0" t="s">
        <v>2801</v>
      </c>
      <c r="AC835" s="0" t="s">
        <v>2747</v>
      </c>
      <c r="AD835" s="0" t="s">
        <v>2748</v>
      </c>
      <c r="AE835" s="0" t="s">
        <v>2749</v>
      </c>
      <c r="AF835" s="0" t="s">
        <v>2802</v>
      </c>
      <c r="AH835" s="0" t="s">
        <v>2751</v>
      </c>
      <c r="AL835" s="0" t="s">
        <v>400</v>
      </c>
    </row>
    <row r="836" customFormat="false" ht="15" hidden="false" customHeight="false" outlineLevel="0" collapsed="false">
      <c r="A836" s="0" t="s">
        <v>695</v>
      </c>
      <c r="B836" s="0" t="s">
        <v>138</v>
      </c>
      <c r="C836" s="0" t="s">
        <v>2792</v>
      </c>
      <c r="D836" s="0" t="n">
        <v>2016</v>
      </c>
      <c r="E836" s="0" t="s">
        <v>59</v>
      </c>
      <c r="F836" s="0" t="n">
        <v>1000976</v>
      </c>
      <c r="G836" s="0" t="s">
        <v>1681</v>
      </c>
      <c r="H836" s="0" t="s">
        <v>1648</v>
      </c>
      <c r="I836" s="0" t="n">
        <v>1000976</v>
      </c>
      <c r="J836" s="0" t="s">
        <v>2739</v>
      </c>
      <c r="K836" s="0" t="s">
        <v>2793</v>
      </c>
      <c r="L836" s="0" t="n">
        <v>2016</v>
      </c>
      <c r="M836" s="0" t="s">
        <v>938</v>
      </c>
      <c r="N836" s="0" t="s">
        <v>140</v>
      </c>
      <c r="O836" s="0" t="s">
        <v>1222</v>
      </c>
      <c r="P836" s="0" t="s">
        <v>2794</v>
      </c>
      <c r="Q836" s="0" t="n">
        <v>42</v>
      </c>
      <c r="R836" s="0" t="n">
        <v>41</v>
      </c>
      <c r="T836" s="0" t="s">
        <v>2805</v>
      </c>
      <c r="U836" s="0" t="s">
        <v>2796</v>
      </c>
      <c r="V836" s="0" t="s">
        <v>94</v>
      </c>
      <c r="W836" s="0" t="s">
        <v>2797</v>
      </c>
      <c r="X836" s="0" t="s">
        <v>2798</v>
      </c>
      <c r="Y836" s="0" t="s">
        <v>2799</v>
      </c>
      <c r="Z836" s="0" t="s">
        <v>2745</v>
      </c>
      <c r="AA836" s="0" t="s">
        <v>2806</v>
      </c>
      <c r="AB836" s="0" t="s">
        <v>2801</v>
      </c>
      <c r="AC836" s="0" t="s">
        <v>2747</v>
      </c>
      <c r="AD836" s="0" t="s">
        <v>2748</v>
      </c>
      <c r="AE836" s="0" t="s">
        <v>2749</v>
      </c>
      <c r="AF836" s="0" t="s">
        <v>2802</v>
      </c>
      <c r="AH836" s="0" t="s">
        <v>2751</v>
      </c>
      <c r="AL836" s="0" t="s">
        <v>400</v>
      </c>
    </row>
    <row r="837" customFormat="false" ht="15" hidden="false" customHeight="false" outlineLevel="0" collapsed="false">
      <c r="A837" s="0" t="s">
        <v>673</v>
      </c>
      <c r="B837" s="0" t="s">
        <v>138</v>
      </c>
      <c r="C837" s="0" t="s">
        <v>2792</v>
      </c>
      <c r="D837" s="0" t="n">
        <v>2015</v>
      </c>
      <c r="E837" s="0" t="s">
        <v>55</v>
      </c>
      <c r="F837" s="0" t="n">
        <v>1000976</v>
      </c>
      <c r="G837" s="0" t="s">
        <v>1681</v>
      </c>
      <c r="H837" s="0" t="s">
        <v>1648</v>
      </c>
      <c r="I837" s="0" t="n">
        <v>1000976</v>
      </c>
      <c r="J837" s="0" t="s">
        <v>2739</v>
      </c>
      <c r="K837" s="0" t="s">
        <v>2793</v>
      </c>
      <c r="L837" s="0" t="n">
        <v>2016</v>
      </c>
      <c r="M837" s="0" t="s">
        <v>938</v>
      </c>
      <c r="N837" s="0" t="s">
        <v>140</v>
      </c>
      <c r="O837" s="0" t="s">
        <v>1222</v>
      </c>
      <c r="P837" s="0" t="s">
        <v>2794</v>
      </c>
      <c r="Q837" s="0" t="n">
        <v>42</v>
      </c>
      <c r="R837" s="0" t="n">
        <v>41</v>
      </c>
      <c r="T837" s="0" t="s">
        <v>2805</v>
      </c>
      <c r="U837" s="0" t="s">
        <v>2807</v>
      </c>
      <c r="V837" s="0" t="s">
        <v>141</v>
      </c>
      <c r="W837" s="0" t="s">
        <v>2797</v>
      </c>
      <c r="X837" s="0" t="s">
        <v>2798</v>
      </c>
      <c r="Y837" s="0" t="s">
        <v>2799</v>
      </c>
      <c r="Z837" s="0" t="s">
        <v>2745</v>
      </c>
      <c r="AA837" s="0" t="s">
        <v>2800</v>
      </c>
      <c r="AB837" s="0" t="s">
        <v>2801</v>
      </c>
      <c r="AC837" s="0" t="s">
        <v>2747</v>
      </c>
      <c r="AD837" s="0" t="s">
        <v>2748</v>
      </c>
      <c r="AE837" s="0" t="s">
        <v>2749</v>
      </c>
      <c r="AF837" s="0" t="s">
        <v>2802</v>
      </c>
      <c r="AH837" s="0" t="s">
        <v>2751</v>
      </c>
      <c r="AL837" s="0" t="s">
        <v>400</v>
      </c>
    </row>
    <row r="838" customFormat="false" ht="15" hidden="false" customHeight="false" outlineLevel="0" collapsed="false">
      <c r="A838" s="0" t="s">
        <v>674</v>
      </c>
      <c r="B838" s="0" t="s">
        <v>138</v>
      </c>
      <c r="C838" s="0" t="s">
        <v>2792</v>
      </c>
      <c r="D838" s="0" t="n">
        <v>2015</v>
      </c>
      <c r="E838" s="0" t="s">
        <v>56</v>
      </c>
      <c r="F838" s="0" t="n">
        <v>767469</v>
      </c>
      <c r="G838" s="0" t="s">
        <v>1681</v>
      </c>
      <c r="H838" s="0" t="s">
        <v>1648</v>
      </c>
      <c r="I838" s="0" t="n">
        <v>767469</v>
      </c>
      <c r="J838" s="0" t="s">
        <v>2739</v>
      </c>
      <c r="K838" s="0" t="s">
        <v>2793</v>
      </c>
      <c r="L838" s="0" t="n">
        <v>2016</v>
      </c>
      <c r="M838" s="0" t="s">
        <v>938</v>
      </c>
      <c r="N838" s="0" t="s">
        <v>140</v>
      </c>
      <c r="O838" s="0" t="s">
        <v>1222</v>
      </c>
      <c r="P838" s="0" t="s">
        <v>2794</v>
      </c>
      <c r="Q838" s="0" t="n">
        <v>42</v>
      </c>
      <c r="R838" s="0" t="n">
        <v>41</v>
      </c>
      <c r="T838" s="0" t="s">
        <v>2805</v>
      </c>
      <c r="U838" s="0" t="s">
        <v>2807</v>
      </c>
      <c r="V838" s="0" t="s">
        <v>141</v>
      </c>
      <c r="W838" s="0" t="s">
        <v>2803</v>
      </c>
      <c r="X838" s="0" t="s">
        <v>2798</v>
      </c>
      <c r="Y838" s="0" t="s">
        <v>2799</v>
      </c>
      <c r="Z838" s="0" t="s">
        <v>2745</v>
      </c>
      <c r="AA838" s="0" t="s">
        <v>2800</v>
      </c>
      <c r="AB838" s="0" t="s">
        <v>2801</v>
      </c>
      <c r="AC838" s="0" t="s">
        <v>2747</v>
      </c>
      <c r="AD838" s="0" t="s">
        <v>2748</v>
      </c>
      <c r="AE838" s="0" t="s">
        <v>2749</v>
      </c>
      <c r="AF838" s="0" t="s">
        <v>2802</v>
      </c>
      <c r="AH838" s="0" t="s">
        <v>2751</v>
      </c>
      <c r="AL838" s="0" t="s">
        <v>400</v>
      </c>
    </row>
    <row r="839" customFormat="false" ht="15" hidden="false" customHeight="false" outlineLevel="0" collapsed="false">
      <c r="A839" s="0" t="s">
        <v>675</v>
      </c>
      <c r="B839" s="0" t="s">
        <v>138</v>
      </c>
      <c r="C839" s="0" t="s">
        <v>2792</v>
      </c>
      <c r="D839" s="0" t="n">
        <v>2015</v>
      </c>
      <c r="E839" s="0" t="s">
        <v>57</v>
      </c>
      <c r="F839" s="0" t="n">
        <v>233507</v>
      </c>
      <c r="G839" s="0" t="s">
        <v>1681</v>
      </c>
      <c r="H839" s="0" t="s">
        <v>1648</v>
      </c>
      <c r="I839" s="0" t="n">
        <v>233507</v>
      </c>
      <c r="J839" s="0" t="s">
        <v>2739</v>
      </c>
      <c r="K839" s="0" t="s">
        <v>2793</v>
      </c>
      <c r="L839" s="0" t="n">
        <v>2016</v>
      </c>
      <c r="M839" s="0" t="s">
        <v>938</v>
      </c>
      <c r="N839" s="0" t="s">
        <v>140</v>
      </c>
      <c r="O839" s="0" t="s">
        <v>1222</v>
      </c>
      <c r="P839" s="0" t="s">
        <v>2794</v>
      </c>
      <c r="Q839" s="0" t="n">
        <v>42</v>
      </c>
      <c r="R839" s="0" t="n">
        <v>41</v>
      </c>
      <c r="T839" s="0" t="s">
        <v>2805</v>
      </c>
      <c r="U839" s="0" t="s">
        <v>2807</v>
      </c>
      <c r="V839" s="0" t="s">
        <v>141</v>
      </c>
      <c r="W839" s="0" t="s">
        <v>2804</v>
      </c>
      <c r="X839" s="0" t="s">
        <v>2798</v>
      </c>
      <c r="Y839" s="0" t="s">
        <v>2799</v>
      </c>
      <c r="Z839" s="0" t="s">
        <v>2745</v>
      </c>
      <c r="AA839" s="0" t="s">
        <v>2800</v>
      </c>
      <c r="AB839" s="0" t="s">
        <v>2801</v>
      </c>
      <c r="AC839" s="0" t="s">
        <v>2747</v>
      </c>
      <c r="AD839" s="0" t="s">
        <v>2748</v>
      </c>
      <c r="AE839" s="0" t="s">
        <v>2749</v>
      </c>
      <c r="AF839" s="0" t="s">
        <v>2802</v>
      </c>
      <c r="AH839" s="0" t="s">
        <v>2751</v>
      </c>
      <c r="AL839" s="0" t="s">
        <v>400</v>
      </c>
    </row>
    <row r="840" customFormat="false" ht="15" hidden="false" customHeight="false" outlineLevel="0" collapsed="false">
      <c r="A840" s="0" t="s">
        <v>677</v>
      </c>
      <c r="B840" s="0" t="s">
        <v>138</v>
      </c>
      <c r="C840" s="0" t="s">
        <v>2792</v>
      </c>
      <c r="D840" s="0" t="n">
        <v>2015</v>
      </c>
      <c r="E840" s="0" t="s">
        <v>59</v>
      </c>
      <c r="F840" s="0" t="n">
        <v>922755</v>
      </c>
      <c r="G840" s="0" t="s">
        <v>1681</v>
      </c>
      <c r="H840" s="0" t="s">
        <v>1648</v>
      </c>
      <c r="I840" s="0" t="n">
        <v>922755</v>
      </c>
      <c r="J840" s="0" t="s">
        <v>2739</v>
      </c>
      <c r="K840" s="0" t="s">
        <v>2793</v>
      </c>
      <c r="L840" s="0" t="n">
        <v>2016</v>
      </c>
      <c r="M840" s="0" t="s">
        <v>938</v>
      </c>
      <c r="N840" s="0" t="s">
        <v>140</v>
      </c>
      <c r="O840" s="0" t="s">
        <v>1222</v>
      </c>
      <c r="P840" s="0" t="s">
        <v>2794</v>
      </c>
      <c r="Q840" s="0" t="n">
        <v>42</v>
      </c>
      <c r="R840" s="0" t="n">
        <v>41</v>
      </c>
      <c r="T840" s="0" t="s">
        <v>2808</v>
      </c>
      <c r="U840" s="0" t="s">
        <v>2807</v>
      </c>
      <c r="V840" s="0" t="s">
        <v>141</v>
      </c>
      <c r="W840" s="0" t="s">
        <v>2797</v>
      </c>
      <c r="X840" s="0" t="s">
        <v>2798</v>
      </c>
      <c r="Y840" s="0" t="s">
        <v>2799</v>
      </c>
      <c r="Z840" s="0" t="s">
        <v>2745</v>
      </c>
      <c r="AA840" s="0" t="s">
        <v>2806</v>
      </c>
      <c r="AB840" s="0" t="s">
        <v>2801</v>
      </c>
      <c r="AC840" s="0" t="s">
        <v>2747</v>
      </c>
      <c r="AD840" s="0" t="s">
        <v>2748</v>
      </c>
      <c r="AE840" s="0" t="s">
        <v>2749</v>
      </c>
      <c r="AF840" s="0" t="s">
        <v>2802</v>
      </c>
      <c r="AH840" s="0" t="s">
        <v>2751</v>
      </c>
      <c r="AL840" s="0" t="s">
        <v>400</v>
      </c>
    </row>
    <row r="841" customFormat="false" ht="15" hidden="false" customHeight="false" outlineLevel="0" collapsed="false">
      <c r="A841" s="0" t="s">
        <v>690</v>
      </c>
      <c r="B841" s="0" t="s">
        <v>138</v>
      </c>
      <c r="C841" s="0" t="s">
        <v>2792</v>
      </c>
      <c r="D841" s="0" t="n">
        <v>2016</v>
      </c>
      <c r="E841" s="0" t="s">
        <v>54</v>
      </c>
      <c r="F841" s="0" t="n">
        <v>15885</v>
      </c>
      <c r="G841" s="0" t="s">
        <v>1681</v>
      </c>
      <c r="H841" s="0" t="s">
        <v>1648</v>
      </c>
      <c r="I841" s="0" t="n">
        <v>15885</v>
      </c>
      <c r="J841" s="0" t="s">
        <v>2739</v>
      </c>
      <c r="K841" s="0" t="s">
        <v>2793</v>
      </c>
      <c r="L841" s="0" t="n">
        <v>2016</v>
      </c>
      <c r="M841" s="0" t="s">
        <v>938</v>
      </c>
      <c r="N841" s="0" t="s">
        <v>140</v>
      </c>
      <c r="O841" s="0" t="s">
        <v>1222</v>
      </c>
      <c r="P841" s="0" t="s">
        <v>2794</v>
      </c>
      <c r="Q841" s="0" t="n">
        <v>40</v>
      </c>
      <c r="R841" s="0" t="n">
        <v>39</v>
      </c>
      <c r="T841" s="0" t="s">
        <v>2795</v>
      </c>
      <c r="U841" s="0" t="s">
        <v>2796</v>
      </c>
      <c r="V841" s="0" t="s">
        <v>94</v>
      </c>
      <c r="W841" s="0" t="s">
        <v>2809</v>
      </c>
      <c r="X841" s="0" t="s">
        <v>2810</v>
      </c>
      <c r="Y841" s="0" t="s">
        <v>2744</v>
      </c>
      <c r="Z841" s="0" t="s">
        <v>2745</v>
      </c>
      <c r="AA841" s="0" t="s">
        <v>2811</v>
      </c>
      <c r="AB841" s="0" t="s">
        <v>2801</v>
      </c>
      <c r="AC841" s="0" t="s">
        <v>2747</v>
      </c>
      <c r="AD841" s="0" t="s">
        <v>2748</v>
      </c>
      <c r="AE841" s="0" t="s">
        <v>2749</v>
      </c>
      <c r="AF841" s="0" t="s">
        <v>2802</v>
      </c>
      <c r="AH841" s="0" t="s">
        <v>2751</v>
      </c>
      <c r="AL841" s="0" t="s">
        <v>384</v>
      </c>
    </row>
    <row r="842" customFormat="false" ht="15" hidden="false" customHeight="false" outlineLevel="0" collapsed="false">
      <c r="A842" s="0" t="s">
        <v>707</v>
      </c>
      <c r="B842" s="0" t="s">
        <v>138</v>
      </c>
      <c r="C842" s="0" t="s">
        <v>2792</v>
      </c>
      <c r="D842" s="0" t="n">
        <v>2016</v>
      </c>
      <c r="E842" s="0" t="s">
        <v>402</v>
      </c>
      <c r="F842" s="0" t="n">
        <v>16053</v>
      </c>
      <c r="G842" s="0" t="s">
        <v>1681</v>
      </c>
      <c r="H842" s="0" t="s">
        <v>1648</v>
      </c>
      <c r="I842" s="0" t="n">
        <v>16053</v>
      </c>
      <c r="J842" s="0" t="s">
        <v>2739</v>
      </c>
      <c r="K842" s="0" t="s">
        <v>2793</v>
      </c>
      <c r="L842" s="0" t="n">
        <v>2016</v>
      </c>
      <c r="M842" s="0" t="s">
        <v>938</v>
      </c>
      <c r="N842" s="0" t="s">
        <v>140</v>
      </c>
      <c r="O842" s="0" t="s">
        <v>1222</v>
      </c>
      <c r="P842" s="0" t="s">
        <v>2794</v>
      </c>
      <c r="Q842" s="0" t="n">
        <v>40</v>
      </c>
      <c r="R842" s="0" t="n">
        <v>39</v>
      </c>
      <c r="T842" s="0" t="s">
        <v>2795</v>
      </c>
      <c r="U842" s="0" t="s">
        <v>2796</v>
      </c>
      <c r="V842" s="0" t="s">
        <v>94</v>
      </c>
      <c r="W842" s="0" t="s">
        <v>2812</v>
      </c>
      <c r="X842" s="0" t="s">
        <v>2810</v>
      </c>
      <c r="Y842" s="0" t="s">
        <v>2744</v>
      </c>
      <c r="Z842" s="0" t="s">
        <v>2745</v>
      </c>
      <c r="AB842" s="0" t="s">
        <v>2801</v>
      </c>
      <c r="AC842" s="0" t="s">
        <v>2747</v>
      </c>
      <c r="AD842" s="0" t="s">
        <v>2748</v>
      </c>
      <c r="AE842" s="0" t="s">
        <v>2749</v>
      </c>
      <c r="AF842" s="0" t="s">
        <v>2802</v>
      </c>
      <c r="AH842" s="0" t="s">
        <v>2751</v>
      </c>
      <c r="AL842" s="0" t="s">
        <v>384</v>
      </c>
    </row>
    <row r="843" customFormat="false" ht="15" hidden="false" customHeight="false" outlineLevel="0" collapsed="false">
      <c r="A843" s="0" t="s">
        <v>700</v>
      </c>
      <c r="B843" s="0" t="s">
        <v>138</v>
      </c>
      <c r="C843" s="0" t="s">
        <v>2792</v>
      </c>
      <c r="D843" s="0" t="n">
        <v>2016</v>
      </c>
      <c r="E843" s="0" t="s">
        <v>247</v>
      </c>
      <c r="F843" s="0" t="n">
        <v>-16486</v>
      </c>
      <c r="G843" s="0" t="s">
        <v>1681</v>
      </c>
      <c r="H843" s="0" t="s">
        <v>1648</v>
      </c>
      <c r="I843" s="0" t="n">
        <v>16486</v>
      </c>
      <c r="J843" s="0" t="s">
        <v>2739</v>
      </c>
      <c r="K843" s="0" t="s">
        <v>2793</v>
      </c>
      <c r="L843" s="0" t="n">
        <v>2016</v>
      </c>
      <c r="M843" s="0" t="s">
        <v>938</v>
      </c>
      <c r="N843" s="0" t="s">
        <v>140</v>
      </c>
      <c r="O843" s="0" t="s">
        <v>1222</v>
      </c>
      <c r="P843" s="0" t="s">
        <v>2794</v>
      </c>
      <c r="Q843" s="0" t="n">
        <v>40</v>
      </c>
      <c r="R843" s="0" t="n">
        <v>39</v>
      </c>
      <c r="S843" s="0" t="s">
        <v>2813</v>
      </c>
      <c r="T843" s="0" t="s">
        <v>2795</v>
      </c>
      <c r="U843" s="0" t="s">
        <v>2796</v>
      </c>
      <c r="V843" s="0" t="s">
        <v>94</v>
      </c>
      <c r="W843" s="0" t="s">
        <v>2814</v>
      </c>
      <c r="X843" s="0" t="s">
        <v>2810</v>
      </c>
      <c r="Y843" s="0" t="s">
        <v>2744</v>
      </c>
      <c r="Z843" s="0" t="s">
        <v>2745</v>
      </c>
      <c r="AA843" s="0" t="s">
        <v>2815</v>
      </c>
      <c r="AB843" s="0" t="s">
        <v>2801</v>
      </c>
      <c r="AC843" s="0" t="s">
        <v>2747</v>
      </c>
      <c r="AD843" s="0" t="s">
        <v>2748</v>
      </c>
      <c r="AE843" s="0" t="s">
        <v>2749</v>
      </c>
      <c r="AF843" s="0" t="s">
        <v>2802</v>
      </c>
      <c r="AH843" s="0" t="s">
        <v>2760</v>
      </c>
      <c r="AI843" s="0" t="s">
        <v>2761</v>
      </c>
      <c r="AL843" s="0" t="s">
        <v>384</v>
      </c>
    </row>
    <row r="844" customFormat="false" ht="15" hidden="false" customHeight="false" outlineLevel="0" collapsed="false">
      <c r="A844" s="0" t="s">
        <v>701</v>
      </c>
      <c r="B844" s="0" t="s">
        <v>138</v>
      </c>
      <c r="C844" s="0" t="s">
        <v>2792</v>
      </c>
      <c r="D844" s="0" t="n">
        <v>2016</v>
      </c>
      <c r="E844" s="0" t="s">
        <v>557</v>
      </c>
      <c r="F844" s="0" t="n">
        <v>717</v>
      </c>
      <c r="G844" s="0" t="s">
        <v>1681</v>
      </c>
      <c r="H844" s="0" t="s">
        <v>1648</v>
      </c>
      <c r="I844" s="0" t="n">
        <v>-717</v>
      </c>
      <c r="J844" s="0" t="s">
        <v>2739</v>
      </c>
      <c r="K844" s="0" t="s">
        <v>2793</v>
      </c>
      <c r="L844" s="0" t="n">
        <v>2016</v>
      </c>
      <c r="M844" s="0" t="s">
        <v>938</v>
      </c>
      <c r="N844" s="0" t="s">
        <v>140</v>
      </c>
      <c r="O844" s="0" t="s">
        <v>1222</v>
      </c>
      <c r="P844" s="0" t="s">
        <v>2794</v>
      </c>
      <c r="Q844" s="0" t="n">
        <v>40</v>
      </c>
      <c r="R844" s="0" t="n">
        <v>39</v>
      </c>
      <c r="S844" s="0" t="s">
        <v>2816</v>
      </c>
      <c r="T844" s="0" t="s">
        <v>2795</v>
      </c>
      <c r="U844" s="0" t="s">
        <v>2796</v>
      </c>
      <c r="V844" s="0" t="s">
        <v>94</v>
      </c>
      <c r="W844" s="0" t="s">
        <v>2817</v>
      </c>
      <c r="X844" s="0" t="s">
        <v>2810</v>
      </c>
      <c r="Y844" s="0" t="s">
        <v>2744</v>
      </c>
      <c r="Z844" s="0" t="s">
        <v>2745</v>
      </c>
      <c r="AA844" s="0" t="s">
        <v>2818</v>
      </c>
      <c r="AB844" s="0" t="s">
        <v>2801</v>
      </c>
      <c r="AC844" s="0" t="s">
        <v>2747</v>
      </c>
      <c r="AD844" s="0" t="s">
        <v>2748</v>
      </c>
      <c r="AE844" s="0" t="s">
        <v>2749</v>
      </c>
      <c r="AF844" s="0" t="s">
        <v>2802</v>
      </c>
      <c r="AH844" s="0" t="s">
        <v>2760</v>
      </c>
      <c r="AI844" s="0" t="s">
        <v>2761</v>
      </c>
      <c r="AL844" s="0" t="s">
        <v>384</v>
      </c>
    </row>
    <row r="845" customFormat="false" ht="15" hidden="false" customHeight="false" outlineLevel="0" collapsed="false">
      <c r="A845" s="0" t="s">
        <v>671</v>
      </c>
      <c r="B845" s="0" t="s">
        <v>138</v>
      </c>
      <c r="C845" s="0" t="s">
        <v>2792</v>
      </c>
      <c r="D845" s="0" t="n">
        <v>2015</v>
      </c>
      <c r="E845" s="0" t="s">
        <v>54</v>
      </c>
      <c r="F845" s="0" t="n">
        <v>18035</v>
      </c>
      <c r="G845" s="0" t="s">
        <v>1681</v>
      </c>
      <c r="H845" s="0" t="s">
        <v>1648</v>
      </c>
      <c r="I845" s="0" t="n">
        <v>18035</v>
      </c>
      <c r="J845" s="0" t="s">
        <v>2739</v>
      </c>
      <c r="K845" s="0" t="s">
        <v>2793</v>
      </c>
      <c r="L845" s="0" t="n">
        <v>2016</v>
      </c>
      <c r="M845" s="0" t="s">
        <v>938</v>
      </c>
      <c r="N845" s="0" t="s">
        <v>140</v>
      </c>
      <c r="O845" s="0" t="s">
        <v>1222</v>
      </c>
      <c r="P845" s="0" t="s">
        <v>2794</v>
      </c>
      <c r="Q845" s="0" t="n">
        <v>40</v>
      </c>
      <c r="R845" s="0" t="n">
        <v>39</v>
      </c>
      <c r="T845" s="0" t="s">
        <v>2805</v>
      </c>
      <c r="U845" s="0" t="s">
        <v>2807</v>
      </c>
      <c r="V845" s="0" t="s">
        <v>141</v>
      </c>
      <c r="W845" s="0" t="s">
        <v>2809</v>
      </c>
      <c r="X845" s="0" t="s">
        <v>2810</v>
      </c>
      <c r="Y845" s="0" t="s">
        <v>2744</v>
      </c>
      <c r="Z845" s="0" t="s">
        <v>2745</v>
      </c>
      <c r="AA845" s="0" t="s">
        <v>2811</v>
      </c>
      <c r="AB845" s="0" t="s">
        <v>2801</v>
      </c>
      <c r="AC845" s="0" t="s">
        <v>2747</v>
      </c>
      <c r="AD845" s="0" t="s">
        <v>2748</v>
      </c>
      <c r="AE845" s="0" t="s">
        <v>2749</v>
      </c>
      <c r="AF845" s="0" t="s">
        <v>2802</v>
      </c>
      <c r="AH845" s="0" t="s">
        <v>2751</v>
      </c>
      <c r="AL845" s="0" t="s">
        <v>384</v>
      </c>
    </row>
    <row r="846" customFormat="false" ht="15" hidden="false" customHeight="false" outlineLevel="0" collapsed="false">
      <c r="A846" s="0" t="s">
        <v>687</v>
      </c>
      <c r="B846" s="0" t="s">
        <v>138</v>
      </c>
      <c r="C846" s="0" t="s">
        <v>2792</v>
      </c>
      <c r="D846" s="0" t="n">
        <v>2015</v>
      </c>
      <c r="E846" s="0" t="s">
        <v>402</v>
      </c>
      <c r="F846" s="0" t="n">
        <v>18455</v>
      </c>
      <c r="G846" s="0" t="s">
        <v>1681</v>
      </c>
      <c r="H846" s="0" t="s">
        <v>1648</v>
      </c>
      <c r="I846" s="0" t="n">
        <v>18455</v>
      </c>
      <c r="J846" s="0" t="s">
        <v>2739</v>
      </c>
      <c r="K846" s="0" t="s">
        <v>2793</v>
      </c>
      <c r="L846" s="0" t="n">
        <v>2016</v>
      </c>
      <c r="M846" s="0" t="s">
        <v>938</v>
      </c>
      <c r="N846" s="0" t="s">
        <v>140</v>
      </c>
      <c r="O846" s="0" t="s">
        <v>1222</v>
      </c>
      <c r="P846" s="0" t="s">
        <v>2794</v>
      </c>
      <c r="Q846" s="0" t="n">
        <v>40</v>
      </c>
      <c r="R846" s="0" t="n">
        <v>39</v>
      </c>
      <c r="T846" s="0" t="s">
        <v>2805</v>
      </c>
      <c r="U846" s="0" t="s">
        <v>2807</v>
      </c>
      <c r="V846" s="0" t="s">
        <v>141</v>
      </c>
      <c r="W846" s="0" t="s">
        <v>2812</v>
      </c>
      <c r="X846" s="0" t="s">
        <v>2810</v>
      </c>
      <c r="Y846" s="0" t="s">
        <v>2744</v>
      </c>
      <c r="Z846" s="0" t="s">
        <v>2745</v>
      </c>
      <c r="AB846" s="0" t="s">
        <v>2801</v>
      </c>
      <c r="AC846" s="0" t="s">
        <v>2747</v>
      </c>
      <c r="AD846" s="0" t="s">
        <v>2748</v>
      </c>
      <c r="AE846" s="0" t="s">
        <v>2749</v>
      </c>
      <c r="AF846" s="0" t="s">
        <v>2802</v>
      </c>
      <c r="AH846" s="0" t="s">
        <v>2751</v>
      </c>
      <c r="AL846" s="0" t="s">
        <v>384</v>
      </c>
    </row>
    <row r="847" customFormat="false" ht="15" hidden="false" customHeight="false" outlineLevel="0" collapsed="false">
      <c r="A847" s="0" t="s">
        <v>682</v>
      </c>
      <c r="B847" s="0" t="s">
        <v>138</v>
      </c>
      <c r="C847" s="0" t="s">
        <v>2792</v>
      </c>
      <c r="D847" s="0" t="n">
        <v>2015</v>
      </c>
      <c r="E847" s="0" t="s">
        <v>247</v>
      </c>
      <c r="F847" s="0" t="n">
        <v>-9881</v>
      </c>
      <c r="G847" s="0" t="s">
        <v>1681</v>
      </c>
      <c r="H847" s="0" t="s">
        <v>1648</v>
      </c>
      <c r="I847" s="0" t="n">
        <v>9881</v>
      </c>
      <c r="J847" s="0" t="s">
        <v>2739</v>
      </c>
      <c r="K847" s="0" t="s">
        <v>2793</v>
      </c>
      <c r="L847" s="0" t="n">
        <v>2016</v>
      </c>
      <c r="M847" s="0" t="s">
        <v>938</v>
      </c>
      <c r="N847" s="0" t="s">
        <v>140</v>
      </c>
      <c r="O847" s="0" t="s">
        <v>1222</v>
      </c>
      <c r="P847" s="0" t="s">
        <v>2794</v>
      </c>
      <c r="Q847" s="0" t="n">
        <v>40</v>
      </c>
      <c r="R847" s="0" t="n">
        <v>39</v>
      </c>
      <c r="S847" s="0" t="s">
        <v>2813</v>
      </c>
      <c r="T847" s="0" t="s">
        <v>2805</v>
      </c>
      <c r="U847" s="0" t="s">
        <v>2807</v>
      </c>
      <c r="V847" s="0" t="s">
        <v>141</v>
      </c>
      <c r="W847" s="0" t="s">
        <v>2814</v>
      </c>
      <c r="X847" s="0" t="s">
        <v>2810</v>
      </c>
      <c r="Y847" s="0" t="s">
        <v>2744</v>
      </c>
      <c r="Z847" s="0" t="s">
        <v>2745</v>
      </c>
      <c r="AA847" s="0" t="s">
        <v>2815</v>
      </c>
      <c r="AB847" s="0" t="s">
        <v>2801</v>
      </c>
      <c r="AC847" s="0" t="s">
        <v>2747</v>
      </c>
      <c r="AD847" s="0" t="s">
        <v>2748</v>
      </c>
      <c r="AE847" s="0" t="s">
        <v>2749</v>
      </c>
      <c r="AF847" s="0" t="s">
        <v>2802</v>
      </c>
      <c r="AH847" s="0" t="s">
        <v>2760</v>
      </c>
      <c r="AI847" s="0" t="s">
        <v>2761</v>
      </c>
      <c r="AL847" s="0" t="s">
        <v>384</v>
      </c>
    </row>
    <row r="848" customFormat="false" ht="15" hidden="false" customHeight="false" outlineLevel="0" collapsed="false">
      <c r="A848" s="0" t="s">
        <v>683</v>
      </c>
      <c r="B848" s="0" t="s">
        <v>138</v>
      </c>
      <c r="C848" s="0" t="s">
        <v>2792</v>
      </c>
      <c r="D848" s="0" t="n">
        <v>2015</v>
      </c>
      <c r="E848" s="0" t="s">
        <v>557</v>
      </c>
      <c r="F848" s="0" t="n">
        <v>704</v>
      </c>
      <c r="G848" s="0" t="s">
        <v>1681</v>
      </c>
      <c r="H848" s="0" t="s">
        <v>1648</v>
      </c>
      <c r="I848" s="0" t="n">
        <v>-704</v>
      </c>
      <c r="J848" s="0" t="s">
        <v>2739</v>
      </c>
      <c r="K848" s="0" t="s">
        <v>2793</v>
      </c>
      <c r="L848" s="0" t="n">
        <v>2016</v>
      </c>
      <c r="M848" s="0" t="s">
        <v>938</v>
      </c>
      <c r="N848" s="0" t="s">
        <v>140</v>
      </c>
      <c r="O848" s="0" t="s">
        <v>1222</v>
      </c>
      <c r="P848" s="0" t="s">
        <v>2794</v>
      </c>
      <c r="Q848" s="0" t="n">
        <v>40</v>
      </c>
      <c r="R848" s="0" t="n">
        <v>39</v>
      </c>
      <c r="S848" s="0" t="s">
        <v>2816</v>
      </c>
      <c r="T848" s="0" t="s">
        <v>2805</v>
      </c>
      <c r="U848" s="0" t="s">
        <v>2807</v>
      </c>
      <c r="V848" s="0" t="s">
        <v>141</v>
      </c>
      <c r="W848" s="0" t="s">
        <v>2817</v>
      </c>
      <c r="X848" s="0" t="s">
        <v>2810</v>
      </c>
      <c r="Y848" s="0" t="s">
        <v>2744</v>
      </c>
      <c r="Z848" s="0" t="s">
        <v>2745</v>
      </c>
      <c r="AA848" s="0" t="s">
        <v>2818</v>
      </c>
      <c r="AB848" s="0" t="s">
        <v>2801</v>
      </c>
      <c r="AC848" s="0" t="s">
        <v>2747</v>
      </c>
      <c r="AD848" s="0" t="s">
        <v>2748</v>
      </c>
      <c r="AE848" s="0" t="s">
        <v>2749</v>
      </c>
      <c r="AF848" s="0" t="s">
        <v>2802</v>
      </c>
      <c r="AH848" s="0" t="s">
        <v>2760</v>
      </c>
      <c r="AI848" s="0" t="s">
        <v>2761</v>
      </c>
      <c r="AL848" s="0" t="s">
        <v>384</v>
      </c>
    </row>
    <row r="849" customFormat="false" ht="15" hidden="false" customHeight="false" outlineLevel="0" collapsed="false">
      <c r="A849" s="0" t="s">
        <v>694</v>
      </c>
      <c r="B849" s="0" t="s">
        <v>138</v>
      </c>
      <c r="C849" s="0" t="s">
        <v>2792</v>
      </c>
      <c r="D849" s="0" t="n">
        <v>2016</v>
      </c>
      <c r="E849" s="0" t="s">
        <v>58</v>
      </c>
      <c r="F849" s="0" t="n">
        <v>-70133</v>
      </c>
      <c r="G849" s="0" t="s">
        <v>1681</v>
      </c>
      <c r="H849" s="0" t="s">
        <v>1648</v>
      </c>
      <c r="I849" s="0" t="n">
        <v>-70133</v>
      </c>
      <c r="J849" s="0" t="s">
        <v>2739</v>
      </c>
      <c r="K849" s="0" t="s">
        <v>2793</v>
      </c>
      <c r="L849" s="0" t="n">
        <v>2016</v>
      </c>
      <c r="M849" s="0" t="s">
        <v>938</v>
      </c>
      <c r="N849" s="0" t="s">
        <v>140</v>
      </c>
      <c r="O849" s="0" t="s">
        <v>1222</v>
      </c>
      <c r="P849" s="0" t="s">
        <v>2794</v>
      </c>
      <c r="Q849" s="0" t="n">
        <v>45</v>
      </c>
      <c r="R849" s="0" t="n">
        <v>44</v>
      </c>
      <c r="T849" s="0" t="s">
        <v>2795</v>
      </c>
      <c r="U849" s="0" t="s">
        <v>2796</v>
      </c>
      <c r="V849" s="0" t="s">
        <v>94</v>
      </c>
      <c r="W849" s="0" t="s">
        <v>2819</v>
      </c>
      <c r="X849" s="0" t="s">
        <v>2820</v>
      </c>
      <c r="Y849" s="0" t="s">
        <v>2744</v>
      </c>
      <c r="Z849" s="0" t="s">
        <v>2745</v>
      </c>
      <c r="AB849" s="0" t="s">
        <v>2801</v>
      </c>
      <c r="AC849" s="0" t="s">
        <v>2747</v>
      </c>
      <c r="AD849" s="0" t="s">
        <v>2748</v>
      </c>
      <c r="AE849" s="0" t="s">
        <v>2749</v>
      </c>
      <c r="AF849" s="0" t="s">
        <v>2802</v>
      </c>
      <c r="AH849" s="0" t="s">
        <v>2751</v>
      </c>
      <c r="AL849" s="0" t="s">
        <v>384</v>
      </c>
    </row>
    <row r="850" customFormat="false" ht="15" hidden="false" customHeight="false" outlineLevel="0" collapsed="false">
      <c r="A850" s="0" t="s">
        <v>676</v>
      </c>
      <c r="B850" s="0" t="s">
        <v>138</v>
      </c>
      <c r="C850" s="0" t="s">
        <v>2792</v>
      </c>
      <c r="D850" s="0" t="n">
        <v>2015</v>
      </c>
      <c r="E850" s="0" t="s">
        <v>58</v>
      </c>
      <c r="F850" s="0" t="n">
        <v>10975</v>
      </c>
      <c r="G850" s="0" t="s">
        <v>1681</v>
      </c>
      <c r="H850" s="0" t="s">
        <v>1648</v>
      </c>
      <c r="I850" s="0" t="n">
        <v>10975</v>
      </c>
      <c r="J850" s="0" t="s">
        <v>2739</v>
      </c>
      <c r="K850" s="0" t="s">
        <v>2793</v>
      </c>
      <c r="L850" s="0" t="n">
        <v>2016</v>
      </c>
      <c r="M850" s="0" t="s">
        <v>938</v>
      </c>
      <c r="N850" s="0" t="s">
        <v>140</v>
      </c>
      <c r="O850" s="0" t="s">
        <v>1222</v>
      </c>
      <c r="P850" s="0" t="s">
        <v>2794</v>
      </c>
      <c r="Q850" s="0" t="n">
        <v>45</v>
      </c>
      <c r="R850" s="0" t="n">
        <v>44</v>
      </c>
      <c r="T850" s="0" t="s">
        <v>2821</v>
      </c>
      <c r="U850" s="0" t="s">
        <v>2807</v>
      </c>
      <c r="V850" s="0" t="s">
        <v>141</v>
      </c>
      <c r="W850" s="0" t="s">
        <v>2819</v>
      </c>
      <c r="X850" s="0" t="s">
        <v>2820</v>
      </c>
      <c r="Y850" s="0" t="s">
        <v>2744</v>
      </c>
      <c r="Z850" s="0" t="s">
        <v>2745</v>
      </c>
      <c r="AB850" s="0" t="s">
        <v>2801</v>
      </c>
      <c r="AC850" s="0" t="s">
        <v>2747</v>
      </c>
      <c r="AD850" s="0" t="s">
        <v>2748</v>
      </c>
      <c r="AE850" s="0" t="s">
        <v>2749</v>
      </c>
      <c r="AF850" s="0" t="s">
        <v>2802</v>
      </c>
      <c r="AH850" s="0" t="s">
        <v>2751</v>
      </c>
      <c r="AL850" s="0" t="s">
        <v>384</v>
      </c>
    </row>
    <row r="851" customFormat="false" ht="15" hidden="false" customHeight="false" outlineLevel="0" collapsed="false">
      <c r="A851" s="0" t="s">
        <v>696</v>
      </c>
      <c r="B851" s="0" t="s">
        <v>138</v>
      </c>
      <c r="C851" s="0" t="s">
        <v>2792</v>
      </c>
      <c r="D851" s="0" t="n">
        <v>2016</v>
      </c>
      <c r="E851" s="0" t="s">
        <v>60</v>
      </c>
      <c r="F851" s="0" t="n">
        <v>518349</v>
      </c>
      <c r="G851" s="0" t="s">
        <v>1681</v>
      </c>
      <c r="H851" s="0" t="s">
        <v>1648</v>
      </c>
      <c r="I851" s="0" t="n">
        <v>518349</v>
      </c>
      <c r="J851" s="0" t="s">
        <v>2739</v>
      </c>
      <c r="K851" s="0" t="s">
        <v>2793</v>
      </c>
      <c r="L851" s="0" t="n">
        <v>2016</v>
      </c>
      <c r="M851" s="0" t="s">
        <v>938</v>
      </c>
      <c r="N851" s="0" t="s">
        <v>140</v>
      </c>
      <c r="O851" s="0" t="s">
        <v>1222</v>
      </c>
      <c r="P851" s="0" t="s">
        <v>2794</v>
      </c>
      <c r="Q851" s="0" t="n">
        <v>103</v>
      </c>
      <c r="R851" s="0" t="n">
        <v>102</v>
      </c>
      <c r="S851" s="0" t="s">
        <v>2822</v>
      </c>
      <c r="T851" s="0" t="s">
        <v>2795</v>
      </c>
      <c r="U851" s="0" t="s">
        <v>2796</v>
      </c>
      <c r="V851" s="0" t="s">
        <v>94</v>
      </c>
      <c r="W851" s="0" t="s">
        <v>2823</v>
      </c>
      <c r="X851" s="0" t="s">
        <v>2824</v>
      </c>
      <c r="Y851" s="0" t="s">
        <v>2744</v>
      </c>
      <c r="Z851" s="0" t="s">
        <v>2745</v>
      </c>
      <c r="AB851" s="0" t="s">
        <v>2801</v>
      </c>
      <c r="AC851" s="0" t="s">
        <v>2747</v>
      </c>
      <c r="AD851" s="0" t="s">
        <v>2748</v>
      </c>
      <c r="AE851" s="0" t="s">
        <v>2749</v>
      </c>
      <c r="AF851" s="0" t="s">
        <v>2802</v>
      </c>
      <c r="AH851" s="0" t="s">
        <v>2751</v>
      </c>
      <c r="AL851" s="0" t="s">
        <v>384</v>
      </c>
    </row>
    <row r="852" customFormat="false" ht="15" hidden="false" customHeight="false" outlineLevel="0" collapsed="false">
      <c r="A852" s="0" t="s">
        <v>697</v>
      </c>
      <c r="B852" s="0" t="s">
        <v>138</v>
      </c>
      <c r="C852" s="0" t="s">
        <v>2792</v>
      </c>
      <c r="D852" s="0" t="n">
        <v>2016</v>
      </c>
      <c r="E852" s="0" t="s">
        <v>61</v>
      </c>
      <c r="F852" s="0" t="n">
        <v>-28459</v>
      </c>
      <c r="G852" s="0" t="s">
        <v>1681</v>
      </c>
      <c r="H852" s="0" t="s">
        <v>1648</v>
      </c>
      <c r="I852" s="0" t="n">
        <v>28459</v>
      </c>
      <c r="J852" s="0" t="s">
        <v>2739</v>
      </c>
      <c r="K852" s="0" t="s">
        <v>2793</v>
      </c>
      <c r="L852" s="0" t="n">
        <v>2016</v>
      </c>
      <c r="M852" s="0" t="s">
        <v>938</v>
      </c>
      <c r="N852" s="0" t="s">
        <v>140</v>
      </c>
      <c r="O852" s="0" t="s">
        <v>1222</v>
      </c>
      <c r="P852" s="0" t="s">
        <v>2794</v>
      </c>
      <c r="Q852" s="0" t="n">
        <v>103</v>
      </c>
      <c r="R852" s="0" t="n">
        <v>102</v>
      </c>
      <c r="S852" s="0" t="s">
        <v>2822</v>
      </c>
      <c r="T852" s="0" t="s">
        <v>2795</v>
      </c>
      <c r="U852" s="0" t="s">
        <v>2796</v>
      </c>
      <c r="V852" s="0" t="s">
        <v>94</v>
      </c>
      <c r="W852" s="0" t="s">
        <v>2825</v>
      </c>
      <c r="X852" s="0" t="s">
        <v>2824</v>
      </c>
      <c r="Y852" s="0" t="s">
        <v>2744</v>
      </c>
      <c r="Z852" s="0" t="s">
        <v>2745</v>
      </c>
      <c r="AA852" s="0" t="s">
        <v>2826</v>
      </c>
      <c r="AB852" s="0" t="s">
        <v>2801</v>
      </c>
      <c r="AC852" s="0" t="s">
        <v>2747</v>
      </c>
      <c r="AD852" s="0" t="s">
        <v>2748</v>
      </c>
      <c r="AE852" s="0" t="s">
        <v>2749</v>
      </c>
      <c r="AF852" s="0" t="s">
        <v>2802</v>
      </c>
      <c r="AH852" s="0" t="s">
        <v>2760</v>
      </c>
      <c r="AI852" s="0" t="s">
        <v>2770</v>
      </c>
      <c r="AL852" s="0" t="s">
        <v>384</v>
      </c>
    </row>
    <row r="853" customFormat="false" ht="15" hidden="false" customHeight="false" outlineLevel="0" collapsed="false">
      <c r="A853" s="0" t="s">
        <v>698</v>
      </c>
      <c r="B853" s="0" t="s">
        <v>138</v>
      </c>
      <c r="C853" s="0" t="s">
        <v>2792</v>
      </c>
      <c r="D853" s="0" t="n">
        <v>2016</v>
      </c>
      <c r="E853" s="0" t="s">
        <v>62</v>
      </c>
      <c r="F853" s="0" t="n">
        <v>489890</v>
      </c>
      <c r="G853" s="0" t="s">
        <v>1681</v>
      </c>
      <c r="H853" s="0" t="s">
        <v>1648</v>
      </c>
      <c r="I853" s="0" t="n">
        <v>489890</v>
      </c>
      <c r="J853" s="0" t="s">
        <v>2739</v>
      </c>
      <c r="K853" s="0" t="s">
        <v>2793</v>
      </c>
      <c r="L853" s="0" t="n">
        <v>2016</v>
      </c>
      <c r="M853" s="0" t="s">
        <v>938</v>
      </c>
      <c r="N853" s="0" t="s">
        <v>140</v>
      </c>
      <c r="O853" s="0" t="s">
        <v>1222</v>
      </c>
      <c r="P853" s="0" t="s">
        <v>2794</v>
      </c>
      <c r="Q853" s="0" t="n">
        <v>103</v>
      </c>
      <c r="R853" s="0" t="n">
        <v>102</v>
      </c>
      <c r="S853" s="0" t="s">
        <v>2822</v>
      </c>
      <c r="T853" s="0" t="s">
        <v>2795</v>
      </c>
      <c r="U853" s="0" t="s">
        <v>2796</v>
      </c>
      <c r="V853" s="0" t="s">
        <v>94</v>
      </c>
      <c r="W853" s="0" t="s">
        <v>2827</v>
      </c>
      <c r="X853" s="0" t="s">
        <v>2824</v>
      </c>
      <c r="Y853" s="0" t="s">
        <v>2744</v>
      </c>
      <c r="Z853" s="0" t="s">
        <v>2745</v>
      </c>
      <c r="AB853" s="0" t="s">
        <v>2801</v>
      </c>
      <c r="AC853" s="0" t="s">
        <v>2747</v>
      </c>
      <c r="AD853" s="0" t="s">
        <v>2748</v>
      </c>
      <c r="AE853" s="0" t="s">
        <v>2749</v>
      </c>
      <c r="AF853" s="0" t="s">
        <v>2802</v>
      </c>
      <c r="AH853" s="0" t="s">
        <v>2751</v>
      </c>
      <c r="AL853" s="0" t="s">
        <v>384</v>
      </c>
    </row>
    <row r="854" customFormat="false" ht="15" hidden="false" customHeight="false" outlineLevel="0" collapsed="false">
      <c r="A854" s="0" t="s">
        <v>708</v>
      </c>
      <c r="B854" s="0" t="s">
        <v>138</v>
      </c>
      <c r="C854" s="0" t="s">
        <v>2792</v>
      </c>
      <c r="D854" s="0" t="n">
        <v>2016</v>
      </c>
      <c r="E854" s="0" t="s">
        <v>404</v>
      </c>
      <c r="F854" s="0" t="n">
        <v>-14887</v>
      </c>
      <c r="G854" s="0" t="s">
        <v>1681</v>
      </c>
      <c r="H854" s="0" t="s">
        <v>1648</v>
      </c>
      <c r="I854" s="0" t="n">
        <v>14887</v>
      </c>
      <c r="J854" s="0" t="s">
        <v>2739</v>
      </c>
      <c r="K854" s="0" t="s">
        <v>2793</v>
      </c>
      <c r="L854" s="0" t="n">
        <v>2016</v>
      </c>
      <c r="M854" s="0" t="s">
        <v>938</v>
      </c>
      <c r="N854" s="0" t="s">
        <v>140</v>
      </c>
      <c r="O854" s="0" t="s">
        <v>1222</v>
      </c>
      <c r="P854" s="0" t="s">
        <v>2794</v>
      </c>
      <c r="Q854" s="0" t="n">
        <v>103</v>
      </c>
      <c r="R854" s="0" t="n">
        <v>102</v>
      </c>
      <c r="S854" s="0" t="s">
        <v>2822</v>
      </c>
      <c r="T854" s="0" t="s">
        <v>2795</v>
      </c>
      <c r="U854" s="0" t="s">
        <v>2796</v>
      </c>
      <c r="V854" s="0" t="s">
        <v>94</v>
      </c>
      <c r="W854" s="0" t="s">
        <v>2828</v>
      </c>
      <c r="X854" s="0" t="s">
        <v>2824</v>
      </c>
      <c r="Y854" s="0" t="s">
        <v>2744</v>
      </c>
      <c r="Z854" s="0" t="s">
        <v>2745</v>
      </c>
      <c r="AA854" s="0" t="s">
        <v>2829</v>
      </c>
      <c r="AB854" s="0" t="s">
        <v>2801</v>
      </c>
      <c r="AC854" s="0" t="s">
        <v>2747</v>
      </c>
      <c r="AD854" s="0" t="s">
        <v>2748</v>
      </c>
      <c r="AE854" s="0" t="s">
        <v>2749</v>
      </c>
      <c r="AF854" s="0" t="s">
        <v>2802</v>
      </c>
      <c r="AH854" s="0" t="s">
        <v>2760</v>
      </c>
      <c r="AI854" s="0" t="s">
        <v>2770</v>
      </c>
      <c r="AL854" s="0" t="s">
        <v>384</v>
      </c>
    </row>
    <row r="855" customFormat="false" ht="15" hidden="false" customHeight="false" outlineLevel="0" collapsed="false">
      <c r="A855" s="0" t="s">
        <v>709</v>
      </c>
      <c r="B855" s="0" t="s">
        <v>138</v>
      </c>
      <c r="C855" s="0" t="s">
        <v>2792</v>
      </c>
      <c r="D855" s="0" t="n">
        <v>2016</v>
      </c>
      <c r="E855" s="0" t="s">
        <v>406</v>
      </c>
      <c r="F855" s="0" t="n">
        <v>-13572</v>
      </c>
      <c r="G855" s="0" t="s">
        <v>1681</v>
      </c>
      <c r="H855" s="0" t="s">
        <v>1648</v>
      </c>
      <c r="I855" s="0" t="n">
        <v>13572</v>
      </c>
      <c r="J855" s="0" t="s">
        <v>2739</v>
      </c>
      <c r="K855" s="0" t="s">
        <v>2793</v>
      </c>
      <c r="L855" s="0" t="n">
        <v>2016</v>
      </c>
      <c r="M855" s="0" t="s">
        <v>938</v>
      </c>
      <c r="N855" s="0" t="s">
        <v>140</v>
      </c>
      <c r="O855" s="0" t="s">
        <v>1222</v>
      </c>
      <c r="P855" s="0" t="s">
        <v>2794</v>
      </c>
      <c r="Q855" s="0" t="n">
        <v>103</v>
      </c>
      <c r="R855" s="0" t="n">
        <v>102</v>
      </c>
      <c r="S855" s="0" t="s">
        <v>2822</v>
      </c>
      <c r="T855" s="0" t="s">
        <v>2795</v>
      </c>
      <c r="U855" s="0" t="s">
        <v>2796</v>
      </c>
      <c r="V855" s="0" t="s">
        <v>94</v>
      </c>
      <c r="W855" s="0" t="s">
        <v>2830</v>
      </c>
      <c r="X855" s="0" t="s">
        <v>2824</v>
      </c>
      <c r="Y855" s="0" t="s">
        <v>2744</v>
      </c>
      <c r="Z855" s="0" t="s">
        <v>2745</v>
      </c>
      <c r="AA855" s="0" t="s">
        <v>2829</v>
      </c>
      <c r="AB855" s="0" t="s">
        <v>2801</v>
      </c>
      <c r="AC855" s="0" t="s">
        <v>2747</v>
      </c>
      <c r="AD855" s="0" t="s">
        <v>2748</v>
      </c>
      <c r="AE855" s="0" t="s">
        <v>2749</v>
      </c>
      <c r="AF855" s="0" t="s">
        <v>2802</v>
      </c>
      <c r="AH855" s="0" t="s">
        <v>2760</v>
      </c>
      <c r="AI855" s="0" t="s">
        <v>2770</v>
      </c>
      <c r="AL855" s="0" t="s">
        <v>384</v>
      </c>
    </row>
    <row r="856" customFormat="false" ht="15" hidden="false" customHeight="false" outlineLevel="0" collapsed="false">
      <c r="A856" s="0" t="s">
        <v>678</v>
      </c>
      <c r="B856" s="0" t="s">
        <v>138</v>
      </c>
      <c r="C856" s="0" t="s">
        <v>2792</v>
      </c>
      <c r="D856" s="0" t="n">
        <v>2015</v>
      </c>
      <c r="E856" s="0" t="s">
        <v>60</v>
      </c>
      <c r="F856" s="0" t="n">
        <v>370949</v>
      </c>
      <c r="G856" s="0" t="s">
        <v>1681</v>
      </c>
      <c r="H856" s="0" t="s">
        <v>1648</v>
      </c>
      <c r="I856" s="0" t="n">
        <v>370949</v>
      </c>
      <c r="J856" s="0" t="s">
        <v>2739</v>
      </c>
      <c r="K856" s="0" t="s">
        <v>2793</v>
      </c>
      <c r="L856" s="0" t="n">
        <v>2016</v>
      </c>
      <c r="M856" s="0" t="s">
        <v>938</v>
      </c>
      <c r="N856" s="0" t="s">
        <v>140</v>
      </c>
      <c r="O856" s="0" t="s">
        <v>1222</v>
      </c>
      <c r="P856" s="0" t="s">
        <v>2794</v>
      </c>
      <c r="Q856" s="0" t="n">
        <v>103</v>
      </c>
      <c r="R856" s="0" t="n">
        <v>102</v>
      </c>
      <c r="S856" s="0" t="s">
        <v>2822</v>
      </c>
      <c r="T856" s="0" t="s">
        <v>2821</v>
      </c>
      <c r="U856" s="0" t="s">
        <v>2807</v>
      </c>
      <c r="V856" s="0" t="s">
        <v>141</v>
      </c>
      <c r="W856" s="0" t="s">
        <v>2823</v>
      </c>
      <c r="X856" s="0" t="s">
        <v>2824</v>
      </c>
      <c r="Y856" s="0" t="s">
        <v>2744</v>
      </c>
      <c r="Z856" s="0" t="s">
        <v>2745</v>
      </c>
      <c r="AB856" s="0" t="s">
        <v>2801</v>
      </c>
      <c r="AC856" s="0" t="s">
        <v>2747</v>
      </c>
      <c r="AD856" s="0" t="s">
        <v>2748</v>
      </c>
      <c r="AE856" s="0" t="s">
        <v>2749</v>
      </c>
      <c r="AF856" s="0" t="s">
        <v>2802</v>
      </c>
      <c r="AH856" s="0" t="s">
        <v>2751</v>
      </c>
      <c r="AL856" s="0" t="s">
        <v>384</v>
      </c>
    </row>
    <row r="857" customFormat="false" ht="15" hidden="false" customHeight="false" outlineLevel="0" collapsed="false">
      <c r="A857" s="0" t="s">
        <v>679</v>
      </c>
      <c r="B857" s="0" t="s">
        <v>138</v>
      </c>
      <c r="C857" s="0" t="s">
        <v>2792</v>
      </c>
      <c r="D857" s="0" t="n">
        <v>2015</v>
      </c>
      <c r="E857" s="0" t="s">
        <v>61</v>
      </c>
      <c r="F857" s="0" t="n">
        <v>-21965</v>
      </c>
      <c r="G857" s="0" t="s">
        <v>1681</v>
      </c>
      <c r="H857" s="0" t="s">
        <v>1648</v>
      </c>
      <c r="I857" s="0" t="n">
        <v>21965</v>
      </c>
      <c r="J857" s="0" t="s">
        <v>2739</v>
      </c>
      <c r="K857" s="0" t="s">
        <v>2793</v>
      </c>
      <c r="L857" s="0" t="n">
        <v>2016</v>
      </c>
      <c r="M857" s="0" t="s">
        <v>938</v>
      </c>
      <c r="N857" s="0" t="s">
        <v>140</v>
      </c>
      <c r="O857" s="0" t="s">
        <v>1222</v>
      </c>
      <c r="P857" s="0" t="s">
        <v>2794</v>
      </c>
      <c r="Q857" s="0" t="n">
        <v>103</v>
      </c>
      <c r="R857" s="0" t="n">
        <v>102</v>
      </c>
      <c r="S857" s="0" t="s">
        <v>2822</v>
      </c>
      <c r="T857" s="0" t="s">
        <v>2821</v>
      </c>
      <c r="U857" s="0" t="s">
        <v>2807</v>
      </c>
      <c r="V857" s="0" t="s">
        <v>141</v>
      </c>
      <c r="W857" s="0" t="s">
        <v>2825</v>
      </c>
      <c r="X857" s="0" t="s">
        <v>2824</v>
      </c>
      <c r="Y857" s="0" t="s">
        <v>2744</v>
      </c>
      <c r="Z857" s="0" t="s">
        <v>2745</v>
      </c>
      <c r="AA857" s="0" t="s">
        <v>2826</v>
      </c>
      <c r="AB857" s="0" t="s">
        <v>2801</v>
      </c>
      <c r="AC857" s="0" t="s">
        <v>2747</v>
      </c>
      <c r="AD857" s="0" t="s">
        <v>2748</v>
      </c>
      <c r="AE857" s="0" t="s">
        <v>2749</v>
      </c>
      <c r="AF857" s="0" t="s">
        <v>2802</v>
      </c>
      <c r="AH857" s="0" t="s">
        <v>2760</v>
      </c>
      <c r="AI857" s="0" t="s">
        <v>2770</v>
      </c>
      <c r="AL857" s="0" t="s">
        <v>384</v>
      </c>
    </row>
    <row r="858" customFormat="false" ht="15" hidden="false" customHeight="false" outlineLevel="0" collapsed="false">
      <c r="A858" s="0" t="s">
        <v>680</v>
      </c>
      <c r="B858" s="0" t="s">
        <v>138</v>
      </c>
      <c r="C858" s="0" t="s">
        <v>2792</v>
      </c>
      <c r="D858" s="0" t="n">
        <v>2015</v>
      </c>
      <c r="E858" s="0" t="s">
        <v>62</v>
      </c>
      <c r="F858" s="0" t="n">
        <v>348984</v>
      </c>
      <c r="G858" s="0" t="s">
        <v>1681</v>
      </c>
      <c r="H858" s="0" t="s">
        <v>1648</v>
      </c>
      <c r="I858" s="0" t="n">
        <v>348984</v>
      </c>
      <c r="J858" s="0" t="s">
        <v>2739</v>
      </c>
      <c r="K858" s="0" t="s">
        <v>2793</v>
      </c>
      <c r="L858" s="0" t="n">
        <v>2016</v>
      </c>
      <c r="M858" s="0" t="s">
        <v>938</v>
      </c>
      <c r="N858" s="0" t="s">
        <v>140</v>
      </c>
      <c r="O858" s="0" t="s">
        <v>1222</v>
      </c>
      <c r="P858" s="0" t="s">
        <v>2794</v>
      </c>
      <c r="Q858" s="0" t="n">
        <v>103</v>
      </c>
      <c r="R858" s="0" t="n">
        <v>102</v>
      </c>
      <c r="S858" s="0" t="s">
        <v>2822</v>
      </c>
      <c r="T858" s="0" t="s">
        <v>2821</v>
      </c>
      <c r="U858" s="0" t="s">
        <v>2807</v>
      </c>
      <c r="V858" s="0" t="s">
        <v>141</v>
      </c>
      <c r="W858" s="0" t="s">
        <v>2827</v>
      </c>
      <c r="X858" s="0" t="s">
        <v>2824</v>
      </c>
      <c r="Y858" s="0" t="s">
        <v>2744</v>
      </c>
      <c r="Z858" s="0" t="s">
        <v>2745</v>
      </c>
      <c r="AB858" s="0" t="s">
        <v>2801</v>
      </c>
      <c r="AC858" s="0" t="s">
        <v>2747</v>
      </c>
      <c r="AD858" s="0" t="s">
        <v>2748</v>
      </c>
      <c r="AE858" s="0" t="s">
        <v>2749</v>
      </c>
      <c r="AF858" s="0" t="s">
        <v>2802</v>
      </c>
      <c r="AH858" s="0" t="s">
        <v>2751</v>
      </c>
      <c r="AL858" s="0" t="s">
        <v>384</v>
      </c>
    </row>
    <row r="859" customFormat="false" ht="15" hidden="false" customHeight="false" outlineLevel="0" collapsed="false">
      <c r="A859" s="0" t="s">
        <v>688</v>
      </c>
      <c r="B859" s="0" t="s">
        <v>138</v>
      </c>
      <c r="C859" s="0" t="s">
        <v>2792</v>
      </c>
      <c r="D859" s="0" t="n">
        <v>2015</v>
      </c>
      <c r="E859" s="0" t="s">
        <v>404</v>
      </c>
      <c r="F859" s="0" t="n">
        <v>-11565</v>
      </c>
      <c r="G859" s="0" t="s">
        <v>1681</v>
      </c>
      <c r="H859" s="0" t="s">
        <v>1648</v>
      </c>
      <c r="I859" s="0" t="n">
        <v>11565</v>
      </c>
      <c r="J859" s="0" t="s">
        <v>2739</v>
      </c>
      <c r="K859" s="0" t="s">
        <v>2793</v>
      </c>
      <c r="L859" s="0" t="n">
        <v>2016</v>
      </c>
      <c r="M859" s="0" t="s">
        <v>938</v>
      </c>
      <c r="N859" s="0" t="s">
        <v>140</v>
      </c>
      <c r="O859" s="0" t="s">
        <v>1222</v>
      </c>
      <c r="P859" s="0" t="s">
        <v>2794</v>
      </c>
      <c r="Q859" s="0" t="n">
        <v>103</v>
      </c>
      <c r="R859" s="0" t="n">
        <v>102</v>
      </c>
      <c r="S859" s="0" t="s">
        <v>2822</v>
      </c>
      <c r="T859" s="0" t="s">
        <v>2821</v>
      </c>
      <c r="U859" s="0" t="s">
        <v>2807</v>
      </c>
      <c r="V859" s="0" t="s">
        <v>141</v>
      </c>
      <c r="W859" s="0" t="s">
        <v>2828</v>
      </c>
      <c r="X859" s="0" t="s">
        <v>2824</v>
      </c>
      <c r="Y859" s="0" t="s">
        <v>2744</v>
      </c>
      <c r="Z859" s="0" t="s">
        <v>2745</v>
      </c>
      <c r="AA859" s="0" t="s">
        <v>2829</v>
      </c>
      <c r="AB859" s="0" t="s">
        <v>2801</v>
      </c>
      <c r="AC859" s="0" t="s">
        <v>2747</v>
      </c>
      <c r="AD859" s="0" t="s">
        <v>2748</v>
      </c>
      <c r="AE859" s="0" t="s">
        <v>2749</v>
      </c>
      <c r="AF859" s="0" t="s">
        <v>2802</v>
      </c>
      <c r="AH859" s="0" t="s">
        <v>2760</v>
      </c>
      <c r="AI859" s="0" t="s">
        <v>2770</v>
      </c>
      <c r="AL859" s="0" t="s">
        <v>384</v>
      </c>
    </row>
    <row r="860" customFormat="false" ht="15" hidden="false" customHeight="false" outlineLevel="0" collapsed="false">
      <c r="A860" s="0" t="s">
        <v>689</v>
      </c>
      <c r="B860" s="0" t="s">
        <v>138</v>
      </c>
      <c r="C860" s="0" t="s">
        <v>2792</v>
      </c>
      <c r="D860" s="0" t="n">
        <v>2015</v>
      </c>
      <c r="E860" s="0" t="s">
        <v>406</v>
      </c>
      <c r="F860" s="0" t="n">
        <v>-10400</v>
      </c>
      <c r="G860" s="0" t="s">
        <v>1681</v>
      </c>
      <c r="H860" s="0" t="s">
        <v>1648</v>
      </c>
      <c r="I860" s="0" t="n">
        <v>10400</v>
      </c>
      <c r="J860" s="0" t="s">
        <v>2739</v>
      </c>
      <c r="K860" s="0" t="s">
        <v>2793</v>
      </c>
      <c r="L860" s="0" t="n">
        <v>2016</v>
      </c>
      <c r="M860" s="0" t="s">
        <v>938</v>
      </c>
      <c r="N860" s="0" t="s">
        <v>140</v>
      </c>
      <c r="O860" s="0" t="s">
        <v>1222</v>
      </c>
      <c r="P860" s="0" t="s">
        <v>2794</v>
      </c>
      <c r="Q860" s="0" t="n">
        <v>103</v>
      </c>
      <c r="R860" s="0" t="n">
        <v>102</v>
      </c>
      <c r="S860" s="0" t="s">
        <v>2822</v>
      </c>
      <c r="T860" s="0" t="s">
        <v>2821</v>
      </c>
      <c r="U860" s="0" t="s">
        <v>2807</v>
      </c>
      <c r="V860" s="0" t="s">
        <v>141</v>
      </c>
      <c r="W860" s="0" t="s">
        <v>2830</v>
      </c>
      <c r="X860" s="0" t="s">
        <v>2824</v>
      </c>
      <c r="Y860" s="0" t="s">
        <v>2744</v>
      </c>
      <c r="Z860" s="0" t="s">
        <v>2745</v>
      </c>
      <c r="AA860" s="0" t="s">
        <v>2829</v>
      </c>
      <c r="AB860" s="0" t="s">
        <v>2801</v>
      </c>
      <c r="AC860" s="0" t="s">
        <v>2747</v>
      </c>
      <c r="AD860" s="0" t="s">
        <v>2748</v>
      </c>
      <c r="AE860" s="0" t="s">
        <v>2749</v>
      </c>
      <c r="AF860" s="0" t="s">
        <v>2802</v>
      </c>
      <c r="AH860" s="0" t="s">
        <v>2760</v>
      </c>
      <c r="AI860" s="0" t="s">
        <v>2770</v>
      </c>
      <c r="AL860" s="0" t="s">
        <v>384</v>
      </c>
    </row>
    <row r="861" customFormat="false" ht="15" hidden="false" customHeight="false" outlineLevel="0" collapsed="false">
      <c r="A861" s="0" t="s">
        <v>704</v>
      </c>
      <c r="B861" s="0" t="s">
        <v>138</v>
      </c>
      <c r="C861" s="0" t="s">
        <v>2792</v>
      </c>
      <c r="D861" s="0" t="n">
        <v>2016</v>
      </c>
      <c r="E861" s="0" t="s">
        <v>65</v>
      </c>
      <c r="F861" s="0" t="n">
        <v>96309</v>
      </c>
      <c r="G861" s="0" t="s">
        <v>1681</v>
      </c>
      <c r="H861" s="0" t="s">
        <v>1648</v>
      </c>
      <c r="I861" s="0" t="n">
        <v>96309</v>
      </c>
      <c r="J861" s="0" t="s">
        <v>2739</v>
      </c>
      <c r="K861" s="0" t="s">
        <v>2793</v>
      </c>
      <c r="L861" s="0" t="n">
        <v>2016</v>
      </c>
      <c r="M861" s="0" t="s">
        <v>938</v>
      </c>
      <c r="N861" s="0" t="s">
        <v>140</v>
      </c>
      <c r="O861" s="0" t="s">
        <v>1222</v>
      </c>
      <c r="P861" s="0" t="s">
        <v>2794</v>
      </c>
      <c r="Q861" s="0" t="n">
        <v>87</v>
      </c>
      <c r="R861" s="0" t="n">
        <v>86</v>
      </c>
      <c r="T861" s="0" t="s">
        <v>2831</v>
      </c>
      <c r="U861" s="0" t="s">
        <v>2796</v>
      </c>
      <c r="V861" s="0" t="s">
        <v>94</v>
      </c>
      <c r="W861" s="0" t="s">
        <v>2832</v>
      </c>
      <c r="X861" s="0" t="s">
        <v>2833</v>
      </c>
      <c r="Y861" s="0" t="s">
        <v>2744</v>
      </c>
      <c r="Z861" s="0" t="s">
        <v>2745</v>
      </c>
      <c r="AA861" s="0" t="s">
        <v>2834</v>
      </c>
      <c r="AB861" s="0" t="s">
        <v>2801</v>
      </c>
      <c r="AC861" s="0" t="s">
        <v>2747</v>
      </c>
      <c r="AD861" s="0" t="s">
        <v>2748</v>
      </c>
      <c r="AE861" s="0" t="s">
        <v>2749</v>
      </c>
      <c r="AF861" s="0" t="s">
        <v>2802</v>
      </c>
      <c r="AH861" s="0" t="s">
        <v>2751</v>
      </c>
      <c r="AL861" s="0" t="s">
        <v>384</v>
      </c>
    </row>
    <row r="862" customFormat="false" ht="15" hidden="false" customHeight="false" outlineLevel="0" collapsed="false">
      <c r="A862" s="0" t="s">
        <v>705</v>
      </c>
      <c r="B862" s="0" t="s">
        <v>138</v>
      </c>
      <c r="C862" s="0" t="s">
        <v>2792</v>
      </c>
      <c r="D862" s="0" t="n">
        <v>2016</v>
      </c>
      <c r="E862" s="0" t="s">
        <v>66</v>
      </c>
      <c r="F862" s="0" t="n">
        <v>724660</v>
      </c>
      <c r="G862" s="0" t="s">
        <v>1681</v>
      </c>
      <c r="H862" s="0" t="s">
        <v>1648</v>
      </c>
      <c r="I862" s="0" t="n">
        <v>724660</v>
      </c>
      <c r="J862" s="0" t="s">
        <v>2739</v>
      </c>
      <c r="K862" s="0" t="s">
        <v>2793</v>
      </c>
      <c r="L862" s="0" t="n">
        <v>2016</v>
      </c>
      <c r="M862" s="0" t="s">
        <v>938</v>
      </c>
      <c r="N862" s="0" t="s">
        <v>140</v>
      </c>
      <c r="O862" s="0" t="s">
        <v>1222</v>
      </c>
      <c r="P862" s="0" t="s">
        <v>2794</v>
      </c>
      <c r="Q862" s="0" t="n">
        <v>87</v>
      </c>
      <c r="R862" s="0" t="n">
        <v>86</v>
      </c>
      <c r="T862" s="0" t="s">
        <v>2831</v>
      </c>
      <c r="U862" s="0" t="s">
        <v>2796</v>
      </c>
      <c r="V862" s="0" t="s">
        <v>94</v>
      </c>
      <c r="W862" s="0" t="s">
        <v>2835</v>
      </c>
      <c r="X862" s="0" t="s">
        <v>2833</v>
      </c>
      <c r="Y862" s="0" t="s">
        <v>2744</v>
      </c>
      <c r="Z862" s="0" t="s">
        <v>2745</v>
      </c>
      <c r="AB862" s="0" t="s">
        <v>2801</v>
      </c>
      <c r="AC862" s="0" t="s">
        <v>2747</v>
      </c>
      <c r="AD862" s="0" t="s">
        <v>2748</v>
      </c>
      <c r="AE862" s="0" t="s">
        <v>2749</v>
      </c>
      <c r="AF862" s="0" t="s">
        <v>2802</v>
      </c>
      <c r="AH862" s="0" t="s">
        <v>2751</v>
      </c>
      <c r="AL862" s="0" t="s">
        <v>384</v>
      </c>
    </row>
    <row r="863" customFormat="false" ht="15" hidden="false" customHeight="false" outlineLevel="0" collapsed="false">
      <c r="A863" s="0" t="s">
        <v>702</v>
      </c>
      <c r="B863" s="0" t="s">
        <v>138</v>
      </c>
      <c r="C863" s="0" t="s">
        <v>2792</v>
      </c>
      <c r="D863" s="0" t="n">
        <v>2016</v>
      </c>
      <c r="E863" s="0" t="s">
        <v>69</v>
      </c>
      <c r="F863" s="0" t="s">
        <v>2836</v>
      </c>
      <c r="G863" s="0" t="s">
        <v>1723</v>
      </c>
      <c r="I863" s="0" t="n">
        <v>13.3</v>
      </c>
      <c r="J863" s="0" t="s">
        <v>2739</v>
      </c>
      <c r="K863" s="0" t="s">
        <v>2793</v>
      </c>
      <c r="L863" s="0" t="n">
        <v>2016</v>
      </c>
      <c r="M863" s="0" t="s">
        <v>938</v>
      </c>
      <c r="N863" s="0" t="s">
        <v>140</v>
      </c>
      <c r="O863" s="0" t="s">
        <v>1222</v>
      </c>
      <c r="P863" s="0" t="s">
        <v>2794</v>
      </c>
      <c r="Q863" s="0" t="n">
        <v>87</v>
      </c>
      <c r="R863" s="0" t="n">
        <v>86</v>
      </c>
      <c r="T863" s="0" t="s">
        <v>2831</v>
      </c>
      <c r="U863" s="0" t="s">
        <v>2796</v>
      </c>
      <c r="V863" s="0" t="s">
        <v>94</v>
      </c>
      <c r="W863" s="0" t="s">
        <v>2837</v>
      </c>
      <c r="X863" s="0" t="s">
        <v>2833</v>
      </c>
      <c r="Y863" s="0" t="s">
        <v>2744</v>
      </c>
      <c r="Z863" s="0" t="s">
        <v>2745</v>
      </c>
      <c r="AB863" s="0" t="s">
        <v>2801</v>
      </c>
      <c r="AC863" s="0" t="s">
        <v>2747</v>
      </c>
      <c r="AD863" s="0" t="s">
        <v>2748</v>
      </c>
      <c r="AE863" s="0" t="s">
        <v>2749</v>
      </c>
      <c r="AF863" s="0" t="s">
        <v>2802</v>
      </c>
      <c r="AH863" s="0" t="s">
        <v>2751</v>
      </c>
      <c r="AL863" s="0" t="s">
        <v>384</v>
      </c>
    </row>
    <row r="864" customFormat="false" ht="15" hidden="false" customHeight="false" outlineLevel="0" collapsed="false">
      <c r="A864" s="0" t="s">
        <v>685</v>
      </c>
      <c r="B864" s="0" t="s">
        <v>138</v>
      </c>
      <c r="C864" s="0" t="s">
        <v>2792</v>
      </c>
      <c r="D864" s="0" t="n">
        <v>2015</v>
      </c>
      <c r="E864" s="0" t="s">
        <v>65</v>
      </c>
      <c r="F864" s="0" t="n">
        <v>93697</v>
      </c>
      <c r="G864" s="0" t="s">
        <v>1681</v>
      </c>
      <c r="H864" s="0" t="s">
        <v>1648</v>
      </c>
      <c r="I864" s="0" t="n">
        <v>93697</v>
      </c>
      <c r="J864" s="0" t="s">
        <v>2739</v>
      </c>
      <c r="K864" s="0" t="s">
        <v>2793</v>
      </c>
      <c r="L864" s="0" t="n">
        <v>2016</v>
      </c>
      <c r="M864" s="0" t="s">
        <v>938</v>
      </c>
      <c r="N864" s="0" t="s">
        <v>140</v>
      </c>
      <c r="O864" s="0" t="s">
        <v>1222</v>
      </c>
      <c r="P864" s="0" t="s">
        <v>2794</v>
      </c>
      <c r="Q864" s="0" t="n">
        <v>87</v>
      </c>
      <c r="R864" s="0" t="n">
        <v>86</v>
      </c>
      <c r="T864" s="0" t="s">
        <v>2838</v>
      </c>
      <c r="U864" s="0" t="s">
        <v>2807</v>
      </c>
      <c r="V864" s="0" t="s">
        <v>141</v>
      </c>
      <c r="W864" s="0" t="s">
        <v>2832</v>
      </c>
      <c r="X864" s="0" t="s">
        <v>2833</v>
      </c>
      <c r="Y864" s="0" t="s">
        <v>2744</v>
      </c>
      <c r="Z864" s="0" t="s">
        <v>2745</v>
      </c>
      <c r="AA864" s="0" t="s">
        <v>2834</v>
      </c>
      <c r="AB864" s="0" t="s">
        <v>2801</v>
      </c>
      <c r="AC864" s="0" t="s">
        <v>2747</v>
      </c>
      <c r="AD864" s="0" t="s">
        <v>2748</v>
      </c>
      <c r="AE864" s="0" t="s">
        <v>2749</v>
      </c>
      <c r="AF864" s="0" t="s">
        <v>2802</v>
      </c>
      <c r="AH864" s="0" t="s">
        <v>2751</v>
      </c>
      <c r="AL864" s="0" t="s">
        <v>384</v>
      </c>
    </row>
    <row r="865" customFormat="false" ht="15" hidden="false" customHeight="false" outlineLevel="0" collapsed="false">
      <c r="A865" s="0" t="s">
        <v>686</v>
      </c>
      <c r="B865" s="0" t="s">
        <v>138</v>
      </c>
      <c r="C865" s="0" t="s">
        <v>2792</v>
      </c>
      <c r="D865" s="0" t="n">
        <v>2015</v>
      </c>
      <c r="E865" s="0" t="s">
        <v>66</v>
      </c>
      <c r="F865" s="0" t="n">
        <v>587515</v>
      </c>
      <c r="G865" s="0" t="s">
        <v>1681</v>
      </c>
      <c r="H865" s="0" t="s">
        <v>1648</v>
      </c>
      <c r="I865" s="0" t="n">
        <v>587515</v>
      </c>
      <c r="J865" s="0" t="s">
        <v>2739</v>
      </c>
      <c r="K865" s="0" t="s">
        <v>2793</v>
      </c>
      <c r="L865" s="0" t="n">
        <v>2016</v>
      </c>
      <c r="M865" s="0" t="s">
        <v>938</v>
      </c>
      <c r="N865" s="0" t="s">
        <v>140</v>
      </c>
      <c r="O865" s="0" t="s">
        <v>1222</v>
      </c>
      <c r="P865" s="0" t="s">
        <v>2794</v>
      </c>
      <c r="Q865" s="0" t="n">
        <v>87</v>
      </c>
      <c r="R865" s="0" t="n">
        <v>86</v>
      </c>
      <c r="T865" s="0" t="s">
        <v>2838</v>
      </c>
      <c r="U865" s="0" t="s">
        <v>2807</v>
      </c>
      <c r="V865" s="0" t="s">
        <v>141</v>
      </c>
      <c r="W865" s="0" t="s">
        <v>2835</v>
      </c>
      <c r="X865" s="0" t="s">
        <v>2833</v>
      </c>
      <c r="Y865" s="0" t="s">
        <v>2744</v>
      </c>
      <c r="Z865" s="0" t="s">
        <v>2745</v>
      </c>
      <c r="AB865" s="0" t="s">
        <v>2801</v>
      </c>
      <c r="AC865" s="0" t="s">
        <v>2747</v>
      </c>
      <c r="AD865" s="0" t="s">
        <v>2748</v>
      </c>
      <c r="AE865" s="0" t="s">
        <v>2749</v>
      </c>
      <c r="AF865" s="0" t="s">
        <v>2802</v>
      </c>
      <c r="AH865" s="0" t="s">
        <v>2751</v>
      </c>
      <c r="AL865" s="0" t="s">
        <v>384</v>
      </c>
    </row>
    <row r="866" customFormat="false" ht="15" hidden="false" customHeight="false" outlineLevel="0" collapsed="false">
      <c r="A866" s="0" t="s">
        <v>684</v>
      </c>
      <c r="B866" s="0" t="s">
        <v>138</v>
      </c>
      <c r="C866" s="0" t="s">
        <v>2792</v>
      </c>
      <c r="D866" s="0" t="n">
        <v>2015</v>
      </c>
      <c r="E866" s="0" t="s">
        <v>69</v>
      </c>
      <c r="F866" s="0" t="s">
        <v>2839</v>
      </c>
      <c r="G866" s="0" t="s">
        <v>1723</v>
      </c>
      <c r="I866" s="0" t="n">
        <v>15.9</v>
      </c>
      <c r="J866" s="0" t="s">
        <v>2739</v>
      </c>
      <c r="K866" s="0" t="s">
        <v>2793</v>
      </c>
      <c r="L866" s="0" t="n">
        <v>2016</v>
      </c>
      <c r="M866" s="0" t="s">
        <v>938</v>
      </c>
      <c r="N866" s="0" t="s">
        <v>140</v>
      </c>
      <c r="O866" s="0" t="s">
        <v>1222</v>
      </c>
      <c r="P866" s="0" t="s">
        <v>2794</v>
      </c>
      <c r="Q866" s="0" t="n">
        <v>87</v>
      </c>
      <c r="R866" s="0" t="n">
        <v>86</v>
      </c>
      <c r="T866" s="0" t="s">
        <v>2838</v>
      </c>
      <c r="U866" s="0" t="s">
        <v>2807</v>
      </c>
      <c r="V866" s="0" t="s">
        <v>141</v>
      </c>
      <c r="W866" s="0" t="s">
        <v>2837</v>
      </c>
      <c r="X866" s="0" t="s">
        <v>2833</v>
      </c>
      <c r="Y866" s="0" t="s">
        <v>2744</v>
      </c>
      <c r="Z866" s="0" t="s">
        <v>2745</v>
      </c>
      <c r="AB866" s="0" t="s">
        <v>2801</v>
      </c>
      <c r="AC866" s="0" t="s">
        <v>2747</v>
      </c>
      <c r="AD866" s="0" t="s">
        <v>2748</v>
      </c>
      <c r="AE866" s="0" t="s">
        <v>2749</v>
      </c>
      <c r="AF866" s="0" t="s">
        <v>2802</v>
      </c>
      <c r="AH866" s="0" t="s">
        <v>2751</v>
      </c>
      <c r="AL866" s="0" t="s">
        <v>384</v>
      </c>
    </row>
    <row r="867" customFormat="false" ht="15" hidden="false" customHeight="false" outlineLevel="0" collapsed="false">
      <c r="A867" s="0" t="s">
        <v>703</v>
      </c>
      <c r="B867" s="0" t="s">
        <v>138</v>
      </c>
      <c r="C867" s="0" t="s">
        <v>2792</v>
      </c>
      <c r="D867" s="0" t="n">
        <v>2016</v>
      </c>
      <c r="E867" s="0" t="s">
        <v>70</v>
      </c>
      <c r="F867" s="0" t="s">
        <v>2840</v>
      </c>
      <c r="G867" s="0" t="s">
        <v>1723</v>
      </c>
      <c r="I867" s="0" t="n">
        <v>15</v>
      </c>
      <c r="J867" s="0" t="s">
        <v>2739</v>
      </c>
      <c r="K867" s="0" t="s">
        <v>2793</v>
      </c>
      <c r="L867" s="0" t="n">
        <v>2016</v>
      </c>
      <c r="M867" s="0" t="s">
        <v>938</v>
      </c>
      <c r="N867" s="0" t="s">
        <v>140</v>
      </c>
      <c r="O867" s="0" t="s">
        <v>1222</v>
      </c>
      <c r="P867" s="0" t="s">
        <v>2794</v>
      </c>
      <c r="Q867" s="0" t="n">
        <v>87</v>
      </c>
      <c r="R867" s="0" t="n">
        <v>86</v>
      </c>
      <c r="T867" s="0" t="s">
        <v>2841</v>
      </c>
      <c r="U867" s="0" t="s">
        <v>2796</v>
      </c>
      <c r="V867" s="0" t="s">
        <v>94</v>
      </c>
      <c r="W867" s="0" t="s">
        <v>2842</v>
      </c>
      <c r="X867" s="0" t="s">
        <v>2833</v>
      </c>
      <c r="Y867" s="0" t="s">
        <v>2744</v>
      </c>
      <c r="Z867" s="0" t="s">
        <v>2745</v>
      </c>
      <c r="AA867" s="0" t="s">
        <v>2843</v>
      </c>
      <c r="AB867" s="0" t="s">
        <v>2801</v>
      </c>
      <c r="AC867" s="0" t="s">
        <v>2747</v>
      </c>
      <c r="AD867" s="0" t="s">
        <v>2748</v>
      </c>
      <c r="AE867" s="0" t="s">
        <v>2749</v>
      </c>
      <c r="AF867" s="0" t="s">
        <v>2802</v>
      </c>
      <c r="AH867" s="0" t="s">
        <v>2751</v>
      </c>
      <c r="AL867" s="0" t="s">
        <v>384</v>
      </c>
    </row>
    <row r="868" customFormat="false" ht="15" hidden="false" customHeight="false" outlineLevel="0" collapsed="false">
      <c r="A868" s="0" t="s">
        <v>706</v>
      </c>
      <c r="B868" s="0" t="s">
        <v>138</v>
      </c>
      <c r="C868" s="0" t="s">
        <v>2792</v>
      </c>
      <c r="D868" s="0" t="n">
        <v>2016</v>
      </c>
      <c r="E868" s="0" t="s">
        <v>73</v>
      </c>
      <c r="F868" s="0" t="n">
        <v>0</v>
      </c>
      <c r="G868" s="0" t="s">
        <v>2844</v>
      </c>
      <c r="I868" s="0" t="n">
        <v>0</v>
      </c>
      <c r="J868" s="0" t="s">
        <v>2845</v>
      </c>
      <c r="K868" s="0" t="s">
        <v>2793</v>
      </c>
      <c r="L868" s="0" t="n">
        <v>2016</v>
      </c>
      <c r="M868" s="0" t="s">
        <v>938</v>
      </c>
      <c r="N868" s="0" t="s">
        <v>140</v>
      </c>
      <c r="O868" s="0" t="s">
        <v>1222</v>
      </c>
      <c r="P868" s="0" t="s">
        <v>2794</v>
      </c>
      <c r="Q868" s="0" t="n">
        <v>34</v>
      </c>
      <c r="R868" s="0" t="n">
        <v>33</v>
      </c>
      <c r="T868" s="0" t="s">
        <v>2846</v>
      </c>
      <c r="U868" s="0" t="s">
        <v>2796</v>
      </c>
      <c r="V868" s="0" t="s">
        <v>94</v>
      </c>
      <c r="W868" s="0" t="s">
        <v>2847</v>
      </c>
      <c r="X868" s="0" t="s">
        <v>2848</v>
      </c>
      <c r="Y868" s="0" t="s">
        <v>2799</v>
      </c>
      <c r="Z868" s="0" t="s">
        <v>2745</v>
      </c>
      <c r="AA868" s="0" t="s">
        <v>2849</v>
      </c>
      <c r="AB868" s="0" t="s">
        <v>2801</v>
      </c>
      <c r="AC868" s="0" t="s">
        <v>2747</v>
      </c>
      <c r="AD868" s="0" t="s">
        <v>2748</v>
      </c>
      <c r="AG868" s="0" t="s">
        <v>944</v>
      </c>
      <c r="AH868" s="0" t="s">
        <v>2751</v>
      </c>
      <c r="AL868" s="0" t="s">
        <v>400</v>
      </c>
    </row>
    <row r="869" customFormat="false" ht="15" hidden="false" customHeight="false" outlineLevel="0" collapsed="false">
      <c r="A869" s="0" t="s">
        <v>652</v>
      </c>
      <c r="B869" s="0" t="s">
        <v>116</v>
      </c>
      <c r="C869" s="0" t="s">
        <v>2850</v>
      </c>
      <c r="D869" s="0" t="n">
        <v>2022</v>
      </c>
      <c r="E869" s="0" t="s">
        <v>55</v>
      </c>
      <c r="F869" s="0" t="n">
        <v>2854509</v>
      </c>
      <c r="G869" s="0" t="s">
        <v>1681</v>
      </c>
      <c r="H869" s="0" t="s">
        <v>1648</v>
      </c>
      <c r="I869" s="0" t="n">
        <v>2854509</v>
      </c>
      <c r="J869" s="0" t="s">
        <v>2739</v>
      </c>
      <c r="K869" s="0" t="s">
        <v>961</v>
      </c>
      <c r="L869" s="0" t="n">
        <v>2022</v>
      </c>
      <c r="M869" s="0" t="s">
        <v>962</v>
      </c>
      <c r="N869" s="0" t="s">
        <v>124</v>
      </c>
      <c r="O869" s="0" t="s">
        <v>1215</v>
      </c>
      <c r="P869" s="0" t="s">
        <v>1589</v>
      </c>
      <c r="Q869" s="0" t="n">
        <v>31</v>
      </c>
      <c r="R869" s="0" t="n">
        <v>1</v>
      </c>
      <c r="T869" s="0" t="s">
        <v>2851</v>
      </c>
      <c r="U869" s="0" t="s">
        <v>2852</v>
      </c>
      <c r="V869" s="0" t="s">
        <v>125</v>
      </c>
      <c r="W869" s="0" t="s">
        <v>2853</v>
      </c>
      <c r="X869" s="0" t="s">
        <v>2854</v>
      </c>
      <c r="Y869" s="0" t="s">
        <v>2744</v>
      </c>
      <c r="Z869" s="0" t="s">
        <v>2745</v>
      </c>
      <c r="AA869" s="0" t="s">
        <v>2855</v>
      </c>
      <c r="AB869" s="0" t="s">
        <v>1590</v>
      </c>
      <c r="AC869" s="0" t="s">
        <v>2747</v>
      </c>
      <c r="AD869" s="0" t="s">
        <v>2748</v>
      </c>
      <c r="AE869" s="0" t="s">
        <v>2749</v>
      </c>
      <c r="AF869" s="0" t="s">
        <v>2856</v>
      </c>
      <c r="AH869" s="0" t="s">
        <v>2751</v>
      </c>
      <c r="AL869" s="0" t="s">
        <v>384</v>
      </c>
    </row>
    <row r="870" customFormat="false" ht="15" hidden="false" customHeight="false" outlineLevel="0" collapsed="false">
      <c r="A870" s="0" t="s">
        <v>653</v>
      </c>
      <c r="B870" s="0" t="s">
        <v>116</v>
      </c>
      <c r="C870" s="0" t="s">
        <v>2850</v>
      </c>
      <c r="D870" s="0" t="n">
        <v>2022</v>
      </c>
      <c r="E870" s="0" t="s">
        <v>56</v>
      </c>
      <c r="F870" s="0" t="n">
        <v>2575402</v>
      </c>
      <c r="G870" s="0" t="s">
        <v>1681</v>
      </c>
      <c r="H870" s="0" t="s">
        <v>1648</v>
      </c>
      <c r="I870" s="0" t="n">
        <v>2575402</v>
      </c>
      <c r="J870" s="0" t="s">
        <v>2739</v>
      </c>
      <c r="K870" s="0" t="s">
        <v>961</v>
      </c>
      <c r="L870" s="0" t="n">
        <v>2022</v>
      </c>
      <c r="M870" s="0" t="s">
        <v>962</v>
      </c>
      <c r="N870" s="0" t="s">
        <v>124</v>
      </c>
      <c r="O870" s="0" t="s">
        <v>1215</v>
      </c>
      <c r="P870" s="0" t="s">
        <v>1589</v>
      </c>
      <c r="Q870" s="0" t="n">
        <v>31</v>
      </c>
      <c r="R870" s="0" t="n">
        <v>1</v>
      </c>
      <c r="T870" s="0" t="s">
        <v>2851</v>
      </c>
      <c r="U870" s="0" t="s">
        <v>2852</v>
      </c>
      <c r="V870" s="0" t="s">
        <v>125</v>
      </c>
      <c r="W870" s="0" t="s">
        <v>2857</v>
      </c>
      <c r="X870" s="0" t="s">
        <v>2854</v>
      </c>
      <c r="Y870" s="0" t="s">
        <v>2744</v>
      </c>
      <c r="Z870" s="0" t="s">
        <v>2745</v>
      </c>
      <c r="AA870" s="0" t="s">
        <v>2858</v>
      </c>
      <c r="AB870" s="0" t="s">
        <v>1590</v>
      </c>
      <c r="AC870" s="0" t="s">
        <v>2747</v>
      </c>
      <c r="AD870" s="0" t="s">
        <v>2748</v>
      </c>
      <c r="AE870" s="0" t="s">
        <v>2749</v>
      </c>
      <c r="AF870" s="0" t="s">
        <v>2856</v>
      </c>
      <c r="AH870" s="0" t="s">
        <v>2751</v>
      </c>
      <c r="AL870" s="0" t="s">
        <v>384</v>
      </c>
    </row>
    <row r="871" customFormat="false" ht="15" hidden="false" customHeight="false" outlineLevel="0" collapsed="false">
      <c r="A871" s="0" t="s">
        <v>654</v>
      </c>
      <c r="B871" s="0" t="s">
        <v>116</v>
      </c>
      <c r="C871" s="0" t="s">
        <v>2850</v>
      </c>
      <c r="D871" s="0" t="n">
        <v>2022</v>
      </c>
      <c r="E871" s="0" t="s">
        <v>57</v>
      </c>
      <c r="F871" s="0" t="n">
        <v>279107</v>
      </c>
      <c r="G871" s="0" t="s">
        <v>1681</v>
      </c>
      <c r="H871" s="0" t="s">
        <v>1648</v>
      </c>
      <c r="I871" s="0" t="n">
        <v>279107</v>
      </c>
      <c r="J871" s="0" t="s">
        <v>2739</v>
      </c>
      <c r="K871" s="0" t="s">
        <v>961</v>
      </c>
      <c r="L871" s="0" t="n">
        <v>2022</v>
      </c>
      <c r="M871" s="0" t="s">
        <v>962</v>
      </c>
      <c r="N871" s="0" t="s">
        <v>124</v>
      </c>
      <c r="O871" s="0" t="s">
        <v>1215</v>
      </c>
      <c r="P871" s="0" t="s">
        <v>1589</v>
      </c>
      <c r="Q871" s="0" t="n">
        <v>31</v>
      </c>
      <c r="R871" s="0" t="n">
        <v>1</v>
      </c>
      <c r="T871" s="0" t="s">
        <v>2851</v>
      </c>
      <c r="U871" s="0" t="s">
        <v>2852</v>
      </c>
      <c r="V871" s="0" t="s">
        <v>125</v>
      </c>
      <c r="W871" s="0" t="s">
        <v>2859</v>
      </c>
      <c r="X871" s="0" t="s">
        <v>2854</v>
      </c>
      <c r="Y871" s="0" t="s">
        <v>2744</v>
      </c>
      <c r="Z871" s="0" t="s">
        <v>2745</v>
      </c>
      <c r="AB871" s="0" t="s">
        <v>1590</v>
      </c>
      <c r="AC871" s="0" t="s">
        <v>2747</v>
      </c>
      <c r="AD871" s="0" t="s">
        <v>2748</v>
      </c>
      <c r="AE871" s="0" t="s">
        <v>2749</v>
      </c>
      <c r="AF871" s="0" t="s">
        <v>2856</v>
      </c>
      <c r="AH871" s="0" t="s">
        <v>2751</v>
      </c>
      <c r="AL871" s="0" t="s">
        <v>384</v>
      </c>
    </row>
    <row r="872" customFormat="false" ht="15" hidden="false" customHeight="false" outlineLevel="0" collapsed="false">
      <c r="A872" s="0" t="s">
        <v>656</v>
      </c>
      <c r="B872" s="0" t="s">
        <v>116</v>
      </c>
      <c r="C872" s="0" t="s">
        <v>2850</v>
      </c>
      <c r="D872" s="0" t="n">
        <v>2022</v>
      </c>
      <c r="E872" s="0" t="s">
        <v>59</v>
      </c>
      <c r="F872" s="0" t="n">
        <v>2614087</v>
      </c>
      <c r="G872" s="0" t="s">
        <v>1681</v>
      </c>
      <c r="H872" s="0" t="s">
        <v>1648</v>
      </c>
      <c r="I872" s="0" t="n">
        <v>2614087</v>
      </c>
      <c r="J872" s="0" t="s">
        <v>2739</v>
      </c>
      <c r="K872" s="0" t="s">
        <v>961</v>
      </c>
      <c r="L872" s="0" t="n">
        <v>2022</v>
      </c>
      <c r="M872" s="0" t="s">
        <v>962</v>
      </c>
      <c r="N872" s="0" t="s">
        <v>124</v>
      </c>
      <c r="O872" s="0" t="s">
        <v>1215</v>
      </c>
      <c r="P872" s="0" t="s">
        <v>1589</v>
      </c>
      <c r="Q872" s="0" t="n">
        <v>31</v>
      </c>
      <c r="R872" s="0" t="n">
        <v>1</v>
      </c>
      <c r="T872" s="0" t="s">
        <v>2860</v>
      </c>
      <c r="U872" s="0" t="s">
        <v>2852</v>
      </c>
      <c r="V872" s="0" t="s">
        <v>125</v>
      </c>
      <c r="W872" s="0" t="s">
        <v>2853</v>
      </c>
      <c r="X872" s="0" t="s">
        <v>2854</v>
      </c>
      <c r="Y872" s="0" t="s">
        <v>2744</v>
      </c>
      <c r="Z872" s="0" t="s">
        <v>2745</v>
      </c>
      <c r="AA872" s="0" t="s">
        <v>2861</v>
      </c>
      <c r="AB872" s="0" t="s">
        <v>1590</v>
      </c>
      <c r="AC872" s="0" t="s">
        <v>2747</v>
      </c>
      <c r="AD872" s="0" t="s">
        <v>2748</v>
      </c>
      <c r="AE872" s="0" t="s">
        <v>2749</v>
      </c>
      <c r="AF872" s="0" t="s">
        <v>2856</v>
      </c>
      <c r="AH872" s="0" t="s">
        <v>2751</v>
      </c>
      <c r="AL872" s="0" t="s">
        <v>384</v>
      </c>
    </row>
    <row r="873" customFormat="false" ht="15" hidden="false" customHeight="false" outlineLevel="0" collapsed="false">
      <c r="A873" s="0" t="s">
        <v>651</v>
      </c>
      <c r="B873" s="0" t="s">
        <v>116</v>
      </c>
      <c r="C873" s="0" t="s">
        <v>2850</v>
      </c>
      <c r="D873" s="0" t="n">
        <v>2022</v>
      </c>
      <c r="E873" s="0" t="s">
        <v>54</v>
      </c>
      <c r="F873" s="0" t="n">
        <v>55150</v>
      </c>
      <c r="G873" s="0" t="s">
        <v>1681</v>
      </c>
      <c r="H873" s="0" t="s">
        <v>1648</v>
      </c>
      <c r="I873" s="0" t="n">
        <v>55150</v>
      </c>
      <c r="J873" s="0" t="s">
        <v>2739</v>
      </c>
      <c r="K873" s="0" t="s">
        <v>961</v>
      </c>
      <c r="L873" s="0" t="n">
        <v>2022</v>
      </c>
      <c r="M873" s="0" t="s">
        <v>962</v>
      </c>
      <c r="N873" s="0" t="s">
        <v>124</v>
      </c>
      <c r="O873" s="0" t="s">
        <v>1215</v>
      </c>
      <c r="P873" s="0" t="s">
        <v>1589</v>
      </c>
      <c r="Q873" s="0" t="n">
        <v>32</v>
      </c>
      <c r="R873" s="0" t="n">
        <v>2</v>
      </c>
      <c r="T873" s="0" t="s">
        <v>2862</v>
      </c>
      <c r="U873" s="0" t="s">
        <v>2852</v>
      </c>
      <c r="V873" s="0" t="s">
        <v>125</v>
      </c>
      <c r="W873" s="0" t="s">
        <v>2863</v>
      </c>
      <c r="X873" s="0" t="s">
        <v>2864</v>
      </c>
      <c r="Y873" s="0" t="s">
        <v>2744</v>
      </c>
      <c r="Z873" s="0" t="s">
        <v>2745</v>
      </c>
      <c r="AB873" s="0" t="s">
        <v>1590</v>
      </c>
      <c r="AC873" s="0" t="s">
        <v>2747</v>
      </c>
      <c r="AD873" s="0" t="s">
        <v>2748</v>
      </c>
      <c r="AE873" s="0" t="s">
        <v>2749</v>
      </c>
      <c r="AF873" s="0" t="s">
        <v>2856</v>
      </c>
      <c r="AH873" s="0" t="s">
        <v>2751</v>
      </c>
      <c r="AL873" s="0" t="s">
        <v>384</v>
      </c>
    </row>
    <row r="874" customFormat="false" ht="15" hidden="false" customHeight="false" outlineLevel="0" collapsed="false">
      <c r="A874" s="0" t="s">
        <v>668</v>
      </c>
      <c r="B874" s="0" t="s">
        <v>116</v>
      </c>
      <c r="C874" s="0" t="s">
        <v>2850</v>
      </c>
      <c r="D874" s="0" t="n">
        <v>2022</v>
      </c>
      <c r="E874" s="0" t="s">
        <v>402</v>
      </c>
      <c r="F874" s="0" t="n">
        <v>59732</v>
      </c>
      <c r="G874" s="0" t="s">
        <v>1681</v>
      </c>
      <c r="H874" s="0" t="s">
        <v>1648</v>
      </c>
      <c r="I874" s="0" t="n">
        <v>59732</v>
      </c>
      <c r="J874" s="0" t="s">
        <v>2739</v>
      </c>
      <c r="K874" s="0" t="s">
        <v>961</v>
      </c>
      <c r="L874" s="0" t="n">
        <v>2022</v>
      </c>
      <c r="M874" s="0" t="s">
        <v>962</v>
      </c>
      <c r="N874" s="0" t="s">
        <v>124</v>
      </c>
      <c r="O874" s="0" t="s">
        <v>1215</v>
      </c>
      <c r="P874" s="0" t="s">
        <v>1589</v>
      </c>
      <c r="Q874" s="0" t="n">
        <v>32</v>
      </c>
      <c r="R874" s="0" t="n">
        <v>2</v>
      </c>
      <c r="T874" s="0" t="s">
        <v>2862</v>
      </c>
      <c r="U874" s="0" t="s">
        <v>2852</v>
      </c>
      <c r="V874" s="0" t="s">
        <v>125</v>
      </c>
      <c r="W874" s="0" t="s">
        <v>2865</v>
      </c>
      <c r="X874" s="0" t="s">
        <v>2864</v>
      </c>
      <c r="Y874" s="0" t="s">
        <v>2744</v>
      </c>
      <c r="Z874" s="0" t="s">
        <v>2745</v>
      </c>
      <c r="AB874" s="0" t="s">
        <v>1590</v>
      </c>
      <c r="AC874" s="0" t="s">
        <v>2747</v>
      </c>
      <c r="AD874" s="0" t="s">
        <v>2748</v>
      </c>
      <c r="AE874" s="0" t="s">
        <v>2749</v>
      </c>
      <c r="AF874" s="0" t="s">
        <v>2856</v>
      </c>
      <c r="AH874" s="0" t="s">
        <v>2751</v>
      </c>
      <c r="AL874" s="0" t="s">
        <v>384</v>
      </c>
    </row>
    <row r="875" customFormat="false" ht="15" hidden="false" customHeight="false" outlineLevel="0" collapsed="false">
      <c r="A875" s="0" t="s">
        <v>660</v>
      </c>
      <c r="B875" s="0" t="s">
        <v>116</v>
      </c>
      <c r="C875" s="0" t="s">
        <v>2850</v>
      </c>
      <c r="D875" s="0" t="n">
        <v>2022</v>
      </c>
      <c r="E875" s="0" t="s">
        <v>63</v>
      </c>
      <c r="F875" s="0" t="n">
        <v>-10147</v>
      </c>
      <c r="G875" s="0" t="s">
        <v>1681</v>
      </c>
      <c r="H875" s="0" t="s">
        <v>1648</v>
      </c>
      <c r="I875" s="0" t="n">
        <v>10147</v>
      </c>
      <c r="J875" s="0" t="s">
        <v>2739</v>
      </c>
      <c r="K875" s="0" t="s">
        <v>961</v>
      </c>
      <c r="L875" s="0" t="n">
        <v>2022</v>
      </c>
      <c r="M875" s="0" t="s">
        <v>962</v>
      </c>
      <c r="N875" s="0" t="s">
        <v>124</v>
      </c>
      <c r="O875" s="0" t="s">
        <v>1215</v>
      </c>
      <c r="P875" s="0" t="s">
        <v>1589</v>
      </c>
      <c r="Q875" s="0" t="n">
        <v>32</v>
      </c>
      <c r="R875" s="0" t="n">
        <v>2</v>
      </c>
      <c r="S875" s="0" t="n">
        <v>31.6</v>
      </c>
      <c r="T875" s="0" t="s">
        <v>2862</v>
      </c>
      <c r="U875" s="0" t="s">
        <v>2852</v>
      </c>
      <c r="V875" s="0" t="s">
        <v>125</v>
      </c>
      <c r="W875" s="0" t="s">
        <v>2866</v>
      </c>
      <c r="X875" s="0" t="s">
        <v>2864</v>
      </c>
      <c r="Y875" s="0" t="s">
        <v>2744</v>
      </c>
      <c r="Z875" s="0" t="s">
        <v>2745</v>
      </c>
      <c r="AA875" s="0" t="s">
        <v>2867</v>
      </c>
      <c r="AB875" s="0" t="s">
        <v>1590</v>
      </c>
      <c r="AC875" s="0" t="s">
        <v>2747</v>
      </c>
      <c r="AD875" s="0" t="s">
        <v>2748</v>
      </c>
      <c r="AE875" s="0" t="s">
        <v>2749</v>
      </c>
      <c r="AF875" s="0" t="s">
        <v>2856</v>
      </c>
      <c r="AH875" s="0" t="s">
        <v>2760</v>
      </c>
      <c r="AI875" s="0" t="s">
        <v>2761</v>
      </c>
      <c r="AL875" s="0" t="s">
        <v>384</v>
      </c>
    </row>
    <row r="876" customFormat="false" ht="15" hidden="false" customHeight="false" outlineLevel="0" collapsed="false">
      <c r="A876" s="0" t="s">
        <v>655</v>
      </c>
      <c r="B876" s="0" t="s">
        <v>116</v>
      </c>
      <c r="C876" s="0" t="s">
        <v>2850</v>
      </c>
      <c r="D876" s="0" t="n">
        <v>2022</v>
      </c>
      <c r="E876" s="0" t="s">
        <v>58</v>
      </c>
      <c r="F876" s="0" t="n">
        <v>-144391</v>
      </c>
      <c r="G876" s="0" t="s">
        <v>1681</v>
      </c>
      <c r="H876" s="0" t="s">
        <v>1648</v>
      </c>
      <c r="I876" s="0" t="n">
        <v>-144391</v>
      </c>
      <c r="J876" s="0" t="s">
        <v>2739</v>
      </c>
      <c r="K876" s="0" t="s">
        <v>961</v>
      </c>
      <c r="L876" s="0" t="n">
        <v>2022</v>
      </c>
      <c r="M876" s="0" t="s">
        <v>962</v>
      </c>
      <c r="N876" s="0" t="s">
        <v>124</v>
      </c>
      <c r="O876" s="0" t="s">
        <v>1215</v>
      </c>
      <c r="P876" s="0" t="s">
        <v>1589</v>
      </c>
      <c r="Q876" s="0" t="n">
        <v>36</v>
      </c>
      <c r="R876" s="0" t="n">
        <v>6</v>
      </c>
      <c r="T876" s="0" t="s">
        <v>2851</v>
      </c>
      <c r="U876" s="0" t="s">
        <v>2852</v>
      </c>
      <c r="V876" s="0" t="s">
        <v>125</v>
      </c>
      <c r="W876" s="0" t="s">
        <v>2868</v>
      </c>
      <c r="X876" s="0" t="s">
        <v>2869</v>
      </c>
      <c r="Y876" s="0" t="s">
        <v>2744</v>
      </c>
      <c r="Z876" s="0" t="s">
        <v>2745</v>
      </c>
      <c r="AB876" s="0" t="s">
        <v>1590</v>
      </c>
      <c r="AC876" s="0" t="s">
        <v>2747</v>
      </c>
      <c r="AD876" s="0" t="s">
        <v>2748</v>
      </c>
      <c r="AE876" s="0" t="s">
        <v>2749</v>
      </c>
      <c r="AF876" s="0" t="s">
        <v>2856</v>
      </c>
      <c r="AH876" s="0" t="s">
        <v>2751</v>
      </c>
      <c r="AL876" s="0" t="s">
        <v>384</v>
      </c>
    </row>
    <row r="877" customFormat="false" ht="15" hidden="false" customHeight="false" outlineLevel="0" collapsed="false">
      <c r="A877" s="0" t="s">
        <v>657</v>
      </c>
      <c r="B877" s="0" t="s">
        <v>116</v>
      </c>
      <c r="C877" s="0" t="s">
        <v>2850</v>
      </c>
      <c r="D877" s="0" t="n">
        <v>2022</v>
      </c>
      <c r="E877" s="0" t="s">
        <v>60</v>
      </c>
      <c r="F877" s="0" t="n">
        <v>1238195</v>
      </c>
      <c r="G877" s="0" t="s">
        <v>1681</v>
      </c>
      <c r="H877" s="0" t="s">
        <v>1648</v>
      </c>
      <c r="I877" s="0" t="n">
        <v>1238195</v>
      </c>
      <c r="J877" s="0" t="s">
        <v>2739</v>
      </c>
      <c r="K877" s="0" t="s">
        <v>961</v>
      </c>
      <c r="L877" s="0" t="n">
        <v>2022</v>
      </c>
      <c r="M877" s="0" t="s">
        <v>962</v>
      </c>
      <c r="N877" s="0" t="s">
        <v>124</v>
      </c>
      <c r="O877" s="0" t="s">
        <v>1215</v>
      </c>
      <c r="P877" s="0" t="s">
        <v>1589</v>
      </c>
      <c r="Q877" s="0" t="n">
        <v>70</v>
      </c>
      <c r="R877" s="0" t="n">
        <v>40</v>
      </c>
      <c r="S877" s="0" t="s">
        <v>2870</v>
      </c>
      <c r="T877" s="0" t="s">
        <v>2851</v>
      </c>
      <c r="U877" s="0" t="s">
        <v>2852</v>
      </c>
      <c r="V877" s="0" t="s">
        <v>125</v>
      </c>
      <c r="W877" s="0" t="s">
        <v>2871</v>
      </c>
      <c r="X877" s="0" t="s">
        <v>2872</v>
      </c>
      <c r="Y877" s="0" t="s">
        <v>2744</v>
      </c>
      <c r="Z877" s="0" t="s">
        <v>2745</v>
      </c>
      <c r="AA877" s="0" t="s">
        <v>2873</v>
      </c>
      <c r="AB877" s="0" t="s">
        <v>1590</v>
      </c>
      <c r="AC877" s="0" t="s">
        <v>2747</v>
      </c>
      <c r="AD877" s="0" t="s">
        <v>2748</v>
      </c>
      <c r="AE877" s="0" t="s">
        <v>2749</v>
      </c>
      <c r="AF877" s="0" t="s">
        <v>2856</v>
      </c>
      <c r="AH877" s="0" t="s">
        <v>2751</v>
      </c>
      <c r="AL877" s="0" t="s">
        <v>384</v>
      </c>
    </row>
    <row r="878" customFormat="false" ht="15" hidden="false" customHeight="false" outlineLevel="0" collapsed="false">
      <c r="A878" s="0" t="s">
        <v>658</v>
      </c>
      <c r="B878" s="0" t="s">
        <v>116</v>
      </c>
      <c r="C878" s="0" t="s">
        <v>2850</v>
      </c>
      <c r="D878" s="0" t="n">
        <v>2022</v>
      </c>
      <c r="E878" s="0" t="s">
        <v>61</v>
      </c>
      <c r="F878" s="0" t="n">
        <v>-33410</v>
      </c>
      <c r="G878" s="0" t="s">
        <v>1681</v>
      </c>
      <c r="H878" s="0" t="s">
        <v>1648</v>
      </c>
      <c r="I878" s="0" t="n">
        <v>33410</v>
      </c>
      <c r="J878" s="0" t="s">
        <v>2739</v>
      </c>
      <c r="K878" s="0" t="s">
        <v>961</v>
      </c>
      <c r="L878" s="0" t="n">
        <v>2022</v>
      </c>
      <c r="M878" s="0" t="s">
        <v>962</v>
      </c>
      <c r="N878" s="0" t="s">
        <v>124</v>
      </c>
      <c r="O878" s="0" t="s">
        <v>1215</v>
      </c>
      <c r="P878" s="0" t="s">
        <v>1589</v>
      </c>
      <c r="Q878" s="0" t="n">
        <v>70</v>
      </c>
      <c r="R878" s="0" t="n">
        <v>40</v>
      </c>
      <c r="S878" s="0" t="s">
        <v>2870</v>
      </c>
      <c r="T878" s="0" t="s">
        <v>2851</v>
      </c>
      <c r="U878" s="0" t="s">
        <v>2852</v>
      </c>
      <c r="V878" s="0" t="s">
        <v>125</v>
      </c>
      <c r="W878" s="0" t="s">
        <v>2874</v>
      </c>
      <c r="X878" s="0" t="s">
        <v>2872</v>
      </c>
      <c r="Y878" s="0" t="s">
        <v>2744</v>
      </c>
      <c r="Z878" s="0" t="s">
        <v>2745</v>
      </c>
      <c r="AA878" s="0" t="s">
        <v>2875</v>
      </c>
      <c r="AB878" s="0" t="s">
        <v>1590</v>
      </c>
      <c r="AC878" s="0" t="s">
        <v>2747</v>
      </c>
      <c r="AD878" s="0" t="s">
        <v>2748</v>
      </c>
      <c r="AE878" s="0" t="s">
        <v>2749</v>
      </c>
      <c r="AF878" s="0" t="s">
        <v>2856</v>
      </c>
      <c r="AH878" s="0" t="s">
        <v>2760</v>
      </c>
      <c r="AI878" s="0" t="s">
        <v>2770</v>
      </c>
      <c r="AL878" s="0" t="s">
        <v>384</v>
      </c>
    </row>
    <row r="879" customFormat="false" ht="15" hidden="false" customHeight="false" outlineLevel="0" collapsed="false">
      <c r="A879" s="0" t="s">
        <v>659</v>
      </c>
      <c r="B879" s="0" t="s">
        <v>116</v>
      </c>
      <c r="C879" s="0" t="s">
        <v>2850</v>
      </c>
      <c r="D879" s="0" t="n">
        <v>2022</v>
      </c>
      <c r="E879" s="0" t="s">
        <v>62</v>
      </c>
      <c r="F879" s="0" t="n">
        <v>1204785</v>
      </c>
      <c r="G879" s="0" t="s">
        <v>1681</v>
      </c>
      <c r="H879" s="0" t="s">
        <v>1648</v>
      </c>
      <c r="I879" s="0" t="n">
        <v>1204785</v>
      </c>
      <c r="J879" s="0" t="s">
        <v>2739</v>
      </c>
      <c r="K879" s="0" t="s">
        <v>961</v>
      </c>
      <c r="L879" s="0" t="n">
        <v>2022</v>
      </c>
      <c r="M879" s="0" t="s">
        <v>962</v>
      </c>
      <c r="N879" s="0" t="s">
        <v>124</v>
      </c>
      <c r="O879" s="0" t="s">
        <v>1215</v>
      </c>
      <c r="P879" s="0" t="s">
        <v>1589</v>
      </c>
      <c r="Q879" s="0" t="n">
        <v>70</v>
      </c>
      <c r="R879" s="0" t="n">
        <v>40</v>
      </c>
      <c r="S879" s="0" t="s">
        <v>2870</v>
      </c>
      <c r="T879" s="0" t="s">
        <v>2851</v>
      </c>
      <c r="U879" s="0" t="s">
        <v>2852</v>
      </c>
      <c r="V879" s="0" t="s">
        <v>125</v>
      </c>
      <c r="W879" s="0" t="s">
        <v>2876</v>
      </c>
      <c r="X879" s="0" t="s">
        <v>2872</v>
      </c>
      <c r="Y879" s="0" t="s">
        <v>2744</v>
      </c>
      <c r="Z879" s="0" t="s">
        <v>2745</v>
      </c>
      <c r="AB879" s="0" t="s">
        <v>1590</v>
      </c>
      <c r="AC879" s="0" t="s">
        <v>2747</v>
      </c>
      <c r="AD879" s="0" t="s">
        <v>2748</v>
      </c>
      <c r="AE879" s="0" t="s">
        <v>2749</v>
      </c>
      <c r="AF879" s="0" t="s">
        <v>2856</v>
      </c>
      <c r="AH879" s="0" t="s">
        <v>2751</v>
      </c>
      <c r="AL879" s="0" t="s">
        <v>384</v>
      </c>
    </row>
    <row r="880" customFormat="false" ht="15" hidden="false" customHeight="false" outlineLevel="0" collapsed="false">
      <c r="A880" s="0" t="s">
        <v>667</v>
      </c>
      <c r="B880" s="0" t="s">
        <v>116</v>
      </c>
      <c r="C880" s="0" t="s">
        <v>2850</v>
      </c>
      <c r="D880" s="0" t="n">
        <v>2022</v>
      </c>
      <c r="E880" s="0" t="s">
        <v>68</v>
      </c>
      <c r="F880" s="0" t="n">
        <v>-20616</v>
      </c>
      <c r="G880" s="0" t="s">
        <v>1681</v>
      </c>
      <c r="H880" s="0" t="s">
        <v>1648</v>
      </c>
      <c r="I880" s="0" t="n">
        <v>20616</v>
      </c>
      <c r="J880" s="0" t="s">
        <v>2739</v>
      </c>
      <c r="K880" s="0" t="s">
        <v>961</v>
      </c>
      <c r="L880" s="0" t="n">
        <v>2022</v>
      </c>
      <c r="M880" s="0" t="s">
        <v>962</v>
      </c>
      <c r="N880" s="0" t="s">
        <v>124</v>
      </c>
      <c r="O880" s="0" t="s">
        <v>1215</v>
      </c>
      <c r="P880" s="0" t="s">
        <v>1589</v>
      </c>
      <c r="Q880" s="0" t="n">
        <v>70</v>
      </c>
      <c r="R880" s="0" t="n">
        <v>40</v>
      </c>
      <c r="S880" s="0" t="s">
        <v>2870</v>
      </c>
      <c r="T880" s="0" t="s">
        <v>2851</v>
      </c>
      <c r="U880" s="0" t="s">
        <v>2852</v>
      </c>
      <c r="V880" s="0" t="s">
        <v>125</v>
      </c>
      <c r="W880" s="0" t="s">
        <v>2877</v>
      </c>
      <c r="X880" s="0" t="s">
        <v>2872</v>
      </c>
      <c r="Y880" s="0" t="s">
        <v>2744</v>
      </c>
      <c r="Z880" s="0" t="s">
        <v>2745</v>
      </c>
      <c r="AA880" s="0" t="s">
        <v>2829</v>
      </c>
      <c r="AB880" s="0" t="s">
        <v>1590</v>
      </c>
      <c r="AC880" s="0" t="s">
        <v>2747</v>
      </c>
      <c r="AD880" s="0" t="s">
        <v>2748</v>
      </c>
      <c r="AE880" s="0" t="s">
        <v>2749</v>
      </c>
      <c r="AF880" s="0" t="s">
        <v>2856</v>
      </c>
      <c r="AH880" s="0" t="s">
        <v>2760</v>
      </c>
      <c r="AI880" s="0" t="s">
        <v>2770</v>
      </c>
      <c r="AL880" s="0" t="s">
        <v>384</v>
      </c>
    </row>
    <row r="881" customFormat="false" ht="15" hidden="false" customHeight="false" outlineLevel="0" collapsed="false">
      <c r="A881" s="0" t="s">
        <v>664</v>
      </c>
      <c r="B881" s="0" t="s">
        <v>116</v>
      </c>
      <c r="C881" s="0" t="s">
        <v>2850</v>
      </c>
      <c r="D881" s="0" t="n">
        <v>2022</v>
      </c>
      <c r="E881" s="0" t="s">
        <v>65</v>
      </c>
      <c r="F881" s="0" t="n">
        <v>284446</v>
      </c>
      <c r="G881" s="0" t="s">
        <v>1681</v>
      </c>
      <c r="H881" s="0" t="s">
        <v>1648</v>
      </c>
      <c r="I881" s="0" t="n">
        <v>284446</v>
      </c>
      <c r="J881" s="0" t="s">
        <v>2739</v>
      </c>
      <c r="K881" s="0" t="s">
        <v>961</v>
      </c>
      <c r="L881" s="0" t="n">
        <v>2022</v>
      </c>
      <c r="M881" s="0" t="s">
        <v>962</v>
      </c>
      <c r="N881" s="0" t="s">
        <v>124</v>
      </c>
      <c r="O881" s="0" t="s">
        <v>1215</v>
      </c>
      <c r="P881" s="0" t="s">
        <v>1589</v>
      </c>
      <c r="Q881" s="0" t="n">
        <v>143</v>
      </c>
      <c r="R881" s="0" t="n">
        <v>113</v>
      </c>
      <c r="T881" s="0" t="s">
        <v>2878</v>
      </c>
      <c r="U881" s="0" t="s">
        <v>2852</v>
      </c>
      <c r="V881" s="0" t="s">
        <v>125</v>
      </c>
      <c r="W881" s="0" t="s">
        <v>2879</v>
      </c>
      <c r="X881" s="0" t="s">
        <v>2880</v>
      </c>
      <c r="Y881" s="0" t="s">
        <v>2744</v>
      </c>
      <c r="Z881" s="0" t="s">
        <v>2745</v>
      </c>
      <c r="AA881" s="0" t="s">
        <v>2881</v>
      </c>
      <c r="AB881" s="0" t="s">
        <v>1590</v>
      </c>
      <c r="AC881" s="0" t="s">
        <v>2747</v>
      </c>
      <c r="AD881" s="0" t="s">
        <v>2748</v>
      </c>
      <c r="AE881" s="0" t="s">
        <v>2749</v>
      </c>
      <c r="AF881" s="0" t="s">
        <v>2856</v>
      </c>
      <c r="AH881" s="0" t="s">
        <v>2751</v>
      </c>
      <c r="AL881" s="0" t="s">
        <v>384</v>
      </c>
    </row>
    <row r="882" customFormat="false" ht="15" hidden="false" customHeight="false" outlineLevel="0" collapsed="false">
      <c r="A882" s="0" t="s">
        <v>665</v>
      </c>
      <c r="B882" s="0" t="s">
        <v>116</v>
      </c>
      <c r="C882" s="0" t="s">
        <v>2850</v>
      </c>
      <c r="D882" s="0" t="n">
        <v>2022</v>
      </c>
      <c r="E882" s="0" t="s">
        <v>66</v>
      </c>
      <c r="F882" s="0" t="n">
        <v>1545117</v>
      </c>
      <c r="G882" s="0" t="s">
        <v>1681</v>
      </c>
      <c r="H882" s="0" t="s">
        <v>1648</v>
      </c>
      <c r="I882" s="0" t="n">
        <v>1545117</v>
      </c>
      <c r="J882" s="0" t="s">
        <v>2739</v>
      </c>
      <c r="K882" s="0" t="s">
        <v>961</v>
      </c>
      <c r="L882" s="0" t="n">
        <v>2022</v>
      </c>
      <c r="M882" s="0" t="s">
        <v>962</v>
      </c>
      <c r="N882" s="0" t="s">
        <v>124</v>
      </c>
      <c r="O882" s="0" t="s">
        <v>1215</v>
      </c>
      <c r="P882" s="0" t="s">
        <v>1589</v>
      </c>
      <c r="Q882" s="0" t="n">
        <v>143</v>
      </c>
      <c r="R882" s="0" t="n">
        <v>113</v>
      </c>
      <c r="T882" s="0" t="s">
        <v>2878</v>
      </c>
      <c r="U882" s="0" t="s">
        <v>2852</v>
      </c>
      <c r="V882" s="0" t="s">
        <v>125</v>
      </c>
      <c r="W882" s="0" t="s">
        <v>2882</v>
      </c>
      <c r="X882" s="0" t="s">
        <v>2880</v>
      </c>
      <c r="Y882" s="0" t="s">
        <v>2744</v>
      </c>
      <c r="Z882" s="0" t="s">
        <v>2745</v>
      </c>
      <c r="AB882" s="0" t="s">
        <v>1590</v>
      </c>
      <c r="AC882" s="0" t="s">
        <v>2747</v>
      </c>
      <c r="AD882" s="0" t="s">
        <v>2748</v>
      </c>
      <c r="AE882" s="0" t="s">
        <v>2749</v>
      </c>
      <c r="AF882" s="0" t="s">
        <v>2856</v>
      </c>
      <c r="AH882" s="0" t="s">
        <v>2751</v>
      </c>
      <c r="AL882" s="0" t="s">
        <v>384</v>
      </c>
    </row>
    <row r="883" customFormat="false" ht="15" hidden="false" customHeight="false" outlineLevel="0" collapsed="false">
      <c r="A883" s="0" t="s">
        <v>661</v>
      </c>
      <c r="B883" s="0" t="s">
        <v>116</v>
      </c>
      <c r="C883" s="0" t="s">
        <v>2850</v>
      </c>
      <c r="D883" s="0" t="n">
        <v>2022</v>
      </c>
      <c r="E883" s="0" t="s">
        <v>69</v>
      </c>
      <c r="F883" s="0" t="s">
        <v>2883</v>
      </c>
      <c r="G883" s="0" t="s">
        <v>1723</v>
      </c>
      <c r="I883" s="0" t="n">
        <v>18.4</v>
      </c>
      <c r="J883" s="0" t="s">
        <v>2739</v>
      </c>
      <c r="K883" s="0" t="s">
        <v>961</v>
      </c>
      <c r="L883" s="0" t="n">
        <v>2022</v>
      </c>
      <c r="M883" s="0" t="s">
        <v>962</v>
      </c>
      <c r="N883" s="0" t="s">
        <v>124</v>
      </c>
      <c r="O883" s="0" t="s">
        <v>1215</v>
      </c>
      <c r="P883" s="0" t="s">
        <v>1589</v>
      </c>
      <c r="Q883" s="0" t="n">
        <v>143</v>
      </c>
      <c r="R883" s="0" t="n">
        <v>113</v>
      </c>
      <c r="T883" s="0" t="s">
        <v>2878</v>
      </c>
      <c r="U883" s="0" t="s">
        <v>2852</v>
      </c>
      <c r="V883" s="0" t="s">
        <v>125</v>
      </c>
      <c r="W883" s="0" t="s">
        <v>2884</v>
      </c>
      <c r="X883" s="0" t="s">
        <v>2880</v>
      </c>
      <c r="Y883" s="0" t="s">
        <v>2744</v>
      </c>
      <c r="Z883" s="0" t="s">
        <v>2745</v>
      </c>
      <c r="AB883" s="0" t="s">
        <v>1590</v>
      </c>
      <c r="AC883" s="0" t="s">
        <v>2747</v>
      </c>
      <c r="AD883" s="0" t="s">
        <v>2748</v>
      </c>
      <c r="AE883" s="0" t="s">
        <v>2749</v>
      </c>
      <c r="AF883" s="0" t="s">
        <v>2856</v>
      </c>
      <c r="AH883" s="0" t="s">
        <v>2751</v>
      </c>
      <c r="AL883" s="0" t="s">
        <v>384</v>
      </c>
    </row>
    <row r="884" customFormat="false" ht="15" hidden="false" customHeight="false" outlineLevel="0" collapsed="false">
      <c r="A884" s="0" t="s">
        <v>662</v>
      </c>
      <c r="B884" s="0" t="s">
        <v>116</v>
      </c>
      <c r="C884" s="0" t="s">
        <v>2850</v>
      </c>
      <c r="D884" s="0" t="n">
        <v>2022</v>
      </c>
      <c r="E884" s="0" t="s">
        <v>591</v>
      </c>
      <c r="F884" s="0" t="s">
        <v>2883</v>
      </c>
      <c r="G884" s="0" t="s">
        <v>1723</v>
      </c>
      <c r="I884" s="0" t="n">
        <v>18.4</v>
      </c>
      <c r="J884" s="0" t="s">
        <v>2739</v>
      </c>
      <c r="K884" s="0" t="s">
        <v>961</v>
      </c>
      <c r="L884" s="0" t="n">
        <v>2022</v>
      </c>
      <c r="M884" s="0" t="s">
        <v>962</v>
      </c>
      <c r="N884" s="0" t="s">
        <v>124</v>
      </c>
      <c r="O884" s="0" t="s">
        <v>1215</v>
      </c>
      <c r="P884" s="0" t="s">
        <v>1589</v>
      </c>
      <c r="Q884" s="0" t="n">
        <v>143</v>
      </c>
      <c r="R884" s="0" t="n">
        <v>113</v>
      </c>
      <c r="T884" s="0" t="s">
        <v>2885</v>
      </c>
      <c r="U884" s="0" t="s">
        <v>2852</v>
      </c>
      <c r="V884" s="0" t="s">
        <v>125</v>
      </c>
      <c r="W884" s="0" t="s">
        <v>2884</v>
      </c>
      <c r="X884" s="0" t="s">
        <v>2880</v>
      </c>
      <c r="Y884" s="0" t="s">
        <v>2744</v>
      </c>
      <c r="Z884" s="0" t="s">
        <v>2745</v>
      </c>
      <c r="AB884" s="0" t="s">
        <v>1590</v>
      </c>
      <c r="AC884" s="0" t="s">
        <v>2747</v>
      </c>
      <c r="AD884" s="0" t="s">
        <v>2748</v>
      </c>
      <c r="AE884" s="0" t="s">
        <v>2749</v>
      </c>
      <c r="AF884" s="0" t="s">
        <v>2856</v>
      </c>
      <c r="AH884" s="0" t="s">
        <v>2751</v>
      </c>
      <c r="AL884" s="0" t="s">
        <v>384</v>
      </c>
    </row>
    <row r="885" customFormat="false" ht="15" hidden="false" customHeight="false" outlineLevel="0" collapsed="false">
      <c r="A885" s="0" t="s">
        <v>663</v>
      </c>
      <c r="B885" s="0" t="s">
        <v>116</v>
      </c>
      <c r="C885" s="0" t="s">
        <v>2850</v>
      </c>
      <c r="D885" s="0" t="n">
        <v>2022</v>
      </c>
      <c r="E885" s="0" t="s">
        <v>70</v>
      </c>
      <c r="F885" s="0" t="s">
        <v>2886</v>
      </c>
      <c r="G885" s="0" t="s">
        <v>1723</v>
      </c>
      <c r="I885" s="0" t="n">
        <v>10</v>
      </c>
      <c r="J885" s="0" t="s">
        <v>2739</v>
      </c>
      <c r="K885" s="0" t="s">
        <v>961</v>
      </c>
      <c r="L885" s="0" t="n">
        <v>2022</v>
      </c>
      <c r="M885" s="0" t="s">
        <v>962</v>
      </c>
      <c r="N885" s="0" t="s">
        <v>124</v>
      </c>
      <c r="O885" s="0" t="s">
        <v>1215</v>
      </c>
      <c r="P885" s="0" t="s">
        <v>1589</v>
      </c>
      <c r="Q885" s="0" t="n">
        <v>142</v>
      </c>
      <c r="R885" s="0" t="n">
        <v>112</v>
      </c>
      <c r="T885" s="0" t="s">
        <v>2841</v>
      </c>
      <c r="U885" s="0" t="s">
        <v>2852</v>
      </c>
      <c r="V885" s="0" t="s">
        <v>125</v>
      </c>
      <c r="W885" s="0" t="s">
        <v>2887</v>
      </c>
      <c r="X885" s="0" t="s">
        <v>2888</v>
      </c>
      <c r="Y885" s="0" t="s">
        <v>2744</v>
      </c>
      <c r="Z885" s="0" t="s">
        <v>2745</v>
      </c>
      <c r="AA885" s="0" t="s">
        <v>2889</v>
      </c>
      <c r="AB885" s="0" t="s">
        <v>1590</v>
      </c>
      <c r="AC885" s="0" t="s">
        <v>2747</v>
      </c>
      <c r="AD885" s="0" t="s">
        <v>2748</v>
      </c>
      <c r="AE885" s="0" t="s">
        <v>2749</v>
      </c>
      <c r="AF885" s="0" t="s">
        <v>2856</v>
      </c>
      <c r="AH885" s="0" t="s">
        <v>2751</v>
      </c>
      <c r="AL885" s="0" t="s">
        <v>384</v>
      </c>
    </row>
    <row r="886" customFormat="false" ht="15" hidden="false" customHeight="false" outlineLevel="0" collapsed="false">
      <c r="A886" s="0" t="s">
        <v>635</v>
      </c>
      <c r="B886" s="0" t="s">
        <v>116</v>
      </c>
      <c r="C886" s="0" t="s">
        <v>2850</v>
      </c>
      <c r="D886" s="0" t="n">
        <v>2021</v>
      </c>
      <c r="E886" s="0" t="s">
        <v>55</v>
      </c>
      <c r="F886" s="0" t="n">
        <v>2614087</v>
      </c>
      <c r="G886" s="0" t="s">
        <v>1681</v>
      </c>
      <c r="H886" s="0" t="s">
        <v>1648</v>
      </c>
      <c r="I886" s="0" t="n">
        <v>2614087</v>
      </c>
      <c r="J886" s="0" t="s">
        <v>2739</v>
      </c>
      <c r="K886" s="0" t="s">
        <v>952</v>
      </c>
      <c r="L886" s="0" t="n">
        <v>2021</v>
      </c>
      <c r="M886" s="0" t="s">
        <v>953</v>
      </c>
      <c r="N886" s="0" t="s">
        <v>121</v>
      </c>
      <c r="O886" s="0" t="s">
        <v>1165</v>
      </c>
      <c r="P886" s="0" t="s">
        <v>1593</v>
      </c>
      <c r="Q886" s="0" t="n">
        <v>32</v>
      </c>
      <c r="R886" s="0" t="n">
        <v>1</v>
      </c>
      <c r="T886" s="0" t="s">
        <v>2860</v>
      </c>
      <c r="U886" s="0" t="s">
        <v>2890</v>
      </c>
      <c r="V886" s="0" t="s">
        <v>123</v>
      </c>
      <c r="W886" s="0" t="s">
        <v>2891</v>
      </c>
      <c r="X886" s="0" t="s">
        <v>2892</v>
      </c>
      <c r="Y886" s="0" t="s">
        <v>2744</v>
      </c>
      <c r="Z886" s="0" t="s">
        <v>2745</v>
      </c>
      <c r="AB886" s="0" t="s">
        <v>1594</v>
      </c>
      <c r="AC886" s="0" t="s">
        <v>2747</v>
      </c>
      <c r="AD886" s="0" t="s">
        <v>2748</v>
      </c>
      <c r="AE886" s="0" t="s">
        <v>2749</v>
      </c>
      <c r="AF886" s="0" t="s">
        <v>2856</v>
      </c>
      <c r="AH886" s="0" t="s">
        <v>2751</v>
      </c>
      <c r="AL886" s="0" t="s">
        <v>384</v>
      </c>
    </row>
    <row r="887" customFormat="false" ht="15" hidden="false" customHeight="false" outlineLevel="0" collapsed="false">
      <c r="A887" s="0" t="s">
        <v>636</v>
      </c>
      <c r="B887" s="0" t="s">
        <v>116</v>
      </c>
      <c r="C887" s="0" t="s">
        <v>2850</v>
      </c>
      <c r="D887" s="0" t="n">
        <v>2021</v>
      </c>
      <c r="E887" s="0" t="s">
        <v>56</v>
      </c>
      <c r="F887" s="0" t="n">
        <v>2362312</v>
      </c>
      <c r="G887" s="0" t="s">
        <v>1681</v>
      </c>
      <c r="H887" s="0" t="s">
        <v>1648</v>
      </c>
      <c r="I887" s="0" t="n">
        <v>2362312</v>
      </c>
      <c r="J887" s="0" t="s">
        <v>2739</v>
      </c>
      <c r="K887" s="0" t="s">
        <v>952</v>
      </c>
      <c r="L887" s="0" t="n">
        <v>2021</v>
      </c>
      <c r="M887" s="0" t="s">
        <v>953</v>
      </c>
      <c r="N887" s="0" t="s">
        <v>121</v>
      </c>
      <c r="O887" s="0" t="s">
        <v>1165</v>
      </c>
      <c r="P887" s="0" t="s">
        <v>1593</v>
      </c>
      <c r="Q887" s="0" t="n">
        <v>32</v>
      </c>
      <c r="R887" s="0" t="n">
        <v>1</v>
      </c>
      <c r="T887" s="0" t="s">
        <v>2860</v>
      </c>
      <c r="U887" s="0" t="s">
        <v>2890</v>
      </c>
      <c r="V887" s="0" t="s">
        <v>123</v>
      </c>
      <c r="W887" s="0" t="s">
        <v>2893</v>
      </c>
      <c r="X887" s="0" t="s">
        <v>2892</v>
      </c>
      <c r="Y887" s="0" t="s">
        <v>2744</v>
      </c>
      <c r="Z887" s="0" t="s">
        <v>2745</v>
      </c>
      <c r="AB887" s="0" t="s">
        <v>1594</v>
      </c>
      <c r="AC887" s="0" t="s">
        <v>2747</v>
      </c>
      <c r="AD887" s="0" t="s">
        <v>2748</v>
      </c>
      <c r="AE887" s="0" t="s">
        <v>2749</v>
      </c>
      <c r="AF887" s="0" t="s">
        <v>2856</v>
      </c>
      <c r="AH887" s="0" t="s">
        <v>2751</v>
      </c>
      <c r="AL887" s="0" t="s">
        <v>384</v>
      </c>
    </row>
    <row r="888" customFormat="false" ht="15" hidden="false" customHeight="false" outlineLevel="0" collapsed="false">
      <c r="A888" s="0" t="s">
        <v>637</v>
      </c>
      <c r="B888" s="0" t="s">
        <v>116</v>
      </c>
      <c r="C888" s="0" t="s">
        <v>2850</v>
      </c>
      <c r="D888" s="0" t="n">
        <v>2021</v>
      </c>
      <c r="E888" s="0" t="s">
        <v>57</v>
      </c>
      <c r="F888" s="0" t="n">
        <v>251775</v>
      </c>
      <c r="G888" s="0" t="s">
        <v>1681</v>
      </c>
      <c r="H888" s="0" t="s">
        <v>1648</v>
      </c>
      <c r="I888" s="0" t="n">
        <v>251775</v>
      </c>
      <c r="J888" s="0" t="s">
        <v>2739</v>
      </c>
      <c r="K888" s="0" t="s">
        <v>952</v>
      </c>
      <c r="L888" s="0" t="n">
        <v>2021</v>
      </c>
      <c r="M888" s="0" t="s">
        <v>953</v>
      </c>
      <c r="N888" s="0" t="s">
        <v>121</v>
      </c>
      <c r="O888" s="0" t="s">
        <v>1165</v>
      </c>
      <c r="P888" s="0" t="s">
        <v>1593</v>
      </c>
      <c r="Q888" s="0" t="n">
        <v>32</v>
      </c>
      <c r="R888" s="0" t="n">
        <v>1</v>
      </c>
      <c r="T888" s="0" t="s">
        <v>2860</v>
      </c>
      <c r="U888" s="0" t="s">
        <v>2890</v>
      </c>
      <c r="V888" s="0" t="s">
        <v>123</v>
      </c>
      <c r="W888" s="0" t="s">
        <v>2894</v>
      </c>
      <c r="X888" s="0" t="s">
        <v>2892</v>
      </c>
      <c r="Y888" s="0" t="s">
        <v>2744</v>
      </c>
      <c r="Z888" s="0" t="s">
        <v>2745</v>
      </c>
      <c r="AB888" s="0" t="s">
        <v>1594</v>
      </c>
      <c r="AC888" s="0" t="s">
        <v>2747</v>
      </c>
      <c r="AD888" s="0" t="s">
        <v>2748</v>
      </c>
      <c r="AE888" s="0" t="s">
        <v>2749</v>
      </c>
      <c r="AF888" s="0" t="s">
        <v>2856</v>
      </c>
      <c r="AH888" s="0" t="s">
        <v>2751</v>
      </c>
      <c r="AL888" s="0" t="s">
        <v>384</v>
      </c>
    </row>
    <row r="889" customFormat="false" ht="15" hidden="false" customHeight="false" outlineLevel="0" collapsed="false">
      <c r="A889" s="0" t="s">
        <v>639</v>
      </c>
      <c r="B889" s="0" t="s">
        <v>116</v>
      </c>
      <c r="C889" s="0" t="s">
        <v>2850</v>
      </c>
      <c r="D889" s="0" t="n">
        <v>2021</v>
      </c>
      <c r="E889" s="0" t="s">
        <v>59</v>
      </c>
      <c r="F889" s="0" t="n">
        <v>2370347</v>
      </c>
      <c r="G889" s="0" t="s">
        <v>1681</v>
      </c>
      <c r="H889" s="0" t="s">
        <v>1648</v>
      </c>
      <c r="I889" s="0" t="n">
        <v>2370347</v>
      </c>
      <c r="J889" s="0" t="s">
        <v>2739</v>
      </c>
      <c r="K889" s="0" t="s">
        <v>952</v>
      </c>
      <c r="L889" s="0" t="n">
        <v>2021</v>
      </c>
      <c r="M889" s="0" t="s">
        <v>953</v>
      </c>
      <c r="N889" s="0" t="s">
        <v>121</v>
      </c>
      <c r="O889" s="0" t="s">
        <v>1165</v>
      </c>
      <c r="P889" s="0" t="s">
        <v>1593</v>
      </c>
      <c r="Q889" s="0" t="n">
        <v>32</v>
      </c>
      <c r="R889" s="0" t="n">
        <v>1</v>
      </c>
      <c r="T889" s="0" t="s">
        <v>2895</v>
      </c>
      <c r="U889" s="0" t="s">
        <v>2890</v>
      </c>
      <c r="V889" s="0" t="s">
        <v>123</v>
      </c>
      <c r="W889" s="0" t="s">
        <v>2891</v>
      </c>
      <c r="X889" s="0" t="s">
        <v>2892</v>
      </c>
      <c r="Y889" s="0" t="s">
        <v>2744</v>
      </c>
      <c r="Z889" s="0" t="s">
        <v>2745</v>
      </c>
      <c r="AA889" s="0" t="s">
        <v>2896</v>
      </c>
      <c r="AB889" s="0" t="s">
        <v>1594</v>
      </c>
      <c r="AC889" s="0" t="s">
        <v>2747</v>
      </c>
      <c r="AD889" s="0" t="s">
        <v>2748</v>
      </c>
      <c r="AE889" s="0" t="s">
        <v>2749</v>
      </c>
      <c r="AF889" s="0" t="s">
        <v>2856</v>
      </c>
      <c r="AH889" s="0" t="s">
        <v>2751</v>
      </c>
      <c r="AL889" s="0" t="s">
        <v>384</v>
      </c>
    </row>
    <row r="890" customFormat="false" ht="15" hidden="false" customHeight="false" outlineLevel="0" collapsed="false">
      <c r="A890" s="0" t="s">
        <v>634</v>
      </c>
      <c r="B890" s="0" t="s">
        <v>116</v>
      </c>
      <c r="C890" s="0" t="s">
        <v>2850</v>
      </c>
      <c r="D890" s="0" t="n">
        <v>2021</v>
      </c>
      <c r="E890" s="0" t="s">
        <v>54</v>
      </c>
      <c r="F890" s="0" t="n">
        <v>29570</v>
      </c>
      <c r="G890" s="0" t="s">
        <v>1681</v>
      </c>
      <c r="H890" s="0" t="s">
        <v>1648</v>
      </c>
      <c r="I890" s="0" t="n">
        <v>29570</v>
      </c>
      <c r="J890" s="0" t="s">
        <v>2739</v>
      </c>
      <c r="K890" s="0" t="s">
        <v>952</v>
      </c>
      <c r="L890" s="0" t="n">
        <v>2021</v>
      </c>
      <c r="M890" s="0" t="s">
        <v>953</v>
      </c>
      <c r="N890" s="0" t="s">
        <v>121</v>
      </c>
      <c r="O890" s="0" t="s">
        <v>1165</v>
      </c>
      <c r="P890" s="0" t="s">
        <v>1593</v>
      </c>
      <c r="Q890" s="0" t="n">
        <v>33</v>
      </c>
      <c r="R890" s="0" t="n">
        <v>2</v>
      </c>
      <c r="T890" s="0" t="s">
        <v>2740</v>
      </c>
      <c r="U890" s="0" t="s">
        <v>2890</v>
      </c>
      <c r="V890" s="0" t="s">
        <v>123</v>
      </c>
      <c r="W890" s="0" t="s">
        <v>2897</v>
      </c>
      <c r="X890" s="0" t="s">
        <v>2898</v>
      </c>
      <c r="Y890" s="0" t="s">
        <v>2744</v>
      </c>
      <c r="Z890" s="0" t="s">
        <v>2745</v>
      </c>
      <c r="AB890" s="0" t="s">
        <v>1594</v>
      </c>
      <c r="AC890" s="0" t="s">
        <v>2747</v>
      </c>
      <c r="AD890" s="0" t="s">
        <v>2748</v>
      </c>
      <c r="AE890" s="0" t="s">
        <v>2749</v>
      </c>
      <c r="AF890" s="0" t="s">
        <v>2856</v>
      </c>
      <c r="AH890" s="0" t="s">
        <v>2751</v>
      </c>
      <c r="AL890" s="0" t="s">
        <v>384</v>
      </c>
    </row>
    <row r="891" customFormat="false" ht="15" hidden="false" customHeight="false" outlineLevel="0" collapsed="false">
      <c r="A891" s="0" t="s">
        <v>650</v>
      </c>
      <c r="B891" s="0" t="s">
        <v>116</v>
      </c>
      <c r="C891" s="0" t="s">
        <v>2850</v>
      </c>
      <c r="D891" s="0" t="n">
        <v>2021</v>
      </c>
      <c r="E891" s="0" t="s">
        <v>402</v>
      </c>
      <c r="F891" s="0" t="n">
        <v>23433</v>
      </c>
      <c r="G891" s="0" t="s">
        <v>1681</v>
      </c>
      <c r="H891" s="0" t="s">
        <v>1648</v>
      </c>
      <c r="I891" s="0" t="n">
        <v>23433</v>
      </c>
      <c r="J891" s="0" t="s">
        <v>2739</v>
      </c>
      <c r="K891" s="0" t="s">
        <v>952</v>
      </c>
      <c r="L891" s="0" t="n">
        <v>2021</v>
      </c>
      <c r="M891" s="0" t="s">
        <v>953</v>
      </c>
      <c r="N891" s="0" t="s">
        <v>121</v>
      </c>
      <c r="O891" s="0" t="s">
        <v>1165</v>
      </c>
      <c r="P891" s="0" t="s">
        <v>1593</v>
      </c>
      <c r="Q891" s="0" t="n">
        <v>33</v>
      </c>
      <c r="R891" s="0" t="n">
        <v>2</v>
      </c>
      <c r="T891" s="0" t="s">
        <v>2740</v>
      </c>
      <c r="U891" s="0" t="s">
        <v>2890</v>
      </c>
      <c r="V891" s="0" t="s">
        <v>123</v>
      </c>
      <c r="W891" s="0" t="s">
        <v>2899</v>
      </c>
      <c r="X891" s="0" t="s">
        <v>2898</v>
      </c>
      <c r="Y891" s="0" t="s">
        <v>2744</v>
      </c>
      <c r="Z891" s="0" t="s">
        <v>2745</v>
      </c>
      <c r="AB891" s="0" t="s">
        <v>1594</v>
      </c>
      <c r="AC891" s="0" t="s">
        <v>2747</v>
      </c>
      <c r="AD891" s="0" t="s">
        <v>2748</v>
      </c>
      <c r="AE891" s="0" t="s">
        <v>2749</v>
      </c>
      <c r="AF891" s="0" t="s">
        <v>2856</v>
      </c>
      <c r="AH891" s="0" t="s">
        <v>2751</v>
      </c>
      <c r="AL891" s="0" t="s">
        <v>384</v>
      </c>
    </row>
    <row r="892" customFormat="false" ht="15" hidden="false" customHeight="false" outlineLevel="0" collapsed="false">
      <c r="A892" s="0" t="s">
        <v>643</v>
      </c>
      <c r="B892" s="0" t="s">
        <v>116</v>
      </c>
      <c r="C892" s="0" t="s">
        <v>2850</v>
      </c>
      <c r="D892" s="0" t="n">
        <v>2021</v>
      </c>
      <c r="E892" s="0" t="s">
        <v>63</v>
      </c>
      <c r="F892" s="0" t="n">
        <v>1208</v>
      </c>
      <c r="G892" s="0" t="s">
        <v>1681</v>
      </c>
      <c r="H892" s="0" t="s">
        <v>1648</v>
      </c>
      <c r="I892" s="0" t="n">
        <v>-1208</v>
      </c>
      <c r="J892" s="0" t="s">
        <v>2739</v>
      </c>
      <c r="K892" s="0" t="s">
        <v>952</v>
      </c>
      <c r="L892" s="0" t="n">
        <v>2021</v>
      </c>
      <c r="M892" s="0" t="s">
        <v>953</v>
      </c>
      <c r="N892" s="0" t="s">
        <v>121</v>
      </c>
      <c r="O892" s="0" t="s">
        <v>1165</v>
      </c>
      <c r="P892" s="0" t="s">
        <v>1593</v>
      </c>
      <c r="Q892" s="0" t="n">
        <v>33</v>
      </c>
      <c r="R892" s="0" t="n">
        <v>2</v>
      </c>
      <c r="S892" s="0" t="n">
        <v>31.6</v>
      </c>
      <c r="T892" s="0" t="s">
        <v>2740</v>
      </c>
      <c r="U892" s="0" t="s">
        <v>2890</v>
      </c>
      <c r="V892" s="0" t="s">
        <v>123</v>
      </c>
      <c r="W892" s="0" t="s">
        <v>2900</v>
      </c>
      <c r="X892" s="0" t="s">
        <v>2898</v>
      </c>
      <c r="Y892" s="0" t="s">
        <v>2744</v>
      </c>
      <c r="Z892" s="0" t="s">
        <v>2745</v>
      </c>
      <c r="AA892" s="0" t="s">
        <v>2901</v>
      </c>
      <c r="AB892" s="0" t="s">
        <v>1594</v>
      </c>
      <c r="AC892" s="0" t="s">
        <v>2747</v>
      </c>
      <c r="AD892" s="0" t="s">
        <v>2748</v>
      </c>
      <c r="AE892" s="0" t="s">
        <v>2749</v>
      </c>
      <c r="AF892" s="0" t="s">
        <v>2856</v>
      </c>
      <c r="AH892" s="0" t="s">
        <v>2760</v>
      </c>
      <c r="AI892" s="0" t="s">
        <v>2761</v>
      </c>
      <c r="AL892" s="0" t="s">
        <v>384</v>
      </c>
    </row>
    <row r="893" customFormat="false" ht="15" hidden="false" customHeight="false" outlineLevel="0" collapsed="false">
      <c r="A893" s="0" t="s">
        <v>638</v>
      </c>
      <c r="B893" s="0" t="s">
        <v>116</v>
      </c>
      <c r="C893" s="0" t="s">
        <v>2850</v>
      </c>
      <c r="D893" s="0" t="n">
        <v>2021</v>
      </c>
      <c r="E893" s="0" t="s">
        <v>58</v>
      </c>
      <c r="F893" s="0" t="n">
        <v>55771</v>
      </c>
      <c r="G893" s="0" t="s">
        <v>1681</v>
      </c>
      <c r="H893" s="0" t="s">
        <v>1648</v>
      </c>
      <c r="I893" s="0" t="n">
        <v>55771</v>
      </c>
      <c r="J893" s="0" t="s">
        <v>2739</v>
      </c>
      <c r="K893" s="0" t="s">
        <v>952</v>
      </c>
      <c r="L893" s="0" t="n">
        <v>2021</v>
      </c>
      <c r="M893" s="0" t="s">
        <v>953</v>
      </c>
      <c r="N893" s="0" t="s">
        <v>121</v>
      </c>
      <c r="O893" s="0" t="s">
        <v>1165</v>
      </c>
      <c r="P893" s="0" t="s">
        <v>1593</v>
      </c>
      <c r="Q893" s="0" t="n">
        <v>37</v>
      </c>
      <c r="R893" s="0" t="n">
        <v>6</v>
      </c>
      <c r="T893" s="0" t="s">
        <v>2860</v>
      </c>
      <c r="U893" s="0" t="s">
        <v>2890</v>
      </c>
      <c r="V893" s="0" t="s">
        <v>123</v>
      </c>
      <c r="W893" s="0" t="s">
        <v>2902</v>
      </c>
      <c r="X893" s="0" t="s">
        <v>2903</v>
      </c>
      <c r="Y893" s="0" t="s">
        <v>2744</v>
      </c>
      <c r="Z893" s="0" t="s">
        <v>2745</v>
      </c>
      <c r="AB893" s="0" t="s">
        <v>1594</v>
      </c>
      <c r="AC893" s="0" t="s">
        <v>2747</v>
      </c>
      <c r="AD893" s="0" t="s">
        <v>2748</v>
      </c>
      <c r="AE893" s="0" t="s">
        <v>2749</v>
      </c>
      <c r="AF893" s="0" t="s">
        <v>2856</v>
      </c>
      <c r="AH893" s="0" t="s">
        <v>2751</v>
      </c>
      <c r="AL893" s="0" t="s">
        <v>384</v>
      </c>
    </row>
    <row r="894" customFormat="false" ht="15" hidden="false" customHeight="false" outlineLevel="0" collapsed="false">
      <c r="A894" s="0" t="s">
        <v>640</v>
      </c>
      <c r="B894" s="0" t="s">
        <v>116</v>
      </c>
      <c r="C894" s="0" t="s">
        <v>2850</v>
      </c>
      <c r="D894" s="0" t="n">
        <v>2021</v>
      </c>
      <c r="E894" s="0" t="s">
        <v>60</v>
      </c>
      <c r="F894" s="0" t="n">
        <v>946259</v>
      </c>
      <c r="G894" s="0" t="s">
        <v>1681</v>
      </c>
      <c r="H894" s="0" t="s">
        <v>1648</v>
      </c>
      <c r="I894" s="0" t="n">
        <v>946259</v>
      </c>
      <c r="J894" s="0" t="s">
        <v>2739</v>
      </c>
      <c r="K894" s="0" t="s">
        <v>952</v>
      </c>
      <c r="L894" s="0" t="n">
        <v>2021</v>
      </c>
      <c r="M894" s="0" t="s">
        <v>953</v>
      </c>
      <c r="N894" s="0" t="s">
        <v>121</v>
      </c>
      <c r="O894" s="0" t="s">
        <v>1165</v>
      </c>
      <c r="P894" s="0" t="s">
        <v>1593</v>
      </c>
      <c r="Q894" s="0" t="n">
        <v>71</v>
      </c>
      <c r="R894" s="0" t="n">
        <v>40</v>
      </c>
      <c r="S894" s="0" t="s">
        <v>2870</v>
      </c>
      <c r="T894" s="0" t="s">
        <v>2860</v>
      </c>
      <c r="U894" s="0" t="s">
        <v>2890</v>
      </c>
      <c r="V894" s="0" t="s">
        <v>123</v>
      </c>
      <c r="W894" s="0" t="s">
        <v>2904</v>
      </c>
      <c r="X894" s="0" t="s">
        <v>2905</v>
      </c>
      <c r="Y894" s="0" t="s">
        <v>2744</v>
      </c>
      <c r="Z894" s="0" t="s">
        <v>2745</v>
      </c>
      <c r="AB894" s="0" t="s">
        <v>1594</v>
      </c>
      <c r="AC894" s="0" t="s">
        <v>2747</v>
      </c>
      <c r="AD894" s="0" t="s">
        <v>2748</v>
      </c>
      <c r="AE894" s="0" t="s">
        <v>2749</v>
      </c>
      <c r="AF894" s="0" t="s">
        <v>2856</v>
      </c>
      <c r="AH894" s="0" t="s">
        <v>2751</v>
      </c>
      <c r="AL894" s="0" t="s">
        <v>384</v>
      </c>
    </row>
    <row r="895" customFormat="false" ht="15" hidden="false" customHeight="false" outlineLevel="0" collapsed="false">
      <c r="A895" s="0" t="s">
        <v>641</v>
      </c>
      <c r="B895" s="0" t="s">
        <v>116</v>
      </c>
      <c r="C895" s="0" t="s">
        <v>2850</v>
      </c>
      <c r="D895" s="0" t="n">
        <v>2021</v>
      </c>
      <c r="E895" s="0" t="s">
        <v>61</v>
      </c>
      <c r="F895" s="0" t="n">
        <v>-25215</v>
      </c>
      <c r="G895" s="0" t="s">
        <v>1681</v>
      </c>
      <c r="H895" s="0" t="s">
        <v>1648</v>
      </c>
      <c r="I895" s="0" t="n">
        <v>25215</v>
      </c>
      <c r="J895" s="0" t="s">
        <v>2739</v>
      </c>
      <c r="K895" s="0" t="s">
        <v>952</v>
      </c>
      <c r="L895" s="0" t="n">
        <v>2021</v>
      </c>
      <c r="M895" s="0" t="s">
        <v>953</v>
      </c>
      <c r="N895" s="0" t="s">
        <v>121</v>
      </c>
      <c r="O895" s="0" t="s">
        <v>1165</v>
      </c>
      <c r="P895" s="0" t="s">
        <v>1593</v>
      </c>
      <c r="Q895" s="0" t="n">
        <v>71</v>
      </c>
      <c r="R895" s="0" t="n">
        <v>40</v>
      </c>
      <c r="S895" s="0" t="s">
        <v>2870</v>
      </c>
      <c r="T895" s="0" t="s">
        <v>2860</v>
      </c>
      <c r="U895" s="0" t="s">
        <v>2890</v>
      </c>
      <c r="V895" s="0" t="s">
        <v>123</v>
      </c>
      <c r="W895" s="0" t="s">
        <v>2906</v>
      </c>
      <c r="X895" s="0" t="s">
        <v>2905</v>
      </c>
      <c r="Y895" s="0" t="s">
        <v>2744</v>
      </c>
      <c r="Z895" s="0" t="s">
        <v>2745</v>
      </c>
      <c r="AA895" s="0" t="s">
        <v>2829</v>
      </c>
      <c r="AB895" s="0" t="s">
        <v>1594</v>
      </c>
      <c r="AC895" s="0" t="s">
        <v>2747</v>
      </c>
      <c r="AD895" s="0" t="s">
        <v>2748</v>
      </c>
      <c r="AE895" s="0" t="s">
        <v>2749</v>
      </c>
      <c r="AF895" s="0" t="s">
        <v>2856</v>
      </c>
      <c r="AH895" s="0" t="s">
        <v>2760</v>
      </c>
      <c r="AI895" s="0" t="s">
        <v>2770</v>
      </c>
      <c r="AL895" s="0" t="s">
        <v>384</v>
      </c>
    </row>
    <row r="896" customFormat="false" ht="15" hidden="false" customHeight="false" outlineLevel="0" collapsed="false">
      <c r="A896" s="0" t="s">
        <v>642</v>
      </c>
      <c r="B896" s="0" t="s">
        <v>116</v>
      </c>
      <c r="C896" s="0" t="s">
        <v>2850</v>
      </c>
      <c r="D896" s="0" t="n">
        <v>2021</v>
      </c>
      <c r="E896" s="0" t="s">
        <v>62</v>
      </c>
      <c r="F896" s="0" t="n">
        <v>921044</v>
      </c>
      <c r="G896" s="0" t="s">
        <v>1681</v>
      </c>
      <c r="H896" s="0" t="s">
        <v>1648</v>
      </c>
      <c r="I896" s="0" t="n">
        <v>921044</v>
      </c>
      <c r="J896" s="0" t="s">
        <v>2739</v>
      </c>
      <c r="K896" s="0" t="s">
        <v>952</v>
      </c>
      <c r="L896" s="0" t="n">
        <v>2021</v>
      </c>
      <c r="M896" s="0" t="s">
        <v>953</v>
      </c>
      <c r="N896" s="0" t="s">
        <v>121</v>
      </c>
      <c r="O896" s="0" t="s">
        <v>1165</v>
      </c>
      <c r="P896" s="0" t="s">
        <v>1593</v>
      </c>
      <c r="Q896" s="0" t="n">
        <v>71</v>
      </c>
      <c r="R896" s="0" t="n">
        <v>40</v>
      </c>
      <c r="S896" s="0" t="s">
        <v>2870</v>
      </c>
      <c r="T896" s="0" t="s">
        <v>2860</v>
      </c>
      <c r="U896" s="0" t="s">
        <v>2890</v>
      </c>
      <c r="V896" s="0" t="s">
        <v>123</v>
      </c>
      <c r="W896" s="0" t="s">
        <v>2907</v>
      </c>
      <c r="X896" s="0" t="s">
        <v>2905</v>
      </c>
      <c r="Y896" s="0" t="s">
        <v>2744</v>
      </c>
      <c r="Z896" s="0" t="s">
        <v>2745</v>
      </c>
      <c r="AB896" s="0" t="s">
        <v>1594</v>
      </c>
      <c r="AC896" s="0" t="s">
        <v>2747</v>
      </c>
      <c r="AD896" s="0" t="s">
        <v>2748</v>
      </c>
      <c r="AE896" s="0" t="s">
        <v>2749</v>
      </c>
      <c r="AF896" s="0" t="s">
        <v>2856</v>
      </c>
      <c r="AH896" s="0" t="s">
        <v>2751</v>
      </c>
      <c r="AL896" s="0" t="s">
        <v>384</v>
      </c>
    </row>
    <row r="897" customFormat="false" ht="15" hidden="false" customHeight="false" outlineLevel="0" collapsed="false">
      <c r="A897" s="0" t="s">
        <v>649</v>
      </c>
      <c r="B897" s="0" t="s">
        <v>116</v>
      </c>
      <c r="C897" s="0" t="s">
        <v>2850</v>
      </c>
      <c r="D897" s="0" t="n">
        <v>2021</v>
      </c>
      <c r="E897" s="0" t="s">
        <v>68</v>
      </c>
      <c r="F897" s="0" t="n">
        <v>-15907</v>
      </c>
      <c r="G897" s="0" t="s">
        <v>1681</v>
      </c>
      <c r="H897" s="0" t="s">
        <v>1648</v>
      </c>
      <c r="I897" s="0" t="n">
        <v>15907</v>
      </c>
      <c r="J897" s="0" t="s">
        <v>2739</v>
      </c>
      <c r="K897" s="0" t="s">
        <v>952</v>
      </c>
      <c r="L897" s="0" t="n">
        <v>2021</v>
      </c>
      <c r="M897" s="0" t="s">
        <v>953</v>
      </c>
      <c r="N897" s="0" t="s">
        <v>121</v>
      </c>
      <c r="O897" s="0" t="s">
        <v>1165</v>
      </c>
      <c r="P897" s="0" t="s">
        <v>1593</v>
      </c>
      <c r="Q897" s="0" t="n">
        <v>71</v>
      </c>
      <c r="R897" s="0" t="n">
        <v>40</v>
      </c>
      <c r="S897" s="0" t="s">
        <v>2870</v>
      </c>
      <c r="T897" s="0" t="s">
        <v>2860</v>
      </c>
      <c r="U897" s="0" t="s">
        <v>2890</v>
      </c>
      <c r="V897" s="0" t="s">
        <v>123</v>
      </c>
      <c r="W897" s="0" t="s">
        <v>2908</v>
      </c>
      <c r="X897" s="0" t="s">
        <v>2905</v>
      </c>
      <c r="Y897" s="0" t="s">
        <v>2744</v>
      </c>
      <c r="Z897" s="0" t="s">
        <v>2745</v>
      </c>
      <c r="AA897" s="0" t="s">
        <v>2829</v>
      </c>
      <c r="AB897" s="0" t="s">
        <v>1594</v>
      </c>
      <c r="AC897" s="0" t="s">
        <v>2747</v>
      </c>
      <c r="AD897" s="0" t="s">
        <v>2748</v>
      </c>
      <c r="AE897" s="0" t="s">
        <v>2749</v>
      </c>
      <c r="AF897" s="0" t="s">
        <v>2856</v>
      </c>
      <c r="AH897" s="0" t="s">
        <v>2760</v>
      </c>
      <c r="AI897" s="0" t="s">
        <v>2770</v>
      </c>
      <c r="AL897" s="0" t="s">
        <v>384</v>
      </c>
    </row>
    <row r="898" customFormat="false" ht="15" hidden="false" customHeight="false" outlineLevel="0" collapsed="false">
      <c r="A898" s="0" t="s">
        <v>646</v>
      </c>
      <c r="B898" s="0" t="s">
        <v>116</v>
      </c>
      <c r="C898" s="0" t="s">
        <v>2850</v>
      </c>
      <c r="D898" s="0" t="n">
        <v>2021</v>
      </c>
      <c r="E898" s="0" t="s">
        <v>65</v>
      </c>
      <c r="F898" s="0" t="n">
        <v>226940</v>
      </c>
      <c r="G898" s="0" t="s">
        <v>1681</v>
      </c>
      <c r="H898" s="0" t="s">
        <v>1648</v>
      </c>
      <c r="I898" s="0" t="n">
        <v>226940</v>
      </c>
      <c r="J898" s="0" t="s">
        <v>2739</v>
      </c>
      <c r="K898" s="0" t="s">
        <v>952</v>
      </c>
      <c r="L898" s="0" t="n">
        <v>2021</v>
      </c>
      <c r="M898" s="0" t="s">
        <v>953</v>
      </c>
      <c r="N898" s="0" t="s">
        <v>121</v>
      </c>
      <c r="O898" s="0" t="s">
        <v>1165</v>
      </c>
      <c r="P898" s="0" t="s">
        <v>1593</v>
      </c>
      <c r="Q898" s="0" t="n">
        <v>144</v>
      </c>
      <c r="R898" s="0" t="n">
        <v>113</v>
      </c>
      <c r="T898" s="0" t="s">
        <v>2909</v>
      </c>
      <c r="U898" s="0" t="s">
        <v>2890</v>
      </c>
      <c r="V898" s="0" t="s">
        <v>123</v>
      </c>
      <c r="W898" s="0" t="s">
        <v>2910</v>
      </c>
      <c r="X898" s="0" t="s">
        <v>2911</v>
      </c>
      <c r="Y898" s="0" t="s">
        <v>2744</v>
      </c>
      <c r="Z898" s="0" t="s">
        <v>2745</v>
      </c>
      <c r="AA898" s="0" t="s">
        <v>2912</v>
      </c>
      <c r="AB898" s="0" t="s">
        <v>1594</v>
      </c>
      <c r="AC898" s="0" t="s">
        <v>2747</v>
      </c>
      <c r="AD898" s="0" t="s">
        <v>2748</v>
      </c>
      <c r="AE898" s="0" t="s">
        <v>2749</v>
      </c>
      <c r="AF898" s="0" t="s">
        <v>2856</v>
      </c>
      <c r="AH898" s="0" t="s">
        <v>2751</v>
      </c>
      <c r="AL898" s="0" t="s">
        <v>384</v>
      </c>
    </row>
    <row r="899" customFormat="false" ht="15" hidden="false" customHeight="false" outlineLevel="0" collapsed="false">
      <c r="A899" s="0" t="s">
        <v>647</v>
      </c>
      <c r="B899" s="0" t="s">
        <v>116</v>
      </c>
      <c r="C899" s="0" t="s">
        <v>2850</v>
      </c>
      <c r="D899" s="0" t="n">
        <v>2021</v>
      </c>
      <c r="E899" s="0" t="s">
        <v>66</v>
      </c>
      <c r="F899" s="0" t="n">
        <v>1405941</v>
      </c>
      <c r="G899" s="0" t="s">
        <v>1681</v>
      </c>
      <c r="H899" s="0" t="s">
        <v>1648</v>
      </c>
      <c r="I899" s="0" t="n">
        <v>1405941</v>
      </c>
      <c r="J899" s="0" t="s">
        <v>2739</v>
      </c>
      <c r="K899" s="0" t="s">
        <v>952</v>
      </c>
      <c r="L899" s="0" t="n">
        <v>2021</v>
      </c>
      <c r="M899" s="0" t="s">
        <v>953</v>
      </c>
      <c r="N899" s="0" t="s">
        <v>121</v>
      </c>
      <c r="O899" s="0" t="s">
        <v>1165</v>
      </c>
      <c r="P899" s="0" t="s">
        <v>1593</v>
      </c>
      <c r="Q899" s="0" t="n">
        <v>144</v>
      </c>
      <c r="R899" s="0" t="n">
        <v>113</v>
      </c>
      <c r="T899" s="0" t="s">
        <v>2909</v>
      </c>
      <c r="U899" s="0" t="s">
        <v>2890</v>
      </c>
      <c r="V899" s="0" t="s">
        <v>123</v>
      </c>
      <c r="W899" s="0" t="s">
        <v>2913</v>
      </c>
      <c r="X899" s="0" t="s">
        <v>2911</v>
      </c>
      <c r="Y899" s="0" t="s">
        <v>2744</v>
      </c>
      <c r="Z899" s="0" t="s">
        <v>2745</v>
      </c>
      <c r="AB899" s="0" t="s">
        <v>1594</v>
      </c>
      <c r="AC899" s="0" t="s">
        <v>2747</v>
      </c>
      <c r="AD899" s="0" t="s">
        <v>2748</v>
      </c>
      <c r="AE899" s="0" t="s">
        <v>2749</v>
      </c>
      <c r="AF899" s="0" t="s">
        <v>2856</v>
      </c>
      <c r="AH899" s="0" t="s">
        <v>2751</v>
      </c>
      <c r="AL899" s="0" t="s">
        <v>384</v>
      </c>
    </row>
    <row r="900" customFormat="false" ht="15" hidden="false" customHeight="false" outlineLevel="0" collapsed="false">
      <c r="A900" s="0" t="s">
        <v>644</v>
      </c>
      <c r="B900" s="0" t="s">
        <v>116</v>
      </c>
      <c r="C900" s="0" t="s">
        <v>2850</v>
      </c>
      <c r="D900" s="0" t="n">
        <v>2021</v>
      </c>
      <c r="E900" s="0" t="s">
        <v>69</v>
      </c>
      <c r="F900" s="0" t="s">
        <v>2914</v>
      </c>
      <c r="G900" s="0" t="s">
        <v>1723</v>
      </c>
      <c r="I900" s="0" t="n">
        <v>16.1</v>
      </c>
      <c r="J900" s="0" t="s">
        <v>2739</v>
      </c>
      <c r="K900" s="0" t="s">
        <v>952</v>
      </c>
      <c r="L900" s="0" t="n">
        <v>2021</v>
      </c>
      <c r="M900" s="0" t="s">
        <v>953</v>
      </c>
      <c r="N900" s="0" t="s">
        <v>121</v>
      </c>
      <c r="O900" s="0" t="s">
        <v>1165</v>
      </c>
      <c r="P900" s="0" t="s">
        <v>1593</v>
      </c>
      <c r="Q900" s="0" t="n">
        <v>144</v>
      </c>
      <c r="R900" s="0" t="n">
        <v>113</v>
      </c>
      <c r="T900" s="0" t="s">
        <v>2909</v>
      </c>
      <c r="U900" s="0" t="s">
        <v>2890</v>
      </c>
      <c r="V900" s="0" t="s">
        <v>123</v>
      </c>
      <c r="W900" s="0" t="s">
        <v>2915</v>
      </c>
      <c r="X900" s="0" t="s">
        <v>2911</v>
      </c>
      <c r="Y900" s="0" t="s">
        <v>2744</v>
      </c>
      <c r="Z900" s="0" t="s">
        <v>2745</v>
      </c>
      <c r="AB900" s="0" t="s">
        <v>1594</v>
      </c>
      <c r="AC900" s="0" t="s">
        <v>2747</v>
      </c>
      <c r="AD900" s="0" t="s">
        <v>2748</v>
      </c>
      <c r="AE900" s="0" t="s">
        <v>2749</v>
      </c>
      <c r="AF900" s="0" t="s">
        <v>2856</v>
      </c>
      <c r="AH900" s="0" t="s">
        <v>2751</v>
      </c>
      <c r="AL900" s="0" t="s">
        <v>384</v>
      </c>
    </row>
    <row r="901" customFormat="false" ht="15" hidden="false" customHeight="false" outlineLevel="0" collapsed="false">
      <c r="A901" s="0" t="s">
        <v>645</v>
      </c>
      <c r="B901" s="0" t="s">
        <v>116</v>
      </c>
      <c r="C901" s="0" t="s">
        <v>2850</v>
      </c>
      <c r="D901" s="0" t="n">
        <v>2021</v>
      </c>
      <c r="E901" s="0" t="s">
        <v>591</v>
      </c>
      <c r="F901" s="0" t="s">
        <v>2914</v>
      </c>
      <c r="G901" s="0" t="s">
        <v>1723</v>
      </c>
      <c r="I901" s="0" t="n">
        <v>16.1</v>
      </c>
      <c r="J901" s="0" t="s">
        <v>2739</v>
      </c>
      <c r="K901" s="0" t="s">
        <v>952</v>
      </c>
      <c r="L901" s="0" t="n">
        <v>2021</v>
      </c>
      <c r="M901" s="0" t="s">
        <v>953</v>
      </c>
      <c r="N901" s="0" t="s">
        <v>121</v>
      </c>
      <c r="O901" s="0" t="s">
        <v>1165</v>
      </c>
      <c r="P901" s="0" t="s">
        <v>1593</v>
      </c>
      <c r="Q901" s="0" t="n">
        <v>144</v>
      </c>
      <c r="R901" s="0" t="n">
        <v>113</v>
      </c>
      <c r="T901" s="0" t="s">
        <v>2916</v>
      </c>
      <c r="U901" s="0" t="s">
        <v>2890</v>
      </c>
      <c r="V901" s="0" t="s">
        <v>123</v>
      </c>
      <c r="W901" s="0" t="s">
        <v>2915</v>
      </c>
      <c r="X901" s="0" t="s">
        <v>2911</v>
      </c>
      <c r="Y901" s="0" t="s">
        <v>2744</v>
      </c>
      <c r="Z901" s="0" t="s">
        <v>2745</v>
      </c>
      <c r="AB901" s="0" t="s">
        <v>1594</v>
      </c>
      <c r="AC901" s="0" t="s">
        <v>2747</v>
      </c>
      <c r="AD901" s="0" t="s">
        <v>2748</v>
      </c>
      <c r="AE901" s="0" t="s">
        <v>2749</v>
      </c>
      <c r="AF901" s="0" t="s">
        <v>2856</v>
      </c>
      <c r="AH901" s="0" t="s">
        <v>2751</v>
      </c>
      <c r="AL901" s="0" t="s">
        <v>384</v>
      </c>
    </row>
    <row r="902" customFormat="false" ht="15" hidden="false" customHeight="false" outlineLevel="0" collapsed="false">
      <c r="A902" s="0" t="s">
        <v>619</v>
      </c>
      <c r="B902" s="0" t="s">
        <v>116</v>
      </c>
      <c r="C902" s="0" t="s">
        <v>2850</v>
      </c>
      <c r="D902" s="0" t="n">
        <v>2020</v>
      </c>
      <c r="E902" s="0" t="s">
        <v>55</v>
      </c>
      <c r="F902" s="0" t="n">
        <v>2370347</v>
      </c>
      <c r="G902" s="0" t="s">
        <v>1681</v>
      </c>
      <c r="H902" s="0" t="s">
        <v>1648</v>
      </c>
      <c r="I902" s="0" t="n">
        <v>2370347</v>
      </c>
      <c r="J902" s="0" t="s">
        <v>2739</v>
      </c>
      <c r="K902" s="0" t="s">
        <v>952</v>
      </c>
      <c r="L902" s="0" t="n">
        <v>2021</v>
      </c>
      <c r="M902" s="0" t="s">
        <v>953</v>
      </c>
      <c r="N902" s="0" t="s">
        <v>121</v>
      </c>
      <c r="O902" s="0" t="s">
        <v>1165</v>
      </c>
      <c r="P902" s="0" t="s">
        <v>1593</v>
      </c>
      <c r="Q902" s="0" t="n">
        <v>32</v>
      </c>
      <c r="R902" s="0" t="n">
        <v>1</v>
      </c>
      <c r="T902" s="0" t="s">
        <v>2895</v>
      </c>
      <c r="U902" s="0" t="s">
        <v>2741</v>
      </c>
      <c r="V902" s="0" t="s">
        <v>122</v>
      </c>
      <c r="W902" s="0" t="s">
        <v>2891</v>
      </c>
      <c r="X902" s="0" t="s">
        <v>2892</v>
      </c>
      <c r="Y902" s="0" t="s">
        <v>2744</v>
      </c>
      <c r="Z902" s="0" t="s">
        <v>2745</v>
      </c>
      <c r="AB902" s="0" t="s">
        <v>1594</v>
      </c>
      <c r="AC902" s="0" t="s">
        <v>2747</v>
      </c>
      <c r="AD902" s="0" t="s">
        <v>2748</v>
      </c>
      <c r="AE902" s="0" t="s">
        <v>2749</v>
      </c>
      <c r="AF902" s="0" t="s">
        <v>2856</v>
      </c>
      <c r="AH902" s="0" t="s">
        <v>2751</v>
      </c>
      <c r="AL902" s="0" t="s">
        <v>384</v>
      </c>
    </row>
    <row r="903" customFormat="false" ht="15" hidden="false" customHeight="false" outlineLevel="0" collapsed="false">
      <c r="A903" s="0" t="s">
        <v>620</v>
      </c>
      <c r="B903" s="0" t="s">
        <v>116</v>
      </c>
      <c r="C903" s="0" t="s">
        <v>2850</v>
      </c>
      <c r="D903" s="0" t="n">
        <v>2020</v>
      </c>
      <c r="E903" s="0" t="s">
        <v>56</v>
      </c>
      <c r="F903" s="0" t="n">
        <v>2128226</v>
      </c>
      <c r="G903" s="0" t="s">
        <v>1681</v>
      </c>
      <c r="H903" s="0" t="s">
        <v>1648</v>
      </c>
      <c r="I903" s="0" t="n">
        <v>2128226</v>
      </c>
      <c r="J903" s="0" t="s">
        <v>2739</v>
      </c>
      <c r="K903" s="0" t="s">
        <v>952</v>
      </c>
      <c r="L903" s="0" t="n">
        <v>2021</v>
      </c>
      <c r="M903" s="0" t="s">
        <v>953</v>
      </c>
      <c r="N903" s="0" t="s">
        <v>121</v>
      </c>
      <c r="O903" s="0" t="s">
        <v>1165</v>
      </c>
      <c r="P903" s="0" t="s">
        <v>1593</v>
      </c>
      <c r="Q903" s="0" t="n">
        <v>32</v>
      </c>
      <c r="R903" s="0" t="n">
        <v>1</v>
      </c>
      <c r="T903" s="0" t="s">
        <v>2895</v>
      </c>
      <c r="U903" s="0" t="s">
        <v>2741</v>
      </c>
      <c r="V903" s="0" t="s">
        <v>122</v>
      </c>
      <c r="W903" s="0" t="s">
        <v>2893</v>
      </c>
      <c r="X903" s="0" t="s">
        <v>2892</v>
      </c>
      <c r="Y903" s="0" t="s">
        <v>2744</v>
      </c>
      <c r="Z903" s="0" t="s">
        <v>2745</v>
      </c>
      <c r="AB903" s="0" t="s">
        <v>1594</v>
      </c>
      <c r="AC903" s="0" t="s">
        <v>2747</v>
      </c>
      <c r="AD903" s="0" t="s">
        <v>2748</v>
      </c>
      <c r="AE903" s="0" t="s">
        <v>2749</v>
      </c>
      <c r="AF903" s="0" t="s">
        <v>2856</v>
      </c>
      <c r="AH903" s="0" t="s">
        <v>2751</v>
      </c>
      <c r="AL903" s="0" t="s">
        <v>384</v>
      </c>
    </row>
    <row r="904" customFormat="false" ht="15" hidden="false" customHeight="false" outlineLevel="0" collapsed="false">
      <c r="A904" s="0" t="s">
        <v>621</v>
      </c>
      <c r="B904" s="0" t="s">
        <v>116</v>
      </c>
      <c r="C904" s="0" t="s">
        <v>2850</v>
      </c>
      <c r="D904" s="0" t="n">
        <v>2020</v>
      </c>
      <c r="E904" s="0" t="s">
        <v>57</v>
      </c>
      <c r="F904" s="0" t="n">
        <v>242121</v>
      </c>
      <c r="G904" s="0" t="s">
        <v>1681</v>
      </c>
      <c r="H904" s="0" t="s">
        <v>1648</v>
      </c>
      <c r="I904" s="0" t="n">
        <v>242121</v>
      </c>
      <c r="J904" s="0" t="s">
        <v>2739</v>
      </c>
      <c r="K904" s="0" t="s">
        <v>952</v>
      </c>
      <c r="L904" s="0" t="n">
        <v>2021</v>
      </c>
      <c r="M904" s="0" t="s">
        <v>953</v>
      </c>
      <c r="N904" s="0" t="s">
        <v>121</v>
      </c>
      <c r="O904" s="0" t="s">
        <v>1165</v>
      </c>
      <c r="P904" s="0" t="s">
        <v>1593</v>
      </c>
      <c r="Q904" s="0" t="n">
        <v>32</v>
      </c>
      <c r="R904" s="0" t="n">
        <v>1</v>
      </c>
      <c r="T904" s="0" t="s">
        <v>2895</v>
      </c>
      <c r="U904" s="0" t="s">
        <v>2741</v>
      </c>
      <c r="V904" s="0" t="s">
        <v>122</v>
      </c>
      <c r="W904" s="0" t="s">
        <v>2894</v>
      </c>
      <c r="X904" s="0" t="s">
        <v>2892</v>
      </c>
      <c r="Y904" s="0" t="s">
        <v>2744</v>
      </c>
      <c r="Z904" s="0" t="s">
        <v>2745</v>
      </c>
      <c r="AB904" s="0" t="s">
        <v>1594</v>
      </c>
      <c r="AC904" s="0" t="s">
        <v>2747</v>
      </c>
      <c r="AD904" s="0" t="s">
        <v>2748</v>
      </c>
      <c r="AE904" s="0" t="s">
        <v>2749</v>
      </c>
      <c r="AF904" s="0" t="s">
        <v>2856</v>
      </c>
      <c r="AH904" s="0" t="s">
        <v>2751</v>
      </c>
      <c r="AL904" s="0" t="s">
        <v>384</v>
      </c>
    </row>
    <row r="905" customFormat="false" ht="15" hidden="false" customHeight="false" outlineLevel="0" collapsed="false">
      <c r="A905" s="0" t="s">
        <v>618</v>
      </c>
      <c r="B905" s="0" t="s">
        <v>116</v>
      </c>
      <c r="C905" s="0" t="s">
        <v>2850</v>
      </c>
      <c r="D905" s="0" t="n">
        <v>2020</v>
      </c>
      <c r="E905" s="0" t="s">
        <v>54</v>
      </c>
      <c r="F905" s="0" t="n">
        <v>59489</v>
      </c>
      <c r="G905" s="0" t="s">
        <v>1681</v>
      </c>
      <c r="H905" s="0" t="s">
        <v>1648</v>
      </c>
      <c r="I905" s="0" t="n">
        <v>59489</v>
      </c>
      <c r="J905" s="0" t="s">
        <v>2739</v>
      </c>
      <c r="K905" s="0" t="s">
        <v>952</v>
      </c>
      <c r="L905" s="0" t="n">
        <v>2021</v>
      </c>
      <c r="M905" s="0" t="s">
        <v>953</v>
      </c>
      <c r="N905" s="0" t="s">
        <v>121</v>
      </c>
      <c r="O905" s="0" t="s">
        <v>1165</v>
      </c>
      <c r="P905" s="0" t="s">
        <v>1593</v>
      </c>
      <c r="Q905" s="0" t="n">
        <v>33</v>
      </c>
      <c r="R905" s="0" t="n">
        <v>2</v>
      </c>
      <c r="T905" s="0" t="s">
        <v>2786</v>
      </c>
      <c r="U905" s="0" t="s">
        <v>2741</v>
      </c>
      <c r="V905" s="0" t="s">
        <v>122</v>
      </c>
      <c r="W905" s="0" t="s">
        <v>2897</v>
      </c>
      <c r="X905" s="0" t="s">
        <v>2898</v>
      </c>
      <c r="Y905" s="0" t="s">
        <v>2744</v>
      </c>
      <c r="Z905" s="0" t="s">
        <v>2745</v>
      </c>
      <c r="AB905" s="0" t="s">
        <v>1594</v>
      </c>
      <c r="AC905" s="0" t="s">
        <v>2747</v>
      </c>
      <c r="AD905" s="0" t="s">
        <v>2748</v>
      </c>
      <c r="AE905" s="0" t="s">
        <v>2749</v>
      </c>
      <c r="AF905" s="0" t="s">
        <v>2856</v>
      </c>
      <c r="AH905" s="0" t="s">
        <v>2751</v>
      </c>
      <c r="AL905" s="0" t="s">
        <v>384</v>
      </c>
    </row>
    <row r="906" customFormat="false" ht="15" hidden="false" customHeight="false" outlineLevel="0" collapsed="false">
      <c r="A906" s="0" t="s">
        <v>633</v>
      </c>
      <c r="B906" s="0" t="s">
        <v>116</v>
      </c>
      <c r="C906" s="0" t="s">
        <v>2850</v>
      </c>
      <c r="D906" s="0" t="n">
        <v>2020</v>
      </c>
      <c r="E906" s="0" t="s">
        <v>402</v>
      </c>
      <c r="F906" s="0" t="n">
        <v>58306</v>
      </c>
      <c r="G906" s="0" t="s">
        <v>1681</v>
      </c>
      <c r="H906" s="0" t="s">
        <v>1648</v>
      </c>
      <c r="I906" s="0" t="n">
        <v>58306</v>
      </c>
      <c r="J906" s="0" t="s">
        <v>2739</v>
      </c>
      <c r="K906" s="0" t="s">
        <v>952</v>
      </c>
      <c r="L906" s="0" t="n">
        <v>2021</v>
      </c>
      <c r="M906" s="0" t="s">
        <v>953</v>
      </c>
      <c r="N906" s="0" t="s">
        <v>121</v>
      </c>
      <c r="O906" s="0" t="s">
        <v>1165</v>
      </c>
      <c r="P906" s="0" t="s">
        <v>1593</v>
      </c>
      <c r="Q906" s="0" t="n">
        <v>33</v>
      </c>
      <c r="R906" s="0" t="n">
        <v>2</v>
      </c>
      <c r="T906" s="0" t="s">
        <v>2786</v>
      </c>
      <c r="U906" s="0" t="s">
        <v>2741</v>
      </c>
      <c r="V906" s="0" t="s">
        <v>122</v>
      </c>
      <c r="W906" s="0" t="s">
        <v>2899</v>
      </c>
      <c r="X906" s="0" t="s">
        <v>2898</v>
      </c>
      <c r="Y906" s="0" t="s">
        <v>2744</v>
      </c>
      <c r="Z906" s="0" t="s">
        <v>2745</v>
      </c>
      <c r="AB906" s="0" t="s">
        <v>1594</v>
      </c>
      <c r="AC906" s="0" t="s">
        <v>2747</v>
      </c>
      <c r="AD906" s="0" t="s">
        <v>2748</v>
      </c>
      <c r="AE906" s="0" t="s">
        <v>2749</v>
      </c>
      <c r="AF906" s="0" t="s">
        <v>2856</v>
      </c>
      <c r="AH906" s="0" t="s">
        <v>2751</v>
      </c>
      <c r="AL906" s="0" t="s">
        <v>384</v>
      </c>
    </row>
    <row r="907" customFormat="false" ht="15" hidden="false" customHeight="false" outlineLevel="0" collapsed="false">
      <c r="A907" s="0" t="s">
        <v>626</v>
      </c>
      <c r="B907" s="0" t="s">
        <v>116</v>
      </c>
      <c r="C907" s="0" t="s">
        <v>2850</v>
      </c>
      <c r="D907" s="0" t="n">
        <v>2020</v>
      </c>
      <c r="E907" s="0" t="s">
        <v>63</v>
      </c>
      <c r="F907" s="0" t="n">
        <v>-10170</v>
      </c>
      <c r="G907" s="0" t="s">
        <v>1681</v>
      </c>
      <c r="H907" s="0" t="s">
        <v>1648</v>
      </c>
      <c r="I907" s="0" t="n">
        <v>10170</v>
      </c>
      <c r="J907" s="0" t="s">
        <v>2739</v>
      </c>
      <c r="K907" s="0" t="s">
        <v>952</v>
      </c>
      <c r="L907" s="0" t="n">
        <v>2021</v>
      </c>
      <c r="M907" s="0" t="s">
        <v>953</v>
      </c>
      <c r="N907" s="0" t="s">
        <v>121</v>
      </c>
      <c r="O907" s="0" t="s">
        <v>1165</v>
      </c>
      <c r="P907" s="0" t="s">
        <v>1593</v>
      </c>
      <c r="Q907" s="0" t="n">
        <v>33</v>
      </c>
      <c r="R907" s="0" t="n">
        <v>2</v>
      </c>
      <c r="S907" s="0" t="n">
        <v>31.6</v>
      </c>
      <c r="T907" s="0" t="s">
        <v>2786</v>
      </c>
      <c r="U907" s="0" t="s">
        <v>2741</v>
      </c>
      <c r="V907" s="0" t="s">
        <v>122</v>
      </c>
      <c r="W907" s="0" t="s">
        <v>2900</v>
      </c>
      <c r="X907" s="0" t="s">
        <v>2898</v>
      </c>
      <c r="Y907" s="0" t="s">
        <v>2744</v>
      </c>
      <c r="Z907" s="0" t="s">
        <v>2745</v>
      </c>
      <c r="AA907" s="0" t="s">
        <v>2917</v>
      </c>
      <c r="AB907" s="0" t="s">
        <v>1594</v>
      </c>
      <c r="AC907" s="0" t="s">
        <v>2747</v>
      </c>
      <c r="AD907" s="0" t="s">
        <v>2748</v>
      </c>
      <c r="AE907" s="0" t="s">
        <v>2749</v>
      </c>
      <c r="AF907" s="0" t="s">
        <v>2856</v>
      </c>
      <c r="AH907" s="0" t="s">
        <v>2760</v>
      </c>
      <c r="AI907" s="0" t="s">
        <v>2761</v>
      </c>
      <c r="AL907" s="0" t="s">
        <v>384</v>
      </c>
    </row>
    <row r="908" customFormat="false" ht="15" hidden="false" customHeight="false" outlineLevel="0" collapsed="false">
      <c r="A908" s="0" t="s">
        <v>622</v>
      </c>
      <c r="B908" s="0" t="s">
        <v>116</v>
      </c>
      <c r="C908" s="0" t="s">
        <v>2850</v>
      </c>
      <c r="D908" s="0" t="n">
        <v>2020</v>
      </c>
      <c r="E908" s="0" t="s">
        <v>58</v>
      </c>
      <c r="F908" s="0" t="n">
        <v>465539</v>
      </c>
      <c r="G908" s="0" t="s">
        <v>1681</v>
      </c>
      <c r="H908" s="0" t="s">
        <v>1648</v>
      </c>
      <c r="I908" s="0" t="n">
        <v>465539</v>
      </c>
      <c r="J908" s="0" t="s">
        <v>2739</v>
      </c>
      <c r="K908" s="0" t="s">
        <v>952</v>
      </c>
      <c r="L908" s="0" t="n">
        <v>2021</v>
      </c>
      <c r="M908" s="0" t="s">
        <v>953</v>
      </c>
      <c r="N908" s="0" t="s">
        <v>121</v>
      </c>
      <c r="O908" s="0" t="s">
        <v>1165</v>
      </c>
      <c r="P908" s="0" t="s">
        <v>1593</v>
      </c>
      <c r="Q908" s="0" t="n">
        <v>37</v>
      </c>
      <c r="R908" s="0" t="n">
        <v>6</v>
      </c>
      <c r="T908" s="0" t="s">
        <v>2895</v>
      </c>
      <c r="U908" s="0" t="s">
        <v>2741</v>
      </c>
      <c r="V908" s="0" t="s">
        <v>122</v>
      </c>
      <c r="W908" s="0" t="s">
        <v>2902</v>
      </c>
      <c r="X908" s="0" t="s">
        <v>2903</v>
      </c>
      <c r="Y908" s="0" t="s">
        <v>2744</v>
      </c>
      <c r="Z908" s="0" t="s">
        <v>2745</v>
      </c>
      <c r="AB908" s="0" t="s">
        <v>1594</v>
      </c>
      <c r="AC908" s="0" t="s">
        <v>2747</v>
      </c>
      <c r="AD908" s="0" t="s">
        <v>2748</v>
      </c>
      <c r="AE908" s="0" t="s">
        <v>2749</v>
      </c>
      <c r="AF908" s="0" t="s">
        <v>2856</v>
      </c>
      <c r="AH908" s="0" t="s">
        <v>2751</v>
      </c>
      <c r="AL908" s="0" t="s">
        <v>384</v>
      </c>
    </row>
    <row r="909" customFormat="false" ht="15" hidden="false" customHeight="false" outlineLevel="0" collapsed="false">
      <c r="A909" s="0" t="s">
        <v>623</v>
      </c>
      <c r="B909" s="0" t="s">
        <v>116</v>
      </c>
      <c r="C909" s="0" t="s">
        <v>2850</v>
      </c>
      <c r="D909" s="0" t="n">
        <v>2020</v>
      </c>
      <c r="E909" s="0" t="s">
        <v>60</v>
      </c>
      <c r="F909" s="0" t="n">
        <v>655292</v>
      </c>
      <c r="G909" s="0" t="s">
        <v>1681</v>
      </c>
      <c r="H909" s="0" t="s">
        <v>1648</v>
      </c>
      <c r="I909" s="0" t="n">
        <v>655292</v>
      </c>
      <c r="J909" s="0" t="s">
        <v>2739</v>
      </c>
      <c r="K909" s="0" t="s">
        <v>952</v>
      </c>
      <c r="L909" s="0" t="n">
        <v>2021</v>
      </c>
      <c r="M909" s="0" t="s">
        <v>953</v>
      </c>
      <c r="N909" s="0" t="s">
        <v>121</v>
      </c>
      <c r="O909" s="0" t="s">
        <v>1165</v>
      </c>
      <c r="P909" s="0" t="s">
        <v>1593</v>
      </c>
      <c r="Q909" s="0" t="n">
        <v>71</v>
      </c>
      <c r="R909" s="0" t="n">
        <v>40</v>
      </c>
      <c r="S909" s="0" t="s">
        <v>2870</v>
      </c>
      <c r="T909" s="0" t="s">
        <v>2895</v>
      </c>
      <c r="U909" s="0" t="s">
        <v>2741</v>
      </c>
      <c r="V909" s="0" t="s">
        <v>122</v>
      </c>
      <c r="W909" s="0" t="s">
        <v>2904</v>
      </c>
      <c r="X909" s="0" t="s">
        <v>2905</v>
      </c>
      <c r="Y909" s="0" t="s">
        <v>2744</v>
      </c>
      <c r="Z909" s="0" t="s">
        <v>2745</v>
      </c>
      <c r="AB909" s="0" t="s">
        <v>1594</v>
      </c>
      <c r="AC909" s="0" t="s">
        <v>2747</v>
      </c>
      <c r="AD909" s="0" t="s">
        <v>2748</v>
      </c>
      <c r="AE909" s="0" t="s">
        <v>2749</v>
      </c>
      <c r="AF909" s="0" t="s">
        <v>2856</v>
      </c>
      <c r="AH909" s="0" t="s">
        <v>2751</v>
      </c>
      <c r="AL909" s="0" t="s">
        <v>384</v>
      </c>
    </row>
    <row r="910" customFormat="false" ht="15" hidden="false" customHeight="false" outlineLevel="0" collapsed="false">
      <c r="A910" s="0" t="s">
        <v>624</v>
      </c>
      <c r="B910" s="0" t="s">
        <v>116</v>
      </c>
      <c r="C910" s="0" t="s">
        <v>2850</v>
      </c>
      <c r="D910" s="0" t="n">
        <v>2020</v>
      </c>
      <c r="E910" s="0" t="s">
        <v>61</v>
      </c>
      <c r="F910" s="0" t="n">
        <v>-30153</v>
      </c>
      <c r="G910" s="0" t="s">
        <v>1681</v>
      </c>
      <c r="H910" s="0" t="s">
        <v>1648</v>
      </c>
      <c r="I910" s="0" t="n">
        <v>30153</v>
      </c>
      <c r="J910" s="0" t="s">
        <v>2739</v>
      </c>
      <c r="K910" s="0" t="s">
        <v>952</v>
      </c>
      <c r="L910" s="0" t="n">
        <v>2021</v>
      </c>
      <c r="M910" s="0" t="s">
        <v>953</v>
      </c>
      <c r="N910" s="0" t="s">
        <v>121</v>
      </c>
      <c r="O910" s="0" t="s">
        <v>1165</v>
      </c>
      <c r="P910" s="0" t="s">
        <v>1593</v>
      </c>
      <c r="Q910" s="0" t="n">
        <v>71</v>
      </c>
      <c r="R910" s="0" t="n">
        <v>40</v>
      </c>
      <c r="S910" s="0" t="s">
        <v>2870</v>
      </c>
      <c r="T910" s="0" t="s">
        <v>2895</v>
      </c>
      <c r="U910" s="0" t="s">
        <v>2741</v>
      </c>
      <c r="V910" s="0" t="s">
        <v>122</v>
      </c>
      <c r="W910" s="0" t="s">
        <v>2906</v>
      </c>
      <c r="X910" s="0" t="s">
        <v>2905</v>
      </c>
      <c r="Y910" s="0" t="s">
        <v>2744</v>
      </c>
      <c r="Z910" s="0" t="s">
        <v>2745</v>
      </c>
      <c r="AA910" s="0" t="s">
        <v>2829</v>
      </c>
      <c r="AB910" s="0" t="s">
        <v>1594</v>
      </c>
      <c r="AC910" s="0" t="s">
        <v>2747</v>
      </c>
      <c r="AD910" s="0" t="s">
        <v>2748</v>
      </c>
      <c r="AE910" s="0" t="s">
        <v>2749</v>
      </c>
      <c r="AF910" s="0" t="s">
        <v>2856</v>
      </c>
      <c r="AH910" s="0" t="s">
        <v>2760</v>
      </c>
      <c r="AI910" s="0" t="s">
        <v>2770</v>
      </c>
      <c r="AL910" s="0" t="s">
        <v>384</v>
      </c>
    </row>
    <row r="911" customFormat="false" ht="15" hidden="false" customHeight="false" outlineLevel="0" collapsed="false">
      <c r="A911" s="0" t="s">
        <v>625</v>
      </c>
      <c r="B911" s="0" t="s">
        <v>116</v>
      </c>
      <c r="C911" s="0" t="s">
        <v>2850</v>
      </c>
      <c r="D911" s="0" t="n">
        <v>2020</v>
      </c>
      <c r="E911" s="0" t="s">
        <v>62</v>
      </c>
      <c r="F911" s="0" t="n">
        <v>625139</v>
      </c>
      <c r="G911" s="0" t="s">
        <v>1681</v>
      </c>
      <c r="H911" s="0" t="s">
        <v>1648</v>
      </c>
      <c r="I911" s="0" t="n">
        <v>625139</v>
      </c>
      <c r="J911" s="0" t="s">
        <v>2739</v>
      </c>
      <c r="K911" s="0" t="s">
        <v>952</v>
      </c>
      <c r="L911" s="0" t="n">
        <v>2021</v>
      </c>
      <c r="M911" s="0" t="s">
        <v>953</v>
      </c>
      <c r="N911" s="0" t="s">
        <v>121</v>
      </c>
      <c r="O911" s="0" t="s">
        <v>1165</v>
      </c>
      <c r="P911" s="0" t="s">
        <v>1593</v>
      </c>
      <c r="Q911" s="0" t="n">
        <v>71</v>
      </c>
      <c r="R911" s="0" t="n">
        <v>40</v>
      </c>
      <c r="S911" s="0" t="s">
        <v>2870</v>
      </c>
      <c r="T911" s="0" t="s">
        <v>2895</v>
      </c>
      <c r="U911" s="0" t="s">
        <v>2741</v>
      </c>
      <c r="V911" s="0" t="s">
        <v>122</v>
      </c>
      <c r="W911" s="0" t="s">
        <v>2907</v>
      </c>
      <c r="X911" s="0" t="s">
        <v>2905</v>
      </c>
      <c r="Y911" s="0" t="s">
        <v>2744</v>
      </c>
      <c r="Z911" s="0" t="s">
        <v>2745</v>
      </c>
      <c r="AB911" s="0" t="s">
        <v>1594</v>
      </c>
      <c r="AC911" s="0" t="s">
        <v>2747</v>
      </c>
      <c r="AD911" s="0" t="s">
        <v>2748</v>
      </c>
      <c r="AE911" s="0" t="s">
        <v>2749</v>
      </c>
      <c r="AF911" s="0" t="s">
        <v>2856</v>
      </c>
      <c r="AH911" s="0" t="s">
        <v>2751</v>
      </c>
      <c r="AL911" s="0" t="s">
        <v>384</v>
      </c>
    </row>
    <row r="912" customFormat="false" ht="15" hidden="false" customHeight="false" outlineLevel="0" collapsed="false">
      <c r="A912" s="0" t="s">
        <v>632</v>
      </c>
      <c r="B912" s="0" t="s">
        <v>116</v>
      </c>
      <c r="C912" s="0" t="s">
        <v>2850</v>
      </c>
      <c r="D912" s="0" t="n">
        <v>2020</v>
      </c>
      <c r="E912" s="0" t="s">
        <v>68</v>
      </c>
      <c r="F912" s="0" t="n">
        <v>-21963</v>
      </c>
      <c r="G912" s="0" t="s">
        <v>1681</v>
      </c>
      <c r="H912" s="0" t="s">
        <v>1648</v>
      </c>
      <c r="I912" s="0" t="n">
        <v>21963</v>
      </c>
      <c r="J912" s="0" t="s">
        <v>2739</v>
      </c>
      <c r="K912" s="0" t="s">
        <v>952</v>
      </c>
      <c r="L912" s="0" t="n">
        <v>2021</v>
      </c>
      <c r="M912" s="0" t="s">
        <v>953</v>
      </c>
      <c r="N912" s="0" t="s">
        <v>121</v>
      </c>
      <c r="O912" s="0" t="s">
        <v>1165</v>
      </c>
      <c r="P912" s="0" t="s">
        <v>1593</v>
      </c>
      <c r="Q912" s="0" t="n">
        <v>71</v>
      </c>
      <c r="R912" s="0" t="n">
        <v>40</v>
      </c>
      <c r="S912" s="0" t="s">
        <v>2870</v>
      </c>
      <c r="T912" s="0" t="s">
        <v>2895</v>
      </c>
      <c r="U912" s="0" t="s">
        <v>2741</v>
      </c>
      <c r="V912" s="0" t="s">
        <v>122</v>
      </c>
      <c r="W912" s="0" t="s">
        <v>2908</v>
      </c>
      <c r="X912" s="0" t="s">
        <v>2905</v>
      </c>
      <c r="Y912" s="0" t="s">
        <v>2744</v>
      </c>
      <c r="Z912" s="0" t="s">
        <v>2745</v>
      </c>
      <c r="AA912" s="0" t="s">
        <v>2829</v>
      </c>
      <c r="AB912" s="0" t="s">
        <v>1594</v>
      </c>
      <c r="AC912" s="0" t="s">
        <v>2747</v>
      </c>
      <c r="AD912" s="0" t="s">
        <v>2748</v>
      </c>
      <c r="AE912" s="0" t="s">
        <v>2749</v>
      </c>
      <c r="AF912" s="0" t="s">
        <v>2856</v>
      </c>
      <c r="AH912" s="0" t="s">
        <v>2760</v>
      </c>
      <c r="AI912" s="0" t="s">
        <v>2770</v>
      </c>
      <c r="AL912" s="0" t="s">
        <v>384</v>
      </c>
    </row>
    <row r="913" customFormat="false" ht="15" hidden="false" customHeight="false" outlineLevel="0" collapsed="false">
      <c r="A913" s="0" t="s">
        <v>2918</v>
      </c>
      <c r="B913" s="0" t="s">
        <v>116</v>
      </c>
      <c r="C913" s="0" t="s">
        <v>2850</v>
      </c>
      <c r="D913" s="0" t="n">
        <v>2020</v>
      </c>
      <c r="E913" s="0" t="s">
        <v>2919</v>
      </c>
      <c r="F913" s="0" t="n">
        <v>202809</v>
      </c>
      <c r="G913" s="0" t="s">
        <v>1681</v>
      </c>
      <c r="H913" s="0" t="s">
        <v>1648</v>
      </c>
      <c r="I913" s="0" t="n">
        <v>202809</v>
      </c>
      <c r="J913" s="0" t="s">
        <v>2739</v>
      </c>
      <c r="K913" s="0" t="s">
        <v>952</v>
      </c>
      <c r="L913" s="0" t="n">
        <v>2021</v>
      </c>
      <c r="M913" s="0" t="s">
        <v>953</v>
      </c>
      <c r="N913" s="0" t="s">
        <v>121</v>
      </c>
      <c r="O913" s="0" t="s">
        <v>1165</v>
      </c>
      <c r="P913" s="0" t="s">
        <v>1593</v>
      </c>
      <c r="Q913" s="0" t="n">
        <v>144</v>
      </c>
      <c r="R913" s="0" t="n">
        <v>113</v>
      </c>
      <c r="T913" s="0" t="s">
        <v>2920</v>
      </c>
      <c r="U913" s="0" t="s">
        <v>2741</v>
      </c>
      <c r="V913" s="0" t="s">
        <v>122</v>
      </c>
      <c r="W913" s="0" t="s">
        <v>2921</v>
      </c>
      <c r="X913" s="0" t="s">
        <v>2911</v>
      </c>
      <c r="Y913" s="0" t="s">
        <v>2744</v>
      </c>
      <c r="Z913" s="0" t="s">
        <v>2745</v>
      </c>
      <c r="AA913" s="0" t="s">
        <v>2922</v>
      </c>
      <c r="AB913" s="0" t="s">
        <v>1594</v>
      </c>
      <c r="AC913" s="0" t="s">
        <v>2747</v>
      </c>
      <c r="AD913" s="0" t="s">
        <v>2748</v>
      </c>
      <c r="AE913" s="0" t="s">
        <v>2749</v>
      </c>
      <c r="AF913" s="0" t="s">
        <v>2856</v>
      </c>
      <c r="AH913" s="0" t="s">
        <v>2751</v>
      </c>
      <c r="AL913" s="0" t="s">
        <v>384</v>
      </c>
    </row>
    <row r="914" customFormat="false" ht="15" hidden="false" customHeight="false" outlineLevel="0" collapsed="false">
      <c r="A914" s="0" t="s">
        <v>2923</v>
      </c>
      <c r="B914" s="0" t="s">
        <v>116</v>
      </c>
      <c r="C914" s="0" t="s">
        <v>2850</v>
      </c>
      <c r="D914" s="0" t="n">
        <v>2020</v>
      </c>
      <c r="E914" s="0" t="s">
        <v>2924</v>
      </c>
      <c r="F914" s="0" t="n">
        <v>18599</v>
      </c>
      <c r="G914" s="0" t="s">
        <v>1681</v>
      </c>
      <c r="H914" s="0" t="s">
        <v>1648</v>
      </c>
      <c r="I914" s="0" t="n">
        <v>18599</v>
      </c>
      <c r="J914" s="0" t="s">
        <v>2739</v>
      </c>
      <c r="K914" s="0" t="s">
        <v>952</v>
      </c>
      <c r="L914" s="0" t="n">
        <v>2021</v>
      </c>
      <c r="M914" s="0" t="s">
        <v>953</v>
      </c>
      <c r="N914" s="0" t="s">
        <v>121</v>
      </c>
      <c r="O914" s="0" t="s">
        <v>1165</v>
      </c>
      <c r="P914" s="0" t="s">
        <v>1593</v>
      </c>
      <c r="Q914" s="0" t="n">
        <v>144</v>
      </c>
      <c r="R914" s="0" t="n">
        <v>113</v>
      </c>
      <c r="T914" s="0" t="s">
        <v>2920</v>
      </c>
      <c r="U914" s="0" t="s">
        <v>2741</v>
      </c>
      <c r="V914" s="0" t="s">
        <v>122</v>
      </c>
      <c r="W914" s="0" t="s">
        <v>2925</v>
      </c>
      <c r="X914" s="0" t="s">
        <v>2911</v>
      </c>
      <c r="Y914" s="0" t="s">
        <v>2744</v>
      </c>
      <c r="Z914" s="0" t="s">
        <v>2745</v>
      </c>
      <c r="AA914" s="0" t="s">
        <v>2926</v>
      </c>
      <c r="AB914" s="0" t="s">
        <v>1594</v>
      </c>
      <c r="AC914" s="0" t="s">
        <v>2747</v>
      </c>
      <c r="AD914" s="0" t="s">
        <v>2748</v>
      </c>
      <c r="AE914" s="0" t="s">
        <v>2749</v>
      </c>
      <c r="AF914" s="0" t="s">
        <v>2856</v>
      </c>
      <c r="AH914" s="0" t="s">
        <v>2751</v>
      </c>
      <c r="AL914" s="0" t="s">
        <v>384</v>
      </c>
    </row>
    <row r="915" customFormat="false" ht="15" hidden="false" customHeight="false" outlineLevel="0" collapsed="false">
      <c r="A915" s="0" t="s">
        <v>2927</v>
      </c>
      <c r="B915" s="0" t="s">
        <v>116</v>
      </c>
      <c r="C915" s="0" t="s">
        <v>2850</v>
      </c>
      <c r="D915" s="0" t="n">
        <v>2020</v>
      </c>
      <c r="E915" s="0" t="s">
        <v>2928</v>
      </c>
      <c r="F915" s="0" t="n">
        <v>204868</v>
      </c>
      <c r="G915" s="0" t="s">
        <v>1681</v>
      </c>
      <c r="H915" s="0" t="s">
        <v>1648</v>
      </c>
      <c r="I915" s="0" t="n">
        <v>204868</v>
      </c>
      <c r="J915" s="0" t="s">
        <v>2739</v>
      </c>
      <c r="K915" s="0" t="s">
        <v>952</v>
      </c>
      <c r="L915" s="0" t="n">
        <v>2021</v>
      </c>
      <c r="M915" s="0" t="s">
        <v>953</v>
      </c>
      <c r="N915" s="0" t="s">
        <v>121</v>
      </c>
      <c r="O915" s="0" t="s">
        <v>1165</v>
      </c>
      <c r="P915" s="0" t="s">
        <v>1593</v>
      </c>
      <c r="Q915" s="0" t="n">
        <v>144</v>
      </c>
      <c r="R915" s="0" t="n">
        <v>113</v>
      </c>
      <c r="T915" s="0" t="s">
        <v>2929</v>
      </c>
      <c r="U915" s="0" t="s">
        <v>2741</v>
      </c>
      <c r="V915" s="0" t="s">
        <v>122</v>
      </c>
      <c r="W915" s="0" t="s">
        <v>2921</v>
      </c>
      <c r="X915" s="0" t="s">
        <v>2911</v>
      </c>
      <c r="Y915" s="0" t="s">
        <v>2744</v>
      </c>
      <c r="Z915" s="0" t="s">
        <v>2745</v>
      </c>
      <c r="AA915" s="0" t="s">
        <v>2922</v>
      </c>
      <c r="AB915" s="0" t="s">
        <v>1594</v>
      </c>
      <c r="AC915" s="0" t="s">
        <v>2747</v>
      </c>
      <c r="AD915" s="0" t="s">
        <v>2748</v>
      </c>
      <c r="AE915" s="0" t="s">
        <v>2749</v>
      </c>
      <c r="AF915" s="0" t="s">
        <v>2856</v>
      </c>
      <c r="AH915" s="0" t="s">
        <v>2751</v>
      </c>
      <c r="AL915" s="0" t="s">
        <v>384</v>
      </c>
    </row>
    <row r="916" customFormat="false" ht="15" hidden="false" customHeight="false" outlineLevel="0" collapsed="false">
      <c r="A916" s="0" t="s">
        <v>2930</v>
      </c>
      <c r="B916" s="0" t="s">
        <v>116</v>
      </c>
      <c r="C916" s="0" t="s">
        <v>2850</v>
      </c>
      <c r="D916" s="0" t="n">
        <v>2020</v>
      </c>
      <c r="E916" s="0" t="s">
        <v>2931</v>
      </c>
      <c r="F916" s="0" t="n">
        <v>18600</v>
      </c>
      <c r="G916" s="0" t="s">
        <v>1681</v>
      </c>
      <c r="H916" s="0" t="s">
        <v>1648</v>
      </c>
      <c r="I916" s="0" t="n">
        <v>18600</v>
      </c>
      <c r="J916" s="0" t="s">
        <v>2739</v>
      </c>
      <c r="K916" s="0" t="s">
        <v>952</v>
      </c>
      <c r="L916" s="0" t="n">
        <v>2021</v>
      </c>
      <c r="M916" s="0" t="s">
        <v>953</v>
      </c>
      <c r="N916" s="0" t="s">
        <v>121</v>
      </c>
      <c r="O916" s="0" t="s">
        <v>1165</v>
      </c>
      <c r="P916" s="0" t="s">
        <v>1593</v>
      </c>
      <c r="Q916" s="0" t="n">
        <v>144</v>
      </c>
      <c r="R916" s="0" t="n">
        <v>113</v>
      </c>
      <c r="T916" s="0" t="s">
        <v>2929</v>
      </c>
      <c r="U916" s="0" t="s">
        <v>2741</v>
      </c>
      <c r="V916" s="0" t="s">
        <v>122</v>
      </c>
      <c r="W916" s="0" t="s">
        <v>2925</v>
      </c>
      <c r="X916" s="0" t="s">
        <v>2911</v>
      </c>
      <c r="Y916" s="0" t="s">
        <v>2744</v>
      </c>
      <c r="Z916" s="0" t="s">
        <v>2745</v>
      </c>
      <c r="AA916" s="0" t="s">
        <v>2926</v>
      </c>
      <c r="AB916" s="0" t="s">
        <v>1594</v>
      </c>
      <c r="AC916" s="0" t="s">
        <v>2747</v>
      </c>
      <c r="AD916" s="0" t="s">
        <v>2748</v>
      </c>
      <c r="AE916" s="0" t="s">
        <v>2749</v>
      </c>
      <c r="AF916" s="0" t="s">
        <v>2856</v>
      </c>
      <c r="AH916" s="0" t="s">
        <v>2751</v>
      </c>
      <c r="AL916" s="0" t="s">
        <v>384</v>
      </c>
    </row>
    <row r="917" customFormat="false" ht="15" hidden="false" customHeight="false" outlineLevel="0" collapsed="false">
      <c r="A917" s="0" t="s">
        <v>630</v>
      </c>
      <c r="B917" s="0" t="s">
        <v>116</v>
      </c>
      <c r="C917" s="0" t="s">
        <v>2850</v>
      </c>
      <c r="D917" s="0" t="n">
        <v>2020</v>
      </c>
      <c r="E917" s="0" t="s">
        <v>66</v>
      </c>
      <c r="F917" s="0" t="n">
        <v>1140396</v>
      </c>
      <c r="G917" s="0" t="s">
        <v>1681</v>
      </c>
      <c r="H917" s="0" t="s">
        <v>1648</v>
      </c>
      <c r="I917" s="0" t="n">
        <v>1140396</v>
      </c>
      <c r="J917" s="0" t="s">
        <v>2739</v>
      </c>
      <c r="K917" s="0" t="s">
        <v>952</v>
      </c>
      <c r="L917" s="0" t="n">
        <v>2021</v>
      </c>
      <c r="M917" s="0" t="s">
        <v>953</v>
      </c>
      <c r="N917" s="0" t="s">
        <v>121</v>
      </c>
      <c r="O917" s="0" t="s">
        <v>1165</v>
      </c>
      <c r="P917" s="0" t="s">
        <v>1593</v>
      </c>
      <c r="Q917" s="0" t="n">
        <v>144</v>
      </c>
      <c r="R917" s="0" t="n">
        <v>113</v>
      </c>
      <c r="T917" s="0" t="s">
        <v>2920</v>
      </c>
      <c r="U917" s="0" t="s">
        <v>2741</v>
      </c>
      <c r="V917" s="0" t="s">
        <v>122</v>
      </c>
      <c r="W917" s="0" t="s">
        <v>2913</v>
      </c>
      <c r="X917" s="0" t="s">
        <v>2911</v>
      </c>
      <c r="Y917" s="0" t="s">
        <v>2744</v>
      </c>
      <c r="Z917" s="0" t="s">
        <v>2745</v>
      </c>
      <c r="AB917" s="0" t="s">
        <v>1594</v>
      </c>
      <c r="AC917" s="0" t="s">
        <v>2747</v>
      </c>
      <c r="AD917" s="0" t="s">
        <v>2748</v>
      </c>
      <c r="AE917" s="0" t="s">
        <v>2749</v>
      </c>
      <c r="AF917" s="0" t="s">
        <v>2856</v>
      </c>
      <c r="AH917" s="0" t="s">
        <v>2751</v>
      </c>
      <c r="AL917" s="0" t="s">
        <v>384</v>
      </c>
    </row>
    <row r="918" customFormat="false" ht="15" hidden="false" customHeight="false" outlineLevel="0" collapsed="false">
      <c r="A918" s="0" t="s">
        <v>627</v>
      </c>
      <c r="B918" s="0" t="s">
        <v>116</v>
      </c>
      <c r="C918" s="0" t="s">
        <v>2850</v>
      </c>
      <c r="D918" s="0" t="n">
        <v>2020</v>
      </c>
      <c r="E918" s="0" t="s">
        <v>69</v>
      </c>
      <c r="F918" s="0" t="s">
        <v>2932</v>
      </c>
      <c r="G918" s="0" t="s">
        <v>1723</v>
      </c>
      <c r="I918" s="0" t="n">
        <v>19.4</v>
      </c>
      <c r="J918" s="0" t="s">
        <v>2739</v>
      </c>
      <c r="K918" s="0" t="s">
        <v>952</v>
      </c>
      <c r="L918" s="0" t="n">
        <v>2021</v>
      </c>
      <c r="M918" s="0" t="s">
        <v>953</v>
      </c>
      <c r="N918" s="0" t="s">
        <v>121</v>
      </c>
      <c r="O918" s="0" t="s">
        <v>1165</v>
      </c>
      <c r="P918" s="0" t="s">
        <v>1593</v>
      </c>
      <c r="Q918" s="0" t="n">
        <v>144</v>
      </c>
      <c r="R918" s="0" t="n">
        <v>113</v>
      </c>
      <c r="T918" s="0" t="s">
        <v>2920</v>
      </c>
      <c r="U918" s="0" t="s">
        <v>2741</v>
      </c>
      <c r="V918" s="0" t="s">
        <v>122</v>
      </c>
      <c r="W918" s="0" t="s">
        <v>2915</v>
      </c>
      <c r="X918" s="0" t="s">
        <v>2911</v>
      </c>
      <c r="Y918" s="0" t="s">
        <v>2744</v>
      </c>
      <c r="Z918" s="0" t="s">
        <v>2745</v>
      </c>
      <c r="AA918" s="0" t="s">
        <v>2933</v>
      </c>
      <c r="AB918" s="0" t="s">
        <v>1594</v>
      </c>
      <c r="AC918" s="0" t="s">
        <v>2747</v>
      </c>
      <c r="AD918" s="0" t="s">
        <v>2748</v>
      </c>
      <c r="AE918" s="0" t="s">
        <v>2749</v>
      </c>
      <c r="AF918" s="0" t="s">
        <v>2856</v>
      </c>
      <c r="AH918" s="0" t="s">
        <v>2751</v>
      </c>
      <c r="AL918" s="0" t="s">
        <v>384</v>
      </c>
    </row>
    <row r="919" customFormat="false" ht="15" hidden="false" customHeight="false" outlineLevel="0" collapsed="false">
      <c r="A919" s="0" t="s">
        <v>628</v>
      </c>
      <c r="B919" s="0" t="s">
        <v>116</v>
      </c>
      <c r="C919" s="0" t="s">
        <v>2850</v>
      </c>
      <c r="D919" s="0" t="n">
        <v>2020</v>
      </c>
      <c r="E919" s="0" t="s">
        <v>591</v>
      </c>
      <c r="F919" s="0" t="s">
        <v>2934</v>
      </c>
      <c r="G919" s="0" t="s">
        <v>1723</v>
      </c>
      <c r="I919" s="0" t="n">
        <v>19.6</v>
      </c>
      <c r="J919" s="0" t="s">
        <v>2739</v>
      </c>
      <c r="K919" s="0" t="s">
        <v>952</v>
      </c>
      <c r="L919" s="0" t="n">
        <v>2021</v>
      </c>
      <c r="M919" s="0" t="s">
        <v>953</v>
      </c>
      <c r="N919" s="0" t="s">
        <v>121</v>
      </c>
      <c r="O919" s="0" t="s">
        <v>1165</v>
      </c>
      <c r="P919" s="0" t="s">
        <v>1593</v>
      </c>
      <c r="Q919" s="0" t="n">
        <v>144</v>
      </c>
      <c r="R919" s="0" t="n">
        <v>113</v>
      </c>
      <c r="T919" s="0" t="s">
        <v>2929</v>
      </c>
      <c r="U919" s="0" t="s">
        <v>2741</v>
      </c>
      <c r="V919" s="0" t="s">
        <v>122</v>
      </c>
      <c r="W919" s="0" t="s">
        <v>2915</v>
      </c>
      <c r="X919" s="0" t="s">
        <v>2911</v>
      </c>
      <c r="Y919" s="0" t="s">
        <v>2744</v>
      </c>
      <c r="Z919" s="0" t="s">
        <v>2745</v>
      </c>
      <c r="AA919" s="0" t="s">
        <v>2935</v>
      </c>
      <c r="AB919" s="0" t="s">
        <v>1594</v>
      </c>
      <c r="AC919" s="0" t="s">
        <v>2747</v>
      </c>
      <c r="AD919" s="0" t="s">
        <v>2748</v>
      </c>
      <c r="AE919" s="0" t="s">
        <v>2749</v>
      </c>
      <c r="AF919" s="0" t="s">
        <v>2856</v>
      </c>
      <c r="AH919" s="0" t="s">
        <v>2751</v>
      </c>
      <c r="AL919" s="0" t="s">
        <v>384</v>
      </c>
    </row>
    <row r="920" customFormat="false" ht="15" hidden="false" customHeight="false" outlineLevel="0" collapsed="false">
      <c r="A920" s="0" t="s">
        <v>648</v>
      </c>
      <c r="B920" s="0" t="s">
        <v>116</v>
      </c>
      <c r="C920" s="0" t="s">
        <v>2850</v>
      </c>
      <c r="D920" s="0" t="n">
        <v>2021</v>
      </c>
      <c r="E920" s="0" t="s">
        <v>73</v>
      </c>
      <c r="F920" s="0" t="n">
        <v>0</v>
      </c>
      <c r="G920" s="0" t="s">
        <v>2844</v>
      </c>
      <c r="I920" s="0" t="n">
        <v>0</v>
      </c>
      <c r="J920" s="0" t="s">
        <v>2845</v>
      </c>
      <c r="K920" s="0" t="s">
        <v>952</v>
      </c>
      <c r="L920" s="0" t="n">
        <v>2021</v>
      </c>
      <c r="M920" s="0" t="s">
        <v>953</v>
      </c>
      <c r="N920" s="0" t="s">
        <v>121</v>
      </c>
      <c r="O920" s="0" t="s">
        <v>1165</v>
      </c>
      <c r="P920" s="0" t="s">
        <v>1593</v>
      </c>
      <c r="Q920" s="0" t="n">
        <v>26</v>
      </c>
      <c r="S920" s="0" t="s">
        <v>2936</v>
      </c>
      <c r="T920" s="0" t="s">
        <v>2937</v>
      </c>
      <c r="U920" s="0" t="s">
        <v>2890</v>
      </c>
      <c r="V920" s="0" t="s">
        <v>123</v>
      </c>
      <c r="W920" s="0" t="s">
        <v>2938</v>
      </c>
      <c r="X920" s="0" t="s">
        <v>2939</v>
      </c>
      <c r="Y920" s="0" t="s">
        <v>2799</v>
      </c>
      <c r="Z920" s="0" t="s">
        <v>2745</v>
      </c>
      <c r="AA920" s="0" t="s">
        <v>2940</v>
      </c>
      <c r="AB920" s="0" t="s">
        <v>1594</v>
      </c>
      <c r="AC920" s="0" t="s">
        <v>2747</v>
      </c>
      <c r="AD920" s="0" t="s">
        <v>2748</v>
      </c>
      <c r="AG920" s="0" t="s">
        <v>944</v>
      </c>
      <c r="AH920" s="0" t="s">
        <v>2751</v>
      </c>
      <c r="AL920" s="0" t="s">
        <v>400</v>
      </c>
    </row>
    <row r="921" customFormat="false" ht="15" hidden="false" customHeight="false" outlineLevel="0" collapsed="false">
      <c r="A921" s="0" t="s">
        <v>666</v>
      </c>
      <c r="B921" s="0" t="s">
        <v>116</v>
      </c>
      <c r="C921" s="0" t="s">
        <v>2850</v>
      </c>
      <c r="D921" s="0" t="n">
        <v>2022</v>
      </c>
      <c r="E921" s="0" t="s">
        <v>73</v>
      </c>
      <c r="F921" s="0" t="n">
        <v>0</v>
      </c>
      <c r="G921" s="0" t="s">
        <v>2844</v>
      </c>
      <c r="I921" s="0" t="n">
        <v>0</v>
      </c>
      <c r="J921" s="0" t="s">
        <v>2845</v>
      </c>
      <c r="K921" s="0" t="s">
        <v>961</v>
      </c>
      <c r="L921" s="0" t="n">
        <v>2022</v>
      </c>
      <c r="M921" s="0" t="s">
        <v>962</v>
      </c>
      <c r="N921" s="0" t="s">
        <v>124</v>
      </c>
      <c r="O921" s="0" t="s">
        <v>1215</v>
      </c>
      <c r="P921" s="0" t="s">
        <v>1589</v>
      </c>
      <c r="Q921" s="0" t="n">
        <v>26</v>
      </c>
      <c r="S921" s="0" t="s">
        <v>2936</v>
      </c>
      <c r="T921" s="0" t="s">
        <v>2941</v>
      </c>
      <c r="U921" s="0" t="s">
        <v>2852</v>
      </c>
      <c r="V921" s="0" t="s">
        <v>125</v>
      </c>
      <c r="W921" s="0" t="s">
        <v>2938</v>
      </c>
      <c r="X921" s="0" t="s">
        <v>2942</v>
      </c>
      <c r="Y921" s="0" t="s">
        <v>2799</v>
      </c>
      <c r="Z921" s="0" t="s">
        <v>2745</v>
      </c>
      <c r="AA921" s="0" t="s">
        <v>2943</v>
      </c>
      <c r="AB921" s="0" t="s">
        <v>1590</v>
      </c>
      <c r="AC921" s="0" t="s">
        <v>2747</v>
      </c>
      <c r="AD921" s="0" t="s">
        <v>2748</v>
      </c>
      <c r="AG921" s="0" t="s">
        <v>944</v>
      </c>
      <c r="AH921" s="0" t="s">
        <v>2751</v>
      </c>
      <c r="AL921" s="0" t="s">
        <v>400</v>
      </c>
    </row>
    <row r="922" customFormat="false" ht="15" hidden="false" customHeight="false" outlineLevel="0" collapsed="false">
      <c r="A922" s="0" t="s">
        <v>733</v>
      </c>
      <c r="B922" s="0" t="s">
        <v>163</v>
      </c>
      <c r="C922" s="0" t="s">
        <v>2944</v>
      </c>
      <c r="D922" s="0" t="n">
        <v>2016</v>
      </c>
      <c r="E922" s="0" t="s">
        <v>54</v>
      </c>
      <c r="F922" s="0" t="n">
        <v>119285</v>
      </c>
      <c r="G922" s="0" t="s">
        <v>1681</v>
      </c>
      <c r="H922" s="0" t="s">
        <v>1648</v>
      </c>
      <c r="I922" s="0" t="n">
        <v>119285</v>
      </c>
      <c r="J922" s="0" t="s">
        <v>2739</v>
      </c>
      <c r="K922" s="0" t="s">
        <v>2945</v>
      </c>
      <c r="L922" s="0" t="n">
        <v>2016</v>
      </c>
      <c r="M922" s="0" t="s">
        <v>1228</v>
      </c>
      <c r="N922" s="0" t="s">
        <v>165</v>
      </c>
      <c r="O922" s="0" t="s">
        <v>1229</v>
      </c>
      <c r="P922" s="0" t="s">
        <v>2946</v>
      </c>
      <c r="Q922" s="0" t="n">
        <v>32</v>
      </c>
      <c r="R922" s="0" t="n">
        <v>31</v>
      </c>
      <c r="T922" s="0" t="s">
        <v>2947</v>
      </c>
      <c r="U922" s="0" t="s">
        <v>2796</v>
      </c>
      <c r="V922" s="0" t="s">
        <v>166</v>
      </c>
      <c r="W922" s="0" t="s">
        <v>2948</v>
      </c>
      <c r="X922" s="0" t="s">
        <v>2949</v>
      </c>
      <c r="Y922" s="0" t="s">
        <v>2744</v>
      </c>
      <c r="Z922" s="0" t="s">
        <v>2745</v>
      </c>
      <c r="AB922" s="0" t="s">
        <v>2950</v>
      </c>
      <c r="AC922" s="0" t="s">
        <v>2747</v>
      </c>
      <c r="AD922" s="0" t="s">
        <v>2748</v>
      </c>
      <c r="AE922" s="0" t="s">
        <v>2749</v>
      </c>
      <c r="AF922" s="0" t="s">
        <v>2951</v>
      </c>
      <c r="AH922" s="0" t="s">
        <v>2751</v>
      </c>
      <c r="AL922" s="0" t="s">
        <v>384</v>
      </c>
    </row>
    <row r="923" customFormat="false" ht="15" hidden="false" customHeight="false" outlineLevel="0" collapsed="false">
      <c r="A923" s="0" t="s">
        <v>747</v>
      </c>
      <c r="B923" s="0" t="s">
        <v>163</v>
      </c>
      <c r="C923" s="0" t="s">
        <v>2944</v>
      </c>
      <c r="D923" s="0" t="n">
        <v>2016</v>
      </c>
      <c r="E923" s="0" t="s">
        <v>402</v>
      </c>
      <c r="F923" s="0" t="n">
        <v>139927</v>
      </c>
      <c r="G923" s="0" t="s">
        <v>1681</v>
      </c>
      <c r="H923" s="0" t="s">
        <v>1648</v>
      </c>
      <c r="I923" s="0" t="n">
        <v>139927</v>
      </c>
      <c r="J923" s="0" t="s">
        <v>2739</v>
      </c>
      <c r="K923" s="0" t="s">
        <v>2945</v>
      </c>
      <c r="L923" s="0" t="n">
        <v>2016</v>
      </c>
      <c r="M923" s="0" t="s">
        <v>1228</v>
      </c>
      <c r="N923" s="0" t="s">
        <v>165</v>
      </c>
      <c r="O923" s="0" t="s">
        <v>1229</v>
      </c>
      <c r="P923" s="0" t="s">
        <v>2946</v>
      </c>
      <c r="Q923" s="0" t="n">
        <v>32</v>
      </c>
      <c r="R923" s="0" t="n">
        <v>31</v>
      </c>
      <c r="T923" s="0" t="s">
        <v>2947</v>
      </c>
      <c r="U923" s="0" t="s">
        <v>2796</v>
      </c>
      <c r="V923" s="0" t="s">
        <v>166</v>
      </c>
      <c r="W923" s="0" t="s">
        <v>2952</v>
      </c>
      <c r="X923" s="0" t="s">
        <v>2949</v>
      </c>
      <c r="Y923" s="0" t="s">
        <v>2744</v>
      </c>
      <c r="Z923" s="0" t="s">
        <v>2745</v>
      </c>
      <c r="AB923" s="0" t="s">
        <v>2950</v>
      </c>
      <c r="AC923" s="0" t="s">
        <v>2747</v>
      </c>
      <c r="AD923" s="0" t="s">
        <v>2748</v>
      </c>
      <c r="AE923" s="0" t="s">
        <v>2749</v>
      </c>
      <c r="AF923" s="0" t="s">
        <v>2951</v>
      </c>
      <c r="AH923" s="0" t="s">
        <v>2751</v>
      </c>
      <c r="AL923" s="0" t="s">
        <v>384</v>
      </c>
    </row>
    <row r="924" customFormat="false" ht="15" hidden="false" customHeight="false" outlineLevel="0" collapsed="false">
      <c r="A924" s="0" t="s">
        <v>742</v>
      </c>
      <c r="B924" s="0" t="s">
        <v>163</v>
      </c>
      <c r="C924" s="0" t="s">
        <v>2944</v>
      </c>
      <c r="D924" s="0" t="n">
        <v>2016</v>
      </c>
      <c r="E924" s="0" t="s">
        <v>63</v>
      </c>
      <c r="F924" s="0" t="n">
        <v>-26295</v>
      </c>
      <c r="G924" s="0" t="s">
        <v>1681</v>
      </c>
      <c r="H924" s="0" t="s">
        <v>1648</v>
      </c>
      <c r="I924" s="0" t="n">
        <v>26295</v>
      </c>
      <c r="J924" s="0" t="s">
        <v>2739</v>
      </c>
      <c r="K924" s="0" t="s">
        <v>2945</v>
      </c>
      <c r="L924" s="0" t="n">
        <v>2016</v>
      </c>
      <c r="M924" s="0" t="s">
        <v>1228</v>
      </c>
      <c r="N924" s="0" t="s">
        <v>165</v>
      </c>
      <c r="O924" s="0" t="s">
        <v>1229</v>
      </c>
      <c r="P924" s="0" t="s">
        <v>2946</v>
      </c>
      <c r="Q924" s="0" t="n">
        <v>32</v>
      </c>
      <c r="R924" s="0" t="n">
        <v>31</v>
      </c>
      <c r="S924" s="0" t="n">
        <v>8</v>
      </c>
      <c r="T924" s="0" t="s">
        <v>2947</v>
      </c>
      <c r="U924" s="0" t="s">
        <v>2796</v>
      </c>
      <c r="V924" s="0" t="s">
        <v>166</v>
      </c>
      <c r="W924" s="0" t="s">
        <v>2953</v>
      </c>
      <c r="X924" s="0" t="s">
        <v>2949</v>
      </c>
      <c r="Y924" s="0" t="s">
        <v>2744</v>
      </c>
      <c r="Z924" s="0" t="s">
        <v>2745</v>
      </c>
      <c r="AA924" s="0" t="s">
        <v>2954</v>
      </c>
      <c r="AB924" s="0" t="s">
        <v>2950</v>
      </c>
      <c r="AC924" s="0" t="s">
        <v>2747</v>
      </c>
      <c r="AD924" s="0" t="s">
        <v>2748</v>
      </c>
      <c r="AE924" s="0" t="s">
        <v>2749</v>
      </c>
      <c r="AF924" s="0" t="s">
        <v>2951</v>
      </c>
      <c r="AH924" s="0" t="s">
        <v>2760</v>
      </c>
      <c r="AI924" s="0" t="s">
        <v>2761</v>
      </c>
      <c r="AL924" s="0" t="s">
        <v>384</v>
      </c>
    </row>
    <row r="925" customFormat="false" ht="15" hidden="false" customHeight="false" outlineLevel="0" collapsed="false">
      <c r="A925" s="0" t="s">
        <v>734</v>
      </c>
      <c r="B925" s="0" t="s">
        <v>163</v>
      </c>
      <c r="C925" s="0" t="s">
        <v>2944</v>
      </c>
      <c r="D925" s="0" t="n">
        <v>2016</v>
      </c>
      <c r="E925" s="0" t="s">
        <v>55</v>
      </c>
      <c r="F925" s="0" t="n">
        <v>4283736</v>
      </c>
      <c r="G925" s="0" t="s">
        <v>1681</v>
      </c>
      <c r="H925" s="0" t="s">
        <v>1648</v>
      </c>
      <c r="I925" s="0" t="n">
        <v>4283736</v>
      </c>
      <c r="J925" s="0" t="s">
        <v>2739</v>
      </c>
      <c r="K925" s="0" t="s">
        <v>2945</v>
      </c>
      <c r="L925" s="0" t="n">
        <v>2016</v>
      </c>
      <c r="M925" s="0" t="s">
        <v>1228</v>
      </c>
      <c r="N925" s="0" t="s">
        <v>165</v>
      </c>
      <c r="O925" s="0" t="s">
        <v>1229</v>
      </c>
      <c r="P925" s="0" t="s">
        <v>2946</v>
      </c>
      <c r="Q925" s="0" t="n">
        <v>33</v>
      </c>
      <c r="R925" s="0" t="n">
        <v>32</v>
      </c>
      <c r="T925" s="0" t="s">
        <v>2955</v>
      </c>
      <c r="U925" s="0" t="s">
        <v>2796</v>
      </c>
      <c r="V925" s="0" t="s">
        <v>166</v>
      </c>
      <c r="W925" s="0" t="s">
        <v>2956</v>
      </c>
      <c r="X925" s="0" t="s">
        <v>2957</v>
      </c>
      <c r="Y925" s="0" t="s">
        <v>2744</v>
      </c>
      <c r="Z925" s="0" t="s">
        <v>2745</v>
      </c>
      <c r="AB925" s="0" t="s">
        <v>2950</v>
      </c>
      <c r="AC925" s="0" t="s">
        <v>2747</v>
      </c>
      <c r="AD925" s="0" t="s">
        <v>2748</v>
      </c>
      <c r="AE925" s="0" t="s">
        <v>2749</v>
      </c>
      <c r="AF925" s="0" t="s">
        <v>2951</v>
      </c>
      <c r="AH925" s="0" t="s">
        <v>2751</v>
      </c>
      <c r="AL925" s="0" t="s">
        <v>384</v>
      </c>
    </row>
    <row r="926" customFormat="false" ht="15" hidden="false" customHeight="false" outlineLevel="0" collapsed="false">
      <c r="A926" s="0" t="s">
        <v>735</v>
      </c>
      <c r="B926" s="0" t="s">
        <v>163</v>
      </c>
      <c r="C926" s="0" t="s">
        <v>2944</v>
      </c>
      <c r="D926" s="0" t="n">
        <v>2016</v>
      </c>
      <c r="E926" s="0" t="s">
        <v>56</v>
      </c>
      <c r="F926" s="0" t="n">
        <v>3667383</v>
      </c>
      <c r="G926" s="0" t="s">
        <v>1681</v>
      </c>
      <c r="H926" s="0" t="s">
        <v>1648</v>
      </c>
      <c r="I926" s="0" t="n">
        <v>3667383</v>
      </c>
      <c r="J926" s="0" t="s">
        <v>2739</v>
      </c>
      <c r="K926" s="0" t="s">
        <v>2945</v>
      </c>
      <c r="L926" s="0" t="n">
        <v>2016</v>
      </c>
      <c r="M926" s="0" t="s">
        <v>1228</v>
      </c>
      <c r="N926" s="0" t="s">
        <v>165</v>
      </c>
      <c r="O926" s="0" t="s">
        <v>1229</v>
      </c>
      <c r="P926" s="0" t="s">
        <v>2946</v>
      </c>
      <c r="Q926" s="0" t="n">
        <v>33</v>
      </c>
      <c r="R926" s="0" t="n">
        <v>32</v>
      </c>
      <c r="T926" s="0" t="s">
        <v>2955</v>
      </c>
      <c r="U926" s="0" t="s">
        <v>2796</v>
      </c>
      <c r="V926" s="0" t="s">
        <v>166</v>
      </c>
      <c r="W926" s="0" t="s">
        <v>2958</v>
      </c>
      <c r="X926" s="0" t="s">
        <v>2957</v>
      </c>
      <c r="Y926" s="0" t="s">
        <v>2744</v>
      </c>
      <c r="Z926" s="0" t="s">
        <v>2745</v>
      </c>
      <c r="AB926" s="0" t="s">
        <v>2950</v>
      </c>
      <c r="AC926" s="0" t="s">
        <v>2747</v>
      </c>
      <c r="AD926" s="0" t="s">
        <v>2748</v>
      </c>
      <c r="AE926" s="0" t="s">
        <v>2749</v>
      </c>
      <c r="AF926" s="0" t="s">
        <v>2951</v>
      </c>
      <c r="AH926" s="0" t="s">
        <v>2751</v>
      </c>
      <c r="AL926" s="0" t="s">
        <v>384</v>
      </c>
    </row>
    <row r="927" customFormat="false" ht="15" hidden="false" customHeight="false" outlineLevel="0" collapsed="false">
      <c r="A927" s="0" t="s">
        <v>736</v>
      </c>
      <c r="B927" s="0" t="s">
        <v>163</v>
      </c>
      <c r="C927" s="0" t="s">
        <v>2944</v>
      </c>
      <c r="D927" s="0" t="n">
        <v>2016</v>
      </c>
      <c r="E927" s="0" t="s">
        <v>57</v>
      </c>
      <c r="F927" s="0" t="n">
        <v>616353</v>
      </c>
      <c r="G927" s="0" t="s">
        <v>1681</v>
      </c>
      <c r="H927" s="0" t="s">
        <v>1648</v>
      </c>
      <c r="I927" s="0" t="n">
        <v>616353</v>
      </c>
      <c r="J927" s="0" t="s">
        <v>2739</v>
      </c>
      <c r="K927" s="0" t="s">
        <v>2945</v>
      </c>
      <c r="L927" s="0" t="n">
        <v>2016</v>
      </c>
      <c r="M927" s="0" t="s">
        <v>1228</v>
      </c>
      <c r="N927" s="0" t="s">
        <v>165</v>
      </c>
      <c r="O927" s="0" t="s">
        <v>1229</v>
      </c>
      <c r="P927" s="0" t="s">
        <v>2946</v>
      </c>
      <c r="Q927" s="0" t="n">
        <v>33</v>
      </c>
      <c r="R927" s="0" t="n">
        <v>32</v>
      </c>
      <c r="T927" s="0" t="s">
        <v>2955</v>
      </c>
      <c r="U927" s="0" t="s">
        <v>2796</v>
      </c>
      <c r="V927" s="0" t="s">
        <v>166</v>
      </c>
      <c r="W927" s="0" t="s">
        <v>2959</v>
      </c>
      <c r="X927" s="0" t="s">
        <v>2957</v>
      </c>
      <c r="Y927" s="0" t="s">
        <v>2744</v>
      </c>
      <c r="Z927" s="0" t="s">
        <v>2745</v>
      </c>
      <c r="AB927" s="0" t="s">
        <v>2950</v>
      </c>
      <c r="AC927" s="0" t="s">
        <v>2747</v>
      </c>
      <c r="AD927" s="0" t="s">
        <v>2748</v>
      </c>
      <c r="AE927" s="0" t="s">
        <v>2749</v>
      </c>
      <c r="AF927" s="0" t="s">
        <v>2951</v>
      </c>
      <c r="AH927" s="0" t="s">
        <v>2751</v>
      </c>
      <c r="AL927" s="0" t="s">
        <v>384</v>
      </c>
    </row>
    <row r="928" customFormat="false" ht="15" hidden="false" customHeight="false" outlineLevel="0" collapsed="false">
      <c r="A928" s="0" t="s">
        <v>738</v>
      </c>
      <c r="B928" s="0" t="s">
        <v>163</v>
      </c>
      <c r="C928" s="0" t="s">
        <v>2944</v>
      </c>
      <c r="D928" s="0" t="n">
        <v>2016</v>
      </c>
      <c r="E928" s="0" t="s">
        <v>59</v>
      </c>
      <c r="F928" s="0" t="n">
        <v>3750327</v>
      </c>
      <c r="G928" s="0" t="s">
        <v>1681</v>
      </c>
      <c r="H928" s="0" t="s">
        <v>1648</v>
      </c>
      <c r="I928" s="0" t="n">
        <v>3750327</v>
      </c>
      <c r="J928" s="0" t="s">
        <v>2739</v>
      </c>
      <c r="K928" s="0" t="s">
        <v>2945</v>
      </c>
      <c r="L928" s="0" t="n">
        <v>2016</v>
      </c>
      <c r="M928" s="0" t="s">
        <v>1228</v>
      </c>
      <c r="N928" s="0" t="s">
        <v>165</v>
      </c>
      <c r="O928" s="0" t="s">
        <v>1229</v>
      </c>
      <c r="P928" s="0" t="s">
        <v>2946</v>
      </c>
      <c r="Q928" s="0" t="n">
        <v>33</v>
      </c>
      <c r="R928" s="0" t="n">
        <v>32</v>
      </c>
      <c r="T928" s="0" t="s">
        <v>2960</v>
      </c>
      <c r="U928" s="0" t="s">
        <v>2796</v>
      </c>
      <c r="V928" s="0" t="s">
        <v>166</v>
      </c>
      <c r="W928" s="0" t="s">
        <v>2956</v>
      </c>
      <c r="X928" s="0" t="s">
        <v>2957</v>
      </c>
      <c r="Y928" s="0" t="s">
        <v>2744</v>
      </c>
      <c r="Z928" s="0" t="s">
        <v>2745</v>
      </c>
      <c r="AA928" s="0" t="s">
        <v>2961</v>
      </c>
      <c r="AB928" s="0" t="s">
        <v>2950</v>
      </c>
      <c r="AC928" s="0" t="s">
        <v>2747</v>
      </c>
      <c r="AD928" s="0" t="s">
        <v>2748</v>
      </c>
      <c r="AE928" s="0" t="s">
        <v>2749</v>
      </c>
      <c r="AF928" s="0" t="s">
        <v>2951</v>
      </c>
      <c r="AH928" s="0" t="s">
        <v>2751</v>
      </c>
      <c r="AL928" s="0" t="s">
        <v>384</v>
      </c>
    </row>
    <row r="929" customFormat="false" ht="15" hidden="false" customHeight="false" outlineLevel="0" collapsed="false">
      <c r="A929" s="0" t="s">
        <v>737</v>
      </c>
      <c r="B929" s="0" t="s">
        <v>163</v>
      </c>
      <c r="C929" s="0" t="s">
        <v>2944</v>
      </c>
      <c r="D929" s="0" t="n">
        <v>2016</v>
      </c>
      <c r="E929" s="0" t="s">
        <v>58</v>
      </c>
      <c r="F929" s="0" t="n">
        <v>-104917</v>
      </c>
      <c r="G929" s="0" t="s">
        <v>1681</v>
      </c>
      <c r="H929" s="0" t="s">
        <v>1648</v>
      </c>
      <c r="I929" s="0" t="n">
        <v>-104917</v>
      </c>
      <c r="J929" s="0" t="s">
        <v>2739</v>
      </c>
      <c r="K929" s="0" t="s">
        <v>2945</v>
      </c>
      <c r="L929" s="0" t="n">
        <v>2016</v>
      </c>
      <c r="M929" s="0" t="s">
        <v>1228</v>
      </c>
      <c r="N929" s="0" t="s">
        <v>165</v>
      </c>
      <c r="O929" s="0" t="s">
        <v>1229</v>
      </c>
      <c r="P929" s="0" t="s">
        <v>2946</v>
      </c>
      <c r="Q929" s="0" t="n">
        <v>36</v>
      </c>
      <c r="R929" s="0" t="n">
        <v>35</v>
      </c>
      <c r="T929" s="0" t="s">
        <v>2962</v>
      </c>
      <c r="U929" s="0" t="s">
        <v>2796</v>
      </c>
      <c r="V929" s="0" t="s">
        <v>166</v>
      </c>
      <c r="W929" s="0" t="s">
        <v>2963</v>
      </c>
      <c r="X929" s="0" t="s">
        <v>2964</v>
      </c>
      <c r="Y929" s="0" t="s">
        <v>2744</v>
      </c>
      <c r="Z929" s="0" t="s">
        <v>2745</v>
      </c>
      <c r="AA929" s="0" t="s">
        <v>2965</v>
      </c>
      <c r="AB929" s="0" t="s">
        <v>2950</v>
      </c>
      <c r="AC929" s="0" t="s">
        <v>2747</v>
      </c>
      <c r="AD929" s="0" t="s">
        <v>2748</v>
      </c>
      <c r="AE929" s="0" t="s">
        <v>2749</v>
      </c>
      <c r="AF929" s="0" t="s">
        <v>2951</v>
      </c>
      <c r="AH929" s="0" t="s">
        <v>2751</v>
      </c>
      <c r="AL929" s="0" t="s">
        <v>384</v>
      </c>
    </row>
    <row r="930" customFormat="false" ht="15" hidden="false" customHeight="false" outlineLevel="0" collapsed="false">
      <c r="A930" s="0" t="s">
        <v>739</v>
      </c>
      <c r="B930" s="0" t="s">
        <v>163</v>
      </c>
      <c r="C930" s="0" t="s">
        <v>2944</v>
      </c>
      <c r="D930" s="0" t="n">
        <v>2016</v>
      </c>
      <c r="E930" s="0" t="s">
        <v>60</v>
      </c>
      <c r="F930" s="0" t="n">
        <v>2193224</v>
      </c>
      <c r="G930" s="0" t="s">
        <v>1681</v>
      </c>
      <c r="H930" s="0" t="s">
        <v>1648</v>
      </c>
      <c r="I930" s="0" t="n">
        <v>2193224</v>
      </c>
      <c r="J930" s="0" t="s">
        <v>2739</v>
      </c>
      <c r="K930" s="0" t="s">
        <v>2945</v>
      </c>
      <c r="L930" s="0" t="n">
        <v>2016</v>
      </c>
      <c r="M930" s="0" t="s">
        <v>1228</v>
      </c>
      <c r="N930" s="0" t="s">
        <v>165</v>
      </c>
      <c r="O930" s="0" t="s">
        <v>1229</v>
      </c>
      <c r="P930" s="0" t="s">
        <v>2946</v>
      </c>
      <c r="Q930" s="0" t="n">
        <v>65</v>
      </c>
      <c r="R930" s="0" t="n">
        <v>64</v>
      </c>
      <c r="S930" s="0" t="s">
        <v>2966</v>
      </c>
      <c r="T930" s="0" t="s">
        <v>2967</v>
      </c>
      <c r="U930" s="0" t="s">
        <v>2796</v>
      </c>
      <c r="V930" s="0" t="s">
        <v>166</v>
      </c>
      <c r="W930" s="0" t="s">
        <v>2968</v>
      </c>
      <c r="X930" s="0" t="s">
        <v>2969</v>
      </c>
      <c r="Y930" s="0" t="s">
        <v>2744</v>
      </c>
      <c r="Z930" s="0" t="s">
        <v>2745</v>
      </c>
      <c r="AA930" s="0" t="s">
        <v>2970</v>
      </c>
      <c r="AB930" s="0" t="s">
        <v>2950</v>
      </c>
      <c r="AC930" s="0" t="s">
        <v>2747</v>
      </c>
      <c r="AD930" s="0" t="s">
        <v>2748</v>
      </c>
      <c r="AE930" s="0" t="s">
        <v>2749</v>
      </c>
      <c r="AF930" s="0" t="s">
        <v>2951</v>
      </c>
      <c r="AH930" s="0" t="s">
        <v>2751</v>
      </c>
      <c r="AL930" s="0" t="s">
        <v>384</v>
      </c>
    </row>
    <row r="931" customFormat="false" ht="15" hidden="false" customHeight="false" outlineLevel="0" collapsed="false">
      <c r="A931" s="0" t="s">
        <v>743</v>
      </c>
      <c r="B931" s="0" t="s">
        <v>163</v>
      </c>
      <c r="C931" s="0" t="s">
        <v>2944</v>
      </c>
      <c r="D931" s="0" t="n">
        <v>2016</v>
      </c>
      <c r="E931" s="0" t="s">
        <v>64</v>
      </c>
      <c r="F931" s="0" t="n">
        <v>57577</v>
      </c>
      <c r="G931" s="0" t="s">
        <v>1681</v>
      </c>
      <c r="H931" s="0" t="s">
        <v>1648</v>
      </c>
      <c r="I931" s="0" t="n">
        <v>57577</v>
      </c>
      <c r="J931" s="0" t="s">
        <v>2739</v>
      </c>
      <c r="K931" s="0" t="s">
        <v>2945</v>
      </c>
      <c r="L931" s="0" t="n">
        <v>2016</v>
      </c>
      <c r="M931" s="0" t="s">
        <v>1228</v>
      </c>
      <c r="N931" s="0" t="s">
        <v>165</v>
      </c>
      <c r="O931" s="0" t="s">
        <v>1229</v>
      </c>
      <c r="P931" s="0" t="s">
        <v>2946</v>
      </c>
      <c r="Q931" s="0" t="n">
        <v>65</v>
      </c>
      <c r="R931" s="0" t="n">
        <v>64</v>
      </c>
      <c r="S931" s="0" t="s">
        <v>2966</v>
      </c>
      <c r="T931" s="0" t="s">
        <v>2971</v>
      </c>
      <c r="U931" s="0" t="s">
        <v>2796</v>
      </c>
      <c r="V931" s="0" t="s">
        <v>166</v>
      </c>
      <c r="W931" s="0" t="s">
        <v>2968</v>
      </c>
      <c r="X931" s="0" t="s">
        <v>2969</v>
      </c>
      <c r="Y931" s="0" t="s">
        <v>2744</v>
      </c>
      <c r="Z931" s="0" t="s">
        <v>2745</v>
      </c>
      <c r="AA931" s="0" t="s">
        <v>2972</v>
      </c>
      <c r="AB931" s="0" t="s">
        <v>2950</v>
      </c>
      <c r="AC931" s="0" t="s">
        <v>2747</v>
      </c>
      <c r="AD931" s="0" t="s">
        <v>2748</v>
      </c>
      <c r="AE931" s="0" t="s">
        <v>2749</v>
      </c>
      <c r="AF931" s="0" t="s">
        <v>2951</v>
      </c>
      <c r="AH931" s="0" t="s">
        <v>2751</v>
      </c>
      <c r="AL931" s="0" t="s">
        <v>384</v>
      </c>
    </row>
    <row r="932" customFormat="false" ht="15" hidden="false" customHeight="false" outlineLevel="0" collapsed="false">
      <c r="A932" s="0" t="s">
        <v>749</v>
      </c>
      <c r="B932" s="0" t="s">
        <v>163</v>
      </c>
      <c r="C932" s="0" t="s">
        <v>2944</v>
      </c>
      <c r="D932" s="0" t="n">
        <v>2016</v>
      </c>
      <c r="E932" s="0" t="s">
        <v>406</v>
      </c>
      <c r="F932" s="0" t="n">
        <v>37485</v>
      </c>
      <c r="G932" s="0" t="s">
        <v>1681</v>
      </c>
      <c r="H932" s="0" t="s">
        <v>1648</v>
      </c>
      <c r="I932" s="0" t="n">
        <v>37485</v>
      </c>
      <c r="J932" s="0" t="s">
        <v>2739</v>
      </c>
      <c r="K932" s="0" t="s">
        <v>2945</v>
      </c>
      <c r="L932" s="0" t="n">
        <v>2016</v>
      </c>
      <c r="M932" s="0" t="s">
        <v>1228</v>
      </c>
      <c r="N932" s="0" t="s">
        <v>165</v>
      </c>
      <c r="O932" s="0" t="s">
        <v>1229</v>
      </c>
      <c r="P932" s="0" t="s">
        <v>2946</v>
      </c>
      <c r="Q932" s="0" t="n">
        <v>65</v>
      </c>
      <c r="R932" s="0" t="n">
        <v>64</v>
      </c>
      <c r="S932" s="0" t="s">
        <v>2966</v>
      </c>
      <c r="T932" s="0" t="s">
        <v>2973</v>
      </c>
      <c r="U932" s="0" t="s">
        <v>2796</v>
      </c>
      <c r="V932" s="0" t="s">
        <v>166</v>
      </c>
      <c r="W932" s="0" t="s">
        <v>2968</v>
      </c>
      <c r="X932" s="0" t="s">
        <v>2969</v>
      </c>
      <c r="Y932" s="0" t="s">
        <v>2744</v>
      </c>
      <c r="Z932" s="0" t="s">
        <v>2745</v>
      </c>
      <c r="AB932" s="0" t="s">
        <v>2950</v>
      </c>
      <c r="AC932" s="0" t="s">
        <v>2747</v>
      </c>
      <c r="AD932" s="0" t="s">
        <v>2748</v>
      </c>
      <c r="AE932" s="0" t="s">
        <v>2749</v>
      </c>
      <c r="AF932" s="0" t="s">
        <v>2951</v>
      </c>
      <c r="AH932" s="0" t="s">
        <v>2751</v>
      </c>
      <c r="AL932" s="0" t="s">
        <v>384</v>
      </c>
    </row>
    <row r="933" customFormat="false" ht="15" hidden="false" customHeight="false" outlineLevel="0" collapsed="false">
      <c r="A933" s="0" t="s">
        <v>748</v>
      </c>
      <c r="B933" s="0" t="s">
        <v>163</v>
      </c>
      <c r="C933" s="0" t="s">
        <v>2944</v>
      </c>
      <c r="D933" s="0" t="n">
        <v>2016</v>
      </c>
      <c r="E933" s="0" t="s">
        <v>404</v>
      </c>
      <c r="F933" s="0" t="n">
        <v>17607</v>
      </c>
      <c r="G933" s="0" t="s">
        <v>1681</v>
      </c>
      <c r="H933" s="0" t="s">
        <v>1648</v>
      </c>
      <c r="I933" s="0" t="n">
        <v>17607</v>
      </c>
      <c r="J933" s="0" t="s">
        <v>2739</v>
      </c>
      <c r="K933" s="0" t="s">
        <v>2945</v>
      </c>
      <c r="L933" s="0" t="n">
        <v>2016</v>
      </c>
      <c r="M933" s="0" t="s">
        <v>1228</v>
      </c>
      <c r="N933" s="0" t="s">
        <v>165</v>
      </c>
      <c r="O933" s="0" t="s">
        <v>1229</v>
      </c>
      <c r="P933" s="0" t="s">
        <v>2946</v>
      </c>
      <c r="Q933" s="0" t="n">
        <v>65</v>
      </c>
      <c r="R933" s="0" t="n">
        <v>64</v>
      </c>
      <c r="S933" s="0" t="s">
        <v>2966</v>
      </c>
      <c r="T933" s="0" t="s">
        <v>2974</v>
      </c>
      <c r="U933" s="0" t="s">
        <v>2796</v>
      </c>
      <c r="V933" s="0" t="s">
        <v>166</v>
      </c>
      <c r="W933" s="0" t="s">
        <v>2968</v>
      </c>
      <c r="X933" s="0" t="s">
        <v>2969</v>
      </c>
      <c r="Y933" s="0" t="s">
        <v>2744</v>
      </c>
      <c r="Z933" s="0" t="s">
        <v>2745</v>
      </c>
      <c r="AB933" s="0" t="s">
        <v>2950</v>
      </c>
      <c r="AC933" s="0" t="s">
        <v>2747</v>
      </c>
      <c r="AD933" s="0" t="s">
        <v>2748</v>
      </c>
      <c r="AE933" s="0" t="s">
        <v>2749</v>
      </c>
      <c r="AF933" s="0" t="s">
        <v>2951</v>
      </c>
      <c r="AH933" s="0" t="s">
        <v>2751</v>
      </c>
      <c r="AL933" s="0" t="s">
        <v>384</v>
      </c>
    </row>
    <row r="934" customFormat="false" ht="15" hidden="false" customHeight="false" outlineLevel="0" collapsed="false">
      <c r="A934" s="0" t="s">
        <v>741</v>
      </c>
      <c r="B934" s="0" t="s">
        <v>163</v>
      </c>
      <c r="C934" s="0" t="s">
        <v>2944</v>
      </c>
      <c r="D934" s="0" t="n">
        <v>2016</v>
      </c>
      <c r="E934" s="0" t="s">
        <v>62</v>
      </c>
      <c r="F934" s="0" t="n">
        <v>2138132</v>
      </c>
      <c r="G934" s="0" t="s">
        <v>1681</v>
      </c>
      <c r="H934" s="0" t="s">
        <v>1648</v>
      </c>
      <c r="I934" s="0" t="n">
        <v>2138132</v>
      </c>
      <c r="J934" s="0" t="s">
        <v>2739</v>
      </c>
      <c r="K934" s="0" t="s">
        <v>2945</v>
      </c>
      <c r="L934" s="0" t="n">
        <v>2016</v>
      </c>
      <c r="M934" s="0" t="s">
        <v>1228</v>
      </c>
      <c r="N934" s="0" t="s">
        <v>165</v>
      </c>
      <c r="O934" s="0" t="s">
        <v>1229</v>
      </c>
      <c r="P934" s="0" t="s">
        <v>2946</v>
      </c>
      <c r="Q934" s="0" t="n">
        <v>65</v>
      </c>
      <c r="R934" s="0" t="n">
        <v>64</v>
      </c>
      <c r="S934" s="0" t="s">
        <v>2966</v>
      </c>
      <c r="T934" s="0" t="s">
        <v>2975</v>
      </c>
      <c r="U934" s="0" t="s">
        <v>2796</v>
      </c>
      <c r="V934" s="0" t="s">
        <v>166</v>
      </c>
      <c r="W934" s="0" t="s">
        <v>2968</v>
      </c>
      <c r="X934" s="0" t="s">
        <v>2969</v>
      </c>
      <c r="Y934" s="0" t="s">
        <v>2744</v>
      </c>
      <c r="Z934" s="0" t="s">
        <v>2745</v>
      </c>
      <c r="AB934" s="0" t="s">
        <v>2950</v>
      </c>
      <c r="AC934" s="0" t="s">
        <v>2747</v>
      </c>
      <c r="AD934" s="0" t="s">
        <v>2748</v>
      </c>
      <c r="AE934" s="0" t="s">
        <v>2749</v>
      </c>
      <c r="AF934" s="0" t="s">
        <v>2951</v>
      </c>
      <c r="AH934" s="0" t="s">
        <v>2751</v>
      </c>
      <c r="AL934" s="0" t="s">
        <v>384</v>
      </c>
    </row>
    <row r="935" customFormat="false" ht="15" hidden="false" customHeight="false" outlineLevel="0" collapsed="false">
      <c r="A935" s="0" t="s">
        <v>745</v>
      </c>
      <c r="B935" s="0" t="s">
        <v>163</v>
      </c>
      <c r="C935" s="0" t="s">
        <v>2944</v>
      </c>
      <c r="D935" s="0" t="n">
        <v>2016</v>
      </c>
      <c r="E935" s="0" t="s">
        <v>65</v>
      </c>
      <c r="F935" s="0" t="n">
        <v>565277</v>
      </c>
      <c r="G935" s="0" t="s">
        <v>1681</v>
      </c>
      <c r="H935" s="0" t="s">
        <v>1648</v>
      </c>
      <c r="I935" s="0" t="n">
        <v>565277</v>
      </c>
      <c r="J935" s="0" t="s">
        <v>2739</v>
      </c>
      <c r="K935" s="0" t="s">
        <v>2945</v>
      </c>
      <c r="L935" s="0" t="n">
        <v>2016</v>
      </c>
      <c r="M935" s="0" t="s">
        <v>1228</v>
      </c>
      <c r="N935" s="0" t="s">
        <v>165</v>
      </c>
      <c r="O935" s="0" t="s">
        <v>1229</v>
      </c>
      <c r="P935" s="0" t="s">
        <v>2946</v>
      </c>
      <c r="Q935" s="0" t="n">
        <v>96</v>
      </c>
      <c r="R935" s="0" t="n">
        <v>95</v>
      </c>
      <c r="T935" s="0" t="s">
        <v>2976</v>
      </c>
      <c r="U935" s="0" t="s">
        <v>2796</v>
      </c>
      <c r="V935" s="0" t="s">
        <v>166</v>
      </c>
      <c r="W935" s="0" t="s">
        <v>2977</v>
      </c>
      <c r="X935" s="0" t="s">
        <v>2978</v>
      </c>
      <c r="Y935" s="0" t="s">
        <v>2744</v>
      </c>
      <c r="Z935" s="0" t="s">
        <v>2745</v>
      </c>
      <c r="AB935" s="0" t="s">
        <v>2950</v>
      </c>
      <c r="AC935" s="0" t="s">
        <v>2747</v>
      </c>
      <c r="AD935" s="0" t="s">
        <v>2748</v>
      </c>
      <c r="AE935" s="0" t="s">
        <v>2749</v>
      </c>
      <c r="AF935" s="0" t="s">
        <v>2951</v>
      </c>
      <c r="AH935" s="0" t="s">
        <v>2751</v>
      </c>
      <c r="AL935" s="0" t="s">
        <v>384</v>
      </c>
    </row>
    <row r="936" customFormat="false" ht="15" hidden="false" customHeight="false" outlineLevel="0" collapsed="false">
      <c r="A936" s="0" t="s">
        <v>746</v>
      </c>
      <c r="B936" s="0" t="s">
        <v>163</v>
      </c>
      <c r="C936" s="0" t="s">
        <v>2944</v>
      </c>
      <c r="D936" s="0" t="n">
        <v>2016</v>
      </c>
      <c r="E936" s="0" t="s">
        <v>66</v>
      </c>
      <c r="F936" s="0" t="n">
        <v>2624643</v>
      </c>
      <c r="G936" s="0" t="s">
        <v>1681</v>
      </c>
      <c r="H936" s="0" t="s">
        <v>1648</v>
      </c>
      <c r="I936" s="0" t="n">
        <v>2624643</v>
      </c>
      <c r="J936" s="0" t="s">
        <v>2739</v>
      </c>
      <c r="K936" s="0" t="s">
        <v>2945</v>
      </c>
      <c r="L936" s="0" t="n">
        <v>2016</v>
      </c>
      <c r="M936" s="0" t="s">
        <v>1228</v>
      </c>
      <c r="N936" s="0" t="s">
        <v>165</v>
      </c>
      <c r="O936" s="0" t="s">
        <v>1229</v>
      </c>
      <c r="P936" s="0" t="s">
        <v>2946</v>
      </c>
      <c r="Q936" s="0" t="n">
        <v>96</v>
      </c>
      <c r="R936" s="0" t="n">
        <v>95</v>
      </c>
      <c r="T936" s="0" t="s">
        <v>2976</v>
      </c>
      <c r="U936" s="0" t="s">
        <v>2796</v>
      </c>
      <c r="V936" s="0" t="s">
        <v>166</v>
      </c>
      <c r="W936" s="0" t="s">
        <v>2979</v>
      </c>
      <c r="X936" s="0" t="s">
        <v>2978</v>
      </c>
      <c r="Y936" s="0" t="s">
        <v>2744</v>
      </c>
      <c r="Z936" s="0" t="s">
        <v>2745</v>
      </c>
      <c r="AB936" s="0" t="s">
        <v>2950</v>
      </c>
      <c r="AC936" s="0" t="s">
        <v>2747</v>
      </c>
      <c r="AD936" s="0" t="s">
        <v>2748</v>
      </c>
      <c r="AE936" s="0" t="s">
        <v>2749</v>
      </c>
      <c r="AF936" s="0" t="s">
        <v>2951</v>
      </c>
      <c r="AH936" s="0" t="s">
        <v>2751</v>
      </c>
      <c r="AL936" s="0" t="s">
        <v>384</v>
      </c>
    </row>
    <row r="937" customFormat="false" ht="15" hidden="false" customHeight="false" outlineLevel="0" collapsed="false">
      <c r="A937" s="0" t="s">
        <v>744</v>
      </c>
      <c r="B937" s="0" t="s">
        <v>163</v>
      </c>
      <c r="C937" s="0" t="s">
        <v>2944</v>
      </c>
      <c r="D937" s="0" t="n">
        <v>2016</v>
      </c>
      <c r="E937" s="0" t="s">
        <v>69</v>
      </c>
      <c r="F937" s="0" t="n">
        <v>22</v>
      </c>
      <c r="G937" s="0" t="s">
        <v>1723</v>
      </c>
      <c r="I937" s="0" t="n">
        <v>22</v>
      </c>
      <c r="J937" s="0" t="s">
        <v>2739</v>
      </c>
      <c r="K937" s="0" t="s">
        <v>2945</v>
      </c>
      <c r="L937" s="0" t="n">
        <v>2016</v>
      </c>
      <c r="M937" s="0" t="s">
        <v>1228</v>
      </c>
      <c r="N937" s="0" t="s">
        <v>165</v>
      </c>
      <c r="O937" s="0" t="s">
        <v>1229</v>
      </c>
      <c r="P937" s="0" t="s">
        <v>2946</v>
      </c>
      <c r="Q937" s="0" t="n">
        <v>96</v>
      </c>
      <c r="R937" s="0" t="n">
        <v>95</v>
      </c>
      <c r="T937" s="0" t="s">
        <v>2976</v>
      </c>
      <c r="U937" s="0" t="s">
        <v>2796</v>
      </c>
      <c r="V937" s="0" t="s">
        <v>166</v>
      </c>
      <c r="W937" s="0" t="s">
        <v>2980</v>
      </c>
      <c r="X937" s="0" t="s">
        <v>2978</v>
      </c>
      <c r="Y937" s="0" t="s">
        <v>2744</v>
      </c>
      <c r="Z937" s="0" t="s">
        <v>2745</v>
      </c>
      <c r="AA937" s="0" t="s">
        <v>2981</v>
      </c>
      <c r="AB937" s="0" t="s">
        <v>2950</v>
      </c>
      <c r="AC937" s="0" t="s">
        <v>2747</v>
      </c>
      <c r="AD937" s="0" t="s">
        <v>2748</v>
      </c>
      <c r="AE937" s="0" t="s">
        <v>2749</v>
      </c>
      <c r="AF937" s="0" t="s">
        <v>2951</v>
      </c>
      <c r="AH937" s="0" t="s">
        <v>2751</v>
      </c>
      <c r="AL937" s="0" t="s">
        <v>384</v>
      </c>
    </row>
    <row r="938" customFormat="false" ht="15" hidden="false" customHeight="false" outlineLevel="0" collapsed="false">
      <c r="A938" s="0" t="s">
        <v>750</v>
      </c>
      <c r="B938" s="0" t="s">
        <v>163</v>
      </c>
      <c r="C938" s="0" t="s">
        <v>2944</v>
      </c>
      <c r="D938" s="0" t="n">
        <v>2017</v>
      </c>
      <c r="E938" s="0" t="s">
        <v>54</v>
      </c>
      <c r="F938" s="0" t="n">
        <v>157145</v>
      </c>
      <c r="G938" s="0" t="s">
        <v>1681</v>
      </c>
      <c r="H938" s="0" t="s">
        <v>1648</v>
      </c>
      <c r="I938" s="0" t="n">
        <v>157145</v>
      </c>
      <c r="J938" s="0" t="s">
        <v>2739</v>
      </c>
      <c r="K938" s="0" t="s">
        <v>2982</v>
      </c>
      <c r="L938" s="0" t="n">
        <v>2017</v>
      </c>
      <c r="M938" s="0" t="s">
        <v>1224</v>
      </c>
      <c r="N938" s="0" t="s">
        <v>167</v>
      </c>
      <c r="O938" s="0" t="s">
        <v>1225</v>
      </c>
      <c r="P938" s="0" t="s">
        <v>2983</v>
      </c>
      <c r="Q938" s="0" t="n">
        <v>29</v>
      </c>
      <c r="R938" s="0" t="n">
        <v>28</v>
      </c>
      <c r="T938" s="0" t="s">
        <v>2984</v>
      </c>
      <c r="U938" s="0" t="s">
        <v>2985</v>
      </c>
      <c r="V938" s="0" t="s">
        <v>168</v>
      </c>
      <c r="W938" s="0" t="s">
        <v>2986</v>
      </c>
      <c r="X938" s="0" t="s">
        <v>2987</v>
      </c>
      <c r="Y938" s="0" t="s">
        <v>2744</v>
      </c>
      <c r="Z938" s="0" t="s">
        <v>2745</v>
      </c>
      <c r="AB938" s="0" t="s">
        <v>2988</v>
      </c>
      <c r="AC938" s="0" t="s">
        <v>2747</v>
      </c>
      <c r="AD938" s="0" t="s">
        <v>2748</v>
      </c>
      <c r="AE938" s="0" t="s">
        <v>2749</v>
      </c>
      <c r="AF938" s="0" t="s">
        <v>2951</v>
      </c>
      <c r="AH938" s="0" t="s">
        <v>2751</v>
      </c>
      <c r="AL938" s="0" t="s">
        <v>384</v>
      </c>
    </row>
    <row r="939" customFormat="false" ht="15" hidden="false" customHeight="false" outlineLevel="0" collapsed="false">
      <c r="A939" s="0" t="s">
        <v>764</v>
      </c>
      <c r="B939" s="0" t="s">
        <v>163</v>
      </c>
      <c r="C939" s="0" t="s">
        <v>2944</v>
      </c>
      <c r="D939" s="0" t="n">
        <v>2017</v>
      </c>
      <c r="E939" s="0" t="s">
        <v>402</v>
      </c>
      <c r="F939" s="0" t="n">
        <v>173563</v>
      </c>
      <c r="G939" s="0" t="s">
        <v>1681</v>
      </c>
      <c r="H939" s="0" t="s">
        <v>1648</v>
      </c>
      <c r="I939" s="0" t="n">
        <v>173563</v>
      </c>
      <c r="J939" s="0" t="s">
        <v>2739</v>
      </c>
      <c r="K939" s="0" t="s">
        <v>2982</v>
      </c>
      <c r="L939" s="0" t="n">
        <v>2017</v>
      </c>
      <c r="M939" s="0" t="s">
        <v>1224</v>
      </c>
      <c r="N939" s="0" t="s">
        <v>167</v>
      </c>
      <c r="O939" s="0" t="s">
        <v>1225</v>
      </c>
      <c r="P939" s="0" t="s">
        <v>2983</v>
      </c>
      <c r="Q939" s="0" t="n">
        <v>29</v>
      </c>
      <c r="R939" s="0" t="n">
        <v>28</v>
      </c>
      <c r="T939" s="0" t="s">
        <v>2984</v>
      </c>
      <c r="U939" s="0" t="s">
        <v>2985</v>
      </c>
      <c r="V939" s="0" t="s">
        <v>168</v>
      </c>
      <c r="W939" s="0" t="s">
        <v>2989</v>
      </c>
      <c r="X939" s="0" t="s">
        <v>2987</v>
      </c>
      <c r="Y939" s="0" t="s">
        <v>2744</v>
      </c>
      <c r="Z939" s="0" t="s">
        <v>2745</v>
      </c>
      <c r="AB939" s="0" t="s">
        <v>2988</v>
      </c>
      <c r="AC939" s="0" t="s">
        <v>2747</v>
      </c>
      <c r="AD939" s="0" t="s">
        <v>2748</v>
      </c>
      <c r="AE939" s="0" t="s">
        <v>2749</v>
      </c>
      <c r="AF939" s="0" t="s">
        <v>2951</v>
      </c>
      <c r="AH939" s="0" t="s">
        <v>2751</v>
      </c>
      <c r="AL939" s="0" t="s">
        <v>384</v>
      </c>
    </row>
    <row r="940" customFormat="false" ht="15" hidden="false" customHeight="false" outlineLevel="0" collapsed="false">
      <c r="A940" s="0" t="s">
        <v>759</v>
      </c>
      <c r="B940" s="0" t="s">
        <v>163</v>
      </c>
      <c r="C940" s="0" t="s">
        <v>2944</v>
      </c>
      <c r="D940" s="0" t="n">
        <v>2017</v>
      </c>
      <c r="E940" s="0" t="s">
        <v>63</v>
      </c>
      <c r="F940" s="0" t="n">
        <v>-95244</v>
      </c>
      <c r="G940" s="0" t="s">
        <v>1681</v>
      </c>
      <c r="H940" s="0" t="s">
        <v>1648</v>
      </c>
      <c r="I940" s="0" t="n">
        <v>95244</v>
      </c>
      <c r="J940" s="0" t="s">
        <v>2739</v>
      </c>
      <c r="K940" s="0" t="s">
        <v>2982</v>
      </c>
      <c r="L940" s="0" t="n">
        <v>2017</v>
      </c>
      <c r="M940" s="0" t="s">
        <v>1224</v>
      </c>
      <c r="N940" s="0" t="s">
        <v>167</v>
      </c>
      <c r="O940" s="0" t="s">
        <v>1225</v>
      </c>
      <c r="P940" s="0" t="s">
        <v>2983</v>
      </c>
      <c r="Q940" s="0" t="n">
        <v>29</v>
      </c>
      <c r="R940" s="0" t="n">
        <v>28</v>
      </c>
      <c r="S940" s="0" t="n">
        <v>8</v>
      </c>
      <c r="T940" s="0" t="s">
        <v>2984</v>
      </c>
      <c r="U940" s="0" t="s">
        <v>2985</v>
      </c>
      <c r="V940" s="0" t="s">
        <v>168</v>
      </c>
      <c r="W940" s="0" t="s">
        <v>2990</v>
      </c>
      <c r="X940" s="0" t="s">
        <v>2987</v>
      </c>
      <c r="Y940" s="0" t="s">
        <v>2744</v>
      </c>
      <c r="Z940" s="0" t="s">
        <v>2745</v>
      </c>
      <c r="AA940" s="0" t="s">
        <v>2954</v>
      </c>
      <c r="AB940" s="0" t="s">
        <v>2988</v>
      </c>
      <c r="AC940" s="0" t="s">
        <v>2747</v>
      </c>
      <c r="AD940" s="0" t="s">
        <v>2748</v>
      </c>
      <c r="AE940" s="0" t="s">
        <v>2749</v>
      </c>
      <c r="AF940" s="0" t="s">
        <v>2951</v>
      </c>
      <c r="AH940" s="0" t="s">
        <v>2760</v>
      </c>
      <c r="AI940" s="0" t="s">
        <v>2761</v>
      </c>
      <c r="AL940" s="0" t="s">
        <v>384</v>
      </c>
    </row>
    <row r="941" customFormat="false" ht="15" hidden="false" customHeight="false" outlineLevel="0" collapsed="false">
      <c r="A941" s="0" t="s">
        <v>751</v>
      </c>
      <c r="B941" s="0" t="s">
        <v>163</v>
      </c>
      <c r="C941" s="0" t="s">
        <v>2944</v>
      </c>
      <c r="D941" s="0" t="n">
        <v>2017</v>
      </c>
      <c r="E941" s="0" t="s">
        <v>55</v>
      </c>
      <c r="F941" s="0" t="n">
        <v>4833658</v>
      </c>
      <c r="G941" s="0" t="s">
        <v>1681</v>
      </c>
      <c r="H941" s="0" t="s">
        <v>1648</v>
      </c>
      <c r="I941" s="0" t="n">
        <v>4833658</v>
      </c>
      <c r="J941" s="0" t="s">
        <v>2739</v>
      </c>
      <c r="K941" s="0" t="s">
        <v>2982</v>
      </c>
      <c r="L941" s="0" t="n">
        <v>2017</v>
      </c>
      <c r="M941" s="0" t="s">
        <v>1224</v>
      </c>
      <c r="N941" s="0" t="s">
        <v>167</v>
      </c>
      <c r="O941" s="0" t="s">
        <v>1225</v>
      </c>
      <c r="P941" s="0" t="s">
        <v>2983</v>
      </c>
      <c r="Q941" s="0" t="n">
        <v>30</v>
      </c>
      <c r="R941" s="0" t="n">
        <v>29</v>
      </c>
      <c r="T941" s="0" t="s">
        <v>2991</v>
      </c>
      <c r="U941" s="0" t="s">
        <v>2985</v>
      </c>
      <c r="V941" s="0" t="s">
        <v>168</v>
      </c>
      <c r="W941" s="0" t="s">
        <v>2992</v>
      </c>
      <c r="X941" s="0" t="s">
        <v>2993</v>
      </c>
      <c r="Y941" s="0" t="s">
        <v>2799</v>
      </c>
      <c r="Z941" s="0" t="s">
        <v>2745</v>
      </c>
      <c r="AA941" s="0" t="s">
        <v>2994</v>
      </c>
      <c r="AB941" s="0" t="s">
        <v>2988</v>
      </c>
      <c r="AC941" s="0" t="s">
        <v>2747</v>
      </c>
      <c r="AD941" s="0" t="s">
        <v>2748</v>
      </c>
      <c r="AE941" s="0" t="s">
        <v>2749</v>
      </c>
      <c r="AF941" s="0" t="s">
        <v>2951</v>
      </c>
      <c r="AH941" s="0" t="s">
        <v>2751</v>
      </c>
      <c r="AL941" s="0" t="s">
        <v>400</v>
      </c>
    </row>
    <row r="942" customFormat="false" ht="15" hidden="false" customHeight="false" outlineLevel="0" collapsed="false">
      <c r="A942" s="0" t="s">
        <v>752</v>
      </c>
      <c r="B942" s="0" t="s">
        <v>163</v>
      </c>
      <c r="C942" s="0" t="s">
        <v>2944</v>
      </c>
      <c r="D942" s="0" t="n">
        <v>2017</v>
      </c>
      <c r="E942" s="0" t="s">
        <v>56</v>
      </c>
      <c r="F942" s="0" t="n">
        <v>4126133</v>
      </c>
      <c r="G942" s="0" t="s">
        <v>1681</v>
      </c>
      <c r="H942" s="0" t="s">
        <v>1648</v>
      </c>
      <c r="I942" s="0" t="n">
        <v>4126133</v>
      </c>
      <c r="J942" s="0" t="s">
        <v>2739</v>
      </c>
      <c r="K942" s="0" t="s">
        <v>2982</v>
      </c>
      <c r="L942" s="0" t="n">
        <v>2017</v>
      </c>
      <c r="M942" s="0" t="s">
        <v>1224</v>
      </c>
      <c r="N942" s="0" t="s">
        <v>167</v>
      </c>
      <c r="O942" s="0" t="s">
        <v>1225</v>
      </c>
      <c r="P942" s="0" t="s">
        <v>2983</v>
      </c>
      <c r="Q942" s="0" t="n">
        <v>30</v>
      </c>
      <c r="R942" s="0" t="n">
        <v>29</v>
      </c>
      <c r="T942" s="0" t="s">
        <v>2991</v>
      </c>
      <c r="U942" s="0" t="s">
        <v>2985</v>
      </c>
      <c r="V942" s="0" t="s">
        <v>168</v>
      </c>
      <c r="W942" s="0" t="s">
        <v>2995</v>
      </c>
      <c r="X942" s="0" t="s">
        <v>2993</v>
      </c>
      <c r="Y942" s="0" t="s">
        <v>2799</v>
      </c>
      <c r="Z942" s="0" t="s">
        <v>2745</v>
      </c>
      <c r="AA942" s="0" t="s">
        <v>2996</v>
      </c>
      <c r="AB942" s="0" t="s">
        <v>2988</v>
      </c>
      <c r="AC942" s="0" t="s">
        <v>2747</v>
      </c>
      <c r="AD942" s="0" t="s">
        <v>2748</v>
      </c>
      <c r="AE942" s="0" t="s">
        <v>2749</v>
      </c>
      <c r="AF942" s="0" t="s">
        <v>2951</v>
      </c>
      <c r="AH942" s="0" t="s">
        <v>2751</v>
      </c>
      <c r="AL942" s="0" t="s">
        <v>400</v>
      </c>
    </row>
    <row r="943" customFormat="false" ht="15" hidden="false" customHeight="false" outlineLevel="0" collapsed="false">
      <c r="A943" s="0" t="s">
        <v>753</v>
      </c>
      <c r="B943" s="0" t="s">
        <v>163</v>
      </c>
      <c r="C943" s="0" t="s">
        <v>2944</v>
      </c>
      <c r="D943" s="0" t="n">
        <v>2017</v>
      </c>
      <c r="E943" s="0" t="s">
        <v>57</v>
      </c>
      <c r="F943" s="0" t="n">
        <v>707525</v>
      </c>
      <c r="G943" s="0" t="s">
        <v>1681</v>
      </c>
      <c r="H943" s="0" t="s">
        <v>1648</v>
      </c>
      <c r="I943" s="0" t="n">
        <v>707525</v>
      </c>
      <c r="J943" s="0" t="s">
        <v>2739</v>
      </c>
      <c r="K943" s="0" t="s">
        <v>2982</v>
      </c>
      <c r="L943" s="0" t="n">
        <v>2017</v>
      </c>
      <c r="M943" s="0" t="s">
        <v>1224</v>
      </c>
      <c r="N943" s="0" t="s">
        <v>167</v>
      </c>
      <c r="O943" s="0" t="s">
        <v>1225</v>
      </c>
      <c r="P943" s="0" t="s">
        <v>2983</v>
      </c>
      <c r="Q943" s="0" t="n">
        <v>30</v>
      </c>
      <c r="R943" s="0" t="n">
        <v>29</v>
      </c>
      <c r="T943" s="0" t="s">
        <v>2991</v>
      </c>
      <c r="U943" s="0" t="s">
        <v>2985</v>
      </c>
      <c r="V943" s="0" t="s">
        <v>168</v>
      </c>
      <c r="W943" s="0" t="s">
        <v>2997</v>
      </c>
      <c r="X943" s="0" t="s">
        <v>2993</v>
      </c>
      <c r="Y943" s="0" t="s">
        <v>2799</v>
      </c>
      <c r="Z943" s="0" t="s">
        <v>2745</v>
      </c>
      <c r="AA943" s="0" t="s">
        <v>2998</v>
      </c>
      <c r="AB943" s="0" t="s">
        <v>2988</v>
      </c>
      <c r="AC943" s="0" t="s">
        <v>2747</v>
      </c>
      <c r="AD943" s="0" t="s">
        <v>2748</v>
      </c>
      <c r="AE943" s="0" t="s">
        <v>2749</v>
      </c>
      <c r="AF943" s="0" t="s">
        <v>2951</v>
      </c>
      <c r="AH943" s="0" t="s">
        <v>2751</v>
      </c>
      <c r="AL943" s="0" t="s">
        <v>400</v>
      </c>
    </row>
    <row r="944" customFormat="false" ht="15" hidden="false" customHeight="false" outlineLevel="0" collapsed="false">
      <c r="A944" s="0" t="s">
        <v>755</v>
      </c>
      <c r="B944" s="0" t="s">
        <v>163</v>
      </c>
      <c r="C944" s="0" t="s">
        <v>2944</v>
      </c>
      <c r="D944" s="0" t="n">
        <v>2017</v>
      </c>
      <c r="E944" s="0" t="s">
        <v>59</v>
      </c>
      <c r="F944" s="0" t="n">
        <v>4283736</v>
      </c>
      <c r="G944" s="0" t="s">
        <v>1681</v>
      </c>
      <c r="H944" s="0" t="s">
        <v>1648</v>
      </c>
      <c r="I944" s="0" t="n">
        <v>4283736</v>
      </c>
      <c r="J944" s="0" t="s">
        <v>2739</v>
      </c>
      <c r="K944" s="0" t="s">
        <v>2982</v>
      </c>
      <c r="L944" s="0" t="n">
        <v>2017</v>
      </c>
      <c r="M944" s="0" t="s">
        <v>1224</v>
      </c>
      <c r="N944" s="0" t="s">
        <v>167</v>
      </c>
      <c r="O944" s="0" t="s">
        <v>1225</v>
      </c>
      <c r="P944" s="0" t="s">
        <v>2983</v>
      </c>
      <c r="Q944" s="0" t="n">
        <v>30</v>
      </c>
      <c r="R944" s="0" t="n">
        <v>29</v>
      </c>
      <c r="T944" s="0" t="s">
        <v>2999</v>
      </c>
      <c r="U944" s="0" t="s">
        <v>2985</v>
      </c>
      <c r="V944" s="0" t="s">
        <v>168</v>
      </c>
      <c r="W944" s="0" t="s">
        <v>2992</v>
      </c>
      <c r="X944" s="0" t="s">
        <v>2993</v>
      </c>
      <c r="Y944" s="0" t="s">
        <v>2799</v>
      </c>
      <c r="Z944" s="0" t="s">
        <v>2745</v>
      </c>
      <c r="AA944" s="0" t="s">
        <v>2994</v>
      </c>
      <c r="AB944" s="0" t="s">
        <v>2988</v>
      </c>
      <c r="AC944" s="0" t="s">
        <v>2747</v>
      </c>
      <c r="AD944" s="0" t="s">
        <v>2748</v>
      </c>
      <c r="AE944" s="0" t="s">
        <v>2749</v>
      </c>
      <c r="AF944" s="0" t="s">
        <v>2951</v>
      </c>
      <c r="AH944" s="0" t="s">
        <v>2751</v>
      </c>
      <c r="AL944" s="0" t="s">
        <v>400</v>
      </c>
    </row>
    <row r="945" customFormat="false" ht="15" hidden="false" customHeight="false" outlineLevel="0" collapsed="false">
      <c r="A945" s="0" t="s">
        <v>754</v>
      </c>
      <c r="B945" s="0" t="s">
        <v>163</v>
      </c>
      <c r="C945" s="0" t="s">
        <v>2944</v>
      </c>
      <c r="D945" s="0" t="n">
        <v>2017</v>
      </c>
      <c r="E945" s="0" t="s">
        <v>58</v>
      </c>
      <c r="F945" s="0" t="n">
        <v>-255750</v>
      </c>
      <c r="G945" s="0" t="s">
        <v>1681</v>
      </c>
      <c r="H945" s="0" t="s">
        <v>1648</v>
      </c>
      <c r="I945" s="0" t="n">
        <v>-255750</v>
      </c>
      <c r="J945" s="0" t="s">
        <v>2739</v>
      </c>
      <c r="K945" s="0" t="s">
        <v>2982</v>
      </c>
      <c r="L945" s="0" t="n">
        <v>2017</v>
      </c>
      <c r="M945" s="0" t="s">
        <v>1224</v>
      </c>
      <c r="N945" s="0" t="s">
        <v>167</v>
      </c>
      <c r="O945" s="0" t="s">
        <v>1225</v>
      </c>
      <c r="P945" s="0" t="s">
        <v>2983</v>
      </c>
      <c r="Q945" s="0" t="n">
        <v>33</v>
      </c>
      <c r="R945" s="0" t="n">
        <v>32</v>
      </c>
      <c r="T945" s="0" t="s">
        <v>3000</v>
      </c>
      <c r="U945" s="0" t="s">
        <v>2985</v>
      </c>
      <c r="V945" s="0" t="s">
        <v>168</v>
      </c>
      <c r="W945" s="0" t="s">
        <v>3001</v>
      </c>
      <c r="X945" s="0" t="s">
        <v>3002</v>
      </c>
      <c r="Y945" s="0" t="s">
        <v>2744</v>
      </c>
      <c r="Z945" s="0" t="s">
        <v>2745</v>
      </c>
      <c r="AB945" s="0" t="s">
        <v>2988</v>
      </c>
      <c r="AC945" s="0" t="s">
        <v>2747</v>
      </c>
      <c r="AD945" s="0" t="s">
        <v>2748</v>
      </c>
      <c r="AE945" s="0" t="s">
        <v>2749</v>
      </c>
      <c r="AF945" s="0" t="s">
        <v>2951</v>
      </c>
      <c r="AH945" s="0" t="s">
        <v>2751</v>
      </c>
      <c r="AL945" s="0" t="s">
        <v>384</v>
      </c>
    </row>
    <row r="946" customFormat="false" ht="15" hidden="false" customHeight="false" outlineLevel="0" collapsed="false">
      <c r="A946" s="0" t="s">
        <v>756</v>
      </c>
      <c r="B946" s="0" t="s">
        <v>163</v>
      </c>
      <c r="C946" s="0" t="s">
        <v>2944</v>
      </c>
      <c r="D946" s="0" t="n">
        <v>2017</v>
      </c>
      <c r="E946" s="0" t="s">
        <v>60</v>
      </c>
      <c r="F946" s="0" t="n">
        <v>2117069</v>
      </c>
      <c r="G946" s="0" t="s">
        <v>1681</v>
      </c>
      <c r="H946" s="0" t="s">
        <v>1648</v>
      </c>
      <c r="I946" s="0" t="n">
        <v>2117069</v>
      </c>
      <c r="J946" s="0" t="s">
        <v>2739</v>
      </c>
      <c r="K946" s="0" t="s">
        <v>2982</v>
      </c>
      <c r="L946" s="0" t="n">
        <v>2017</v>
      </c>
      <c r="M946" s="0" t="s">
        <v>1224</v>
      </c>
      <c r="N946" s="0" t="s">
        <v>167</v>
      </c>
      <c r="O946" s="0" t="s">
        <v>1225</v>
      </c>
      <c r="P946" s="0" t="s">
        <v>2983</v>
      </c>
      <c r="Q946" s="0" t="n">
        <v>67</v>
      </c>
      <c r="R946" s="0" t="n">
        <v>66</v>
      </c>
      <c r="S946" s="0" t="s">
        <v>2966</v>
      </c>
      <c r="T946" s="0" t="s">
        <v>3003</v>
      </c>
      <c r="U946" s="0" t="s">
        <v>2985</v>
      </c>
      <c r="V946" s="0" t="s">
        <v>168</v>
      </c>
      <c r="W946" s="0" t="s">
        <v>3004</v>
      </c>
      <c r="X946" s="0" t="s">
        <v>3005</v>
      </c>
      <c r="Y946" s="0" t="s">
        <v>2744</v>
      </c>
      <c r="Z946" s="0" t="s">
        <v>2745</v>
      </c>
      <c r="AB946" s="0" t="s">
        <v>2988</v>
      </c>
      <c r="AC946" s="0" t="s">
        <v>2747</v>
      </c>
      <c r="AD946" s="0" t="s">
        <v>2748</v>
      </c>
      <c r="AE946" s="0" t="s">
        <v>2749</v>
      </c>
      <c r="AF946" s="0" t="s">
        <v>2951</v>
      </c>
      <c r="AH946" s="0" t="s">
        <v>2751</v>
      </c>
      <c r="AL946" s="0" t="s">
        <v>384</v>
      </c>
    </row>
    <row r="947" customFormat="false" ht="15" hidden="false" customHeight="false" outlineLevel="0" collapsed="false">
      <c r="A947" s="0" t="s">
        <v>760</v>
      </c>
      <c r="B947" s="0" t="s">
        <v>163</v>
      </c>
      <c r="C947" s="0" t="s">
        <v>2944</v>
      </c>
      <c r="D947" s="0" t="n">
        <v>2017</v>
      </c>
      <c r="E947" s="0" t="s">
        <v>64</v>
      </c>
      <c r="F947" s="0" t="n">
        <v>91738</v>
      </c>
      <c r="G947" s="0" t="s">
        <v>1681</v>
      </c>
      <c r="H947" s="0" t="s">
        <v>1648</v>
      </c>
      <c r="I947" s="0" t="n">
        <v>91738</v>
      </c>
      <c r="J947" s="0" t="s">
        <v>2739</v>
      </c>
      <c r="K947" s="0" t="s">
        <v>2982</v>
      </c>
      <c r="L947" s="0" t="n">
        <v>2017</v>
      </c>
      <c r="M947" s="0" t="s">
        <v>1224</v>
      </c>
      <c r="N947" s="0" t="s">
        <v>167</v>
      </c>
      <c r="O947" s="0" t="s">
        <v>1225</v>
      </c>
      <c r="P947" s="0" t="s">
        <v>2983</v>
      </c>
      <c r="Q947" s="0" t="n">
        <v>67</v>
      </c>
      <c r="R947" s="0" t="n">
        <v>66</v>
      </c>
      <c r="S947" s="0" t="s">
        <v>2966</v>
      </c>
      <c r="T947" s="0" t="s">
        <v>3006</v>
      </c>
      <c r="U947" s="0" t="s">
        <v>2985</v>
      </c>
      <c r="V947" s="0" t="s">
        <v>168</v>
      </c>
      <c r="W947" s="0" t="s">
        <v>3004</v>
      </c>
      <c r="X947" s="0" t="s">
        <v>3005</v>
      </c>
      <c r="Y947" s="0" t="s">
        <v>2744</v>
      </c>
      <c r="Z947" s="0" t="s">
        <v>2745</v>
      </c>
      <c r="AB947" s="0" t="s">
        <v>2988</v>
      </c>
      <c r="AC947" s="0" t="s">
        <v>2747</v>
      </c>
      <c r="AD947" s="0" t="s">
        <v>2748</v>
      </c>
      <c r="AE947" s="0" t="s">
        <v>2749</v>
      </c>
      <c r="AF947" s="0" t="s">
        <v>2951</v>
      </c>
      <c r="AH947" s="0" t="s">
        <v>2751</v>
      </c>
      <c r="AL947" s="0" t="s">
        <v>384</v>
      </c>
    </row>
    <row r="948" customFormat="false" ht="15" hidden="false" customHeight="false" outlineLevel="0" collapsed="false">
      <c r="A948" s="0" t="s">
        <v>766</v>
      </c>
      <c r="B948" s="0" t="s">
        <v>163</v>
      </c>
      <c r="C948" s="0" t="s">
        <v>2944</v>
      </c>
      <c r="D948" s="0" t="n">
        <v>2017</v>
      </c>
      <c r="E948" s="0" t="s">
        <v>406</v>
      </c>
      <c r="F948" s="0" t="n">
        <v>68162</v>
      </c>
      <c r="G948" s="0" t="s">
        <v>1681</v>
      </c>
      <c r="H948" s="0" t="s">
        <v>1648</v>
      </c>
      <c r="I948" s="0" t="n">
        <v>68162</v>
      </c>
      <c r="J948" s="0" t="s">
        <v>2739</v>
      </c>
      <c r="K948" s="0" t="s">
        <v>2982</v>
      </c>
      <c r="L948" s="0" t="n">
        <v>2017</v>
      </c>
      <c r="M948" s="0" t="s">
        <v>1224</v>
      </c>
      <c r="N948" s="0" t="s">
        <v>167</v>
      </c>
      <c r="O948" s="0" t="s">
        <v>1225</v>
      </c>
      <c r="P948" s="0" t="s">
        <v>2983</v>
      </c>
      <c r="Q948" s="0" t="n">
        <v>67</v>
      </c>
      <c r="R948" s="0" t="n">
        <v>66</v>
      </c>
      <c r="S948" s="0" t="s">
        <v>2966</v>
      </c>
      <c r="T948" s="0" t="s">
        <v>2973</v>
      </c>
      <c r="U948" s="0" t="s">
        <v>2985</v>
      </c>
      <c r="V948" s="0" t="s">
        <v>168</v>
      </c>
      <c r="W948" s="0" t="s">
        <v>3004</v>
      </c>
      <c r="X948" s="0" t="s">
        <v>3005</v>
      </c>
      <c r="Y948" s="0" t="s">
        <v>2744</v>
      </c>
      <c r="Z948" s="0" t="s">
        <v>2745</v>
      </c>
      <c r="AB948" s="0" t="s">
        <v>2988</v>
      </c>
      <c r="AC948" s="0" t="s">
        <v>2747</v>
      </c>
      <c r="AD948" s="0" t="s">
        <v>2748</v>
      </c>
      <c r="AE948" s="0" t="s">
        <v>2749</v>
      </c>
      <c r="AF948" s="0" t="s">
        <v>2951</v>
      </c>
      <c r="AH948" s="0" t="s">
        <v>2751</v>
      </c>
      <c r="AL948" s="0" t="s">
        <v>384</v>
      </c>
    </row>
    <row r="949" customFormat="false" ht="15" hidden="false" customHeight="false" outlineLevel="0" collapsed="false">
      <c r="A949" s="0" t="s">
        <v>765</v>
      </c>
      <c r="B949" s="0" t="s">
        <v>163</v>
      </c>
      <c r="C949" s="0" t="s">
        <v>2944</v>
      </c>
      <c r="D949" s="0" t="n">
        <v>2017</v>
      </c>
      <c r="E949" s="0" t="s">
        <v>404</v>
      </c>
      <c r="F949" s="0" t="n">
        <v>68443</v>
      </c>
      <c r="G949" s="0" t="s">
        <v>1681</v>
      </c>
      <c r="H949" s="0" t="s">
        <v>1648</v>
      </c>
      <c r="I949" s="0" t="n">
        <v>68443</v>
      </c>
      <c r="J949" s="0" t="s">
        <v>2739</v>
      </c>
      <c r="K949" s="0" t="s">
        <v>2982</v>
      </c>
      <c r="L949" s="0" t="n">
        <v>2017</v>
      </c>
      <c r="M949" s="0" t="s">
        <v>1224</v>
      </c>
      <c r="N949" s="0" t="s">
        <v>167</v>
      </c>
      <c r="O949" s="0" t="s">
        <v>1225</v>
      </c>
      <c r="P949" s="0" t="s">
        <v>2983</v>
      </c>
      <c r="Q949" s="0" t="n">
        <v>67</v>
      </c>
      <c r="R949" s="0" t="n">
        <v>66</v>
      </c>
      <c r="S949" s="0" t="s">
        <v>2966</v>
      </c>
      <c r="T949" s="0" t="s">
        <v>2974</v>
      </c>
      <c r="U949" s="0" t="s">
        <v>2985</v>
      </c>
      <c r="V949" s="0" t="s">
        <v>168</v>
      </c>
      <c r="W949" s="0" t="s">
        <v>3004</v>
      </c>
      <c r="X949" s="0" t="s">
        <v>3005</v>
      </c>
      <c r="Y949" s="0" t="s">
        <v>2744</v>
      </c>
      <c r="Z949" s="0" t="s">
        <v>2745</v>
      </c>
      <c r="AB949" s="0" t="s">
        <v>2988</v>
      </c>
      <c r="AC949" s="0" t="s">
        <v>2747</v>
      </c>
      <c r="AD949" s="0" t="s">
        <v>2748</v>
      </c>
      <c r="AE949" s="0" t="s">
        <v>2749</v>
      </c>
      <c r="AF949" s="0" t="s">
        <v>2951</v>
      </c>
      <c r="AH949" s="0" t="s">
        <v>2751</v>
      </c>
      <c r="AL949" s="0" t="s">
        <v>384</v>
      </c>
    </row>
    <row r="950" customFormat="false" ht="15" hidden="false" customHeight="false" outlineLevel="0" collapsed="false">
      <c r="A950" s="0" t="s">
        <v>758</v>
      </c>
      <c r="B950" s="0" t="s">
        <v>163</v>
      </c>
      <c r="C950" s="0" t="s">
        <v>2944</v>
      </c>
      <c r="D950" s="0" t="n">
        <v>2017</v>
      </c>
      <c r="E950" s="0" t="s">
        <v>62</v>
      </c>
      <c r="F950" s="0" t="n">
        <v>1980464</v>
      </c>
      <c r="G950" s="0" t="s">
        <v>1681</v>
      </c>
      <c r="H950" s="0" t="s">
        <v>1648</v>
      </c>
      <c r="I950" s="0" t="n">
        <v>1980464</v>
      </c>
      <c r="J950" s="0" t="s">
        <v>2739</v>
      </c>
      <c r="K950" s="0" t="s">
        <v>2982</v>
      </c>
      <c r="L950" s="0" t="n">
        <v>2017</v>
      </c>
      <c r="M950" s="0" t="s">
        <v>1224</v>
      </c>
      <c r="N950" s="0" t="s">
        <v>167</v>
      </c>
      <c r="O950" s="0" t="s">
        <v>1225</v>
      </c>
      <c r="P950" s="0" t="s">
        <v>2983</v>
      </c>
      <c r="Q950" s="0" t="n">
        <v>67</v>
      </c>
      <c r="R950" s="0" t="n">
        <v>66</v>
      </c>
      <c r="S950" s="0" t="s">
        <v>2966</v>
      </c>
      <c r="T950" s="0" t="s">
        <v>2975</v>
      </c>
      <c r="U950" s="0" t="s">
        <v>2985</v>
      </c>
      <c r="V950" s="0" t="s">
        <v>168</v>
      </c>
      <c r="W950" s="0" t="s">
        <v>3004</v>
      </c>
      <c r="X950" s="0" t="s">
        <v>3005</v>
      </c>
      <c r="Y950" s="0" t="s">
        <v>2744</v>
      </c>
      <c r="Z950" s="0" t="s">
        <v>2745</v>
      </c>
      <c r="AB950" s="0" t="s">
        <v>2988</v>
      </c>
      <c r="AC950" s="0" t="s">
        <v>2747</v>
      </c>
      <c r="AD950" s="0" t="s">
        <v>2748</v>
      </c>
      <c r="AE950" s="0" t="s">
        <v>2749</v>
      </c>
      <c r="AF950" s="0" t="s">
        <v>2951</v>
      </c>
      <c r="AH950" s="0" t="s">
        <v>2751</v>
      </c>
      <c r="AL950" s="0" t="s">
        <v>384</v>
      </c>
    </row>
    <row r="951" customFormat="false" ht="15" hidden="false" customHeight="false" outlineLevel="0" collapsed="false">
      <c r="A951" s="0" t="s">
        <v>762</v>
      </c>
      <c r="B951" s="0" t="s">
        <v>163</v>
      </c>
      <c r="C951" s="0" t="s">
        <v>2944</v>
      </c>
      <c r="D951" s="0" t="n">
        <v>2017</v>
      </c>
      <c r="E951" s="0" t="s">
        <v>65</v>
      </c>
      <c r="F951" s="0" t="n">
        <v>652237</v>
      </c>
      <c r="G951" s="0" t="s">
        <v>1681</v>
      </c>
      <c r="H951" s="0" t="s">
        <v>1648</v>
      </c>
      <c r="I951" s="0" t="n">
        <v>652237</v>
      </c>
      <c r="J951" s="0" t="s">
        <v>2739</v>
      </c>
      <c r="K951" s="0" t="s">
        <v>2982</v>
      </c>
      <c r="L951" s="0" t="n">
        <v>2017</v>
      </c>
      <c r="M951" s="0" t="s">
        <v>1224</v>
      </c>
      <c r="N951" s="0" t="s">
        <v>167</v>
      </c>
      <c r="O951" s="0" t="s">
        <v>1225</v>
      </c>
      <c r="P951" s="0" t="s">
        <v>2983</v>
      </c>
      <c r="Q951" s="0" t="n">
        <v>98</v>
      </c>
      <c r="R951" s="0" t="n">
        <v>97</v>
      </c>
      <c r="T951" s="0" t="s">
        <v>3007</v>
      </c>
      <c r="U951" s="0" t="s">
        <v>2985</v>
      </c>
      <c r="V951" s="0" t="s">
        <v>168</v>
      </c>
      <c r="W951" s="0" t="s">
        <v>3008</v>
      </c>
      <c r="X951" s="0" t="s">
        <v>3009</v>
      </c>
      <c r="Y951" s="0" t="s">
        <v>2744</v>
      </c>
      <c r="Z951" s="0" t="s">
        <v>2745</v>
      </c>
      <c r="AB951" s="0" t="s">
        <v>2988</v>
      </c>
      <c r="AC951" s="0" t="s">
        <v>2747</v>
      </c>
      <c r="AD951" s="0" t="s">
        <v>2748</v>
      </c>
      <c r="AE951" s="0" t="s">
        <v>2749</v>
      </c>
      <c r="AF951" s="0" t="s">
        <v>2951</v>
      </c>
      <c r="AH951" s="0" t="s">
        <v>2751</v>
      </c>
      <c r="AL951" s="0" t="s">
        <v>384</v>
      </c>
    </row>
    <row r="952" customFormat="false" ht="15" hidden="false" customHeight="false" outlineLevel="0" collapsed="false">
      <c r="A952" s="0" t="s">
        <v>763</v>
      </c>
      <c r="B952" s="0" t="s">
        <v>163</v>
      </c>
      <c r="C952" s="0" t="s">
        <v>2944</v>
      </c>
      <c r="D952" s="0" t="n">
        <v>2017</v>
      </c>
      <c r="E952" s="0" t="s">
        <v>66</v>
      </c>
      <c r="F952" s="0" t="n">
        <v>2670248</v>
      </c>
      <c r="G952" s="0" t="s">
        <v>1681</v>
      </c>
      <c r="H952" s="0" t="s">
        <v>1648</v>
      </c>
      <c r="I952" s="0" t="n">
        <v>2670248</v>
      </c>
      <c r="J952" s="0" t="s">
        <v>2739</v>
      </c>
      <c r="K952" s="0" t="s">
        <v>2982</v>
      </c>
      <c r="L952" s="0" t="n">
        <v>2017</v>
      </c>
      <c r="M952" s="0" t="s">
        <v>1224</v>
      </c>
      <c r="N952" s="0" t="s">
        <v>167</v>
      </c>
      <c r="O952" s="0" t="s">
        <v>1225</v>
      </c>
      <c r="P952" s="0" t="s">
        <v>2983</v>
      </c>
      <c r="Q952" s="0" t="n">
        <v>98</v>
      </c>
      <c r="R952" s="0" t="n">
        <v>97</v>
      </c>
      <c r="T952" s="0" t="s">
        <v>3007</v>
      </c>
      <c r="U952" s="0" t="s">
        <v>2985</v>
      </c>
      <c r="V952" s="0" t="s">
        <v>168</v>
      </c>
      <c r="W952" s="0" t="s">
        <v>3010</v>
      </c>
      <c r="X952" s="0" t="s">
        <v>3009</v>
      </c>
      <c r="Y952" s="0" t="s">
        <v>2744</v>
      </c>
      <c r="Z952" s="0" t="s">
        <v>2745</v>
      </c>
      <c r="AB952" s="0" t="s">
        <v>2988</v>
      </c>
      <c r="AC952" s="0" t="s">
        <v>2747</v>
      </c>
      <c r="AD952" s="0" t="s">
        <v>2748</v>
      </c>
      <c r="AE952" s="0" t="s">
        <v>2749</v>
      </c>
      <c r="AF952" s="0" t="s">
        <v>2951</v>
      </c>
      <c r="AH952" s="0" t="s">
        <v>2751</v>
      </c>
      <c r="AL952" s="0" t="s">
        <v>384</v>
      </c>
    </row>
    <row r="953" customFormat="false" ht="15" hidden="false" customHeight="false" outlineLevel="0" collapsed="false">
      <c r="A953" s="0" t="s">
        <v>761</v>
      </c>
      <c r="B953" s="0" t="s">
        <v>163</v>
      </c>
      <c r="C953" s="0" t="s">
        <v>2944</v>
      </c>
      <c r="D953" s="0" t="n">
        <v>2017</v>
      </c>
      <c r="E953" s="0" t="s">
        <v>69</v>
      </c>
      <c r="F953" s="0" t="n">
        <v>24</v>
      </c>
      <c r="G953" s="0" t="s">
        <v>1723</v>
      </c>
      <c r="I953" s="0" t="n">
        <v>24</v>
      </c>
      <c r="J953" s="0" t="s">
        <v>2739</v>
      </c>
      <c r="K953" s="0" t="s">
        <v>2982</v>
      </c>
      <c r="L953" s="0" t="n">
        <v>2017</v>
      </c>
      <c r="M953" s="0" t="s">
        <v>1224</v>
      </c>
      <c r="N953" s="0" t="s">
        <v>167</v>
      </c>
      <c r="O953" s="0" t="s">
        <v>1225</v>
      </c>
      <c r="P953" s="0" t="s">
        <v>2983</v>
      </c>
      <c r="Q953" s="0" t="n">
        <v>98</v>
      </c>
      <c r="R953" s="0" t="n">
        <v>97</v>
      </c>
      <c r="T953" s="0" t="s">
        <v>3007</v>
      </c>
      <c r="U953" s="0" t="s">
        <v>2985</v>
      </c>
      <c r="V953" s="0" t="s">
        <v>168</v>
      </c>
      <c r="W953" s="0" t="s">
        <v>3011</v>
      </c>
      <c r="X953" s="0" t="s">
        <v>3009</v>
      </c>
      <c r="Y953" s="0" t="s">
        <v>2744</v>
      </c>
      <c r="Z953" s="0" t="s">
        <v>2745</v>
      </c>
      <c r="AA953" s="0" t="s">
        <v>2981</v>
      </c>
      <c r="AB953" s="0" t="s">
        <v>2988</v>
      </c>
      <c r="AC953" s="0" t="s">
        <v>2747</v>
      </c>
      <c r="AD953" s="0" t="s">
        <v>2748</v>
      </c>
      <c r="AE953" s="0" t="s">
        <v>2749</v>
      </c>
      <c r="AF953" s="0" t="s">
        <v>2951</v>
      </c>
      <c r="AH953" s="0" t="s">
        <v>2751</v>
      </c>
      <c r="AL953" s="0" t="s">
        <v>384</v>
      </c>
    </row>
    <row r="954" customFormat="false" ht="15" hidden="false" customHeight="false" outlineLevel="0" collapsed="false">
      <c r="A954" s="0" t="s">
        <v>767</v>
      </c>
      <c r="B954" s="0" t="s">
        <v>163</v>
      </c>
      <c r="C954" s="0" t="s">
        <v>2944</v>
      </c>
      <c r="D954" s="0" t="n">
        <v>2018</v>
      </c>
      <c r="E954" s="0" t="s">
        <v>54</v>
      </c>
      <c r="F954" s="0" t="n">
        <v>165480</v>
      </c>
      <c r="G954" s="0" t="s">
        <v>1681</v>
      </c>
      <c r="H954" s="0" t="s">
        <v>1648</v>
      </c>
      <c r="I954" s="0" t="n">
        <v>165480</v>
      </c>
      <c r="J954" s="0" t="s">
        <v>2739</v>
      </c>
      <c r="K954" s="0" t="s">
        <v>3012</v>
      </c>
      <c r="L954" s="0" t="n">
        <v>2018</v>
      </c>
      <c r="M954" s="0" t="s">
        <v>1241</v>
      </c>
      <c r="N954" s="0" t="s">
        <v>169</v>
      </c>
      <c r="O954" s="0" t="s">
        <v>1242</v>
      </c>
      <c r="P954" s="0" t="s">
        <v>3013</v>
      </c>
      <c r="Q954" s="0" t="n">
        <v>77</v>
      </c>
      <c r="R954" s="0" t="n">
        <v>76</v>
      </c>
      <c r="T954" s="0" t="s">
        <v>3014</v>
      </c>
      <c r="U954" s="0" t="s">
        <v>3015</v>
      </c>
      <c r="V954" s="0" t="s">
        <v>170</v>
      </c>
      <c r="W954" s="0" t="s">
        <v>3016</v>
      </c>
      <c r="X954" s="0" t="s">
        <v>3017</v>
      </c>
      <c r="Y954" s="0" t="s">
        <v>2744</v>
      </c>
      <c r="Z954" s="0" t="s">
        <v>2745</v>
      </c>
      <c r="AB954" s="0" t="s">
        <v>3018</v>
      </c>
      <c r="AC954" s="0" t="s">
        <v>2747</v>
      </c>
      <c r="AD954" s="0" t="s">
        <v>2748</v>
      </c>
      <c r="AE954" s="0" t="s">
        <v>2749</v>
      </c>
      <c r="AF954" s="0" t="s">
        <v>2951</v>
      </c>
      <c r="AH954" s="0" t="s">
        <v>2751</v>
      </c>
      <c r="AL954" s="0" t="s">
        <v>384</v>
      </c>
    </row>
    <row r="955" customFormat="false" ht="15" hidden="false" customHeight="false" outlineLevel="0" collapsed="false">
      <c r="A955" s="0" t="s">
        <v>783</v>
      </c>
      <c r="B955" s="0" t="s">
        <v>163</v>
      </c>
      <c r="C955" s="0" t="s">
        <v>2944</v>
      </c>
      <c r="D955" s="0" t="n">
        <v>2018</v>
      </c>
      <c r="E955" s="0" t="s">
        <v>402</v>
      </c>
      <c r="F955" s="0" t="n">
        <v>192107</v>
      </c>
      <c r="G955" s="0" t="s">
        <v>1681</v>
      </c>
      <c r="H955" s="0" t="s">
        <v>1648</v>
      </c>
      <c r="I955" s="0" t="n">
        <v>192107</v>
      </c>
      <c r="J955" s="0" t="s">
        <v>2739</v>
      </c>
      <c r="K955" s="0" t="s">
        <v>3012</v>
      </c>
      <c r="L955" s="0" t="n">
        <v>2018</v>
      </c>
      <c r="M955" s="0" t="s">
        <v>1241</v>
      </c>
      <c r="N955" s="0" t="s">
        <v>169</v>
      </c>
      <c r="O955" s="0" t="s">
        <v>1242</v>
      </c>
      <c r="P955" s="0" t="s">
        <v>3013</v>
      </c>
      <c r="Q955" s="0" t="n">
        <v>77</v>
      </c>
      <c r="R955" s="0" t="n">
        <v>76</v>
      </c>
      <c r="T955" s="0" t="s">
        <v>3014</v>
      </c>
      <c r="U955" s="0" t="s">
        <v>3015</v>
      </c>
      <c r="V955" s="0" t="s">
        <v>170</v>
      </c>
      <c r="W955" s="0" t="s">
        <v>3019</v>
      </c>
      <c r="X955" s="0" t="s">
        <v>3017</v>
      </c>
      <c r="Y955" s="0" t="s">
        <v>2744</v>
      </c>
      <c r="Z955" s="0" t="s">
        <v>2745</v>
      </c>
      <c r="AB955" s="0" t="s">
        <v>3018</v>
      </c>
      <c r="AC955" s="0" t="s">
        <v>2747</v>
      </c>
      <c r="AD955" s="0" t="s">
        <v>2748</v>
      </c>
      <c r="AE955" s="0" t="s">
        <v>2749</v>
      </c>
      <c r="AF955" s="0" t="s">
        <v>2951</v>
      </c>
      <c r="AH955" s="0" t="s">
        <v>2751</v>
      </c>
      <c r="AL955" s="0" t="s">
        <v>384</v>
      </c>
    </row>
    <row r="956" customFormat="false" ht="15" hidden="false" customHeight="false" outlineLevel="0" collapsed="false">
      <c r="A956" s="0" t="s">
        <v>776</v>
      </c>
      <c r="B956" s="0" t="s">
        <v>163</v>
      </c>
      <c r="C956" s="0" t="s">
        <v>2944</v>
      </c>
      <c r="D956" s="0" t="n">
        <v>2018</v>
      </c>
      <c r="E956" s="0" t="s">
        <v>63</v>
      </c>
      <c r="F956" s="0" t="n">
        <v>-15313</v>
      </c>
      <c r="G956" s="0" t="s">
        <v>1681</v>
      </c>
      <c r="H956" s="0" t="s">
        <v>1648</v>
      </c>
      <c r="I956" s="0" t="n">
        <v>15313</v>
      </c>
      <c r="J956" s="0" t="s">
        <v>2739</v>
      </c>
      <c r="K956" s="0" t="s">
        <v>3012</v>
      </c>
      <c r="L956" s="0" t="n">
        <v>2018</v>
      </c>
      <c r="M956" s="0" t="s">
        <v>1241</v>
      </c>
      <c r="N956" s="0" t="s">
        <v>169</v>
      </c>
      <c r="O956" s="0" t="s">
        <v>1242</v>
      </c>
      <c r="P956" s="0" t="s">
        <v>3013</v>
      </c>
      <c r="Q956" s="0" t="n">
        <v>77</v>
      </c>
      <c r="R956" s="0" t="n">
        <v>76</v>
      </c>
      <c r="S956" s="0" t="n">
        <v>8</v>
      </c>
      <c r="T956" s="0" t="s">
        <v>3014</v>
      </c>
      <c r="U956" s="0" t="s">
        <v>3015</v>
      </c>
      <c r="V956" s="0" t="s">
        <v>170</v>
      </c>
      <c r="W956" s="0" t="s">
        <v>3020</v>
      </c>
      <c r="X956" s="0" t="s">
        <v>3017</v>
      </c>
      <c r="Y956" s="0" t="s">
        <v>2744</v>
      </c>
      <c r="Z956" s="0" t="s">
        <v>2745</v>
      </c>
      <c r="AA956" s="0" t="s">
        <v>3021</v>
      </c>
      <c r="AB956" s="0" t="s">
        <v>3018</v>
      </c>
      <c r="AC956" s="0" t="s">
        <v>2747</v>
      </c>
      <c r="AD956" s="0" t="s">
        <v>2748</v>
      </c>
      <c r="AE956" s="0" t="s">
        <v>2749</v>
      </c>
      <c r="AF956" s="0" t="s">
        <v>2951</v>
      </c>
      <c r="AH956" s="0" t="s">
        <v>2760</v>
      </c>
      <c r="AI956" s="0" t="s">
        <v>2761</v>
      </c>
      <c r="AL956" s="0" t="s">
        <v>384</v>
      </c>
    </row>
    <row r="957" customFormat="false" ht="15" hidden="false" customHeight="false" outlineLevel="0" collapsed="false">
      <c r="A957" s="0" t="s">
        <v>768</v>
      </c>
      <c r="B957" s="0" t="s">
        <v>163</v>
      </c>
      <c r="C957" s="0" t="s">
        <v>2944</v>
      </c>
      <c r="D957" s="0" t="n">
        <v>2018</v>
      </c>
      <c r="E957" s="0" t="s">
        <v>55</v>
      </c>
      <c r="F957" s="0" t="n">
        <v>4955445</v>
      </c>
      <c r="G957" s="0" t="s">
        <v>1681</v>
      </c>
      <c r="H957" s="0" t="s">
        <v>1648</v>
      </c>
      <c r="I957" s="0" t="n">
        <v>4955445</v>
      </c>
      <c r="J957" s="0" t="s">
        <v>2739</v>
      </c>
      <c r="K957" s="0" t="s">
        <v>3012</v>
      </c>
      <c r="L957" s="0" t="n">
        <v>2018</v>
      </c>
      <c r="M957" s="0" t="s">
        <v>1241</v>
      </c>
      <c r="N957" s="0" t="s">
        <v>169</v>
      </c>
      <c r="O957" s="0" t="s">
        <v>1242</v>
      </c>
      <c r="P957" s="0" t="s">
        <v>3013</v>
      </c>
      <c r="Q957" s="0" t="n">
        <v>78</v>
      </c>
      <c r="R957" s="0" t="n">
        <v>77</v>
      </c>
      <c r="T957" s="0" t="s">
        <v>3014</v>
      </c>
      <c r="U957" s="0" t="s">
        <v>3015</v>
      </c>
      <c r="V957" s="0" t="s">
        <v>170</v>
      </c>
      <c r="W957" s="0" t="s">
        <v>3022</v>
      </c>
      <c r="X957" s="0" t="s">
        <v>3023</v>
      </c>
      <c r="Y957" s="0" t="s">
        <v>2744</v>
      </c>
      <c r="Z957" s="0" t="s">
        <v>2745</v>
      </c>
      <c r="AB957" s="0" t="s">
        <v>3018</v>
      </c>
      <c r="AC957" s="0" t="s">
        <v>2747</v>
      </c>
      <c r="AD957" s="0" t="s">
        <v>2748</v>
      </c>
      <c r="AE957" s="0" t="s">
        <v>2749</v>
      </c>
      <c r="AF957" s="0" t="s">
        <v>2951</v>
      </c>
      <c r="AH957" s="0" t="s">
        <v>2751</v>
      </c>
      <c r="AL957" s="0" t="s">
        <v>384</v>
      </c>
    </row>
    <row r="958" customFormat="false" ht="15" hidden="false" customHeight="false" outlineLevel="0" collapsed="false">
      <c r="A958" s="0" t="s">
        <v>769</v>
      </c>
      <c r="B958" s="0" t="s">
        <v>163</v>
      </c>
      <c r="C958" s="0" t="s">
        <v>2944</v>
      </c>
      <c r="D958" s="0" t="n">
        <v>2018</v>
      </c>
      <c r="E958" s="0" t="s">
        <v>56</v>
      </c>
      <c r="F958" s="0" t="n">
        <v>4280413</v>
      </c>
      <c r="G958" s="0" t="s">
        <v>1681</v>
      </c>
      <c r="H958" s="0" t="s">
        <v>1648</v>
      </c>
      <c r="I958" s="0" t="n">
        <v>4280413</v>
      </c>
      <c r="J958" s="0" t="s">
        <v>2739</v>
      </c>
      <c r="K958" s="0" t="s">
        <v>3012</v>
      </c>
      <c r="L958" s="0" t="n">
        <v>2018</v>
      </c>
      <c r="M958" s="0" t="s">
        <v>1241</v>
      </c>
      <c r="N958" s="0" t="s">
        <v>169</v>
      </c>
      <c r="O958" s="0" t="s">
        <v>1242</v>
      </c>
      <c r="P958" s="0" t="s">
        <v>3013</v>
      </c>
      <c r="Q958" s="0" t="n">
        <v>78</v>
      </c>
      <c r="R958" s="0" t="n">
        <v>77</v>
      </c>
      <c r="T958" s="0" t="s">
        <v>3014</v>
      </c>
      <c r="U958" s="0" t="s">
        <v>3015</v>
      </c>
      <c r="V958" s="0" t="s">
        <v>170</v>
      </c>
      <c r="W958" s="0" t="s">
        <v>3024</v>
      </c>
      <c r="X958" s="0" t="s">
        <v>3023</v>
      </c>
      <c r="Y958" s="0" t="s">
        <v>2744</v>
      </c>
      <c r="Z958" s="0" t="s">
        <v>2745</v>
      </c>
      <c r="AA958" s="0" t="s">
        <v>3025</v>
      </c>
      <c r="AB958" s="0" t="s">
        <v>3018</v>
      </c>
      <c r="AC958" s="0" t="s">
        <v>2747</v>
      </c>
      <c r="AD958" s="0" t="s">
        <v>2748</v>
      </c>
      <c r="AE958" s="0" t="s">
        <v>2749</v>
      </c>
      <c r="AF958" s="0" t="s">
        <v>2951</v>
      </c>
      <c r="AH958" s="0" t="s">
        <v>2751</v>
      </c>
      <c r="AL958" s="0" t="s">
        <v>384</v>
      </c>
    </row>
    <row r="959" customFormat="false" ht="15" hidden="false" customHeight="false" outlineLevel="0" collapsed="false">
      <c r="A959" s="0" t="s">
        <v>770</v>
      </c>
      <c r="B959" s="0" t="s">
        <v>163</v>
      </c>
      <c r="C959" s="0" t="s">
        <v>2944</v>
      </c>
      <c r="D959" s="0" t="n">
        <v>2018</v>
      </c>
      <c r="E959" s="0" t="s">
        <v>57</v>
      </c>
      <c r="F959" s="0" t="n">
        <v>675032</v>
      </c>
      <c r="G959" s="0" t="s">
        <v>1681</v>
      </c>
      <c r="H959" s="0" t="s">
        <v>1648</v>
      </c>
      <c r="I959" s="0" t="n">
        <v>675032</v>
      </c>
      <c r="J959" s="0" t="s">
        <v>2739</v>
      </c>
      <c r="K959" s="0" t="s">
        <v>3012</v>
      </c>
      <c r="L959" s="0" t="n">
        <v>2018</v>
      </c>
      <c r="M959" s="0" t="s">
        <v>1241</v>
      </c>
      <c r="N959" s="0" t="s">
        <v>169</v>
      </c>
      <c r="O959" s="0" t="s">
        <v>1242</v>
      </c>
      <c r="P959" s="0" t="s">
        <v>3013</v>
      </c>
      <c r="Q959" s="0" t="n">
        <v>78</v>
      </c>
      <c r="R959" s="0" t="n">
        <v>77</v>
      </c>
      <c r="T959" s="0" t="s">
        <v>3014</v>
      </c>
      <c r="U959" s="0" t="s">
        <v>3015</v>
      </c>
      <c r="V959" s="0" t="s">
        <v>170</v>
      </c>
      <c r="W959" s="0" t="s">
        <v>3026</v>
      </c>
      <c r="X959" s="0" t="s">
        <v>3023</v>
      </c>
      <c r="Y959" s="0" t="s">
        <v>2744</v>
      </c>
      <c r="Z959" s="0" t="s">
        <v>2745</v>
      </c>
      <c r="AB959" s="0" t="s">
        <v>3018</v>
      </c>
      <c r="AC959" s="0" t="s">
        <v>2747</v>
      </c>
      <c r="AD959" s="0" t="s">
        <v>2748</v>
      </c>
      <c r="AE959" s="0" t="s">
        <v>2749</v>
      </c>
      <c r="AF959" s="0" t="s">
        <v>2951</v>
      </c>
      <c r="AH959" s="0" t="s">
        <v>2751</v>
      </c>
      <c r="AL959" s="0" t="s">
        <v>384</v>
      </c>
    </row>
    <row r="960" customFormat="false" ht="15" hidden="false" customHeight="false" outlineLevel="0" collapsed="false">
      <c r="A960" s="0" t="s">
        <v>772</v>
      </c>
      <c r="B960" s="0" t="s">
        <v>163</v>
      </c>
      <c r="C960" s="0" t="s">
        <v>2944</v>
      </c>
      <c r="D960" s="0" t="n">
        <v>2018</v>
      </c>
      <c r="E960" s="0" t="s">
        <v>59</v>
      </c>
      <c r="F960" s="0" t="n">
        <v>4833658</v>
      </c>
      <c r="G960" s="0" t="s">
        <v>1681</v>
      </c>
      <c r="H960" s="0" t="s">
        <v>1648</v>
      </c>
      <c r="I960" s="0" t="n">
        <v>4833658</v>
      </c>
      <c r="J960" s="0" t="s">
        <v>2739</v>
      </c>
      <c r="K960" s="0" t="s">
        <v>3012</v>
      </c>
      <c r="L960" s="0" t="n">
        <v>2018</v>
      </c>
      <c r="M960" s="0" t="s">
        <v>1241</v>
      </c>
      <c r="N960" s="0" t="s">
        <v>169</v>
      </c>
      <c r="O960" s="0" t="s">
        <v>1242</v>
      </c>
      <c r="P960" s="0" t="s">
        <v>3013</v>
      </c>
      <c r="Q960" s="0" t="n">
        <v>78</v>
      </c>
      <c r="R960" s="0" t="n">
        <v>77</v>
      </c>
      <c r="T960" s="0" t="s">
        <v>2991</v>
      </c>
      <c r="U960" s="0" t="s">
        <v>3015</v>
      </c>
      <c r="V960" s="0" t="s">
        <v>170</v>
      </c>
      <c r="W960" s="0" t="s">
        <v>3022</v>
      </c>
      <c r="X960" s="0" t="s">
        <v>3023</v>
      </c>
      <c r="Y960" s="0" t="s">
        <v>2744</v>
      </c>
      <c r="Z960" s="0" t="s">
        <v>2745</v>
      </c>
      <c r="AA960" s="0" t="s">
        <v>3027</v>
      </c>
      <c r="AB960" s="0" t="s">
        <v>3018</v>
      </c>
      <c r="AC960" s="0" t="s">
        <v>2747</v>
      </c>
      <c r="AD960" s="0" t="s">
        <v>2748</v>
      </c>
      <c r="AE960" s="0" t="s">
        <v>2749</v>
      </c>
      <c r="AF960" s="0" t="s">
        <v>2951</v>
      </c>
      <c r="AH960" s="0" t="s">
        <v>2751</v>
      </c>
      <c r="AL960" s="0" t="s">
        <v>384</v>
      </c>
    </row>
    <row r="961" customFormat="false" ht="15" hidden="false" customHeight="false" outlineLevel="0" collapsed="false">
      <c r="A961" s="0" t="s">
        <v>771</v>
      </c>
      <c r="B961" s="0" t="s">
        <v>163</v>
      </c>
      <c r="C961" s="0" t="s">
        <v>2944</v>
      </c>
      <c r="D961" s="0" t="n">
        <v>2018</v>
      </c>
      <c r="E961" s="0" t="s">
        <v>58</v>
      </c>
      <c r="F961" s="0" t="n">
        <v>184314</v>
      </c>
      <c r="G961" s="0" t="s">
        <v>1681</v>
      </c>
      <c r="H961" s="0" t="s">
        <v>1648</v>
      </c>
      <c r="I961" s="0" t="n">
        <v>184314</v>
      </c>
      <c r="J961" s="0" t="s">
        <v>2739</v>
      </c>
      <c r="K961" s="0" t="s">
        <v>3012</v>
      </c>
      <c r="L961" s="0" t="n">
        <v>2018</v>
      </c>
      <c r="M961" s="0" t="s">
        <v>1241</v>
      </c>
      <c r="N961" s="0" t="s">
        <v>169</v>
      </c>
      <c r="O961" s="0" t="s">
        <v>1242</v>
      </c>
      <c r="P961" s="0" t="s">
        <v>3013</v>
      </c>
      <c r="Q961" s="0" t="n">
        <v>82</v>
      </c>
      <c r="R961" s="0" t="n">
        <v>81</v>
      </c>
      <c r="T961" s="0" t="s">
        <v>3028</v>
      </c>
      <c r="U961" s="0" t="s">
        <v>3015</v>
      </c>
      <c r="V961" s="0" t="s">
        <v>170</v>
      </c>
      <c r="W961" s="0" t="s">
        <v>3029</v>
      </c>
      <c r="X961" s="0" t="s">
        <v>3030</v>
      </c>
      <c r="Y961" s="0" t="s">
        <v>2744</v>
      </c>
      <c r="Z961" s="0" t="s">
        <v>2745</v>
      </c>
      <c r="AB961" s="0" t="s">
        <v>3018</v>
      </c>
      <c r="AC961" s="0" t="s">
        <v>2747</v>
      </c>
      <c r="AD961" s="0" t="s">
        <v>2748</v>
      </c>
      <c r="AE961" s="0" t="s">
        <v>2749</v>
      </c>
      <c r="AF961" s="0" t="s">
        <v>2951</v>
      </c>
      <c r="AH961" s="0" t="s">
        <v>2751</v>
      </c>
      <c r="AL961" s="0" t="s">
        <v>384</v>
      </c>
    </row>
    <row r="962" customFormat="false" ht="15" hidden="false" customHeight="false" outlineLevel="0" collapsed="false">
      <c r="A962" s="0" t="s">
        <v>773</v>
      </c>
      <c r="B962" s="0" t="s">
        <v>163</v>
      </c>
      <c r="C962" s="0" t="s">
        <v>2944</v>
      </c>
      <c r="D962" s="0" t="n">
        <v>2018</v>
      </c>
      <c r="E962" s="0" t="s">
        <v>60</v>
      </c>
      <c r="F962" s="0" t="n">
        <v>1921064</v>
      </c>
      <c r="G962" s="0" t="s">
        <v>1681</v>
      </c>
      <c r="H962" s="0" t="s">
        <v>1648</v>
      </c>
      <c r="I962" s="0" t="n">
        <v>1921064</v>
      </c>
      <c r="J962" s="0" t="s">
        <v>2739</v>
      </c>
      <c r="K962" s="0" t="s">
        <v>3012</v>
      </c>
      <c r="L962" s="0" t="n">
        <v>2018</v>
      </c>
      <c r="M962" s="0" t="s">
        <v>1241</v>
      </c>
      <c r="N962" s="0" t="s">
        <v>169</v>
      </c>
      <c r="O962" s="0" t="s">
        <v>1242</v>
      </c>
      <c r="P962" s="0" t="s">
        <v>3013</v>
      </c>
      <c r="Q962" s="0" t="n">
        <v>120</v>
      </c>
      <c r="R962" s="0" t="n">
        <v>119</v>
      </c>
      <c r="S962" s="0" t="s">
        <v>2966</v>
      </c>
      <c r="T962" s="0" t="s">
        <v>3031</v>
      </c>
      <c r="U962" s="0" t="s">
        <v>3015</v>
      </c>
      <c r="V962" s="0" t="s">
        <v>170</v>
      </c>
      <c r="W962" s="0" t="s">
        <v>3032</v>
      </c>
      <c r="X962" s="0" t="s">
        <v>3033</v>
      </c>
      <c r="Y962" s="0" t="s">
        <v>2744</v>
      </c>
      <c r="Z962" s="0" t="s">
        <v>2745</v>
      </c>
      <c r="AB962" s="0" t="s">
        <v>3018</v>
      </c>
      <c r="AC962" s="0" t="s">
        <v>2747</v>
      </c>
      <c r="AD962" s="0" t="s">
        <v>2748</v>
      </c>
      <c r="AE962" s="0" t="s">
        <v>2749</v>
      </c>
      <c r="AF962" s="0" t="s">
        <v>2951</v>
      </c>
      <c r="AH962" s="0" t="s">
        <v>2751</v>
      </c>
      <c r="AL962" s="0" t="s">
        <v>384</v>
      </c>
    </row>
    <row r="963" customFormat="false" ht="15" hidden="false" customHeight="false" outlineLevel="0" collapsed="false">
      <c r="A963" s="0" t="s">
        <v>777</v>
      </c>
      <c r="B963" s="0" t="s">
        <v>163</v>
      </c>
      <c r="C963" s="0" t="s">
        <v>2944</v>
      </c>
      <c r="D963" s="0" t="n">
        <v>2018</v>
      </c>
      <c r="E963" s="0" t="s">
        <v>64</v>
      </c>
      <c r="F963" s="0" t="n">
        <v>92630</v>
      </c>
      <c r="G963" s="0" t="s">
        <v>1681</v>
      </c>
      <c r="H963" s="0" t="s">
        <v>1648</v>
      </c>
      <c r="I963" s="0" t="n">
        <v>92630</v>
      </c>
      <c r="J963" s="0" t="s">
        <v>2739</v>
      </c>
      <c r="K963" s="0" t="s">
        <v>3012</v>
      </c>
      <c r="L963" s="0" t="n">
        <v>2018</v>
      </c>
      <c r="M963" s="0" t="s">
        <v>1241</v>
      </c>
      <c r="N963" s="0" t="s">
        <v>169</v>
      </c>
      <c r="O963" s="0" t="s">
        <v>1242</v>
      </c>
      <c r="P963" s="0" t="s">
        <v>3013</v>
      </c>
      <c r="Q963" s="0" t="n">
        <v>120</v>
      </c>
      <c r="R963" s="0" t="n">
        <v>119</v>
      </c>
      <c r="S963" s="0" t="s">
        <v>2966</v>
      </c>
      <c r="T963" s="0" t="s">
        <v>3034</v>
      </c>
      <c r="U963" s="0" t="s">
        <v>3015</v>
      </c>
      <c r="V963" s="0" t="s">
        <v>170</v>
      </c>
      <c r="W963" s="0" t="s">
        <v>3032</v>
      </c>
      <c r="X963" s="0" t="s">
        <v>3033</v>
      </c>
      <c r="Y963" s="0" t="s">
        <v>2744</v>
      </c>
      <c r="Z963" s="0" t="s">
        <v>2745</v>
      </c>
      <c r="AB963" s="0" t="s">
        <v>3018</v>
      </c>
      <c r="AC963" s="0" t="s">
        <v>2747</v>
      </c>
      <c r="AD963" s="0" t="s">
        <v>2748</v>
      </c>
      <c r="AE963" s="0" t="s">
        <v>2749</v>
      </c>
      <c r="AF963" s="0" t="s">
        <v>2951</v>
      </c>
      <c r="AH963" s="0" t="s">
        <v>2751</v>
      </c>
      <c r="AL963" s="0" t="s">
        <v>384</v>
      </c>
    </row>
    <row r="964" customFormat="false" ht="15" hidden="false" customHeight="false" outlineLevel="0" collapsed="false">
      <c r="A964" s="0" t="s">
        <v>774</v>
      </c>
      <c r="B964" s="0" t="s">
        <v>163</v>
      </c>
      <c r="C964" s="0" t="s">
        <v>2944</v>
      </c>
      <c r="D964" s="0" t="n">
        <v>2018</v>
      </c>
      <c r="E964" s="0" t="s">
        <v>61</v>
      </c>
      <c r="F964" s="0" t="n">
        <v>184998</v>
      </c>
      <c r="G964" s="0" t="s">
        <v>1681</v>
      </c>
      <c r="H964" s="0" t="s">
        <v>1648</v>
      </c>
      <c r="I964" s="0" t="n">
        <v>184998</v>
      </c>
      <c r="J964" s="0" t="s">
        <v>2739</v>
      </c>
      <c r="K964" s="0" t="s">
        <v>3012</v>
      </c>
      <c r="L964" s="0" t="n">
        <v>2018</v>
      </c>
      <c r="M964" s="0" t="s">
        <v>1241</v>
      </c>
      <c r="N964" s="0" t="s">
        <v>169</v>
      </c>
      <c r="O964" s="0" t="s">
        <v>1242</v>
      </c>
      <c r="P964" s="0" t="s">
        <v>3013</v>
      </c>
      <c r="Q964" s="0" t="n">
        <v>120</v>
      </c>
      <c r="R964" s="0" t="n">
        <v>119</v>
      </c>
      <c r="S964" s="0" t="s">
        <v>2966</v>
      </c>
      <c r="T964" s="0" t="s">
        <v>3035</v>
      </c>
      <c r="U964" s="0" t="s">
        <v>3015</v>
      </c>
      <c r="V964" s="0" t="s">
        <v>170</v>
      </c>
      <c r="W964" s="0" t="s">
        <v>3032</v>
      </c>
      <c r="X964" s="0" t="s">
        <v>3033</v>
      </c>
      <c r="Y964" s="0" t="s">
        <v>2744</v>
      </c>
      <c r="Z964" s="0" t="s">
        <v>2745</v>
      </c>
      <c r="AA964" s="0" t="s">
        <v>3036</v>
      </c>
      <c r="AB964" s="0" t="s">
        <v>3018</v>
      </c>
      <c r="AC964" s="0" t="s">
        <v>2747</v>
      </c>
      <c r="AD964" s="0" t="s">
        <v>2748</v>
      </c>
      <c r="AE964" s="0" t="s">
        <v>2749</v>
      </c>
      <c r="AF964" s="0" t="s">
        <v>2951</v>
      </c>
      <c r="AH964" s="0" t="s">
        <v>2751</v>
      </c>
      <c r="AL964" s="0" t="s">
        <v>384</v>
      </c>
    </row>
    <row r="965" customFormat="false" ht="15" hidden="false" customHeight="false" outlineLevel="0" collapsed="false">
      <c r="A965" s="0" t="s">
        <v>775</v>
      </c>
      <c r="B965" s="0" t="s">
        <v>163</v>
      </c>
      <c r="C965" s="0" t="s">
        <v>2944</v>
      </c>
      <c r="D965" s="0" t="n">
        <v>2018</v>
      </c>
      <c r="E965" s="0" t="s">
        <v>62</v>
      </c>
      <c r="F965" s="0" t="n">
        <v>1736066</v>
      </c>
      <c r="G965" s="0" t="s">
        <v>1681</v>
      </c>
      <c r="H965" s="0" t="s">
        <v>1648</v>
      </c>
      <c r="I965" s="0" t="n">
        <v>1736066</v>
      </c>
      <c r="J965" s="0" t="s">
        <v>2739</v>
      </c>
      <c r="K965" s="0" t="s">
        <v>3012</v>
      </c>
      <c r="L965" s="0" t="n">
        <v>2018</v>
      </c>
      <c r="M965" s="0" t="s">
        <v>1241</v>
      </c>
      <c r="N965" s="0" t="s">
        <v>169</v>
      </c>
      <c r="O965" s="0" t="s">
        <v>1242</v>
      </c>
      <c r="P965" s="0" t="s">
        <v>3013</v>
      </c>
      <c r="Q965" s="0" t="n">
        <v>120</v>
      </c>
      <c r="R965" s="0" t="n">
        <v>119</v>
      </c>
      <c r="S965" s="0" t="s">
        <v>2966</v>
      </c>
      <c r="T965" s="0" t="s">
        <v>3037</v>
      </c>
      <c r="U965" s="0" t="s">
        <v>3015</v>
      </c>
      <c r="V965" s="0" t="s">
        <v>170</v>
      </c>
      <c r="W965" s="0" t="s">
        <v>3032</v>
      </c>
      <c r="X965" s="0" t="s">
        <v>3033</v>
      </c>
      <c r="Y965" s="0" t="s">
        <v>2744</v>
      </c>
      <c r="Z965" s="0" t="s">
        <v>2745</v>
      </c>
      <c r="AB965" s="0" t="s">
        <v>3018</v>
      </c>
      <c r="AC965" s="0" t="s">
        <v>2747</v>
      </c>
      <c r="AD965" s="0" t="s">
        <v>2748</v>
      </c>
      <c r="AE965" s="0" t="s">
        <v>2749</v>
      </c>
      <c r="AF965" s="0" t="s">
        <v>2951</v>
      </c>
      <c r="AH965" s="0" t="s">
        <v>2751</v>
      </c>
      <c r="AL965" s="0" t="s">
        <v>384</v>
      </c>
    </row>
    <row r="966" customFormat="false" ht="15" hidden="false" customHeight="false" outlineLevel="0" collapsed="false">
      <c r="A966" s="0" t="s">
        <v>780</v>
      </c>
      <c r="B966" s="0" t="s">
        <v>163</v>
      </c>
      <c r="C966" s="0" t="s">
        <v>2944</v>
      </c>
      <c r="D966" s="0" t="n">
        <v>2018</v>
      </c>
      <c r="E966" s="0" t="s">
        <v>65</v>
      </c>
      <c r="F966" s="0" t="n">
        <v>641524</v>
      </c>
      <c r="G966" s="0" t="s">
        <v>1681</v>
      </c>
      <c r="H966" s="0" t="s">
        <v>1648</v>
      </c>
      <c r="I966" s="0" t="n">
        <v>641524</v>
      </c>
      <c r="J966" s="0" t="s">
        <v>2739</v>
      </c>
      <c r="K966" s="0" t="s">
        <v>3012</v>
      </c>
      <c r="L966" s="0" t="n">
        <v>2018</v>
      </c>
      <c r="M966" s="0" t="s">
        <v>1241</v>
      </c>
      <c r="N966" s="0" t="s">
        <v>169</v>
      </c>
      <c r="O966" s="0" t="s">
        <v>1242</v>
      </c>
      <c r="P966" s="0" t="s">
        <v>3013</v>
      </c>
      <c r="Q966" s="0" t="n">
        <v>165</v>
      </c>
      <c r="R966" s="0" t="n">
        <v>164</v>
      </c>
      <c r="T966" s="0" t="s">
        <v>3038</v>
      </c>
      <c r="U966" s="0" t="s">
        <v>3015</v>
      </c>
      <c r="V966" s="0" t="s">
        <v>170</v>
      </c>
      <c r="W966" s="0" t="s">
        <v>3039</v>
      </c>
      <c r="X966" s="0" t="s">
        <v>3040</v>
      </c>
      <c r="Y966" s="0" t="s">
        <v>2744</v>
      </c>
      <c r="Z966" s="0" t="s">
        <v>2745</v>
      </c>
      <c r="AA966" s="0" t="s">
        <v>3041</v>
      </c>
      <c r="AB966" s="0" t="s">
        <v>3018</v>
      </c>
      <c r="AC966" s="0" t="s">
        <v>2747</v>
      </c>
      <c r="AD966" s="0" t="s">
        <v>2748</v>
      </c>
      <c r="AE966" s="0" t="s">
        <v>2749</v>
      </c>
      <c r="AF966" s="0" t="s">
        <v>2951</v>
      </c>
      <c r="AH966" s="0" t="s">
        <v>2751</v>
      </c>
      <c r="AL966" s="0" t="s">
        <v>384</v>
      </c>
    </row>
    <row r="967" customFormat="false" ht="15" hidden="false" customHeight="false" outlineLevel="0" collapsed="false">
      <c r="A967" s="0" t="s">
        <v>782</v>
      </c>
      <c r="B967" s="0" t="s">
        <v>163</v>
      </c>
      <c r="C967" s="0" t="s">
        <v>2944</v>
      </c>
      <c r="D967" s="0" t="n">
        <v>2018</v>
      </c>
      <c r="E967" s="0" t="s">
        <v>595</v>
      </c>
      <c r="F967" s="0" t="n">
        <v>703653</v>
      </c>
      <c r="G967" s="0" t="s">
        <v>1681</v>
      </c>
      <c r="H967" s="0" t="s">
        <v>1648</v>
      </c>
      <c r="I967" s="0" t="n">
        <v>703653</v>
      </c>
      <c r="J967" s="0" t="s">
        <v>2739</v>
      </c>
      <c r="K967" s="0" t="s">
        <v>3012</v>
      </c>
      <c r="L967" s="0" t="n">
        <v>2018</v>
      </c>
      <c r="M967" s="0" t="s">
        <v>1241</v>
      </c>
      <c r="N967" s="0" t="s">
        <v>169</v>
      </c>
      <c r="O967" s="0" t="s">
        <v>1242</v>
      </c>
      <c r="P967" s="0" t="s">
        <v>3013</v>
      </c>
      <c r="Q967" s="0" t="n">
        <v>165</v>
      </c>
      <c r="R967" s="0" t="n">
        <v>164</v>
      </c>
      <c r="T967" s="0" t="s">
        <v>3042</v>
      </c>
      <c r="U967" s="0" t="s">
        <v>3015</v>
      </c>
      <c r="V967" s="0" t="s">
        <v>170</v>
      </c>
      <c r="W967" s="0" t="s">
        <v>3039</v>
      </c>
      <c r="X967" s="0" t="s">
        <v>3040</v>
      </c>
      <c r="Y967" s="0" t="s">
        <v>2744</v>
      </c>
      <c r="Z967" s="0" t="s">
        <v>2745</v>
      </c>
      <c r="AB967" s="0" t="s">
        <v>3018</v>
      </c>
      <c r="AC967" s="0" t="s">
        <v>2747</v>
      </c>
      <c r="AD967" s="0" t="s">
        <v>2748</v>
      </c>
      <c r="AE967" s="0" t="s">
        <v>2749</v>
      </c>
      <c r="AF967" s="0" t="s">
        <v>2951</v>
      </c>
      <c r="AH967" s="0" t="s">
        <v>2751</v>
      </c>
      <c r="AL967" s="0" t="s">
        <v>384</v>
      </c>
    </row>
    <row r="968" customFormat="false" ht="15" hidden="false" customHeight="false" outlineLevel="0" collapsed="false">
      <c r="A968" s="0" t="s">
        <v>781</v>
      </c>
      <c r="B968" s="0" t="s">
        <v>163</v>
      </c>
      <c r="C968" s="0" t="s">
        <v>2944</v>
      </c>
      <c r="D968" s="0" t="n">
        <v>2018</v>
      </c>
      <c r="E968" s="0" t="s">
        <v>66</v>
      </c>
      <c r="F968" s="0" t="n">
        <v>2690329</v>
      </c>
      <c r="G968" s="0" t="s">
        <v>1681</v>
      </c>
      <c r="H968" s="0" t="s">
        <v>1648</v>
      </c>
      <c r="I968" s="0" t="n">
        <v>2690329</v>
      </c>
      <c r="J968" s="0" t="s">
        <v>2739</v>
      </c>
      <c r="K968" s="0" t="s">
        <v>3012</v>
      </c>
      <c r="L968" s="0" t="n">
        <v>2018</v>
      </c>
      <c r="M968" s="0" t="s">
        <v>1241</v>
      </c>
      <c r="N968" s="0" t="s">
        <v>169</v>
      </c>
      <c r="O968" s="0" t="s">
        <v>1242</v>
      </c>
      <c r="P968" s="0" t="s">
        <v>3013</v>
      </c>
      <c r="Q968" s="0" t="n">
        <v>165</v>
      </c>
      <c r="R968" s="0" t="n">
        <v>164</v>
      </c>
      <c r="T968" s="0" t="s">
        <v>3043</v>
      </c>
      <c r="U968" s="0" t="s">
        <v>3015</v>
      </c>
      <c r="V968" s="0" t="s">
        <v>170</v>
      </c>
      <c r="W968" s="0" t="s">
        <v>3044</v>
      </c>
      <c r="X968" s="0" t="s">
        <v>3040</v>
      </c>
      <c r="Y968" s="0" t="s">
        <v>2744</v>
      </c>
      <c r="Z968" s="0" t="s">
        <v>2745</v>
      </c>
      <c r="AB968" s="0" t="s">
        <v>3018</v>
      </c>
      <c r="AC968" s="0" t="s">
        <v>2747</v>
      </c>
      <c r="AD968" s="0" t="s">
        <v>2748</v>
      </c>
      <c r="AE968" s="0" t="s">
        <v>2749</v>
      </c>
      <c r="AF968" s="0" t="s">
        <v>2951</v>
      </c>
      <c r="AH968" s="0" t="s">
        <v>2751</v>
      </c>
      <c r="AL968" s="0" t="s">
        <v>384</v>
      </c>
    </row>
    <row r="969" customFormat="false" ht="15" hidden="false" customHeight="false" outlineLevel="0" collapsed="false">
      <c r="A969" s="0" t="s">
        <v>778</v>
      </c>
      <c r="B969" s="0" t="s">
        <v>163</v>
      </c>
      <c r="C969" s="0" t="s">
        <v>2944</v>
      </c>
      <c r="D969" s="0" t="n">
        <v>2018</v>
      </c>
      <c r="E969" s="0" t="s">
        <v>69</v>
      </c>
      <c r="F969" s="0" t="s">
        <v>3045</v>
      </c>
      <c r="G969" s="0" t="s">
        <v>1723</v>
      </c>
      <c r="I969" s="0" t="n">
        <v>24</v>
      </c>
      <c r="J969" s="0" t="s">
        <v>2739</v>
      </c>
      <c r="K969" s="0" t="s">
        <v>3012</v>
      </c>
      <c r="L969" s="0" t="n">
        <v>2018</v>
      </c>
      <c r="M969" s="0" t="s">
        <v>1241</v>
      </c>
      <c r="N969" s="0" t="s">
        <v>169</v>
      </c>
      <c r="O969" s="0" t="s">
        <v>1242</v>
      </c>
      <c r="P969" s="0" t="s">
        <v>3013</v>
      </c>
      <c r="Q969" s="0" t="n">
        <v>165</v>
      </c>
      <c r="R969" s="0" t="n">
        <v>164</v>
      </c>
      <c r="T969" s="0" t="s">
        <v>3038</v>
      </c>
      <c r="U969" s="0" t="s">
        <v>3015</v>
      </c>
      <c r="V969" s="0" t="s">
        <v>170</v>
      </c>
      <c r="W969" s="0" t="s">
        <v>3046</v>
      </c>
      <c r="X969" s="0" t="s">
        <v>3040</v>
      </c>
      <c r="Y969" s="0" t="s">
        <v>2744</v>
      </c>
      <c r="Z969" s="0" t="s">
        <v>2745</v>
      </c>
      <c r="AA969" s="0" t="s">
        <v>2981</v>
      </c>
      <c r="AB969" s="0" t="s">
        <v>3018</v>
      </c>
      <c r="AC969" s="0" t="s">
        <v>2747</v>
      </c>
      <c r="AD969" s="0" t="s">
        <v>2748</v>
      </c>
      <c r="AE969" s="0" t="s">
        <v>2749</v>
      </c>
      <c r="AF969" s="0" t="s">
        <v>2951</v>
      </c>
      <c r="AH969" s="0" t="s">
        <v>2751</v>
      </c>
      <c r="AL969" s="0" t="s">
        <v>384</v>
      </c>
    </row>
    <row r="970" customFormat="false" ht="15" hidden="false" customHeight="false" outlineLevel="0" collapsed="false">
      <c r="A970" s="0" t="s">
        <v>779</v>
      </c>
      <c r="B970" s="0" t="s">
        <v>163</v>
      </c>
      <c r="C970" s="0" t="s">
        <v>2944</v>
      </c>
      <c r="D970" s="0" t="n">
        <v>2018</v>
      </c>
      <c r="E970" s="0" t="s">
        <v>591</v>
      </c>
      <c r="F970" s="0" t="s">
        <v>3047</v>
      </c>
      <c r="G970" s="0" t="s">
        <v>1723</v>
      </c>
      <c r="I970" s="0" t="n">
        <v>26</v>
      </c>
      <c r="J970" s="0" t="s">
        <v>2739</v>
      </c>
      <c r="K970" s="0" t="s">
        <v>3012</v>
      </c>
      <c r="L970" s="0" t="n">
        <v>2018</v>
      </c>
      <c r="M970" s="0" t="s">
        <v>1241</v>
      </c>
      <c r="N970" s="0" t="s">
        <v>169</v>
      </c>
      <c r="O970" s="0" t="s">
        <v>1242</v>
      </c>
      <c r="P970" s="0" t="s">
        <v>3013</v>
      </c>
      <c r="Q970" s="0" t="n">
        <v>165</v>
      </c>
      <c r="R970" s="0" t="n">
        <v>164</v>
      </c>
      <c r="T970" s="0" t="s">
        <v>3048</v>
      </c>
      <c r="U970" s="0" t="s">
        <v>3015</v>
      </c>
      <c r="V970" s="0" t="s">
        <v>170</v>
      </c>
      <c r="W970" s="0" t="s">
        <v>3046</v>
      </c>
      <c r="X970" s="0" t="s">
        <v>3040</v>
      </c>
      <c r="Y970" s="0" t="s">
        <v>2744</v>
      </c>
      <c r="Z970" s="0" t="s">
        <v>2745</v>
      </c>
      <c r="AA970" s="0" t="s">
        <v>2981</v>
      </c>
      <c r="AB970" s="0" t="s">
        <v>3018</v>
      </c>
      <c r="AC970" s="0" t="s">
        <v>2747</v>
      </c>
      <c r="AD970" s="0" t="s">
        <v>2748</v>
      </c>
      <c r="AE970" s="0" t="s">
        <v>2749</v>
      </c>
      <c r="AF970" s="0" t="s">
        <v>2951</v>
      </c>
      <c r="AH970" s="0" t="s">
        <v>2751</v>
      </c>
      <c r="AL970" s="0" t="s">
        <v>384</v>
      </c>
    </row>
    <row r="971" customFormat="false" ht="15" hidden="false" customHeight="false" outlineLevel="0" collapsed="false">
      <c r="A971" s="0" t="s">
        <v>784</v>
      </c>
      <c r="B971" s="0" t="s">
        <v>163</v>
      </c>
      <c r="C971" s="0" t="s">
        <v>2944</v>
      </c>
      <c r="D971" s="0" t="n">
        <v>2019</v>
      </c>
      <c r="E971" s="0" t="s">
        <v>54</v>
      </c>
      <c r="F971" s="0" t="n">
        <v>178003</v>
      </c>
      <c r="G971" s="0" t="s">
        <v>1681</v>
      </c>
      <c r="H971" s="0" t="s">
        <v>1648</v>
      </c>
      <c r="I971" s="0" t="n">
        <v>178003</v>
      </c>
      <c r="J971" s="0" t="s">
        <v>2739</v>
      </c>
      <c r="K971" s="0" t="s">
        <v>1039</v>
      </c>
      <c r="L971" s="0" t="n">
        <v>2019</v>
      </c>
      <c r="M971" s="0" t="s">
        <v>1040</v>
      </c>
      <c r="N971" s="0" t="s">
        <v>171</v>
      </c>
      <c r="O971" s="0" t="s">
        <v>1255</v>
      </c>
      <c r="P971" s="0" t="s">
        <v>3049</v>
      </c>
      <c r="Q971" s="0" t="n">
        <v>81</v>
      </c>
      <c r="R971" s="0" t="n">
        <v>78</v>
      </c>
      <c r="T971" s="0" t="s">
        <v>3050</v>
      </c>
      <c r="U971" s="0" t="s">
        <v>3051</v>
      </c>
      <c r="V971" s="0" t="s">
        <v>172</v>
      </c>
      <c r="W971" s="0" t="s">
        <v>3052</v>
      </c>
      <c r="X971" s="0" t="s">
        <v>3053</v>
      </c>
      <c r="Y971" s="0" t="s">
        <v>2744</v>
      </c>
      <c r="Z971" s="0" t="s">
        <v>2745</v>
      </c>
      <c r="AB971" s="0" t="s">
        <v>3054</v>
      </c>
      <c r="AC971" s="0" t="s">
        <v>2747</v>
      </c>
      <c r="AD971" s="0" t="s">
        <v>2748</v>
      </c>
      <c r="AE971" s="0" t="s">
        <v>2749</v>
      </c>
      <c r="AF971" s="0" t="s">
        <v>2951</v>
      </c>
      <c r="AH971" s="0" t="s">
        <v>2751</v>
      </c>
      <c r="AL971" s="0" t="s">
        <v>384</v>
      </c>
    </row>
    <row r="972" customFormat="false" ht="15" hidden="false" customHeight="false" outlineLevel="0" collapsed="false">
      <c r="A972" s="0" t="s">
        <v>801</v>
      </c>
      <c r="B972" s="0" t="s">
        <v>163</v>
      </c>
      <c r="C972" s="0" t="s">
        <v>2944</v>
      </c>
      <c r="D972" s="0" t="n">
        <v>2019</v>
      </c>
      <c r="E972" s="0" t="s">
        <v>402</v>
      </c>
      <c r="F972" s="0" t="n">
        <v>200020</v>
      </c>
      <c r="G972" s="0" t="s">
        <v>1681</v>
      </c>
      <c r="H972" s="0" t="s">
        <v>1648</v>
      </c>
      <c r="I972" s="0" t="n">
        <v>200020</v>
      </c>
      <c r="J972" s="0" t="s">
        <v>2739</v>
      </c>
      <c r="K972" s="0" t="s">
        <v>1039</v>
      </c>
      <c r="L972" s="0" t="n">
        <v>2019</v>
      </c>
      <c r="M972" s="0" t="s">
        <v>1040</v>
      </c>
      <c r="N972" s="0" t="s">
        <v>171</v>
      </c>
      <c r="O972" s="0" t="s">
        <v>1255</v>
      </c>
      <c r="P972" s="0" t="s">
        <v>3049</v>
      </c>
      <c r="Q972" s="0" t="n">
        <v>81</v>
      </c>
      <c r="R972" s="0" t="n">
        <v>78</v>
      </c>
      <c r="T972" s="0" t="s">
        <v>3050</v>
      </c>
      <c r="U972" s="0" t="s">
        <v>3051</v>
      </c>
      <c r="V972" s="0" t="s">
        <v>172</v>
      </c>
      <c r="W972" s="0" t="s">
        <v>3055</v>
      </c>
      <c r="X972" s="0" t="s">
        <v>3053</v>
      </c>
      <c r="Y972" s="0" t="s">
        <v>2744</v>
      </c>
      <c r="Z972" s="0" t="s">
        <v>2745</v>
      </c>
      <c r="AB972" s="0" t="s">
        <v>3054</v>
      </c>
      <c r="AC972" s="0" t="s">
        <v>2747</v>
      </c>
      <c r="AD972" s="0" t="s">
        <v>2748</v>
      </c>
      <c r="AE972" s="0" t="s">
        <v>2749</v>
      </c>
      <c r="AF972" s="0" t="s">
        <v>2951</v>
      </c>
      <c r="AH972" s="0" t="s">
        <v>2751</v>
      </c>
      <c r="AL972" s="0" t="s">
        <v>384</v>
      </c>
    </row>
    <row r="973" customFormat="false" ht="15" hidden="false" customHeight="false" outlineLevel="0" collapsed="false">
      <c r="A973" s="0" t="s">
        <v>793</v>
      </c>
      <c r="B973" s="0" t="s">
        <v>163</v>
      </c>
      <c r="C973" s="0" t="s">
        <v>2944</v>
      </c>
      <c r="D973" s="0" t="n">
        <v>2019</v>
      </c>
      <c r="E973" s="0" t="s">
        <v>63</v>
      </c>
      <c r="F973" s="0" t="n">
        <v>-23393</v>
      </c>
      <c r="G973" s="0" t="s">
        <v>1681</v>
      </c>
      <c r="H973" s="0" t="s">
        <v>1648</v>
      </c>
      <c r="I973" s="0" t="n">
        <v>23393</v>
      </c>
      <c r="J973" s="0" t="s">
        <v>2739</v>
      </c>
      <c r="K973" s="0" t="s">
        <v>1039</v>
      </c>
      <c r="L973" s="0" t="n">
        <v>2019</v>
      </c>
      <c r="M973" s="0" t="s">
        <v>1040</v>
      </c>
      <c r="N973" s="0" t="s">
        <v>171</v>
      </c>
      <c r="O973" s="0" t="s">
        <v>1255</v>
      </c>
      <c r="P973" s="0" t="s">
        <v>3049</v>
      </c>
      <c r="Q973" s="0" t="n">
        <v>81</v>
      </c>
      <c r="R973" s="0" t="n">
        <v>78</v>
      </c>
      <c r="S973" s="0" t="n">
        <v>8</v>
      </c>
      <c r="T973" s="0" t="s">
        <v>3050</v>
      </c>
      <c r="U973" s="0" t="s">
        <v>3051</v>
      </c>
      <c r="V973" s="0" t="s">
        <v>172</v>
      </c>
      <c r="W973" s="0" t="s">
        <v>3056</v>
      </c>
      <c r="X973" s="0" t="s">
        <v>3053</v>
      </c>
      <c r="Y973" s="0" t="s">
        <v>2744</v>
      </c>
      <c r="Z973" s="0" t="s">
        <v>2745</v>
      </c>
      <c r="AA973" s="0" t="s">
        <v>3021</v>
      </c>
      <c r="AB973" s="0" t="s">
        <v>3054</v>
      </c>
      <c r="AC973" s="0" t="s">
        <v>2747</v>
      </c>
      <c r="AD973" s="0" t="s">
        <v>2748</v>
      </c>
      <c r="AE973" s="0" t="s">
        <v>2749</v>
      </c>
      <c r="AF973" s="0" t="s">
        <v>2951</v>
      </c>
      <c r="AH973" s="0" t="s">
        <v>2760</v>
      </c>
      <c r="AI973" s="0" t="s">
        <v>2761</v>
      </c>
      <c r="AL973" s="0" t="s">
        <v>384</v>
      </c>
    </row>
    <row r="974" customFormat="false" ht="15" hidden="false" customHeight="false" outlineLevel="0" collapsed="false">
      <c r="A974" s="0" t="s">
        <v>785</v>
      </c>
      <c r="B974" s="0" t="s">
        <v>163</v>
      </c>
      <c r="C974" s="0" t="s">
        <v>2944</v>
      </c>
      <c r="D974" s="0" t="n">
        <v>2019</v>
      </c>
      <c r="E974" s="0" t="s">
        <v>55</v>
      </c>
      <c r="F974" s="0" t="n">
        <v>5435073</v>
      </c>
      <c r="G974" s="0" t="s">
        <v>1681</v>
      </c>
      <c r="H974" s="0" t="s">
        <v>1648</v>
      </c>
      <c r="I974" s="0" t="n">
        <v>5435073</v>
      </c>
      <c r="J974" s="0" t="s">
        <v>2739</v>
      </c>
      <c r="K974" s="0" t="s">
        <v>1039</v>
      </c>
      <c r="L974" s="0" t="n">
        <v>2019</v>
      </c>
      <c r="M974" s="0" t="s">
        <v>1040</v>
      </c>
      <c r="N974" s="0" t="s">
        <v>171</v>
      </c>
      <c r="O974" s="0" t="s">
        <v>1255</v>
      </c>
      <c r="P974" s="0" t="s">
        <v>3049</v>
      </c>
      <c r="Q974" s="0" t="n">
        <v>82</v>
      </c>
      <c r="R974" s="0" t="n">
        <v>79</v>
      </c>
      <c r="T974" s="0" t="s">
        <v>3050</v>
      </c>
      <c r="U974" s="0" t="s">
        <v>3051</v>
      </c>
      <c r="V974" s="0" t="s">
        <v>172</v>
      </c>
      <c r="W974" s="0" t="s">
        <v>3057</v>
      </c>
      <c r="X974" s="0" t="s">
        <v>3058</v>
      </c>
      <c r="Y974" s="0" t="s">
        <v>2744</v>
      </c>
      <c r="Z974" s="0" t="s">
        <v>2745</v>
      </c>
      <c r="AB974" s="0" t="s">
        <v>3054</v>
      </c>
      <c r="AC974" s="0" t="s">
        <v>2747</v>
      </c>
      <c r="AD974" s="0" t="s">
        <v>2748</v>
      </c>
      <c r="AE974" s="0" t="s">
        <v>2749</v>
      </c>
      <c r="AF974" s="0" t="s">
        <v>2951</v>
      </c>
      <c r="AH974" s="0" t="s">
        <v>2751</v>
      </c>
      <c r="AL974" s="0" t="s">
        <v>384</v>
      </c>
    </row>
    <row r="975" customFormat="false" ht="15" hidden="false" customHeight="false" outlineLevel="0" collapsed="false">
      <c r="A975" s="0" t="s">
        <v>786</v>
      </c>
      <c r="B975" s="0" t="s">
        <v>163</v>
      </c>
      <c r="C975" s="0" t="s">
        <v>2944</v>
      </c>
      <c r="D975" s="0" t="n">
        <v>2019</v>
      </c>
      <c r="E975" s="0" t="s">
        <v>56</v>
      </c>
      <c r="F975" s="0" t="n">
        <v>4656078</v>
      </c>
      <c r="G975" s="0" t="s">
        <v>1681</v>
      </c>
      <c r="H975" s="0" t="s">
        <v>1648</v>
      </c>
      <c r="I975" s="0" t="n">
        <v>4656078</v>
      </c>
      <c r="J975" s="0" t="s">
        <v>2739</v>
      </c>
      <c r="K975" s="0" t="s">
        <v>1039</v>
      </c>
      <c r="L975" s="0" t="n">
        <v>2019</v>
      </c>
      <c r="M975" s="0" t="s">
        <v>1040</v>
      </c>
      <c r="N975" s="0" t="s">
        <v>171</v>
      </c>
      <c r="O975" s="0" t="s">
        <v>1255</v>
      </c>
      <c r="P975" s="0" t="s">
        <v>3049</v>
      </c>
      <c r="Q975" s="0" t="n">
        <v>82</v>
      </c>
      <c r="R975" s="0" t="n">
        <v>79</v>
      </c>
      <c r="T975" s="0" t="s">
        <v>3050</v>
      </c>
      <c r="U975" s="0" t="s">
        <v>3051</v>
      </c>
      <c r="V975" s="0" t="s">
        <v>172</v>
      </c>
      <c r="W975" s="0" t="s">
        <v>3059</v>
      </c>
      <c r="X975" s="0" t="s">
        <v>3058</v>
      </c>
      <c r="Y975" s="0" t="s">
        <v>2744</v>
      </c>
      <c r="Z975" s="0" t="s">
        <v>2745</v>
      </c>
      <c r="AA975" s="0" t="s">
        <v>3025</v>
      </c>
      <c r="AB975" s="0" t="s">
        <v>3054</v>
      </c>
      <c r="AC975" s="0" t="s">
        <v>2747</v>
      </c>
      <c r="AD975" s="0" t="s">
        <v>2748</v>
      </c>
      <c r="AE975" s="0" t="s">
        <v>2749</v>
      </c>
      <c r="AF975" s="0" t="s">
        <v>2951</v>
      </c>
      <c r="AH975" s="0" t="s">
        <v>2751</v>
      </c>
      <c r="AL975" s="0" t="s">
        <v>384</v>
      </c>
    </row>
    <row r="976" customFormat="false" ht="15" hidden="false" customHeight="false" outlineLevel="0" collapsed="false">
      <c r="A976" s="0" t="s">
        <v>787</v>
      </c>
      <c r="B976" s="0" t="s">
        <v>163</v>
      </c>
      <c r="C976" s="0" t="s">
        <v>2944</v>
      </c>
      <c r="D976" s="0" t="n">
        <v>2019</v>
      </c>
      <c r="E976" s="0" t="s">
        <v>57</v>
      </c>
      <c r="F976" s="0" t="n">
        <v>778995</v>
      </c>
      <c r="G976" s="0" t="s">
        <v>1681</v>
      </c>
      <c r="H976" s="0" t="s">
        <v>1648</v>
      </c>
      <c r="I976" s="0" t="n">
        <v>778995</v>
      </c>
      <c r="J976" s="0" t="s">
        <v>2739</v>
      </c>
      <c r="K976" s="0" t="s">
        <v>1039</v>
      </c>
      <c r="L976" s="0" t="n">
        <v>2019</v>
      </c>
      <c r="M976" s="0" t="s">
        <v>1040</v>
      </c>
      <c r="N976" s="0" t="s">
        <v>171</v>
      </c>
      <c r="O976" s="0" t="s">
        <v>1255</v>
      </c>
      <c r="P976" s="0" t="s">
        <v>3049</v>
      </c>
      <c r="Q976" s="0" t="n">
        <v>82</v>
      </c>
      <c r="R976" s="0" t="n">
        <v>79</v>
      </c>
      <c r="T976" s="0" t="s">
        <v>3050</v>
      </c>
      <c r="U976" s="0" t="s">
        <v>3051</v>
      </c>
      <c r="V976" s="0" t="s">
        <v>172</v>
      </c>
      <c r="W976" s="0" t="s">
        <v>3060</v>
      </c>
      <c r="X976" s="0" t="s">
        <v>3058</v>
      </c>
      <c r="Y976" s="0" t="s">
        <v>2744</v>
      </c>
      <c r="Z976" s="0" t="s">
        <v>2745</v>
      </c>
      <c r="AB976" s="0" t="s">
        <v>3054</v>
      </c>
      <c r="AC976" s="0" t="s">
        <v>2747</v>
      </c>
      <c r="AD976" s="0" t="s">
        <v>2748</v>
      </c>
      <c r="AE976" s="0" t="s">
        <v>2749</v>
      </c>
      <c r="AF976" s="0" t="s">
        <v>2951</v>
      </c>
      <c r="AH976" s="0" t="s">
        <v>2751</v>
      </c>
      <c r="AL976" s="0" t="s">
        <v>384</v>
      </c>
    </row>
    <row r="977" customFormat="false" ht="15" hidden="false" customHeight="false" outlineLevel="0" collapsed="false">
      <c r="A977" s="0" t="s">
        <v>789</v>
      </c>
      <c r="B977" s="0" t="s">
        <v>163</v>
      </c>
      <c r="C977" s="0" t="s">
        <v>2944</v>
      </c>
      <c r="D977" s="0" t="n">
        <v>2019</v>
      </c>
      <c r="E977" s="0" t="s">
        <v>59</v>
      </c>
      <c r="F977" s="0" t="n">
        <v>4955445</v>
      </c>
      <c r="G977" s="0" t="s">
        <v>1681</v>
      </c>
      <c r="H977" s="0" t="s">
        <v>1648</v>
      </c>
      <c r="I977" s="0" t="n">
        <v>4955445</v>
      </c>
      <c r="J977" s="0" t="s">
        <v>2739</v>
      </c>
      <c r="K977" s="0" t="s">
        <v>1039</v>
      </c>
      <c r="L977" s="0" t="n">
        <v>2019</v>
      </c>
      <c r="M977" s="0" t="s">
        <v>1040</v>
      </c>
      <c r="N977" s="0" t="s">
        <v>171</v>
      </c>
      <c r="O977" s="0" t="s">
        <v>1255</v>
      </c>
      <c r="P977" s="0" t="s">
        <v>3049</v>
      </c>
      <c r="Q977" s="0" t="n">
        <v>82</v>
      </c>
      <c r="R977" s="0" t="n">
        <v>79</v>
      </c>
      <c r="T977" s="0" t="s">
        <v>3014</v>
      </c>
      <c r="U977" s="0" t="s">
        <v>3051</v>
      </c>
      <c r="V977" s="0" t="s">
        <v>172</v>
      </c>
      <c r="W977" s="0" t="s">
        <v>3057</v>
      </c>
      <c r="X977" s="0" t="s">
        <v>3058</v>
      </c>
      <c r="Y977" s="0" t="s">
        <v>2744</v>
      </c>
      <c r="Z977" s="0" t="s">
        <v>2745</v>
      </c>
      <c r="AA977" s="0" t="s">
        <v>2961</v>
      </c>
      <c r="AB977" s="0" t="s">
        <v>3054</v>
      </c>
      <c r="AC977" s="0" t="s">
        <v>2747</v>
      </c>
      <c r="AD977" s="0" t="s">
        <v>2748</v>
      </c>
      <c r="AE977" s="0" t="s">
        <v>2749</v>
      </c>
      <c r="AF977" s="0" t="s">
        <v>2951</v>
      </c>
      <c r="AH977" s="0" t="s">
        <v>2751</v>
      </c>
      <c r="AL977" s="0" t="s">
        <v>384</v>
      </c>
    </row>
    <row r="978" customFormat="false" ht="15" hidden="false" customHeight="false" outlineLevel="0" collapsed="false">
      <c r="A978" s="0" t="s">
        <v>788</v>
      </c>
      <c r="B978" s="0" t="s">
        <v>163</v>
      </c>
      <c r="C978" s="0" t="s">
        <v>2944</v>
      </c>
      <c r="D978" s="0" t="n">
        <v>2019</v>
      </c>
      <c r="E978" s="0" t="s">
        <v>58</v>
      </c>
      <c r="F978" s="0" t="n">
        <v>390093</v>
      </c>
      <c r="G978" s="0" t="s">
        <v>1681</v>
      </c>
      <c r="H978" s="0" t="s">
        <v>1648</v>
      </c>
      <c r="I978" s="0" t="n">
        <v>390093</v>
      </c>
      <c r="J978" s="0" t="s">
        <v>2739</v>
      </c>
      <c r="K978" s="0" t="s">
        <v>1039</v>
      </c>
      <c r="L978" s="0" t="n">
        <v>2019</v>
      </c>
      <c r="M978" s="0" t="s">
        <v>1040</v>
      </c>
      <c r="N978" s="0" t="s">
        <v>171</v>
      </c>
      <c r="O978" s="0" t="s">
        <v>1255</v>
      </c>
      <c r="P978" s="0" t="s">
        <v>3049</v>
      </c>
      <c r="Q978" s="0" t="n">
        <v>86</v>
      </c>
      <c r="R978" s="0" t="n">
        <v>83</v>
      </c>
      <c r="T978" s="0" t="s">
        <v>3061</v>
      </c>
      <c r="U978" s="0" t="s">
        <v>3051</v>
      </c>
      <c r="V978" s="0" t="s">
        <v>172</v>
      </c>
      <c r="W978" s="0" t="s">
        <v>3062</v>
      </c>
      <c r="X978" s="0" t="s">
        <v>3063</v>
      </c>
      <c r="Y978" s="0" t="s">
        <v>2744</v>
      </c>
      <c r="Z978" s="0" t="s">
        <v>2745</v>
      </c>
      <c r="AB978" s="0" t="s">
        <v>3054</v>
      </c>
      <c r="AC978" s="0" t="s">
        <v>2747</v>
      </c>
      <c r="AD978" s="0" t="s">
        <v>2748</v>
      </c>
      <c r="AE978" s="0" t="s">
        <v>2749</v>
      </c>
      <c r="AF978" s="0" t="s">
        <v>2951</v>
      </c>
      <c r="AH978" s="0" t="s">
        <v>2751</v>
      </c>
      <c r="AL978" s="0" t="s">
        <v>384</v>
      </c>
    </row>
    <row r="979" customFormat="false" ht="15" hidden="false" customHeight="false" outlineLevel="0" collapsed="false">
      <c r="A979" s="0" t="s">
        <v>790</v>
      </c>
      <c r="B979" s="0" t="s">
        <v>163</v>
      </c>
      <c r="C979" s="0" t="s">
        <v>2944</v>
      </c>
      <c r="D979" s="0" t="n">
        <v>2019</v>
      </c>
      <c r="E979" s="0" t="s">
        <v>60</v>
      </c>
      <c r="F979" s="0" t="n">
        <v>2390651</v>
      </c>
      <c r="G979" s="0" t="s">
        <v>1681</v>
      </c>
      <c r="H979" s="0" t="s">
        <v>1648</v>
      </c>
      <c r="I979" s="0" t="n">
        <v>2390651</v>
      </c>
      <c r="J979" s="0" t="s">
        <v>2739</v>
      </c>
      <c r="K979" s="0" t="s">
        <v>1039</v>
      </c>
      <c r="L979" s="0" t="n">
        <v>2019</v>
      </c>
      <c r="M979" s="0" t="s">
        <v>1040</v>
      </c>
      <c r="N979" s="0" t="s">
        <v>171</v>
      </c>
      <c r="O979" s="0" t="s">
        <v>1255</v>
      </c>
      <c r="P979" s="0" t="s">
        <v>3049</v>
      </c>
      <c r="Q979" s="0" t="n">
        <v>121</v>
      </c>
      <c r="R979" s="0" t="n">
        <v>118</v>
      </c>
      <c r="S979" s="0" t="s">
        <v>2966</v>
      </c>
      <c r="T979" s="0" t="s">
        <v>3064</v>
      </c>
      <c r="U979" s="0" t="s">
        <v>3051</v>
      </c>
      <c r="V979" s="0" t="s">
        <v>172</v>
      </c>
      <c r="W979" s="0" t="s">
        <v>3065</v>
      </c>
      <c r="X979" s="0" t="s">
        <v>3066</v>
      </c>
      <c r="Y979" s="0" t="s">
        <v>2744</v>
      </c>
      <c r="Z979" s="0" t="s">
        <v>2745</v>
      </c>
      <c r="AB979" s="0" t="s">
        <v>3054</v>
      </c>
      <c r="AC979" s="0" t="s">
        <v>2747</v>
      </c>
      <c r="AD979" s="0" t="s">
        <v>2748</v>
      </c>
      <c r="AE979" s="0" t="s">
        <v>2749</v>
      </c>
      <c r="AF979" s="0" t="s">
        <v>2951</v>
      </c>
      <c r="AH979" s="0" t="s">
        <v>2751</v>
      </c>
      <c r="AL979" s="0" t="s">
        <v>384</v>
      </c>
    </row>
    <row r="980" customFormat="false" ht="15" hidden="false" customHeight="false" outlineLevel="0" collapsed="false">
      <c r="A980" s="0" t="s">
        <v>794</v>
      </c>
      <c r="B980" s="0" t="s">
        <v>163</v>
      </c>
      <c r="C980" s="0" t="s">
        <v>2944</v>
      </c>
      <c r="D980" s="0" t="n">
        <v>2019</v>
      </c>
      <c r="E980" s="0" t="s">
        <v>64</v>
      </c>
      <c r="F980" s="0" t="n">
        <v>99457</v>
      </c>
      <c r="G980" s="0" t="s">
        <v>1681</v>
      </c>
      <c r="H980" s="0" t="s">
        <v>1648</v>
      </c>
      <c r="I980" s="0" t="n">
        <v>99457</v>
      </c>
      <c r="J980" s="0" t="s">
        <v>2739</v>
      </c>
      <c r="K980" s="0" t="s">
        <v>1039</v>
      </c>
      <c r="L980" s="0" t="n">
        <v>2019</v>
      </c>
      <c r="M980" s="0" t="s">
        <v>1040</v>
      </c>
      <c r="N980" s="0" t="s">
        <v>171</v>
      </c>
      <c r="O980" s="0" t="s">
        <v>1255</v>
      </c>
      <c r="P980" s="0" t="s">
        <v>3049</v>
      </c>
      <c r="Q980" s="0" t="n">
        <v>121</v>
      </c>
      <c r="R980" s="0" t="n">
        <v>118</v>
      </c>
      <c r="S980" s="0" t="s">
        <v>2966</v>
      </c>
      <c r="T980" s="0" t="s">
        <v>3067</v>
      </c>
      <c r="U980" s="0" t="s">
        <v>3051</v>
      </c>
      <c r="V980" s="0" t="s">
        <v>172</v>
      </c>
      <c r="W980" s="0" t="s">
        <v>3065</v>
      </c>
      <c r="X980" s="0" t="s">
        <v>3066</v>
      </c>
      <c r="Y980" s="0" t="s">
        <v>2744</v>
      </c>
      <c r="Z980" s="0" t="s">
        <v>2745</v>
      </c>
      <c r="AA980" s="0" t="s">
        <v>3068</v>
      </c>
      <c r="AB980" s="0" t="s">
        <v>3054</v>
      </c>
      <c r="AC980" s="0" t="s">
        <v>2747</v>
      </c>
      <c r="AD980" s="0" t="s">
        <v>2748</v>
      </c>
      <c r="AE980" s="0" t="s">
        <v>2749</v>
      </c>
      <c r="AF980" s="0" t="s">
        <v>2951</v>
      </c>
      <c r="AH980" s="0" t="s">
        <v>2751</v>
      </c>
      <c r="AL980" s="0" t="s">
        <v>384</v>
      </c>
    </row>
    <row r="981" customFormat="false" ht="15" hidden="false" customHeight="false" outlineLevel="0" collapsed="false">
      <c r="A981" s="0" t="s">
        <v>791</v>
      </c>
      <c r="B981" s="0" t="s">
        <v>163</v>
      </c>
      <c r="C981" s="0" t="s">
        <v>2944</v>
      </c>
      <c r="D981" s="0" t="n">
        <v>2019</v>
      </c>
      <c r="E981" s="0" t="s">
        <v>61</v>
      </c>
      <c r="F981" s="0" t="n">
        <v>151179</v>
      </c>
      <c r="G981" s="0" t="s">
        <v>1681</v>
      </c>
      <c r="H981" s="0" t="s">
        <v>1648</v>
      </c>
      <c r="I981" s="0" t="n">
        <v>151179</v>
      </c>
      <c r="J981" s="0" t="s">
        <v>2739</v>
      </c>
      <c r="K981" s="0" t="s">
        <v>1039</v>
      </c>
      <c r="L981" s="0" t="n">
        <v>2019</v>
      </c>
      <c r="M981" s="0" t="s">
        <v>1040</v>
      </c>
      <c r="N981" s="0" t="s">
        <v>171</v>
      </c>
      <c r="O981" s="0" t="s">
        <v>1255</v>
      </c>
      <c r="P981" s="0" t="s">
        <v>3049</v>
      </c>
      <c r="Q981" s="0" t="n">
        <v>121</v>
      </c>
      <c r="R981" s="0" t="n">
        <v>118</v>
      </c>
      <c r="S981" s="0" t="s">
        <v>2966</v>
      </c>
      <c r="T981" s="0" t="s">
        <v>3069</v>
      </c>
      <c r="U981" s="0" t="s">
        <v>3051</v>
      </c>
      <c r="V981" s="0" t="s">
        <v>172</v>
      </c>
      <c r="W981" s="0" t="s">
        <v>3065</v>
      </c>
      <c r="X981" s="0" t="s">
        <v>3066</v>
      </c>
      <c r="Y981" s="0" t="s">
        <v>2744</v>
      </c>
      <c r="Z981" s="0" t="s">
        <v>2745</v>
      </c>
      <c r="AA981" s="0" t="s">
        <v>3036</v>
      </c>
      <c r="AB981" s="0" t="s">
        <v>3054</v>
      </c>
      <c r="AC981" s="0" t="s">
        <v>2747</v>
      </c>
      <c r="AD981" s="0" t="s">
        <v>2748</v>
      </c>
      <c r="AE981" s="0" t="s">
        <v>2749</v>
      </c>
      <c r="AF981" s="0" t="s">
        <v>2951</v>
      </c>
      <c r="AH981" s="0" t="s">
        <v>2751</v>
      </c>
      <c r="AL981" s="0" t="s">
        <v>384</v>
      </c>
    </row>
    <row r="982" customFormat="false" ht="15" hidden="false" customHeight="false" outlineLevel="0" collapsed="false">
      <c r="A982" s="0" t="s">
        <v>792</v>
      </c>
      <c r="B982" s="0" t="s">
        <v>163</v>
      </c>
      <c r="C982" s="0" t="s">
        <v>2944</v>
      </c>
      <c r="D982" s="0" t="n">
        <v>2019</v>
      </c>
      <c r="E982" s="0" t="s">
        <v>62</v>
      </c>
      <c r="F982" s="0" t="n">
        <v>2239472</v>
      </c>
      <c r="G982" s="0" t="s">
        <v>1681</v>
      </c>
      <c r="H982" s="0" t="s">
        <v>1648</v>
      </c>
      <c r="I982" s="0" t="n">
        <v>2239472</v>
      </c>
      <c r="J982" s="0" t="s">
        <v>2739</v>
      </c>
      <c r="K982" s="0" t="s">
        <v>1039</v>
      </c>
      <c r="L982" s="0" t="n">
        <v>2019</v>
      </c>
      <c r="M982" s="0" t="s">
        <v>1040</v>
      </c>
      <c r="N982" s="0" t="s">
        <v>171</v>
      </c>
      <c r="O982" s="0" t="s">
        <v>1255</v>
      </c>
      <c r="P982" s="0" t="s">
        <v>3049</v>
      </c>
      <c r="Q982" s="0" t="n">
        <v>121</v>
      </c>
      <c r="R982" s="0" t="n">
        <v>118</v>
      </c>
      <c r="S982" s="0" t="s">
        <v>2966</v>
      </c>
      <c r="T982" s="0" t="s">
        <v>3070</v>
      </c>
      <c r="U982" s="0" t="s">
        <v>3051</v>
      </c>
      <c r="V982" s="0" t="s">
        <v>172</v>
      </c>
      <c r="W982" s="0" t="s">
        <v>3065</v>
      </c>
      <c r="X982" s="0" t="s">
        <v>3066</v>
      </c>
      <c r="Y982" s="0" t="s">
        <v>2744</v>
      </c>
      <c r="Z982" s="0" t="s">
        <v>2745</v>
      </c>
      <c r="AB982" s="0" t="s">
        <v>3054</v>
      </c>
      <c r="AC982" s="0" t="s">
        <v>2747</v>
      </c>
      <c r="AD982" s="0" t="s">
        <v>2748</v>
      </c>
      <c r="AE982" s="0" t="s">
        <v>2749</v>
      </c>
      <c r="AF982" s="0" t="s">
        <v>2951</v>
      </c>
      <c r="AH982" s="0" t="s">
        <v>2751</v>
      </c>
      <c r="AL982" s="0" t="s">
        <v>384</v>
      </c>
    </row>
    <row r="983" customFormat="false" ht="15" hidden="false" customHeight="false" outlineLevel="0" collapsed="false">
      <c r="A983" s="0" t="s">
        <v>797</v>
      </c>
      <c r="B983" s="0" t="s">
        <v>163</v>
      </c>
      <c r="C983" s="0" t="s">
        <v>2944</v>
      </c>
      <c r="D983" s="0" t="n">
        <v>2019</v>
      </c>
      <c r="E983" s="0" t="s">
        <v>65</v>
      </c>
      <c r="F983" s="0" t="n">
        <v>717901</v>
      </c>
      <c r="G983" s="0" t="s">
        <v>1681</v>
      </c>
      <c r="H983" s="0" t="s">
        <v>1648</v>
      </c>
      <c r="I983" s="0" t="n">
        <v>717901</v>
      </c>
      <c r="J983" s="0" t="s">
        <v>2739</v>
      </c>
      <c r="K983" s="0" t="s">
        <v>1039</v>
      </c>
      <c r="L983" s="0" t="n">
        <v>2019</v>
      </c>
      <c r="M983" s="0" t="s">
        <v>1040</v>
      </c>
      <c r="N983" s="0" t="s">
        <v>171</v>
      </c>
      <c r="O983" s="0" t="s">
        <v>1255</v>
      </c>
      <c r="P983" s="0" t="s">
        <v>3049</v>
      </c>
      <c r="Q983" s="0" t="n">
        <v>169</v>
      </c>
      <c r="R983" s="0" t="n">
        <v>166</v>
      </c>
      <c r="T983" s="0" t="s">
        <v>3071</v>
      </c>
      <c r="U983" s="0" t="s">
        <v>3051</v>
      </c>
      <c r="V983" s="0" t="s">
        <v>172</v>
      </c>
      <c r="W983" s="0" t="s">
        <v>3072</v>
      </c>
      <c r="X983" s="0" t="s">
        <v>3073</v>
      </c>
      <c r="Y983" s="0" t="s">
        <v>2744</v>
      </c>
      <c r="Z983" s="0" t="s">
        <v>2745</v>
      </c>
      <c r="AB983" s="0" t="s">
        <v>3054</v>
      </c>
      <c r="AC983" s="0" t="s">
        <v>2747</v>
      </c>
      <c r="AD983" s="0" t="s">
        <v>2748</v>
      </c>
      <c r="AE983" s="0" t="s">
        <v>2749</v>
      </c>
      <c r="AF983" s="0" t="s">
        <v>2951</v>
      </c>
      <c r="AH983" s="0" t="s">
        <v>2751</v>
      </c>
      <c r="AL983" s="0" t="s">
        <v>384</v>
      </c>
    </row>
    <row r="984" customFormat="false" ht="15" hidden="false" customHeight="false" outlineLevel="0" collapsed="false">
      <c r="A984" s="0" t="s">
        <v>799</v>
      </c>
      <c r="B984" s="0" t="s">
        <v>163</v>
      </c>
      <c r="C984" s="0" t="s">
        <v>2944</v>
      </c>
      <c r="D984" s="0" t="n">
        <v>2019</v>
      </c>
      <c r="E984" s="0" t="s">
        <v>595</v>
      </c>
      <c r="F984" s="0" t="n">
        <v>759321</v>
      </c>
      <c r="G984" s="0" t="s">
        <v>1681</v>
      </c>
      <c r="H984" s="0" t="s">
        <v>1648</v>
      </c>
      <c r="I984" s="0" t="n">
        <v>759321</v>
      </c>
      <c r="J984" s="0" t="s">
        <v>2739</v>
      </c>
      <c r="K984" s="0" t="s">
        <v>1039</v>
      </c>
      <c r="L984" s="0" t="n">
        <v>2019</v>
      </c>
      <c r="M984" s="0" t="s">
        <v>1040</v>
      </c>
      <c r="N984" s="0" t="s">
        <v>171</v>
      </c>
      <c r="O984" s="0" t="s">
        <v>1255</v>
      </c>
      <c r="P984" s="0" t="s">
        <v>3049</v>
      </c>
      <c r="Q984" s="0" t="n">
        <v>169</v>
      </c>
      <c r="R984" s="0" t="n">
        <v>166</v>
      </c>
      <c r="T984" s="0" t="s">
        <v>3074</v>
      </c>
      <c r="U984" s="0" t="s">
        <v>3051</v>
      </c>
      <c r="V984" s="0" t="s">
        <v>172</v>
      </c>
      <c r="W984" s="0" t="s">
        <v>3072</v>
      </c>
      <c r="X984" s="0" t="s">
        <v>3073</v>
      </c>
      <c r="Y984" s="0" t="s">
        <v>2744</v>
      </c>
      <c r="Z984" s="0" t="s">
        <v>2745</v>
      </c>
      <c r="AB984" s="0" t="s">
        <v>3054</v>
      </c>
      <c r="AC984" s="0" t="s">
        <v>2747</v>
      </c>
      <c r="AD984" s="0" t="s">
        <v>2748</v>
      </c>
      <c r="AE984" s="0" t="s">
        <v>2749</v>
      </c>
      <c r="AF984" s="0" t="s">
        <v>2951</v>
      </c>
      <c r="AH984" s="0" t="s">
        <v>2751</v>
      </c>
      <c r="AL984" s="0" t="s">
        <v>384</v>
      </c>
    </row>
    <row r="985" customFormat="false" ht="15" hidden="false" customHeight="false" outlineLevel="0" collapsed="false">
      <c r="A985" s="0" t="s">
        <v>798</v>
      </c>
      <c r="B985" s="0" t="s">
        <v>163</v>
      </c>
      <c r="C985" s="0" t="s">
        <v>2944</v>
      </c>
      <c r="D985" s="0" t="n">
        <v>2019</v>
      </c>
      <c r="E985" s="0" t="s">
        <v>66</v>
      </c>
      <c r="F985" s="0" t="n">
        <v>3669402</v>
      </c>
      <c r="G985" s="0" t="s">
        <v>1681</v>
      </c>
      <c r="H985" s="0" t="s">
        <v>1648</v>
      </c>
      <c r="I985" s="0" t="n">
        <v>3669402</v>
      </c>
      <c r="J985" s="0" t="s">
        <v>2739</v>
      </c>
      <c r="K985" s="0" t="s">
        <v>1039</v>
      </c>
      <c r="L985" s="0" t="n">
        <v>2019</v>
      </c>
      <c r="M985" s="0" t="s">
        <v>1040</v>
      </c>
      <c r="N985" s="0" t="s">
        <v>171</v>
      </c>
      <c r="O985" s="0" t="s">
        <v>1255</v>
      </c>
      <c r="P985" s="0" t="s">
        <v>3049</v>
      </c>
      <c r="Q985" s="0" t="n">
        <v>169</v>
      </c>
      <c r="R985" s="0" t="n">
        <v>166</v>
      </c>
      <c r="T985" s="0" t="s">
        <v>3075</v>
      </c>
      <c r="U985" s="0" t="s">
        <v>3051</v>
      </c>
      <c r="V985" s="0" t="s">
        <v>172</v>
      </c>
      <c r="W985" s="0" t="s">
        <v>3076</v>
      </c>
      <c r="X985" s="0" t="s">
        <v>3073</v>
      </c>
      <c r="Y985" s="0" t="s">
        <v>2744</v>
      </c>
      <c r="Z985" s="0" t="s">
        <v>2745</v>
      </c>
      <c r="AB985" s="0" t="s">
        <v>3054</v>
      </c>
      <c r="AC985" s="0" t="s">
        <v>2747</v>
      </c>
      <c r="AD985" s="0" t="s">
        <v>2748</v>
      </c>
      <c r="AE985" s="0" t="s">
        <v>2749</v>
      </c>
      <c r="AF985" s="0" t="s">
        <v>2951</v>
      </c>
      <c r="AH985" s="0" t="s">
        <v>2751</v>
      </c>
      <c r="AL985" s="0" t="s">
        <v>384</v>
      </c>
    </row>
    <row r="986" customFormat="false" ht="15" hidden="false" customHeight="false" outlineLevel="0" collapsed="false">
      <c r="A986" s="0" t="s">
        <v>795</v>
      </c>
      <c r="B986" s="0" t="s">
        <v>163</v>
      </c>
      <c r="C986" s="0" t="s">
        <v>2944</v>
      </c>
      <c r="D986" s="0" t="n">
        <v>2019</v>
      </c>
      <c r="E986" s="0" t="s">
        <v>69</v>
      </c>
      <c r="F986" s="0" t="n">
        <v>20</v>
      </c>
      <c r="G986" s="0" t="s">
        <v>1723</v>
      </c>
      <c r="I986" s="0" t="n">
        <v>20</v>
      </c>
      <c r="J986" s="0" t="s">
        <v>2739</v>
      </c>
      <c r="K986" s="0" t="s">
        <v>1039</v>
      </c>
      <c r="L986" s="0" t="n">
        <v>2019</v>
      </c>
      <c r="M986" s="0" t="s">
        <v>1040</v>
      </c>
      <c r="N986" s="0" t="s">
        <v>171</v>
      </c>
      <c r="O986" s="0" t="s">
        <v>1255</v>
      </c>
      <c r="P986" s="0" t="s">
        <v>3049</v>
      </c>
      <c r="Q986" s="0" t="n">
        <v>169</v>
      </c>
      <c r="R986" s="0" t="n">
        <v>166</v>
      </c>
      <c r="T986" s="0" t="s">
        <v>3071</v>
      </c>
      <c r="U986" s="0" t="s">
        <v>3051</v>
      </c>
      <c r="V986" s="0" t="s">
        <v>172</v>
      </c>
      <c r="W986" s="0" t="s">
        <v>3077</v>
      </c>
      <c r="X986" s="0" t="s">
        <v>3073</v>
      </c>
      <c r="Y986" s="0" t="s">
        <v>2744</v>
      </c>
      <c r="Z986" s="0" t="s">
        <v>2745</v>
      </c>
      <c r="AA986" s="0" t="s">
        <v>2981</v>
      </c>
      <c r="AB986" s="0" t="s">
        <v>3054</v>
      </c>
      <c r="AC986" s="0" t="s">
        <v>2747</v>
      </c>
      <c r="AD986" s="0" t="s">
        <v>2748</v>
      </c>
      <c r="AE986" s="0" t="s">
        <v>2749</v>
      </c>
      <c r="AF986" s="0" t="s">
        <v>2951</v>
      </c>
      <c r="AH986" s="0" t="s">
        <v>2751</v>
      </c>
      <c r="AL986" s="0" t="s">
        <v>384</v>
      </c>
    </row>
    <row r="987" customFormat="false" ht="15" hidden="false" customHeight="false" outlineLevel="0" collapsed="false">
      <c r="A987" s="0" t="s">
        <v>796</v>
      </c>
      <c r="B987" s="0" t="s">
        <v>163</v>
      </c>
      <c r="C987" s="0" t="s">
        <v>2944</v>
      </c>
      <c r="D987" s="0" t="n">
        <v>2019</v>
      </c>
      <c r="E987" s="0" t="s">
        <v>591</v>
      </c>
      <c r="F987" s="0" t="n">
        <v>21</v>
      </c>
      <c r="G987" s="0" t="s">
        <v>1723</v>
      </c>
      <c r="I987" s="0" t="n">
        <v>21</v>
      </c>
      <c r="J987" s="0" t="s">
        <v>2739</v>
      </c>
      <c r="K987" s="0" t="s">
        <v>1039</v>
      </c>
      <c r="L987" s="0" t="n">
        <v>2019</v>
      </c>
      <c r="M987" s="0" t="s">
        <v>1040</v>
      </c>
      <c r="N987" s="0" t="s">
        <v>171</v>
      </c>
      <c r="O987" s="0" t="s">
        <v>1255</v>
      </c>
      <c r="P987" s="0" t="s">
        <v>3049</v>
      </c>
      <c r="Q987" s="0" t="n">
        <v>169</v>
      </c>
      <c r="R987" s="0" t="n">
        <v>166</v>
      </c>
      <c r="T987" s="0" t="s">
        <v>3078</v>
      </c>
      <c r="U987" s="0" t="s">
        <v>3051</v>
      </c>
      <c r="V987" s="0" t="s">
        <v>172</v>
      </c>
      <c r="W987" s="0" t="s">
        <v>3077</v>
      </c>
      <c r="X987" s="0" t="s">
        <v>3073</v>
      </c>
      <c r="Y987" s="0" t="s">
        <v>2744</v>
      </c>
      <c r="Z987" s="0" t="s">
        <v>2745</v>
      </c>
      <c r="AA987" s="0" t="s">
        <v>2981</v>
      </c>
      <c r="AB987" s="0" t="s">
        <v>3054</v>
      </c>
      <c r="AC987" s="0" t="s">
        <v>2747</v>
      </c>
      <c r="AD987" s="0" t="s">
        <v>2748</v>
      </c>
      <c r="AE987" s="0" t="s">
        <v>2749</v>
      </c>
      <c r="AF987" s="0" t="s">
        <v>2951</v>
      </c>
      <c r="AH987" s="0" t="s">
        <v>2751</v>
      </c>
      <c r="AL987" s="0" t="s">
        <v>384</v>
      </c>
    </row>
    <row r="988" customFormat="false" ht="15" hidden="false" customHeight="false" outlineLevel="0" collapsed="false">
      <c r="A988" s="0" t="s">
        <v>802</v>
      </c>
      <c r="B988" s="0" t="s">
        <v>163</v>
      </c>
      <c r="C988" s="0" t="s">
        <v>2944</v>
      </c>
      <c r="D988" s="0" t="n">
        <v>2020</v>
      </c>
      <c r="E988" s="0" t="s">
        <v>54</v>
      </c>
      <c r="F988" s="0" t="n">
        <v>197852</v>
      </c>
      <c r="G988" s="0" t="s">
        <v>1681</v>
      </c>
      <c r="H988" s="0" t="s">
        <v>1648</v>
      </c>
      <c r="I988" s="0" t="n">
        <v>197852</v>
      </c>
      <c r="J988" s="0" t="s">
        <v>2739</v>
      </c>
      <c r="K988" s="0" t="s">
        <v>1043</v>
      </c>
      <c r="L988" s="0" t="n">
        <v>2020</v>
      </c>
      <c r="M988" s="0" t="s">
        <v>1044</v>
      </c>
      <c r="N988" s="0" t="s">
        <v>173</v>
      </c>
      <c r="O988" s="0" t="s">
        <v>1243</v>
      </c>
      <c r="P988" s="0" t="s">
        <v>3079</v>
      </c>
      <c r="Q988" s="0" t="n">
        <v>86</v>
      </c>
      <c r="R988" s="0" t="n">
        <v>84</v>
      </c>
      <c r="T988" s="0" t="s">
        <v>2786</v>
      </c>
      <c r="U988" s="0" t="s">
        <v>2787</v>
      </c>
      <c r="V988" s="0" t="s">
        <v>174</v>
      </c>
      <c r="W988" s="0" t="s">
        <v>3080</v>
      </c>
      <c r="X988" s="0" t="s">
        <v>3081</v>
      </c>
      <c r="Y988" s="0" t="s">
        <v>2744</v>
      </c>
      <c r="Z988" s="0" t="s">
        <v>2745</v>
      </c>
      <c r="AB988" s="0" t="s">
        <v>3082</v>
      </c>
      <c r="AC988" s="0" t="s">
        <v>2747</v>
      </c>
      <c r="AD988" s="0" t="s">
        <v>2748</v>
      </c>
      <c r="AE988" s="0" t="s">
        <v>2749</v>
      </c>
      <c r="AF988" s="0" t="s">
        <v>2951</v>
      </c>
      <c r="AH988" s="0" t="s">
        <v>2751</v>
      </c>
      <c r="AL988" s="0" t="s">
        <v>384</v>
      </c>
    </row>
    <row r="989" customFormat="false" ht="15" hidden="false" customHeight="false" outlineLevel="0" collapsed="false">
      <c r="A989" s="0" t="s">
        <v>813</v>
      </c>
      <c r="B989" s="0" t="s">
        <v>163</v>
      </c>
      <c r="C989" s="0" t="s">
        <v>2944</v>
      </c>
      <c r="D989" s="0" t="n">
        <v>2020</v>
      </c>
      <c r="E989" s="0" t="s">
        <v>402</v>
      </c>
      <c r="F989" s="0" t="n">
        <v>210007</v>
      </c>
      <c r="G989" s="0" t="s">
        <v>1681</v>
      </c>
      <c r="H989" s="0" t="s">
        <v>1648</v>
      </c>
      <c r="I989" s="0" t="n">
        <v>210007</v>
      </c>
      <c r="J989" s="0" t="s">
        <v>2739</v>
      </c>
      <c r="K989" s="0" t="s">
        <v>1043</v>
      </c>
      <c r="L989" s="0" t="n">
        <v>2020</v>
      </c>
      <c r="M989" s="0" t="s">
        <v>1044</v>
      </c>
      <c r="N989" s="0" t="s">
        <v>173</v>
      </c>
      <c r="O989" s="0" t="s">
        <v>1243</v>
      </c>
      <c r="P989" s="0" t="s">
        <v>3079</v>
      </c>
      <c r="Q989" s="0" t="n">
        <v>86</v>
      </c>
      <c r="R989" s="0" t="n">
        <v>84</v>
      </c>
      <c r="T989" s="0" t="s">
        <v>2786</v>
      </c>
      <c r="U989" s="0" t="s">
        <v>2787</v>
      </c>
      <c r="V989" s="0" t="s">
        <v>174</v>
      </c>
      <c r="W989" s="0" t="s">
        <v>3083</v>
      </c>
      <c r="X989" s="0" t="s">
        <v>3081</v>
      </c>
      <c r="Y989" s="0" t="s">
        <v>2744</v>
      </c>
      <c r="Z989" s="0" t="s">
        <v>2745</v>
      </c>
      <c r="AB989" s="0" t="s">
        <v>3082</v>
      </c>
      <c r="AC989" s="0" t="s">
        <v>2747</v>
      </c>
      <c r="AD989" s="0" t="s">
        <v>2748</v>
      </c>
      <c r="AE989" s="0" t="s">
        <v>2749</v>
      </c>
      <c r="AF989" s="0" t="s">
        <v>2951</v>
      </c>
      <c r="AH989" s="0" t="s">
        <v>2751</v>
      </c>
      <c r="AL989" s="0" t="s">
        <v>384</v>
      </c>
    </row>
    <row r="990" customFormat="false" ht="15" hidden="false" customHeight="false" outlineLevel="0" collapsed="false">
      <c r="A990" s="0" t="s">
        <v>811</v>
      </c>
      <c r="B990" s="0" t="s">
        <v>163</v>
      </c>
      <c r="C990" s="0" t="s">
        <v>2944</v>
      </c>
      <c r="D990" s="0" t="n">
        <v>2020</v>
      </c>
      <c r="E990" s="0" t="s">
        <v>63</v>
      </c>
      <c r="F990" s="0" t="n">
        <v>-37237</v>
      </c>
      <c r="G990" s="0" t="s">
        <v>1681</v>
      </c>
      <c r="H990" s="0" t="s">
        <v>1648</v>
      </c>
      <c r="I990" s="0" t="n">
        <v>37237</v>
      </c>
      <c r="J990" s="0" t="s">
        <v>2739</v>
      </c>
      <c r="K990" s="0" t="s">
        <v>1043</v>
      </c>
      <c r="L990" s="0" t="n">
        <v>2020</v>
      </c>
      <c r="M990" s="0" t="s">
        <v>1044</v>
      </c>
      <c r="N990" s="0" t="s">
        <v>173</v>
      </c>
      <c r="O990" s="0" t="s">
        <v>1243</v>
      </c>
      <c r="P990" s="0" t="s">
        <v>3079</v>
      </c>
      <c r="Q990" s="0" t="n">
        <v>86</v>
      </c>
      <c r="R990" s="0" t="n">
        <v>84</v>
      </c>
      <c r="S990" s="0" t="n">
        <v>8</v>
      </c>
      <c r="T990" s="0" t="s">
        <v>2786</v>
      </c>
      <c r="U990" s="0" t="s">
        <v>2787</v>
      </c>
      <c r="V990" s="0" t="s">
        <v>174</v>
      </c>
      <c r="W990" s="0" t="s">
        <v>3084</v>
      </c>
      <c r="X990" s="0" t="s">
        <v>3081</v>
      </c>
      <c r="Y990" s="0" t="s">
        <v>2744</v>
      </c>
      <c r="Z990" s="0" t="s">
        <v>2745</v>
      </c>
      <c r="AA990" s="0" t="s">
        <v>3021</v>
      </c>
      <c r="AB990" s="0" t="s">
        <v>3082</v>
      </c>
      <c r="AC990" s="0" t="s">
        <v>2747</v>
      </c>
      <c r="AD990" s="0" t="s">
        <v>2748</v>
      </c>
      <c r="AE990" s="0" t="s">
        <v>2749</v>
      </c>
      <c r="AF990" s="0" t="s">
        <v>2951</v>
      </c>
      <c r="AH990" s="0" t="s">
        <v>2760</v>
      </c>
      <c r="AI990" s="0" t="s">
        <v>2761</v>
      </c>
      <c r="AL990" s="0" t="s">
        <v>384</v>
      </c>
    </row>
    <row r="991" customFormat="false" ht="15" hidden="false" customHeight="false" outlineLevel="0" collapsed="false">
      <c r="A991" s="0" t="s">
        <v>803</v>
      </c>
      <c r="B991" s="0" t="s">
        <v>163</v>
      </c>
      <c r="C991" s="0" t="s">
        <v>2944</v>
      </c>
      <c r="D991" s="0" t="n">
        <v>2020</v>
      </c>
      <c r="E991" s="0" t="s">
        <v>55</v>
      </c>
      <c r="F991" s="0" t="n">
        <v>7124987</v>
      </c>
      <c r="G991" s="0" t="s">
        <v>1681</v>
      </c>
      <c r="H991" s="0" t="s">
        <v>1648</v>
      </c>
      <c r="I991" s="0" t="n">
        <v>7124987</v>
      </c>
      <c r="J991" s="0" t="s">
        <v>2739</v>
      </c>
      <c r="K991" s="0" t="s">
        <v>1043</v>
      </c>
      <c r="L991" s="0" t="n">
        <v>2020</v>
      </c>
      <c r="M991" s="0" t="s">
        <v>1044</v>
      </c>
      <c r="N991" s="0" t="s">
        <v>173</v>
      </c>
      <c r="O991" s="0" t="s">
        <v>1243</v>
      </c>
      <c r="P991" s="0" t="s">
        <v>3079</v>
      </c>
      <c r="Q991" s="0" t="n">
        <v>87</v>
      </c>
      <c r="R991" s="0" t="n">
        <v>85</v>
      </c>
      <c r="T991" s="0" t="s">
        <v>2786</v>
      </c>
      <c r="U991" s="0" t="s">
        <v>2787</v>
      </c>
      <c r="V991" s="0" t="s">
        <v>174</v>
      </c>
      <c r="W991" s="0" t="s">
        <v>3085</v>
      </c>
      <c r="X991" s="0" t="s">
        <v>3086</v>
      </c>
      <c r="Y991" s="0" t="s">
        <v>2744</v>
      </c>
      <c r="Z991" s="0" t="s">
        <v>2745</v>
      </c>
      <c r="AB991" s="0" t="s">
        <v>3082</v>
      </c>
      <c r="AC991" s="0" t="s">
        <v>2747</v>
      </c>
      <c r="AD991" s="0" t="s">
        <v>2748</v>
      </c>
      <c r="AE991" s="0" t="s">
        <v>2749</v>
      </c>
      <c r="AF991" s="0" t="s">
        <v>2951</v>
      </c>
      <c r="AH991" s="0" t="s">
        <v>2751</v>
      </c>
      <c r="AL991" s="0" t="s">
        <v>384</v>
      </c>
    </row>
    <row r="992" customFormat="false" ht="15" hidden="false" customHeight="false" outlineLevel="0" collapsed="false">
      <c r="A992" s="0" t="s">
        <v>804</v>
      </c>
      <c r="B992" s="0" t="s">
        <v>163</v>
      </c>
      <c r="C992" s="0" t="s">
        <v>2944</v>
      </c>
      <c r="D992" s="0" t="n">
        <v>2020</v>
      </c>
      <c r="E992" s="0" t="s">
        <v>56</v>
      </c>
      <c r="F992" s="0" t="n">
        <v>6219755</v>
      </c>
      <c r="G992" s="0" t="s">
        <v>1681</v>
      </c>
      <c r="H992" s="0" t="s">
        <v>1648</v>
      </c>
      <c r="I992" s="0" t="n">
        <v>6219755</v>
      </c>
      <c r="J992" s="0" t="s">
        <v>2739</v>
      </c>
      <c r="K992" s="0" t="s">
        <v>1043</v>
      </c>
      <c r="L992" s="0" t="n">
        <v>2020</v>
      </c>
      <c r="M992" s="0" t="s">
        <v>1044</v>
      </c>
      <c r="N992" s="0" t="s">
        <v>173</v>
      </c>
      <c r="O992" s="0" t="s">
        <v>1243</v>
      </c>
      <c r="P992" s="0" t="s">
        <v>3079</v>
      </c>
      <c r="Q992" s="0" t="n">
        <v>87</v>
      </c>
      <c r="R992" s="0" t="n">
        <v>85</v>
      </c>
      <c r="T992" s="0" t="s">
        <v>2786</v>
      </c>
      <c r="U992" s="0" t="s">
        <v>2787</v>
      </c>
      <c r="V992" s="0" t="s">
        <v>174</v>
      </c>
      <c r="W992" s="0" t="s">
        <v>3087</v>
      </c>
      <c r="X992" s="0" t="s">
        <v>3086</v>
      </c>
      <c r="Y992" s="0" t="s">
        <v>2744</v>
      </c>
      <c r="Z992" s="0" t="s">
        <v>2745</v>
      </c>
      <c r="AB992" s="0" t="s">
        <v>3082</v>
      </c>
      <c r="AC992" s="0" t="s">
        <v>2747</v>
      </c>
      <c r="AD992" s="0" t="s">
        <v>2748</v>
      </c>
      <c r="AE992" s="0" t="s">
        <v>2749</v>
      </c>
      <c r="AF992" s="0" t="s">
        <v>2951</v>
      </c>
      <c r="AH992" s="0" t="s">
        <v>2751</v>
      </c>
      <c r="AL992" s="0" t="s">
        <v>384</v>
      </c>
    </row>
    <row r="993" customFormat="false" ht="15" hidden="false" customHeight="false" outlineLevel="0" collapsed="false">
      <c r="A993" s="0" t="s">
        <v>805</v>
      </c>
      <c r="B993" s="0" t="s">
        <v>163</v>
      </c>
      <c r="C993" s="0" t="s">
        <v>2944</v>
      </c>
      <c r="D993" s="0" t="n">
        <v>2020</v>
      </c>
      <c r="E993" s="0" t="s">
        <v>57</v>
      </c>
      <c r="F993" s="0" t="n">
        <v>905232</v>
      </c>
      <c r="G993" s="0" t="s">
        <v>1681</v>
      </c>
      <c r="H993" s="0" t="s">
        <v>1648</v>
      </c>
      <c r="I993" s="0" t="n">
        <v>905232</v>
      </c>
      <c r="J993" s="0" t="s">
        <v>2739</v>
      </c>
      <c r="K993" s="0" t="s">
        <v>1043</v>
      </c>
      <c r="L993" s="0" t="n">
        <v>2020</v>
      </c>
      <c r="M993" s="0" t="s">
        <v>1044</v>
      </c>
      <c r="N993" s="0" t="s">
        <v>173</v>
      </c>
      <c r="O993" s="0" t="s">
        <v>1243</v>
      </c>
      <c r="P993" s="0" t="s">
        <v>3079</v>
      </c>
      <c r="Q993" s="0" t="n">
        <v>87</v>
      </c>
      <c r="R993" s="0" t="n">
        <v>85</v>
      </c>
      <c r="T993" s="0" t="s">
        <v>2786</v>
      </c>
      <c r="U993" s="0" t="s">
        <v>2787</v>
      </c>
      <c r="V993" s="0" t="s">
        <v>174</v>
      </c>
      <c r="W993" s="0" t="s">
        <v>3088</v>
      </c>
      <c r="X993" s="0" t="s">
        <v>3086</v>
      </c>
      <c r="Y993" s="0" t="s">
        <v>2744</v>
      </c>
      <c r="Z993" s="0" t="s">
        <v>2745</v>
      </c>
      <c r="AB993" s="0" t="s">
        <v>3082</v>
      </c>
      <c r="AC993" s="0" t="s">
        <v>2747</v>
      </c>
      <c r="AD993" s="0" t="s">
        <v>2748</v>
      </c>
      <c r="AE993" s="0" t="s">
        <v>2749</v>
      </c>
      <c r="AF993" s="0" t="s">
        <v>2951</v>
      </c>
      <c r="AH993" s="0" t="s">
        <v>2751</v>
      </c>
      <c r="AL993" s="0" t="s">
        <v>384</v>
      </c>
    </row>
    <row r="994" customFormat="false" ht="15" hidden="false" customHeight="false" outlineLevel="0" collapsed="false">
      <c r="A994" s="0" t="s">
        <v>807</v>
      </c>
      <c r="B994" s="0" t="s">
        <v>163</v>
      </c>
      <c r="C994" s="0" t="s">
        <v>2944</v>
      </c>
      <c r="D994" s="0" t="n">
        <v>2020</v>
      </c>
      <c r="E994" s="0" t="s">
        <v>59</v>
      </c>
      <c r="F994" s="0" t="n">
        <v>5435073</v>
      </c>
      <c r="G994" s="0" t="s">
        <v>1681</v>
      </c>
      <c r="H994" s="0" t="s">
        <v>1648</v>
      </c>
      <c r="I994" s="0" t="n">
        <v>5435073</v>
      </c>
      <c r="J994" s="0" t="s">
        <v>2739</v>
      </c>
      <c r="K994" s="0" t="s">
        <v>1043</v>
      </c>
      <c r="L994" s="0" t="n">
        <v>2020</v>
      </c>
      <c r="M994" s="0" t="s">
        <v>1044</v>
      </c>
      <c r="N994" s="0" t="s">
        <v>173</v>
      </c>
      <c r="O994" s="0" t="s">
        <v>1243</v>
      </c>
      <c r="P994" s="0" t="s">
        <v>3079</v>
      </c>
      <c r="Q994" s="0" t="n">
        <v>87</v>
      </c>
      <c r="R994" s="0" t="n">
        <v>85</v>
      </c>
      <c r="T994" s="0" t="s">
        <v>3050</v>
      </c>
      <c r="U994" s="0" t="s">
        <v>2787</v>
      </c>
      <c r="V994" s="0" t="s">
        <v>174</v>
      </c>
      <c r="W994" s="0" t="s">
        <v>3085</v>
      </c>
      <c r="X994" s="0" t="s">
        <v>3086</v>
      </c>
      <c r="Y994" s="0" t="s">
        <v>2744</v>
      </c>
      <c r="Z994" s="0" t="s">
        <v>2745</v>
      </c>
      <c r="AA994" s="0" t="s">
        <v>2961</v>
      </c>
      <c r="AB994" s="0" t="s">
        <v>3082</v>
      </c>
      <c r="AC994" s="0" t="s">
        <v>2747</v>
      </c>
      <c r="AD994" s="0" t="s">
        <v>2748</v>
      </c>
      <c r="AE994" s="0" t="s">
        <v>2749</v>
      </c>
      <c r="AF994" s="0" t="s">
        <v>2951</v>
      </c>
      <c r="AH994" s="0" t="s">
        <v>2751</v>
      </c>
      <c r="AL994" s="0" t="s">
        <v>384</v>
      </c>
    </row>
    <row r="995" customFormat="false" ht="15" hidden="false" customHeight="false" outlineLevel="0" collapsed="false">
      <c r="A995" s="0" t="s">
        <v>806</v>
      </c>
      <c r="B995" s="0" t="s">
        <v>163</v>
      </c>
      <c r="C995" s="0" t="s">
        <v>2944</v>
      </c>
      <c r="D995" s="0" t="n">
        <v>2020</v>
      </c>
      <c r="E995" s="0" t="s">
        <v>58</v>
      </c>
      <c r="F995" s="0" t="n">
        <v>65920</v>
      </c>
      <c r="G995" s="0" t="s">
        <v>1681</v>
      </c>
      <c r="H995" s="0" t="s">
        <v>1648</v>
      </c>
      <c r="I995" s="0" t="n">
        <v>65920</v>
      </c>
      <c r="J995" s="0" t="s">
        <v>2739</v>
      </c>
      <c r="K995" s="0" t="s">
        <v>1043</v>
      </c>
      <c r="L995" s="0" t="n">
        <v>2020</v>
      </c>
      <c r="M995" s="0" t="s">
        <v>1044</v>
      </c>
      <c r="N995" s="0" t="s">
        <v>173</v>
      </c>
      <c r="O995" s="0" t="s">
        <v>1243</v>
      </c>
      <c r="P995" s="0" t="s">
        <v>3079</v>
      </c>
      <c r="Q995" s="0" t="n">
        <v>91</v>
      </c>
      <c r="R995" s="0" t="n">
        <v>89</v>
      </c>
      <c r="T995" s="0" t="s">
        <v>3089</v>
      </c>
      <c r="U995" s="0" t="s">
        <v>2787</v>
      </c>
      <c r="V995" s="0" t="s">
        <v>174</v>
      </c>
      <c r="W995" s="0" t="s">
        <v>3090</v>
      </c>
      <c r="X995" s="0" t="s">
        <v>3091</v>
      </c>
      <c r="Y995" s="0" t="s">
        <v>2744</v>
      </c>
      <c r="Z995" s="0" t="s">
        <v>2745</v>
      </c>
      <c r="AB995" s="0" t="s">
        <v>3082</v>
      </c>
      <c r="AC995" s="0" t="s">
        <v>2747</v>
      </c>
      <c r="AD995" s="0" t="s">
        <v>2748</v>
      </c>
      <c r="AE995" s="0" t="s">
        <v>2749</v>
      </c>
      <c r="AF995" s="0" t="s">
        <v>2951</v>
      </c>
      <c r="AH995" s="0" t="s">
        <v>2751</v>
      </c>
      <c r="AL995" s="0" t="s">
        <v>384</v>
      </c>
    </row>
    <row r="996" customFormat="false" ht="15" hidden="false" customHeight="false" outlineLevel="0" collapsed="false">
      <c r="A996" s="0" t="s">
        <v>808</v>
      </c>
      <c r="B996" s="0" t="s">
        <v>163</v>
      </c>
      <c r="C996" s="0" t="s">
        <v>2944</v>
      </c>
      <c r="D996" s="0" t="n">
        <v>2020</v>
      </c>
      <c r="E996" s="0" t="s">
        <v>60</v>
      </c>
      <c r="F996" s="0" t="n">
        <v>2772663</v>
      </c>
      <c r="G996" s="0" t="s">
        <v>1681</v>
      </c>
      <c r="H996" s="0" t="s">
        <v>1648</v>
      </c>
      <c r="I996" s="0" t="n">
        <v>2772663</v>
      </c>
      <c r="J996" s="0" t="s">
        <v>2739</v>
      </c>
      <c r="K996" s="0" t="s">
        <v>1043</v>
      </c>
      <c r="L996" s="0" t="n">
        <v>2020</v>
      </c>
      <c r="M996" s="0" t="s">
        <v>1044</v>
      </c>
      <c r="N996" s="0" t="s">
        <v>173</v>
      </c>
      <c r="O996" s="0" t="s">
        <v>1243</v>
      </c>
      <c r="P996" s="0" t="s">
        <v>3079</v>
      </c>
      <c r="Q996" s="0" t="n">
        <v>208</v>
      </c>
      <c r="R996" s="0" t="n">
        <v>206</v>
      </c>
      <c r="S996" s="0" t="n">
        <v>20</v>
      </c>
      <c r="T996" s="0" t="s">
        <v>2786</v>
      </c>
      <c r="U996" s="0" t="s">
        <v>2787</v>
      </c>
      <c r="V996" s="0" t="s">
        <v>174</v>
      </c>
      <c r="W996" s="0" t="s">
        <v>3092</v>
      </c>
      <c r="X996" s="0" t="s">
        <v>3093</v>
      </c>
      <c r="Y996" s="0" t="s">
        <v>2744</v>
      </c>
      <c r="Z996" s="0" t="s">
        <v>2745</v>
      </c>
      <c r="AB996" s="0" t="s">
        <v>3082</v>
      </c>
      <c r="AC996" s="0" t="s">
        <v>2747</v>
      </c>
      <c r="AD996" s="0" t="s">
        <v>2748</v>
      </c>
      <c r="AE996" s="0" t="s">
        <v>2749</v>
      </c>
      <c r="AF996" s="0" t="s">
        <v>2951</v>
      </c>
      <c r="AH996" s="0" t="s">
        <v>2751</v>
      </c>
      <c r="AL996" s="0" t="s">
        <v>384</v>
      </c>
    </row>
    <row r="997" customFormat="false" ht="15" hidden="false" customHeight="false" outlineLevel="0" collapsed="false">
      <c r="A997" s="0" t="s">
        <v>809</v>
      </c>
      <c r="B997" s="0" t="s">
        <v>163</v>
      </c>
      <c r="C997" s="0" t="s">
        <v>2944</v>
      </c>
      <c r="D997" s="0" t="n">
        <v>2020</v>
      </c>
      <c r="E997" s="0" t="s">
        <v>61</v>
      </c>
      <c r="F997" s="0" t="n">
        <v>-132866</v>
      </c>
      <c r="G997" s="0" t="s">
        <v>1681</v>
      </c>
      <c r="H997" s="0" t="s">
        <v>1648</v>
      </c>
      <c r="I997" s="0" t="n">
        <v>132866</v>
      </c>
      <c r="J997" s="0" t="s">
        <v>2739</v>
      </c>
      <c r="K997" s="0" t="s">
        <v>1043</v>
      </c>
      <c r="L997" s="0" t="n">
        <v>2020</v>
      </c>
      <c r="M997" s="0" t="s">
        <v>1044</v>
      </c>
      <c r="N997" s="0" t="s">
        <v>173</v>
      </c>
      <c r="O997" s="0" t="s">
        <v>1243</v>
      </c>
      <c r="P997" s="0" t="s">
        <v>3079</v>
      </c>
      <c r="Q997" s="0" t="n">
        <v>208</v>
      </c>
      <c r="R997" s="0" t="n">
        <v>206</v>
      </c>
      <c r="S997" s="0" t="n">
        <v>20</v>
      </c>
      <c r="T997" s="0" t="s">
        <v>2786</v>
      </c>
      <c r="U997" s="0" t="s">
        <v>2787</v>
      </c>
      <c r="V997" s="0" t="s">
        <v>174</v>
      </c>
      <c r="W997" s="0" t="s">
        <v>3094</v>
      </c>
      <c r="X997" s="0" t="s">
        <v>3093</v>
      </c>
      <c r="Y997" s="0" t="s">
        <v>2744</v>
      </c>
      <c r="Z997" s="0" t="s">
        <v>2745</v>
      </c>
      <c r="AA997" s="0" t="s">
        <v>2829</v>
      </c>
      <c r="AB997" s="0" t="s">
        <v>3082</v>
      </c>
      <c r="AC997" s="0" t="s">
        <v>2747</v>
      </c>
      <c r="AD997" s="0" t="s">
        <v>2748</v>
      </c>
      <c r="AE997" s="0" t="s">
        <v>2749</v>
      </c>
      <c r="AF997" s="0" t="s">
        <v>2951</v>
      </c>
      <c r="AH997" s="0" t="s">
        <v>2760</v>
      </c>
      <c r="AI997" s="0" t="s">
        <v>2770</v>
      </c>
      <c r="AL997" s="0" t="s">
        <v>384</v>
      </c>
    </row>
    <row r="998" customFormat="false" ht="15" hidden="false" customHeight="false" outlineLevel="0" collapsed="false">
      <c r="A998" s="0" t="s">
        <v>810</v>
      </c>
      <c r="B998" s="0" t="s">
        <v>163</v>
      </c>
      <c r="C998" s="0" t="s">
        <v>2944</v>
      </c>
      <c r="D998" s="0" t="n">
        <v>2020</v>
      </c>
      <c r="E998" s="0" t="s">
        <v>62</v>
      </c>
      <c r="F998" s="0" t="n">
        <v>2639797</v>
      </c>
      <c r="G998" s="0" t="s">
        <v>1681</v>
      </c>
      <c r="H998" s="0" t="s">
        <v>1648</v>
      </c>
      <c r="I998" s="0" t="n">
        <v>2639797</v>
      </c>
      <c r="J998" s="0" t="s">
        <v>2739</v>
      </c>
      <c r="K998" s="0" t="s">
        <v>1043</v>
      </c>
      <c r="L998" s="0" t="n">
        <v>2020</v>
      </c>
      <c r="M998" s="0" t="s">
        <v>1044</v>
      </c>
      <c r="N998" s="0" t="s">
        <v>173</v>
      </c>
      <c r="O998" s="0" t="s">
        <v>1243</v>
      </c>
      <c r="P998" s="0" t="s">
        <v>3079</v>
      </c>
      <c r="Q998" s="0" t="n">
        <v>208</v>
      </c>
      <c r="R998" s="0" t="n">
        <v>206</v>
      </c>
      <c r="S998" s="0" t="n">
        <v>20</v>
      </c>
      <c r="T998" s="0" t="s">
        <v>2786</v>
      </c>
      <c r="U998" s="0" t="s">
        <v>2787</v>
      </c>
      <c r="V998" s="0" t="s">
        <v>174</v>
      </c>
      <c r="W998" s="0" t="s">
        <v>3095</v>
      </c>
      <c r="X998" s="0" t="s">
        <v>3093</v>
      </c>
      <c r="Y998" s="0" t="s">
        <v>2744</v>
      </c>
      <c r="Z998" s="0" t="s">
        <v>2745</v>
      </c>
      <c r="AA998" s="0" t="s">
        <v>3096</v>
      </c>
      <c r="AB998" s="0" t="s">
        <v>3082</v>
      </c>
      <c r="AC998" s="0" t="s">
        <v>2747</v>
      </c>
      <c r="AD998" s="0" t="s">
        <v>2748</v>
      </c>
      <c r="AE998" s="0" t="s">
        <v>2749</v>
      </c>
      <c r="AF998" s="0" t="s">
        <v>2951</v>
      </c>
      <c r="AH998" s="0" t="s">
        <v>2751</v>
      </c>
      <c r="AL998" s="0" t="s">
        <v>384</v>
      </c>
    </row>
    <row r="999" customFormat="false" ht="15" hidden="false" customHeight="false" outlineLevel="0" collapsed="false">
      <c r="A999" s="0" t="s">
        <v>579</v>
      </c>
      <c r="B999" s="0" t="s">
        <v>109</v>
      </c>
      <c r="C999" s="0" t="s">
        <v>3097</v>
      </c>
      <c r="D999" s="0" t="n">
        <v>2019</v>
      </c>
      <c r="E999" s="0" t="s">
        <v>55</v>
      </c>
      <c r="F999" s="0" t="n">
        <v>3097248495</v>
      </c>
      <c r="G999" s="0" t="s">
        <v>1647</v>
      </c>
      <c r="H999" s="0" t="s">
        <v>1648</v>
      </c>
      <c r="I999" s="0" t="n">
        <v>3097248.495</v>
      </c>
      <c r="J999" s="0" t="s">
        <v>3098</v>
      </c>
      <c r="K999" s="0" t="s">
        <v>1035</v>
      </c>
      <c r="L999" s="0" t="n">
        <v>2019</v>
      </c>
      <c r="M999" s="0" t="s">
        <v>1036</v>
      </c>
      <c r="N999" s="0" t="s">
        <v>114</v>
      </c>
      <c r="O999" s="0" t="s">
        <v>1244</v>
      </c>
      <c r="P999" s="0" t="s">
        <v>3099</v>
      </c>
      <c r="Q999" s="0" t="n">
        <v>79</v>
      </c>
      <c r="R999" s="0" t="n">
        <v>77</v>
      </c>
      <c r="T999" s="0" t="s">
        <v>3100</v>
      </c>
      <c r="U999" s="0" t="s">
        <v>3051</v>
      </c>
      <c r="V999" s="0" t="s">
        <v>115</v>
      </c>
      <c r="W999" s="0" t="s">
        <v>3101</v>
      </c>
      <c r="X999" s="0" t="s">
        <v>3102</v>
      </c>
      <c r="Y999" s="0" t="s">
        <v>2744</v>
      </c>
      <c r="Z999" s="0" t="s">
        <v>2745</v>
      </c>
      <c r="AB999" s="0" t="s">
        <v>3103</v>
      </c>
      <c r="AC999" s="0" t="s">
        <v>2747</v>
      </c>
      <c r="AD999" s="0" t="s">
        <v>2748</v>
      </c>
      <c r="AE999" s="0" t="s">
        <v>2749</v>
      </c>
      <c r="AF999" s="0" t="s">
        <v>3104</v>
      </c>
      <c r="AH999" s="0" t="s">
        <v>2751</v>
      </c>
      <c r="AL999" s="0" t="s">
        <v>384</v>
      </c>
    </row>
    <row r="1000" customFormat="false" ht="15" hidden="false" customHeight="false" outlineLevel="0" collapsed="false">
      <c r="A1000" s="0" t="s">
        <v>580</v>
      </c>
      <c r="B1000" s="0" t="s">
        <v>109</v>
      </c>
      <c r="C1000" s="0" t="s">
        <v>3097</v>
      </c>
      <c r="D1000" s="0" t="n">
        <v>2019</v>
      </c>
      <c r="E1000" s="0" t="s">
        <v>56</v>
      </c>
      <c r="F1000" s="0" t="n">
        <v>2491358899</v>
      </c>
      <c r="G1000" s="0" t="s">
        <v>1647</v>
      </c>
      <c r="H1000" s="0" t="s">
        <v>1648</v>
      </c>
      <c r="I1000" s="0" t="n">
        <v>2491358.899</v>
      </c>
      <c r="J1000" s="0" t="s">
        <v>3098</v>
      </c>
      <c r="K1000" s="0" t="s">
        <v>1035</v>
      </c>
      <c r="L1000" s="0" t="n">
        <v>2019</v>
      </c>
      <c r="M1000" s="0" t="s">
        <v>1036</v>
      </c>
      <c r="N1000" s="0" t="s">
        <v>114</v>
      </c>
      <c r="O1000" s="0" t="s">
        <v>1244</v>
      </c>
      <c r="P1000" s="0" t="s">
        <v>3099</v>
      </c>
      <c r="Q1000" s="0" t="n">
        <v>79</v>
      </c>
      <c r="R1000" s="0" t="n">
        <v>77</v>
      </c>
      <c r="T1000" s="0" t="s">
        <v>3100</v>
      </c>
      <c r="U1000" s="0" t="s">
        <v>3051</v>
      </c>
      <c r="V1000" s="0" t="s">
        <v>115</v>
      </c>
      <c r="W1000" s="0" t="s">
        <v>3105</v>
      </c>
      <c r="X1000" s="0" t="s">
        <v>3102</v>
      </c>
      <c r="Y1000" s="0" t="s">
        <v>2744</v>
      </c>
      <c r="Z1000" s="0" t="s">
        <v>2745</v>
      </c>
      <c r="AB1000" s="0" t="s">
        <v>3103</v>
      </c>
      <c r="AC1000" s="0" t="s">
        <v>2747</v>
      </c>
      <c r="AD1000" s="0" t="s">
        <v>2748</v>
      </c>
      <c r="AE1000" s="0" t="s">
        <v>2749</v>
      </c>
      <c r="AF1000" s="0" t="s">
        <v>3104</v>
      </c>
      <c r="AH1000" s="0" t="s">
        <v>2751</v>
      </c>
      <c r="AL1000" s="0" t="s">
        <v>384</v>
      </c>
    </row>
    <row r="1001" customFormat="false" ht="15" hidden="false" customHeight="false" outlineLevel="0" collapsed="false">
      <c r="A1001" s="0" t="s">
        <v>581</v>
      </c>
      <c r="B1001" s="0" t="s">
        <v>109</v>
      </c>
      <c r="C1001" s="0" t="s">
        <v>3097</v>
      </c>
      <c r="D1001" s="0" t="n">
        <v>2019</v>
      </c>
      <c r="E1001" s="0" t="s">
        <v>57</v>
      </c>
      <c r="F1001" s="0" t="n">
        <v>605889596</v>
      </c>
      <c r="G1001" s="0" t="s">
        <v>1647</v>
      </c>
      <c r="H1001" s="0" t="s">
        <v>1648</v>
      </c>
      <c r="I1001" s="0" t="n">
        <v>605889.596</v>
      </c>
      <c r="J1001" s="0" t="s">
        <v>3098</v>
      </c>
      <c r="K1001" s="0" t="s">
        <v>1035</v>
      </c>
      <c r="L1001" s="0" t="n">
        <v>2019</v>
      </c>
      <c r="M1001" s="0" t="s">
        <v>1036</v>
      </c>
      <c r="N1001" s="0" t="s">
        <v>114</v>
      </c>
      <c r="O1001" s="0" t="s">
        <v>1244</v>
      </c>
      <c r="P1001" s="0" t="s">
        <v>3099</v>
      </c>
      <c r="Q1001" s="0" t="n">
        <v>80</v>
      </c>
      <c r="R1001" s="0" t="n">
        <v>78</v>
      </c>
      <c r="T1001" s="0" t="s">
        <v>3100</v>
      </c>
      <c r="U1001" s="0" t="s">
        <v>3051</v>
      </c>
      <c r="V1001" s="0" t="s">
        <v>115</v>
      </c>
      <c r="W1001" s="0" t="s">
        <v>3106</v>
      </c>
      <c r="X1001" s="0" t="s">
        <v>3107</v>
      </c>
      <c r="Y1001" s="0" t="s">
        <v>2744</v>
      </c>
      <c r="Z1001" s="0" t="s">
        <v>2745</v>
      </c>
      <c r="AB1001" s="0" t="s">
        <v>3103</v>
      </c>
      <c r="AC1001" s="0" t="s">
        <v>2747</v>
      </c>
      <c r="AD1001" s="0" t="s">
        <v>2748</v>
      </c>
      <c r="AE1001" s="0" t="s">
        <v>2749</v>
      </c>
      <c r="AF1001" s="0" t="s">
        <v>3104</v>
      </c>
      <c r="AH1001" s="0" t="s">
        <v>2751</v>
      </c>
      <c r="AL1001" s="0" t="s">
        <v>384</v>
      </c>
    </row>
    <row r="1002" customFormat="false" ht="15" hidden="false" customHeight="false" outlineLevel="0" collapsed="false">
      <c r="A1002" s="0" t="s">
        <v>583</v>
      </c>
      <c r="B1002" s="0" t="s">
        <v>109</v>
      </c>
      <c r="C1002" s="0" t="s">
        <v>3097</v>
      </c>
      <c r="D1002" s="0" t="n">
        <v>2019</v>
      </c>
      <c r="E1002" s="0" t="s">
        <v>59</v>
      </c>
      <c r="F1002" s="0" t="n">
        <v>2712521494</v>
      </c>
      <c r="G1002" s="0" t="s">
        <v>1647</v>
      </c>
      <c r="H1002" s="0" t="s">
        <v>1648</v>
      </c>
      <c r="I1002" s="0" t="n">
        <v>2712521.494</v>
      </c>
      <c r="J1002" s="0" t="s">
        <v>3098</v>
      </c>
      <c r="K1002" s="0" t="s">
        <v>1035</v>
      </c>
      <c r="L1002" s="0" t="n">
        <v>2019</v>
      </c>
      <c r="M1002" s="0" t="s">
        <v>1036</v>
      </c>
      <c r="N1002" s="0" t="s">
        <v>114</v>
      </c>
      <c r="O1002" s="0" t="s">
        <v>1244</v>
      </c>
      <c r="P1002" s="0" t="s">
        <v>3099</v>
      </c>
      <c r="Q1002" s="0" t="n">
        <v>79</v>
      </c>
      <c r="R1002" s="0" t="n">
        <v>77</v>
      </c>
      <c r="T1002" s="0" t="s">
        <v>3108</v>
      </c>
      <c r="U1002" s="0" t="s">
        <v>3051</v>
      </c>
      <c r="V1002" s="0" t="s">
        <v>115</v>
      </c>
      <c r="W1002" s="0" t="s">
        <v>3101</v>
      </c>
      <c r="X1002" s="0" t="s">
        <v>3102</v>
      </c>
      <c r="Y1002" s="0" t="s">
        <v>2744</v>
      </c>
      <c r="Z1002" s="0" t="s">
        <v>2745</v>
      </c>
      <c r="AA1002" s="0" t="s">
        <v>3109</v>
      </c>
      <c r="AB1002" s="0" t="s">
        <v>3103</v>
      </c>
      <c r="AC1002" s="0" t="s">
        <v>2747</v>
      </c>
      <c r="AD1002" s="0" t="s">
        <v>2748</v>
      </c>
      <c r="AE1002" s="0" t="s">
        <v>2749</v>
      </c>
      <c r="AF1002" s="0" t="s">
        <v>3104</v>
      </c>
      <c r="AH1002" s="0" t="s">
        <v>2751</v>
      </c>
      <c r="AL1002" s="0" t="s">
        <v>384</v>
      </c>
    </row>
    <row r="1003" customFormat="false" ht="15" hidden="false" customHeight="false" outlineLevel="0" collapsed="false">
      <c r="A1003" s="0" t="s">
        <v>578</v>
      </c>
      <c r="B1003" s="0" t="s">
        <v>109</v>
      </c>
      <c r="C1003" s="0" t="s">
        <v>3097</v>
      </c>
      <c r="D1003" s="0" t="n">
        <v>2019</v>
      </c>
      <c r="E1003" s="0" t="s">
        <v>54</v>
      </c>
      <c r="F1003" s="0" t="n">
        <v>175125281</v>
      </c>
      <c r="G1003" s="0" t="s">
        <v>1647</v>
      </c>
      <c r="H1003" s="0" t="s">
        <v>1648</v>
      </c>
      <c r="I1003" s="0" t="n">
        <v>175125.281</v>
      </c>
      <c r="J1003" s="0" t="s">
        <v>3098</v>
      </c>
      <c r="K1003" s="0" t="s">
        <v>1035</v>
      </c>
      <c r="L1003" s="0" t="n">
        <v>2019</v>
      </c>
      <c r="M1003" s="0" t="s">
        <v>1036</v>
      </c>
      <c r="N1003" s="0" t="s">
        <v>114</v>
      </c>
      <c r="O1003" s="0" t="s">
        <v>1244</v>
      </c>
      <c r="P1003" s="0" t="s">
        <v>3099</v>
      </c>
      <c r="Q1003" s="0" t="n">
        <v>81</v>
      </c>
      <c r="R1003" s="0" t="n">
        <v>79</v>
      </c>
      <c r="T1003" s="0" t="s">
        <v>3100</v>
      </c>
      <c r="U1003" s="0" t="s">
        <v>3051</v>
      </c>
      <c r="V1003" s="0" t="s">
        <v>115</v>
      </c>
      <c r="W1003" s="0" t="s">
        <v>3110</v>
      </c>
      <c r="X1003" s="0" t="s">
        <v>3111</v>
      </c>
      <c r="Y1003" s="0" t="s">
        <v>2744</v>
      </c>
      <c r="Z1003" s="0" t="s">
        <v>2745</v>
      </c>
      <c r="AB1003" s="0" t="s">
        <v>3103</v>
      </c>
      <c r="AC1003" s="0" t="s">
        <v>2747</v>
      </c>
      <c r="AD1003" s="0" t="s">
        <v>2748</v>
      </c>
      <c r="AE1003" s="0" t="s">
        <v>2749</v>
      </c>
      <c r="AF1003" s="0" t="s">
        <v>3104</v>
      </c>
      <c r="AH1003" s="0" t="s">
        <v>2751</v>
      </c>
      <c r="AL1003" s="0" t="s">
        <v>384</v>
      </c>
    </row>
    <row r="1004" customFormat="false" ht="15" hidden="false" customHeight="false" outlineLevel="0" collapsed="false">
      <c r="A1004" s="0" t="s">
        <v>599</v>
      </c>
      <c r="B1004" s="0" t="s">
        <v>109</v>
      </c>
      <c r="C1004" s="0" t="s">
        <v>3097</v>
      </c>
      <c r="D1004" s="0" t="n">
        <v>2019</v>
      </c>
      <c r="E1004" s="0" t="s">
        <v>402</v>
      </c>
      <c r="F1004" s="0" t="n">
        <v>200177890</v>
      </c>
      <c r="G1004" s="0" t="s">
        <v>1647</v>
      </c>
      <c r="H1004" s="0" t="s">
        <v>1648</v>
      </c>
      <c r="I1004" s="0" t="n">
        <v>200177.89</v>
      </c>
      <c r="J1004" s="0" t="s">
        <v>3098</v>
      </c>
      <c r="K1004" s="0" t="s">
        <v>1035</v>
      </c>
      <c r="L1004" s="0" t="n">
        <v>2019</v>
      </c>
      <c r="M1004" s="0" t="s">
        <v>1036</v>
      </c>
      <c r="N1004" s="0" t="s">
        <v>114</v>
      </c>
      <c r="O1004" s="0" t="s">
        <v>1244</v>
      </c>
      <c r="P1004" s="0" t="s">
        <v>3099</v>
      </c>
      <c r="Q1004" s="0" t="n">
        <v>81</v>
      </c>
      <c r="R1004" s="0" t="n">
        <v>79</v>
      </c>
      <c r="T1004" s="0" t="s">
        <v>3100</v>
      </c>
      <c r="U1004" s="0" t="s">
        <v>3051</v>
      </c>
      <c r="V1004" s="0" t="s">
        <v>115</v>
      </c>
      <c r="W1004" s="0" t="s">
        <v>3112</v>
      </c>
      <c r="X1004" s="0" t="s">
        <v>3111</v>
      </c>
      <c r="Y1004" s="0" t="s">
        <v>2744</v>
      </c>
      <c r="Z1004" s="0" t="s">
        <v>2745</v>
      </c>
      <c r="AB1004" s="0" t="s">
        <v>3103</v>
      </c>
      <c r="AC1004" s="0" t="s">
        <v>2747</v>
      </c>
      <c r="AD1004" s="0" t="s">
        <v>2748</v>
      </c>
      <c r="AE1004" s="0" t="s">
        <v>2749</v>
      </c>
      <c r="AF1004" s="0" t="s">
        <v>3104</v>
      </c>
      <c r="AH1004" s="0" t="s">
        <v>2751</v>
      </c>
      <c r="AL1004" s="0" t="s">
        <v>384</v>
      </c>
    </row>
    <row r="1005" customFormat="false" ht="15" hidden="false" customHeight="false" outlineLevel="0" collapsed="false">
      <c r="A1005" s="0" t="s">
        <v>588</v>
      </c>
      <c r="B1005" s="0" t="s">
        <v>109</v>
      </c>
      <c r="C1005" s="0" t="s">
        <v>3097</v>
      </c>
      <c r="D1005" s="0" t="n">
        <v>2019</v>
      </c>
      <c r="E1005" s="0" t="s">
        <v>247</v>
      </c>
      <c r="F1005" s="0" t="n">
        <v>-2221501</v>
      </c>
      <c r="G1005" s="0" t="s">
        <v>1647</v>
      </c>
      <c r="H1005" s="0" t="s">
        <v>1648</v>
      </c>
      <c r="I1005" s="0" t="n">
        <v>2221.501</v>
      </c>
      <c r="J1005" s="0" t="s">
        <v>3098</v>
      </c>
      <c r="K1005" s="0" t="s">
        <v>1035</v>
      </c>
      <c r="L1005" s="0" t="n">
        <v>2019</v>
      </c>
      <c r="M1005" s="0" t="s">
        <v>1036</v>
      </c>
      <c r="N1005" s="0" t="s">
        <v>114</v>
      </c>
      <c r="O1005" s="0" t="s">
        <v>1244</v>
      </c>
      <c r="P1005" s="0" t="s">
        <v>3099</v>
      </c>
      <c r="Q1005" s="0" t="n">
        <v>81</v>
      </c>
      <c r="R1005" s="0" t="n">
        <v>79</v>
      </c>
      <c r="S1005" s="0" t="n">
        <v>11</v>
      </c>
      <c r="T1005" s="0" t="s">
        <v>3100</v>
      </c>
      <c r="U1005" s="0" t="s">
        <v>3051</v>
      </c>
      <c r="V1005" s="0" t="s">
        <v>115</v>
      </c>
      <c r="W1005" s="0" t="s">
        <v>3113</v>
      </c>
      <c r="X1005" s="0" t="s">
        <v>3111</v>
      </c>
      <c r="Y1005" s="0" t="s">
        <v>2744</v>
      </c>
      <c r="Z1005" s="0" t="s">
        <v>2745</v>
      </c>
      <c r="AA1005" s="0" t="s">
        <v>3114</v>
      </c>
      <c r="AB1005" s="0" t="s">
        <v>3103</v>
      </c>
      <c r="AC1005" s="0" t="s">
        <v>2747</v>
      </c>
      <c r="AD1005" s="0" t="s">
        <v>2748</v>
      </c>
      <c r="AE1005" s="0" t="s">
        <v>2749</v>
      </c>
      <c r="AF1005" s="0" t="s">
        <v>3104</v>
      </c>
      <c r="AH1005" s="0" t="s">
        <v>2760</v>
      </c>
      <c r="AI1005" s="0" t="s">
        <v>2761</v>
      </c>
      <c r="AL1005" s="0" t="s">
        <v>384</v>
      </c>
    </row>
    <row r="1006" customFormat="false" ht="15" hidden="false" customHeight="false" outlineLevel="0" collapsed="false">
      <c r="A1006" s="0" t="s">
        <v>589</v>
      </c>
      <c r="B1006" s="0" t="s">
        <v>109</v>
      </c>
      <c r="C1006" s="0" t="s">
        <v>3097</v>
      </c>
      <c r="D1006" s="0" t="n">
        <v>2019</v>
      </c>
      <c r="E1006" s="0" t="s">
        <v>557</v>
      </c>
      <c r="F1006" s="0" t="n">
        <v>362254</v>
      </c>
      <c r="G1006" s="0" t="s">
        <v>1647</v>
      </c>
      <c r="H1006" s="0" t="s">
        <v>1648</v>
      </c>
      <c r="I1006" s="0" t="n">
        <v>-362.254</v>
      </c>
      <c r="J1006" s="0" t="s">
        <v>3098</v>
      </c>
      <c r="K1006" s="0" t="s">
        <v>1035</v>
      </c>
      <c r="L1006" s="0" t="n">
        <v>2019</v>
      </c>
      <c r="M1006" s="0" t="s">
        <v>1036</v>
      </c>
      <c r="N1006" s="0" t="s">
        <v>114</v>
      </c>
      <c r="O1006" s="0" t="s">
        <v>1244</v>
      </c>
      <c r="P1006" s="0" t="s">
        <v>3099</v>
      </c>
      <c r="Q1006" s="0" t="n">
        <v>81</v>
      </c>
      <c r="R1006" s="0" t="n">
        <v>79</v>
      </c>
      <c r="S1006" s="0" t="n">
        <v>16</v>
      </c>
      <c r="T1006" s="0" t="s">
        <v>3100</v>
      </c>
      <c r="U1006" s="0" t="s">
        <v>3051</v>
      </c>
      <c r="V1006" s="0" t="s">
        <v>115</v>
      </c>
      <c r="W1006" s="0" t="s">
        <v>3115</v>
      </c>
      <c r="X1006" s="0" t="s">
        <v>3111</v>
      </c>
      <c r="Y1006" s="0" t="s">
        <v>2744</v>
      </c>
      <c r="Z1006" s="0" t="s">
        <v>2745</v>
      </c>
      <c r="AA1006" s="0" t="s">
        <v>3116</v>
      </c>
      <c r="AB1006" s="0" t="s">
        <v>3103</v>
      </c>
      <c r="AC1006" s="0" t="s">
        <v>2747</v>
      </c>
      <c r="AD1006" s="0" t="s">
        <v>2748</v>
      </c>
      <c r="AE1006" s="0" t="s">
        <v>2749</v>
      </c>
      <c r="AF1006" s="0" t="s">
        <v>3104</v>
      </c>
      <c r="AH1006" s="0" t="s">
        <v>2760</v>
      </c>
      <c r="AI1006" s="0" t="s">
        <v>2761</v>
      </c>
      <c r="AL1006" s="0" t="s">
        <v>384</v>
      </c>
    </row>
    <row r="1007" customFormat="false" ht="15" hidden="false" customHeight="false" outlineLevel="0" collapsed="false">
      <c r="A1007" s="0" t="s">
        <v>582</v>
      </c>
      <c r="B1007" s="0" t="s">
        <v>109</v>
      </c>
      <c r="C1007" s="0" t="s">
        <v>3097</v>
      </c>
      <c r="D1007" s="0" t="n">
        <v>2019</v>
      </c>
      <c r="E1007" s="0" t="s">
        <v>58</v>
      </c>
      <c r="F1007" s="0" t="n">
        <v>197853667</v>
      </c>
      <c r="G1007" s="0" t="s">
        <v>1647</v>
      </c>
      <c r="H1007" s="0" t="s">
        <v>1648</v>
      </c>
      <c r="I1007" s="0" t="n">
        <v>197853.667</v>
      </c>
      <c r="J1007" s="0" t="s">
        <v>3098</v>
      </c>
      <c r="K1007" s="0" t="s">
        <v>1035</v>
      </c>
      <c r="L1007" s="0" t="n">
        <v>2019</v>
      </c>
      <c r="M1007" s="0" t="s">
        <v>1036</v>
      </c>
      <c r="N1007" s="0" t="s">
        <v>114</v>
      </c>
      <c r="O1007" s="0" t="s">
        <v>1244</v>
      </c>
      <c r="P1007" s="0" t="s">
        <v>3099</v>
      </c>
      <c r="Q1007" s="0" t="n">
        <v>87</v>
      </c>
      <c r="R1007" s="0" t="n">
        <v>85</v>
      </c>
      <c r="T1007" s="0" t="s">
        <v>3100</v>
      </c>
      <c r="U1007" s="0" t="s">
        <v>3051</v>
      </c>
      <c r="V1007" s="0" t="s">
        <v>115</v>
      </c>
      <c r="W1007" s="0" t="s">
        <v>3117</v>
      </c>
      <c r="X1007" s="0" t="s">
        <v>3118</v>
      </c>
      <c r="Y1007" s="0" t="s">
        <v>2744</v>
      </c>
      <c r="Z1007" s="0" t="s">
        <v>2745</v>
      </c>
      <c r="AB1007" s="0" t="s">
        <v>3103</v>
      </c>
      <c r="AC1007" s="0" t="s">
        <v>2747</v>
      </c>
      <c r="AD1007" s="0" t="s">
        <v>2748</v>
      </c>
      <c r="AE1007" s="0" t="s">
        <v>2749</v>
      </c>
      <c r="AF1007" s="0" t="s">
        <v>3104</v>
      </c>
      <c r="AH1007" s="0" t="s">
        <v>2751</v>
      </c>
      <c r="AL1007" s="0" t="s">
        <v>384</v>
      </c>
    </row>
    <row r="1008" customFormat="false" ht="15" hidden="false" customHeight="false" outlineLevel="0" collapsed="false">
      <c r="A1008" s="0" t="s">
        <v>3119</v>
      </c>
      <c r="B1008" s="0" t="s">
        <v>109</v>
      </c>
      <c r="C1008" s="0" t="s">
        <v>3097</v>
      </c>
      <c r="D1008" s="0" t="n">
        <v>2019</v>
      </c>
      <c r="E1008" s="0" t="s">
        <v>3120</v>
      </c>
      <c r="F1008" s="0" t="n">
        <v>155378003</v>
      </c>
      <c r="G1008" s="0" t="s">
        <v>1647</v>
      </c>
      <c r="H1008" s="0" t="s">
        <v>1648</v>
      </c>
      <c r="I1008" s="0" t="n">
        <v>155378.003</v>
      </c>
      <c r="J1008" s="0" t="s">
        <v>3098</v>
      </c>
      <c r="K1008" s="0" t="s">
        <v>1035</v>
      </c>
      <c r="L1008" s="0" t="n">
        <v>2019</v>
      </c>
      <c r="M1008" s="0" t="s">
        <v>1036</v>
      </c>
      <c r="N1008" s="0" t="s">
        <v>114</v>
      </c>
      <c r="O1008" s="0" t="s">
        <v>1244</v>
      </c>
      <c r="P1008" s="0" t="s">
        <v>3099</v>
      </c>
      <c r="Q1008" s="0" t="n">
        <v>256</v>
      </c>
      <c r="R1008" s="0" t="n">
        <v>254</v>
      </c>
      <c r="S1008" s="0" t="n">
        <v>29</v>
      </c>
      <c r="T1008" s="0" t="s">
        <v>3100</v>
      </c>
      <c r="U1008" s="0" t="s">
        <v>3051</v>
      </c>
      <c r="V1008" s="0" t="s">
        <v>115</v>
      </c>
      <c r="W1008" s="0" t="s">
        <v>3121</v>
      </c>
      <c r="X1008" s="0" t="s">
        <v>3122</v>
      </c>
      <c r="Y1008" s="0" t="s">
        <v>2744</v>
      </c>
      <c r="Z1008" s="0" t="s">
        <v>2745</v>
      </c>
      <c r="AB1008" s="0" t="s">
        <v>3103</v>
      </c>
      <c r="AC1008" s="0" t="s">
        <v>2747</v>
      </c>
      <c r="AD1008" s="0" t="s">
        <v>2748</v>
      </c>
      <c r="AE1008" s="0" t="s">
        <v>2749</v>
      </c>
      <c r="AF1008" s="0" t="s">
        <v>3104</v>
      </c>
      <c r="AH1008" s="0" t="s">
        <v>2751</v>
      </c>
      <c r="AL1008" s="0" t="s">
        <v>384</v>
      </c>
    </row>
    <row r="1009" customFormat="false" ht="15" hidden="false" customHeight="false" outlineLevel="0" collapsed="false">
      <c r="A1009" s="0" t="s">
        <v>3123</v>
      </c>
      <c r="B1009" s="0" t="s">
        <v>109</v>
      </c>
      <c r="C1009" s="0" t="s">
        <v>3097</v>
      </c>
      <c r="D1009" s="0" t="n">
        <v>2019</v>
      </c>
      <c r="E1009" s="0" t="s">
        <v>3124</v>
      </c>
      <c r="F1009" s="0" t="n">
        <v>-6380109</v>
      </c>
      <c r="G1009" s="0" t="s">
        <v>1647</v>
      </c>
      <c r="H1009" s="0" t="s">
        <v>1648</v>
      </c>
      <c r="I1009" s="0" t="n">
        <v>6380.109</v>
      </c>
      <c r="J1009" s="0" t="s">
        <v>3098</v>
      </c>
      <c r="K1009" s="0" t="s">
        <v>1035</v>
      </c>
      <c r="L1009" s="0" t="n">
        <v>2019</v>
      </c>
      <c r="M1009" s="0" t="s">
        <v>1036</v>
      </c>
      <c r="N1009" s="0" t="s">
        <v>114</v>
      </c>
      <c r="O1009" s="0" t="s">
        <v>1244</v>
      </c>
      <c r="P1009" s="0" t="s">
        <v>3099</v>
      </c>
      <c r="Q1009" s="0" t="n">
        <v>256</v>
      </c>
      <c r="R1009" s="0" t="n">
        <v>254</v>
      </c>
      <c r="S1009" s="0" t="n">
        <v>29</v>
      </c>
      <c r="T1009" s="0" t="s">
        <v>3100</v>
      </c>
      <c r="U1009" s="0" t="s">
        <v>3051</v>
      </c>
      <c r="V1009" s="0" t="s">
        <v>115</v>
      </c>
      <c r="W1009" s="0" t="s">
        <v>3125</v>
      </c>
      <c r="X1009" s="0" t="s">
        <v>3122</v>
      </c>
      <c r="Y1009" s="0" t="s">
        <v>2744</v>
      </c>
      <c r="Z1009" s="0" t="s">
        <v>2745</v>
      </c>
      <c r="AA1009" s="0" t="s">
        <v>2829</v>
      </c>
      <c r="AB1009" s="0" t="s">
        <v>3103</v>
      </c>
      <c r="AC1009" s="0" t="s">
        <v>2747</v>
      </c>
      <c r="AD1009" s="0" t="s">
        <v>2748</v>
      </c>
      <c r="AE1009" s="0" t="s">
        <v>2749</v>
      </c>
      <c r="AF1009" s="0" t="s">
        <v>3104</v>
      </c>
      <c r="AH1009" s="0" t="s">
        <v>2760</v>
      </c>
      <c r="AI1009" s="0" t="s">
        <v>2770</v>
      </c>
      <c r="AL1009" s="0" t="s">
        <v>384</v>
      </c>
    </row>
    <row r="1010" customFormat="false" ht="15" hidden="false" customHeight="false" outlineLevel="0" collapsed="false">
      <c r="A1010" s="0" t="s">
        <v>3126</v>
      </c>
      <c r="B1010" s="0" t="s">
        <v>109</v>
      </c>
      <c r="C1010" s="0" t="s">
        <v>3097</v>
      </c>
      <c r="D1010" s="0" t="n">
        <v>2019</v>
      </c>
      <c r="E1010" s="0" t="s">
        <v>3127</v>
      </c>
      <c r="F1010" s="0" t="n">
        <v>1201688243</v>
      </c>
      <c r="G1010" s="0" t="s">
        <v>1647</v>
      </c>
      <c r="H1010" s="0" t="s">
        <v>1648</v>
      </c>
      <c r="I1010" s="0" t="n">
        <v>1201688.243</v>
      </c>
      <c r="J1010" s="0" t="s">
        <v>3098</v>
      </c>
      <c r="K1010" s="0" t="s">
        <v>1035</v>
      </c>
      <c r="L1010" s="0" t="n">
        <v>2019</v>
      </c>
      <c r="M1010" s="0" t="s">
        <v>1036</v>
      </c>
      <c r="N1010" s="0" t="s">
        <v>114</v>
      </c>
      <c r="O1010" s="0" t="s">
        <v>1244</v>
      </c>
      <c r="P1010" s="0" t="s">
        <v>3099</v>
      </c>
      <c r="Q1010" s="0" t="n">
        <v>256</v>
      </c>
      <c r="R1010" s="0" t="n">
        <v>254</v>
      </c>
      <c r="S1010" s="0" t="n">
        <v>29</v>
      </c>
      <c r="T1010" s="0" t="s">
        <v>3100</v>
      </c>
      <c r="U1010" s="0" t="s">
        <v>3051</v>
      </c>
      <c r="V1010" s="0" t="s">
        <v>115</v>
      </c>
      <c r="W1010" s="0" t="s">
        <v>3128</v>
      </c>
      <c r="X1010" s="0" t="s">
        <v>3122</v>
      </c>
      <c r="Y1010" s="0" t="s">
        <v>2744</v>
      </c>
      <c r="Z1010" s="0" t="s">
        <v>2745</v>
      </c>
      <c r="AB1010" s="0" t="s">
        <v>3103</v>
      </c>
      <c r="AC1010" s="0" t="s">
        <v>2747</v>
      </c>
      <c r="AD1010" s="0" t="s">
        <v>2748</v>
      </c>
      <c r="AE1010" s="0" t="s">
        <v>2749</v>
      </c>
      <c r="AF1010" s="0" t="s">
        <v>3104</v>
      </c>
      <c r="AH1010" s="0" t="s">
        <v>2751</v>
      </c>
      <c r="AL1010" s="0" t="s">
        <v>384</v>
      </c>
    </row>
    <row r="1011" customFormat="false" ht="15" hidden="false" customHeight="false" outlineLevel="0" collapsed="false">
      <c r="A1011" s="0" t="s">
        <v>3129</v>
      </c>
      <c r="B1011" s="0" t="s">
        <v>109</v>
      </c>
      <c r="C1011" s="0" t="s">
        <v>3097</v>
      </c>
      <c r="D1011" s="0" t="n">
        <v>2019</v>
      </c>
      <c r="E1011" s="0" t="s">
        <v>3130</v>
      </c>
      <c r="F1011" s="0" t="n">
        <v>-49865490</v>
      </c>
      <c r="G1011" s="0" t="s">
        <v>1647</v>
      </c>
      <c r="H1011" s="0" t="s">
        <v>1648</v>
      </c>
      <c r="I1011" s="0" t="n">
        <v>49865.49</v>
      </c>
      <c r="J1011" s="0" t="s">
        <v>3098</v>
      </c>
      <c r="K1011" s="0" t="s">
        <v>1035</v>
      </c>
      <c r="L1011" s="0" t="n">
        <v>2019</v>
      </c>
      <c r="M1011" s="0" t="s">
        <v>1036</v>
      </c>
      <c r="N1011" s="0" t="s">
        <v>114</v>
      </c>
      <c r="O1011" s="0" t="s">
        <v>1244</v>
      </c>
      <c r="P1011" s="0" t="s">
        <v>3099</v>
      </c>
      <c r="Q1011" s="0" t="n">
        <v>256</v>
      </c>
      <c r="R1011" s="0" t="n">
        <v>254</v>
      </c>
      <c r="S1011" s="0" t="n">
        <v>29</v>
      </c>
      <c r="T1011" s="0" t="s">
        <v>3100</v>
      </c>
      <c r="U1011" s="0" t="s">
        <v>3051</v>
      </c>
      <c r="V1011" s="0" t="s">
        <v>115</v>
      </c>
      <c r="W1011" s="0" t="s">
        <v>3131</v>
      </c>
      <c r="X1011" s="0" t="s">
        <v>3122</v>
      </c>
      <c r="Y1011" s="0" t="s">
        <v>2744</v>
      </c>
      <c r="Z1011" s="0" t="s">
        <v>2745</v>
      </c>
      <c r="AA1011" s="0" t="s">
        <v>2829</v>
      </c>
      <c r="AB1011" s="0" t="s">
        <v>3103</v>
      </c>
      <c r="AC1011" s="0" t="s">
        <v>2747</v>
      </c>
      <c r="AD1011" s="0" t="s">
        <v>2748</v>
      </c>
      <c r="AE1011" s="0" t="s">
        <v>2749</v>
      </c>
      <c r="AF1011" s="0" t="s">
        <v>3104</v>
      </c>
      <c r="AH1011" s="0" t="s">
        <v>2760</v>
      </c>
      <c r="AI1011" s="0" t="s">
        <v>2770</v>
      </c>
      <c r="AL1011" s="0" t="s">
        <v>384</v>
      </c>
    </row>
    <row r="1012" customFormat="false" ht="15" hidden="false" customHeight="false" outlineLevel="0" collapsed="false">
      <c r="A1012" s="0" t="s">
        <v>586</v>
      </c>
      <c r="B1012" s="0" t="s">
        <v>109</v>
      </c>
      <c r="C1012" s="0" t="s">
        <v>3097</v>
      </c>
      <c r="D1012" s="0" t="n">
        <v>2019</v>
      </c>
      <c r="E1012" s="0" t="s">
        <v>62</v>
      </c>
      <c r="F1012" s="0" t="n">
        <v>1300820647</v>
      </c>
      <c r="G1012" s="0" t="s">
        <v>1647</v>
      </c>
      <c r="H1012" s="0" t="s">
        <v>1648</v>
      </c>
      <c r="I1012" s="0" t="n">
        <v>1300820.647</v>
      </c>
      <c r="J1012" s="0" t="s">
        <v>3098</v>
      </c>
      <c r="K1012" s="0" t="s">
        <v>1035</v>
      </c>
      <c r="L1012" s="0" t="n">
        <v>2019</v>
      </c>
      <c r="M1012" s="0" t="s">
        <v>1036</v>
      </c>
      <c r="N1012" s="0" t="s">
        <v>114</v>
      </c>
      <c r="O1012" s="0" t="s">
        <v>1244</v>
      </c>
      <c r="P1012" s="0" t="s">
        <v>3099</v>
      </c>
      <c r="Q1012" s="0" t="n">
        <v>256</v>
      </c>
      <c r="R1012" s="0" t="n">
        <v>254</v>
      </c>
      <c r="S1012" s="0" t="n">
        <v>29</v>
      </c>
      <c r="T1012" s="0" t="s">
        <v>3100</v>
      </c>
      <c r="U1012" s="0" t="s">
        <v>3051</v>
      </c>
      <c r="V1012" s="0" t="s">
        <v>115</v>
      </c>
      <c r="W1012" s="0" t="s">
        <v>3132</v>
      </c>
      <c r="X1012" s="0" t="s">
        <v>3122</v>
      </c>
      <c r="Y1012" s="0" t="s">
        <v>2744</v>
      </c>
      <c r="Z1012" s="0" t="s">
        <v>2745</v>
      </c>
      <c r="AB1012" s="0" t="s">
        <v>3103</v>
      </c>
      <c r="AC1012" s="0" t="s">
        <v>2747</v>
      </c>
      <c r="AD1012" s="0" t="s">
        <v>2748</v>
      </c>
      <c r="AE1012" s="0" t="s">
        <v>2749</v>
      </c>
      <c r="AF1012" s="0" t="s">
        <v>3104</v>
      </c>
      <c r="AH1012" s="0" t="s">
        <v>2751</v>
      </c>
      <c r="AL1012" s="0" t="s">
        <v>384</v>
      </c>
    </row>
    <row r="1013" customFormat="false" ht="15" hidden="false" customHeight="false" outlineLevel="0" collapsed="false">
      <c r="A1013" s="0" t="s">
        <v>3133</v>
      </c>
      <c r="B1013" s="0" t="s">
        <v>109</v>
      </c>
      <c r="C1013" s="0" t="s">
        <v>3097</v>
      </c>
      <c r="D1013" s="0" t="n">
        <v>2019</v>
      </c>
      <c r="E1013" s="0" t="s">
        <v>3134</v>
      </c>
      <c r="F1013" s="0" t="n">
        <v>-5690363</v>
      </c>
      <c r="G1013" s="0" t="s">
        <v>1647</v>
      </c>
      <c r="H1013" s="0" t="s">
        <v>1648</v>
      </c>
      <c r="I1013" s="0" t="n">
        <v>5690.363</v>
      </c>
      <c r="J1013" s="0" t="s">
        <v>3098</v>
      </c>
      <c r="K1013" s="0" t="s">
        <v>1035</v>
      </c>
      <c r="L1013" s="0" t="n">
        <v>2019</v>
      </c>
      <c r="M1013" s="0" t="s">
        <v>1036</v>
      </c>
      <c r="N1013" s="0" t="s">
        <v>114</v>
      </c>
      <c r="O1013" s="0" t="s">
        <v>1244</v>
      </c>
      <c r="P1013" s="0" t="s">
        <v>3099</v>
      </c>
      <c r="Q1013" s="0" t="n">
        <v>256</v>
      </c>
      <c r="R1013" s="0" t="n">
        <v>254</v>
      </c>
      <c r="S1013" s="0" t="n">
        <v>29</v>
      </c>
      <c r="T1013" s="0" t="s">
        <v>3100</v>
      </c>
      <c r="U1013" s="0" t="s">
        <v>3051</v>
      </c>
      <c r="V1013" s="0" t="s">
        <v>115</v>
      </c>
      <c r="W1013" s="0" t="s">
        <v>3135</v>
      </c>
      <c r="X1013" s="0" t="s">
        <v>3122</v>
      </c>
      <c r="Y1013" s="0" t="s">
        <v>2744</v>
      </c>
      <c r="Z1013" s="0" t="s">
        <v>2745</v>
      </c>
      <c r="AA1013" s="0" t="s">
        <v>2829</v>
      </c>
      <c r="AB1013" s="0" t="s">
        <v>3103</v>
      </c>
      <c r="AC1013" s="0" t="s">
        <v>2747</v>
      </c>
      <c r="AD1013" s="0" t="s">
        <v>2748</v>
      </c>
      <c r="AE1013" s="0" t="s">
        <v>2749</v>
      </c>
      <c r="AF1013" s="0" t="s">
        <v>3104</v>
      </c>
      <c r="AH1013" s="0" t="s">
        <v>2760</v>
      </c>
      <c r="AI1013" s="0" t="s">
        <v>2770</v>
      </c>
      <c r="AL1013" s="0" t="s">
        <v>384</v>
      </c>
    </row>
    <row r="1014" customFormat="false" ht="15" hidden="false" customHeight="false" outlineLevel="0" collapsed="false">
      <c r="A1014" s="0" t="s">
        <v>3136</v>
      </c>
      <c r="B1014" s="0" t="s">
        <v>109</v>
      </c>
      <c r="C1014" s="0" t="s">
        <v>3097</v>
      </c>
      <c r="D1014" s="0" t="n">
        <v>2019</v>
      </c>
      <c r="E1014" s="0" t="s">
        <v>3137</v>
      </c>
      <c r="F1014" s="0" t="n">
        <v>-39813598</v>
      </c>
      <c r="G1014" s="0" t="s">
        <v>1647</v>
      </c>
      <c r="H1014" s="0" t="s">
        <v>1648</v>
      </c>
      <c r="I1014" s="0" t="n">
        <v>39813.598</v>
      </c>
      <c r="J1014" s="0" t="s">
        <v>3098</v>
      </c>
      <c r="K1014" s="0" t="s">
        <v>1035</v>
      </c>
      <c r="L1014" s="0" t="n">
        <v>2019</v>
      </c>
      <c r="M1014" s="0" t="s">
        <v>1036</v>
      </c>
      <c r="N1014" s="0" t="s">
        <v>114</v>
      </c>
      <c r="O1014" s="0" t="s">
        <v>1244</v>
      </c>
      <c r="P1014" s="0" t="s">
        <v>3099</v>
      </c>
      <c r="Q1014" s="0" t="n">
        <v>256</v>
      </c>
      <c r="R1014" s="0" t="n">
        <v>254</v>
      </c>
      <c r="S1014" s="0" t="n">
        <v>29</v>
      </c>
      <c r="T1014" s="0" t="s">
        <v>3100</v>
      </c>
      <c r="U1014" s="0" t="s">
        <v>3051</v>
      </c>
      <c r="V1014" s="0" t="s">
        <v>115</v>
      </c>
      <c r="W1014" s="0" t="s">
        <v>3138</v>
      </c>
      <c r="X1014" s="0" t="s">
        <v>3122</v>
      </c>
      <c r="Y1014" s="0" t="s">
        <v>2744</v>
      </c>
      <c r="Z1014" s="0" t="s">
        <v>2745</v>
      </c>
      <c r="AA1014" s="0" t="s">
        <v>2829</v>
      </c>
      <c r="AB1014" s="0" t="s">
        <v>3103</v>
      </c>
      <c r="AC1014" s="0" t="s">
        <v>2747</v>
      </c>
      <c r="AD1014" s="0" t="s">
        <v>2748</v>
      </c>
      <c r="AE1014" s="0" t="s">
        <v>2749</v>
      </c>
      <c r="AF1014" s="0" t="s">
        <v>3104</v>
      </c>
      <c r="AH1014" s="0" t="s">
        <v>2760</v>
      </c>
      <c r="AI1014" s="0" t="s">
        <v>2770</v>
      </c>
      <c r="AL1014" s="0" t="s">
        <v>384</v>
      </c>
    </row>
    <row r="1015" customFormat="false" ht="15" hidden="false" customHeight="false" outlineLevel="0" collapsed="false">
      <c r="A1015" s="0" t="s">
        <v>561</v>
      </c>
      <c r="B1015" s="0" t="s">
        <v>109</v>
      </c>
      <c r="C1015" s="0" t="s">
        <v>3097</v>
      </c>
      <c r="D1015" s="0" t="n">
        <v>2018</v>
      </c>
      <c r="E1015" s="0" t="s">
        <v>55</v>
      </c>
      <c r="F1015" s="0" t="n">
        <v>2712521494</v>
      </c>
      <c r="G1015" s="0" t="s">
        <v>1647</v>
      </c>
      <c r="H1015" s="0" t="s">
        <v>1648</v>
      </c>
      <c r="I1015" s="0" t="n">
        <v>2712521.494</v>
      </c>
      <c r="J1015" s="0" t="s">
        <v>3098</v>
      </c>
      <c r="K1015" s="0" t="s">
        <v>1030</v>
      </c>
      <c r="L1015" s="0" t="n">
        <v>2018</v>
      </c>
      <c r="M1015" s="0" t="s">
        <v>1031</v>
      </c>
      <c r="N1015" s="0" t="s">
        <v>111</v>
      </c>
      <c r="O1015" s="0" t="s">
        <v>1223</v>
      </c>
      <c r="P1015" s="0" t="s">
        <v>3139</v>
      </c>
      <c r="Q1015" s="0" t="n">
        <v>82</v>
      </c>
      <c r="R1015" s="0" t="n">
        <v>81</v>
      </c>
      <c r="T1015" s="0" t="s">
        <v>3108</v>
      </c>
      <c r="U1015" s="0" t="s">
        <v>3015</v>
      </c>
      <c r="V1015" s="0" t="s">
        <v>113</v>
      </c>
      <c r="W1015" s="0" t="s">
        <v>3140</v>
      </c>
      <c r="X1015" s="0" t="s">
        <v>3141</v>
      </c>
      <c r="Y1015" s="0" t="s">
        <v>2744</v>
      </c>
      <c r="Z1015" s="0" t="s">
        <v>2745</v>
      </c>
      <c r="AB1015" s="0" t="s">
        <v>3103</v>
      </c>
      <c r="AC1015" s="0" t="s">
        <v>2747</v>
      </c>
      <c r="AD1015" s="0" t="s">
        <v>2748</v>
      </c>
      <c r="AE1015" s="0" t="s">
        <v>2749</v>
      </c>
      <c r="AF1015" s="0" t="s">
        <v>3142</v>
      </c>
      <c r="AH1015" s="0" t="s">
        <v>2751</v>
      </c>
      <c r="AL1015" s="0" t="s">
        <v>384</v>
      </c>
    </row>
    <row r="1016" customFormat="false" ht="15" hidden="false" customHeight="false" outlineLevel="0" collapsed="false">
      <c r="A1016" s="0" t="s">
        <v>562</v>
      </c>
      <c r="B1016" s="0" t="s">
        <v>109</v>
      </c>
      <c r="C1016" s="0" t="s">
        <v>3097</v>
      </c>
      <c r="D1016" s="0" t="n">
        <v>2018</v>
      </c>
      <c r="E1016" s="0" t="s">
        <v>56</v>
      </c>
      <c r="F1016" s="0" t="n">
        <v>2200679235</v>
      </c>
      <c r="G1016" s="0" t="s">
        <v>1647</v>
      </c>
      <c r="H1016" s="0" t="s">
        <v>1648</v>
      </c>
      <c r="I1016" s="0" t="n">
        <v>2200679.235</v>
      </c>
      <c r="J1016" s="0" t="s">
        <v>3098</v>
      </c>
      <c r="K1016" s="0" t="s">
        <v>1030</v>
      </c>
      <c r="L1016" s="0" t="n">
        <v>2018</v>
      </c>
      <c r="M1016" s="0" t="s">
        <v>1031</v>
      </c>
      <c r="N1016" s="0" t="s">
        <v>111</v>
      </c>
      <c r="O1016" s="0" t="s">
        <v>1223</v>
      </c>
      <c r="P1016" s="0" t="s">
        <v>3139</v>
      </c>
      <c r="Q1016" s="0" t="n">
        <v>82</v>
      </c>
      <c r="R1016" s="0" t="n">
        <v>81</v>
      </c>
      <c r="T1016" s="0" t="s">
        <v>3108</v>
      </c>
      <c r="U1016" s="0" t="s">
        <v>3015</v>
      </c>
      <c r="V1016" s="0" t="s">
        <v>113</v>
      </c>
      <c r="W1016" s="0" t="s">
        <v>3143</v>
      </c>
      <c r="X1016" s="0" t="s">
        <v>3141</v>
      </c>
      <c r="Y1016" s="0" t="s">
        <v>2744</v>
      </c>
      <c r="Z1016" s="0" t="s">
        <v>2745</v>
      </c>
      <c r="AB1016" s="0" t="s">
        <v>3103</v>
      </c>
      <c r="AC1016" s="0" t="s">
        <v>2747</v>
      </c>
      <c r="AD1016" s="0" t="s">
        <v>2748</v>
      </c>
      <c r="AE1016" s="0" t="s">
        <v>2749</v>
      </c>
      <c r="AF1016" s="0" t="s">
        <v>3142</v>
      </c>
      <c r="AH1016" s="0" t="s">
        <v>2751</v>
      </c>
      <c r="AL1016" s="0" t="s">
        <v>384</v>
      </c>
    </row>
    <row r="1017" customFormat="false" ht="15" hidden="false" customHeight="false" outlineLevel="0" collapsed="false">
      <c r="A1017" s="0" t="s">
        <v>563</v>
      </c>
      <c r="B1017" s="0" t="s">
        <v>109</v>
      </c>
      <c r="C1017" s="0" t="s">
        <v>3097</v>
      </c>
      <c r="D1017" s="0" t="n">
        <v>2018</v>
      </c>
      <c r="E1017" s="0" t="s">
        <v>57</v>
      </c>
      <c r="F1017" s="0" t="n">
        <v>511842259</v>
      </c>
      <c r="G1017" s="0" t="s">
        <v>1647</v>
      </c>
      <c r="H1017" s="0" t="s">
        <v>1648</v>
      </c>
      <c r="I1017" s="0" t="n">
        <v>511842.259</v>
      </c>
      <c r="J1017" s="0" t="s">
        <v>3098</v>
      </c>
      <c r="K1017" s="0" t="s">
        <v>1030</v>
      </c>
      <c r="L1017" s="0" t="n">
        <v>2018</v>
      </c>
      <c r="M1017" s="0" t="s">
        <v>1031</v>
      </c>
      <c r="N1017" s="0" t="s">
        <v>111</v>
      </c>
      <c r="O1017" s="0" t="s">
        <v>1223</v>
      </c>
      <c r="P1017" s="0" t="s">
        <v>3139</v>
      </c>
      <c r="Q1017" s="0" t="n">
        <v>83</v>
      </c>
      <c r="R1017" s="0" t="n">
        <v>82</v>
      </c>
      <c r="T1017" s="0" t="s">
        <v>3108</v>
      </c>
      <c r="U1017" s="0" t="s">
        <v>3015</v>
      </c>
      <c r="V1017" s="0" t="s">
        <v>113</v>
      </c>
      <c r="W1017" s="0" t="s">
        <v>3144</v>
      </c>
      <c r="X1017" s="0" t="s">
        <v>3145</v>
      </c>
      <c r="Y1017" s="0" t="s">
        <v>2744</v>
      </c>
      <c r="Z1017" s="0" t="s">
        <v>2745</v>
      </c>
      <c r="AB1017" s="0" t="s">
        <v>3103</v>
      </c>
      <c r="AC1017" s="0" t="s">
        <v>2747</v>
      </c>
      <c r="AD1017" s="0" t="s">
        <v>2748</v>
      </c>
      <c r="AE1017" s="0" t="s">
        <v>2749</v>
      </c>
      <c r="AF1017" s="0" t="s">
        <v>3142</v>
      </c>
      <c r="AH1017" s="0" t="s">
        <v>2751</v>
      </c>
      <c r="AL1017" s="0" t="s">
        <v>384</v>
      </c>
    </row>
    <row r="1018" customFormat="false" ht="15" hidden="false" customHeight="false" outlineLevel="0" collapsed="false">
      <c r="A1018" s="0" t="s">
        <v>566</v>
      </c>
      <c r="B1018" s="0" t="s">
        <v>109</v>
      </c>
      <c r="C1018" s="0" t="s">
        <v>3097</v>
      </c>
      <c r="D1018" s="0" t="n">
        <v>2018</v>
      </c>
      <c r="E1018" s="0" t="s">
        <v>59</v>
      </c>
      <c r="F1018" s="0" t="n">
        <v>2824928985</v>
      </c>
      <c r="G1018" s="0" t="s">
        <v>1647</v>
      </c>
      <c r="H1018" s="0" t="s">
        <v>1648</v>
      </c>
      <c r="I1018" s="0" t="n">
        <v>2824928.985</v>
      </c>
      <c r="J1018" s="0" t="s">
        <v>3098</v>
      </c>
      <c r="K1018" s="0" t="s">
        <v>1030</v>
      </c>
      <c r="L1018" s="0" t="n">
        <v>2018</v>
      </c>
      <c r="M1018" s="0" t="s">
        <v>1031</v>
      </c>
      <c r="N1018" s="0" t="s">
        <v>111</v>
      </c>
      <c r="O1018" s="0" t="s">
        <v>1223</v>
      </c>
      <c r="P1018" s="0" t="s">
        <v>3139</v>
      </c>
      <c r="Q1018" s="0" t="n">
        <v>82</v>
      </c>
      <c r="R1018" s="0" t="n">
        <v>81</v>
      </c>
      <c r="T1018" s="0" t="s">
        <v>3146</v>
      </c>
      <c r="U1018" s="0" t="s">
        <v>3015</v>
      </c>
      <c r="V1018" s="0" t="s">
        <v>113</v>
      </c>
      <c r="W1018" s="0" t="s">
        <v>3140</v>
      </c>
      <c r="X1018" s="0" t="s">
        <v>3141</v>
      </c>
      <c r="Y1018" s="0" t="s">
        <v>2744</v>
      </c>
      <c r="Z1018" s="0" t="s">
        <v>2745</v>
      </c>
      <c r="AA1018" s="0" t="s">
        <v>3109</v>
      </c>
      <c r="AB1018" s="0" t="s">
        <v>3103</v>
      </c>
      <c r="AC1018" s="0" t="s">
        <v>2747</v>
      </c>
      <c r="AD1018" s="0" t="s">
        <v>2748</v>
      </c>
      <c r="AE1018" s="0" t="s">
        <v>2749</v>
      </c>
      <c r="AF1018" s="0" t="s">
        <v>3142</v>
      </c>
      <c r="AH1018" s="0" t="s">
        <v>2751</v>
      </c>
      <c r="AL1018" s="0" t="s">
        <v>384</v>
      </c>
    </row>
    <row r="1019" customFormat="false" ht="15" hidden="false" customHeight="false" outlineLevel="0" collapsed="false">
      <c r="A1019" s="0" t="s">
        <v>560</v>
      </c>
      <c r="B1019" s="0" t="s">
        <v>109</v>
      </c>
      <c r="C1019" s="0" t="s">
        <v>3097</v>
      </c>
      <c r="D1019" s="0" t="n">
        <v>2018</v>
      </c>
      <c r="E1019" s="0" t="s">
        <v>54</v>
      </c>
      <c r="F1019" s="0" t="n">
        <v>166919765</v>
      </c>
      <c r="G1019" s="0" t="s">
        <v>1647</v>
      </c>
      <c r="H1019" s="0" t="s">
        <v>1648</v>
      </c>
      <c r="I1019" s="0" t="n">
        <v>166919.765</v>
      </c>
      <c r="J1019" s="0" t="s">
        <v>3098</v>
      </c>
      <c r="K1019" s="0" t="s">
        <v>1030</v>
      </c>
      <c r="L1019" s="0" t="n">
        <v>2018</v>
      </c>
      <c r="M1019" s="0" t="s">
        <v>1031</v>
      </c>
      <c r="N1019" s="0" t="s">
        <v>111</v>
      </c>
      <c r="O1019" s="0" t="s">
        <v>1223</v>
      </c>
      <c r="P1019" s="0" t="s">
        <v>3139</v>
      </c>
      <c r="Q1019" s="0" t="n">
        <v>84</v>
      </c>
      <c r="R1019" s="0" t="n">
        <v>83</v>
      </c>
      <c r="T1019" s="0" t="s">
        <v>3108</v>
      </c>
      <c r="U1019" s="0" t="s">
        <v>3015</v>
      </c>
      <c r="V1019" s="0" t="s">
        <v>113</v>
      </c>
      <c r="W1019" s="0" t="s">
        <v>3147</v>
      </c>
      <c r="X1019" s="0" t="s">
        <v>3148</v>
      </c>
      <c r="Y1019" s="0" t="s">
        <v>2744</v>
      </c>
      <c r="Z1019" s="0" t="s">
        <v>2745</v>
      </c>
      <c r="AB1019" s="0" t="s">
        <v>3103</v>
      </c>
      <c r="AC1019" s="0" t="s">
        <v>2747</v>
      </c>
      <c r="AD1019" s="0" t="s">
        <v>2748</v>
      </c>
      <c r="AE1019" s="0" t="s">
        <v>2749</v>
      </c>
      <c r="AF1019" s="0" t="s">
        <v>3142</v>
      </c>
      <c r="AH1019" s="0" t="s">
        <v>2751</v>
      </c>
      <c r="AL1019" s="0" t="s">
        <v>384</v>
      </c>
    </row>
    <row r="1020" customFormat="false" ht="15" hidden="false" customHeight="false" outlineLevel="0" collapsed="false">
      <c r="A1020" s="0" t="s">
        <v>577</v>
      </c>
      <c r="B1020" s="0" t="s">
        <v>109</v>
      </c>
      <c r="C1020" s="0" t="s">
        <v>3097</v>
      </c>
      <c r="D1020" s="0" t="n">
        <v>2018</v>
      </c>
      <c r="E1020" s="0" t="s">
        <v>402</v>
      </c>
      <c r="F1020" s="0" t="n">
        <v>190209286</v>
      </c>
      <c r="G1020" s="0" t="s">
        <v>1647</v>
      </c>
      <c r="H1020" s="0" t="s">
        <v>1648</v>
      </c>
      <c r="I1020" s="0" t="n">
        <v>190209.286</v>
      </c>
      <c r="J1020" s="0" t="s">
        <v>3098</v>
      </c>
      <c r="K1020" s="0" t="s">
        <v>1030</v>
      </c>
      <c r="L1020" s="0" t="n">
        <v>2018</v>
      </c>
      <c r="M1020" s="0" t="s">
        <v>1031</v>
      </c>
      <c r="N1020" s="0" t="s">
        <v>111</v>
      </c>
      <c r="O1020" s="0" t="s">
        <v>1223</v>
      </c>
      <c r="P1020" s="0" t="s">
        <v>3139</v>
      </c>
      <c r="Q1020" s="0" t="n">
        <v>84</v>
      </c>
      <c r="R1020" s="0" t="n">
        <v>83</v>
      </c>
      <c r="T1020" s="0" t="s">
        <v>3108</v>
      </c>
      <c r="U1020" s="0" t="s">
        <v>3015</v>
      </c>
      <c r="V1020" s="0" t="s">
        <v>113</v>
      </c>
      <c r="W1020" s="0" t="s">
        <v>3149</v>
      </c>
      <c r="X1020" s="0" t="s">
        <v>3148</v>
      </c>
      <c r="Y1020" s="0" t="s">
        <v>2744</v>
      </c>
      <c r="Z1020" s="0" t="s">
        <v>2745</v>
      </c>
      <c r="AB1020" s="0" t="s">
        <v>3103</v>
      </c>
      <c r="AC1020" s="0" t="s">
        <v>2747</v>
      </c>
      <c r="AD1020" s="0" t="s">
        <v>2748</v>
      </c>
      <c r="AE1020" s="0" t="s">
        <v>2749</v>
      </c>
      <c r="AF1020" s="0" t="s">
        <v>3142</v>
      </c>
      <c r="AH1020" s="0" t="s">
        <v>2751</v>
      </c>
      <c r="AL1020" s="0" t="s">
        <v>384</v>
      </c>
    </row>
    <row r="1021" customFormat="false" ht="15" hidden="false" customHeight="false" outlineLevel="0" collapsed="false">
      <c r="A1021" s="0" t="s">
        <v>572</v>
      </c>
      <c r="B1021" s="0" t="s">
        <v>109</v>
      </c>
      <c r="C1021" s="0" t="s">
        <v>3097</v>
      </c>
      <c r="D1021" s="0" t="n">
        <v>2018</v>
      </c>
      <c r="E1021" s="0" t="s">
        <v>247</v>
      </c>
      <c r="F1021" s="0" t="n">
        <v>-1504303</v>
      </c>
      <c r="G1021" s="0" t="s">
        <v>1647</v>
      </c>
      <c r="H1021" s="0" t="s">
        <v>1648</v>
      </c>
      <c r="I1021" s="0" t="n">
        <v>1504.303</v>
      </c>
      <c r="J1021" s="0" t="s">
        <v>3098</v>
      </c>
      <c r="K1021" s="0" t="s">
        <v>1030</v>
      </c>
      <c r="L1021" s="0" t="n">
        <v>2018</v>
      </c>
      <c r="M1021" s="0" t="s">
        <v>1031</v>
      </c>
      <c r="N1021" s="0" t="s">
        <v>111</v>
      </c>
      <c r="O1021" s="0" t="s">
        <v>1223</v>
      </c>
      <c r="P1021" s="0" t="s">
        <v>3139</v>
      </c>
      <c r="Q1021" s="0" t="n">
        <v>84</v>
      </c>
      <c r="R1021" s="0" t="n">
        <v>83</v>
      </c>
      <c r="S1021" s="0" t="n">
        <v>11</v>
      </c>
      <c r="T1021" s="0" t="s">
        <v>3108</v>
      </c>
      <c r="U1021" s="0" t="s">
        <v>3015</v>
      </c>
      <c r="V1021" s="0" t="s">
        <v>113</v>
      </c>
      <c r="W1021" s="0" t="s">
        <v>3150</v>
      </c>
      <c r="X1021" s="0" t="s">
        <v>3148</v>
      </c>
      <c r="Y1021" s="0" t="s">
        <v>2744</v>
      </c>
      <c r="Z1021" s="0" t="s">
        <v>2745</v>
      </c>
      <c r="AA1021" s="0" t="s">
        <v>3114</v>
      </c>
      <c r="AB1021" s="0" t="s">
        <v>3103</v>
      </c>
      <c r="AC1021" s="0" t="s">
        <v>2747</v>
      </c>
      <c r="AD1021" s="0" t="s">
        <v>2748</v>
      </c>
      <c r="AE1021" s="0" t="s">
        <v>2749</v>
      </c>
      <c r="AF1021" s="0" t="s">
        <v>3142</v>
      </c>
      <c r="AH1021" s="0" t="s">
        <v>2760</v>
      </c>
      <c r="AI1021" s="0" t="s">
        <v>2761</v>
      </c>
      <c r="AL1021" s="0" t="s">
        <v>384</v>
      </c>
    </row>
    <row r="1022" customFormat="false" ht="15" hidden="false" customHeight="false" outlineLevel="0" collapsed="false">
      <c r="A1022" s="0" t="s">
        <v>573</v>
      </c>
      <c r="B1022" s="0" t="s">
        <v>109</v>
      </c>
      <c r="C1022" s="0" t="s">
        <v>3097</v>
      </c>
      <c r="D1022" s="0" t="n">
        <v>2018</v>
      </c>
      <c r="E1022" s="0" t="s">
        <v>557</v>
      </c>
      <c r="F1022" s="0" t="n">
        <v>120299</v>
      </c>
      <c r="G1022" s="0" t="s">
        <v>1647</v>
      </c>
      <c r="H1022" s="0" t="s">
        <v>1648</v>
      </c>
      <c r="I1022" s="0" t="n">
        <v>-120.299</v>
      </c>
      <c r="J1022" s="0" t="s">
        <v>3098</v>
      </c>
      <c r="K1022" s="0" t="s">
        <v>1030</v>
      </c>
      <c r="L1022" s="0" t="n">
        <v>2018</v>
      </c>
      <c r="M1022" s="0" t="s">
        <v>1031</v>
      </c>
      <c r="N1022" s="0" t="s">
        <v>111</v>
      </c>
      <c r="O1022" s="0" t="s">
        <v>1223</v>
      </c>
      <c r="P1022" s="0" t="s">
        <v>3139</v>
      </c>
      <c r="Q1022" s="0" t="n">
        <v>84</v>
      </c>
      <c r="R1022" s="0" t="n">
        <v>83</v>
      </c>
      <c r="S1022" s="0" t="n">
        <v>16</v>
      </c>
      <c r="T1022" s="0" t="s">
        <v>3108</v>
      </c>
      <c r="U1022" s="0" t="s">
        <v>3015</v>
      </c>
      <c r="V1022" s="0" t="s">
        <v>113</v>
      </c>
      <c r="W1022" s="0" t="s">
        <v>3151</v>
      </c>
      <c r="X1022" s="0" t="s">
        <v>3148</v>
      </c>
      <c r="Y1022" s="0" t="s">
        <v>2744</v>
      </c>
      <c r="Z1022" s="0" t="s">
        <v>2745</v>
      </c>
      <c r="AA1022" s="0" t="s">
        <v>3116</v>
      </c>
      <c r="AB1022" s="0" t="s">
        <v>3103</v>
      </c>
      <c r="AC1022" s="0" t="s">
        <v>2747</v>
      </c>
      <c r="AD1022" s="0" t="s">
        <v>2748</v>
      </c>
      <c r="AE1022" s="0" t="s">
        <v>2749</v>
      </c>
      <c r="AF1022" s="0" t="s">
        <v>3142</v>
      </c>
      <c r="AH1022" s="0" t="s">
        <v>2760</v>
      </c>
      <c r="AI1022" s="0" t="s">
        <v>2761</v>
      </c>
      <c r="AL1022" s="0" t="s">
        <v>384</v>
      </c>
    </row>
    <row r="1023" customFormat="false" ht="15" hidden="false" customHeight="false" outlineLevel="0" collapsed="false">
      <c r="A1023" s="0" t="s">
        <v>565</v>
      </c>
      <c r="B1023" s="0" t="s">
        <v>109</v>
      </c>
      <c r="C1023" s="0" t="s">
        <v>3097</v>
      </c>
      <c r="D1023" s="0" t="n">
        <v>2018</v>
      </c>
      <c r="E1023" s="0" t="s">
        <v>58</v>
      </c>
      <c r="F1023" s="0" t="n">
        <v>224625664</v>
      </c>
      <c r="G1023" s="0" t="s">
        <v>1647</v>
      </c>
      <c r="H1023" s="0" t="s">
        <v>1648</v>
      </c>
      <c r="I1023" s="0" t="n">
        <v>224625.664</v>
      </c>
      <c r="J1023" s="0" t="s">
        <v>3098</v>
      </c>
      <c r="K1023" s="0" t="s">
        <v>1030</v>
      </c>
      <c r="L1023" s="0" t="n">
        <v>2018</v>
      </c>
      <c r="M1023" s="0" t="s">
        <v>1031</v>
      </c>
      <c r="N1023" s="0" t="s">
        <v>111</v>
      </c>
      <c r="O1023" s="0" t="s">
        <v>1223</v>
      </c>
      <c r="P1023" s="0" t="s">
        <v>3139</v>
      </c>
      <c r="Q1023" s="0" t="n">
        <v>90</v>
      </c>
      <c r="R1023" s="0" t="n">
        <v>89</v>
      </c>
      <c r="T1023" s="0" t="s">
        <v>3108</v>
      </c>
      <c r="U1023" s="0" t="s">
        <v>3015</v>
      </c>
      <c r="V1023" s="0" t="s">
        <v>113</v>
      </c>
      <c r="W1023" s="0" t="s">
        <v>3152</v>
      </c>
      <c r="X1023" s="0" t="s">
        <v>3153</v>
      </c>
      <c r="Y1023" s="0" t="s">
        <v>2744</v>
      </c>
      <c r="Z1023" s="0" t="s">
        <v>2745</v>
      </c>
      <c r="AB1023" s="0" t="s">
        <v>3103</v>
      </c>
      <c r="AC1023" s="0" t="s">
        <v>2747</v>
      </c>
      <c r="AD1023" s="0" t="s">
        <v>2748</v>
      </c>
      <c r="AE1023" s="0" t="s">
        <v>2749</v>
      </c>
      <c r="AF1023" s="0" t="s">
        <v>3142</v>
      </c>
      <c r="AH1023" s="0" t="s">
        <v>2751</v>
      </c>
      <c r="AL1023" s="0" t="s">
        <v>384</v>
      </c>
    </row>
    <row r="1024" customFormat="false" ht="15" hidden="false" customHeight="false" outlineLevel="0" collapsed="false">
      <c r="A1024" s="0" t="s">
        <v>3154</v>
      </c>
      <c r="B1024" s="0" t="s">
        <v>109</v>
      </c>
      <c r="C1024" s="0" t="s">
        <v>3097</v>
      </c>
      <c r="D1024" s="0" t="n">
        <v>2018</v>
      </c>
      <c r="E1024" s="0" t="s">
        <v>3120</v>
      </c>
      <c r="F1024" s="0" t="n">
        <v>102815320</v>
      </c>
      <c r="G1024" s="0" t="s">
        <v>1647</v>
      </c>
      <c r="H1024" s="0" t="s">
        <v>1648</v>
      </c>
      <c r="I1024" s="0" t="n">
        <v>102815.32</v>
      </c>
      <c r="J1024" s="0" t="s">
        <v>3098</v>
      </c>
      <c r="K1024" s="0" t="s">
        <v>1030</v>
      </c>
      <c r="L1024" s="0" t="n">
        <v>2018</v>
      </c>
      <c r="M1024" s="0" t="s">
        <v>1031</v>
      </c>
      <c r="N1024" s="0" t="s">
        <v>111</v>
      </c>
      <c r="O1024" s="0" t="s">
        <v>1223</v>
      </c>
      <c r="P1024" s="0" t="s">
        <v>3139</v>
      </c>
      <c r="Q1024" s="0" t="n">
        <v>266</v>
      </c>
      <c r="R1024" s="0" t="n">
        <v>265</v>
      </c>
      <c r="S1024" s="0" t="n">
        <v>29</v>
      </c>
      <c r="T1024" s="0" t="s">
        <v>3108</v>
      </c>
      <c r="U1024" s="0" t="s">
        <v>3015</v>
      </c>
      <c r="V1024" s="0" t="s">
        <v>113</v>
      </c>
      <c r="W1024" s="0" t="s">
        <v>3155</v>
      </c>
      <c r="X1024" s="0" t="s">
        <v>3156</v>
      </c>
      <c r="Y1024" s="0" t="s">
        <v>2744</v>
      </c>
      <c r="Z1024" s="0" t="s">
        <v>2745</v>
      </c>
      <c r="AB1024" s="0" t="s">
        <v>3103</v>
      </c>
      <c r="AC1024" s="0" t="s">
        <v>2747</v>
      </c>
      <c r="AD1024" s="0" t="s">
        <v>2748</v>
      </c>
      <c r="AE1024" s="0" t="s">
        <v>2749</v>
      </c>
      <c r="AF1024" s="0" t="s">
        <v>3142</v>
      </c>
      <c r="AH1024" s="0" t="s">
        <v>2751</v>
      </c>
      <c r="AL1024" s="0" t="s">
        <v>384</v>
      </c>
    </row>
    <row r="1025" customFormat="false" ht="15" hidden="false" customHeight="false" outlineLevel="0" collapsed="false">
      <c r="A1025" s="0" t="s">
        <v>3157</v>
      </c>
      <c r="B1025" s="0" t="s">
        <v>109</v>
      </c>
      <c r="C1025" s="0" t="s">
        <v>3097</v>
      </c>
      <c r="D1025" s="0" t="n">
        <v>2018</v>
      </c>
      <c r="E1025" s="0" t="s">
        <v>3124</v>
      </c>
      <c r="F1025" s="0" t="n">
        <v>-5059241</v>
      </c>
      <c r="G1025" s="0" t="s">
        <v>1647</v>
      </c>
      <c r="H1025" s="0" t="s">
        <v>1648</v>
      </c>
      <c r="I1025" s="0" t="n">
        <v>5059.241</v>
      </c>
      <c r="J1025" s="0" t="s">
        <v>3098</v>
      </c>
      <c r="K1025" s="0" t="s">
        <v>1030</v>
      </c>
      <c r="L1025" s="0" t="n">
        <v>2018</v>
      </c>
      <c r="M1025" s="0" t="s">
        <v>1031</v>
      </c>
      <c r="N1025" s="0" t="s">
        <v>111</v>
      </c>
      <c r="O1025" s="0" t="s">
        <v>1223</v>
      </c>
      <c r="P1025" s="0" t="s">
        <v>3139</v>
      </c>
      <c r="Q1025" s="0" t="n">
        <v>266</v>
      </c>
      <c r="R1025" s="0" t="n">
        <v>265</v>
      </c>
      <c r="S1025" s="0" t="n">
        <v>29</v>
      </c>
      <c r="T1025" s="0" t="s">
        <v>3108</v>
      </c>
      <c r="U1025" s="0" t="s">
        <v>3015</v>
      </c>
      <c r="V1025" s="0" t="s">
        <v>113</v>
      </c>
      <c r="W1025" s="0" t="s">
        <v>3158</v>
      </c>
      <c r="X1025" s="0" t="s">
        <v>3156</v>
      </c>
      <c r="Y1025" s="0" t="s">
        <v>2744</v>
      </c>
      <c r="Z1025" s="0" t="s">
        <v>2745</v>
      </c>
      <c r="AA1025" s="0" t="s">
        <v>2829</v>
      </c>
      <c r="AB1025" s="0" t="s">
        <v>3103</v>
      </c>
      <c r="AC1025" s="0" t="s">
        <v>2747</v>
      </c>
      <c r="AD1025" s="0" t="s">
        <v>2748</v>
      </c>
      <c r="AE1025" s="0" t="s">
        <v>2749</v>
      </c>
      <c r="AF1025" s="0" t="s">
        <v>3142</v>
      </c>
      <c r="AH1025" s="0" t="s">
        <v>2760</v>
      </c>
      <c r="AI1025" s="0" t="s">
        <v>2770</v>
      </c>
      <c r="AL1025" s="0" t="s">
        <v>384</v>
      </c>
    </row>
    <row r="1026" customFormat="false" ht="15" hidden="false" customHeight="false" outlineLevel="0" collapsed="false">
      <c r="A1026" s="0" t="s">
        <v>3159</v>
      </c>
      <c r="B1026" s="0" t="s">
        <v>109</v>
      </c>
      <c r="C1026" s="0" t="s">
        <v>3097</v>
      </c>
      <c r="D1026" s="0" t="n">
        <v>2018</v>
      </c>
      <c r="E1026" s="0" t="s">
        <v>3127</v>
      </c>
      <c r="F1026" s="0" t="n">
        <v>1056165483</v>
      </c>
      <c r="G1026" s="0" t="s">
        <v>1647</v>
      </c>
      <c r="H1026" s="0" t="s">
        <v>1648</v>
      </c>
      <c r="I1026" s="0" t="n">
        <v>1056165.483</v>
      </c>
      <c r="J1026" s="0" t="s">
        <v>3098</v>
      </c>
      <c r="K1026" s="0" t="s">
        <v>1030</v>
      </c>
      <c r="L1026" s="0" t="n">
        <v>2018</v>
      </c>
      <c r="M1026" s="0" t="s">
        <v>1031</v>
      </c>
      <c r="N1026" s="0" t="s">
        <v>111</v>
      </c>
      <c r="O1026" s="0" t="s">
        <v>1223</v>
      </c>
      <c r="P1026" s="0" t="s">
        <v>3139</v>
      </c>
      <c r="Q1026" s="0" t="n">
        <v>266</v>
      </c>
      <c r="R1026" s="0" t="n">
        <v>265</v>
      </c>
      <c r="S1026" s="0" t="n">
        <v>29</v>
      </c>
      <c r="T1026" s="0" t="s">
        <v>3108</v>
      </c>
      <c r="U1026" s="0" t="s">
        <v>3015</v>
      </c>
      <c r="V1026" s="0" t="s">
        <v>113</v>
      </c>
      <c r="W1026" s="0" t="s">
        <v>3160</v>
      </c>
      <c r="X1026" s="0" t="s">
        <v>3156</v>
      </c>
      <c r="Y1026" s="0" t="s">
        <v>2744</v>
      </c>
      <c r="Z1026" s="0" t="s">
        <v>2745</v>
      </c>
      <c r="AB1026" s="0" t="s">
        <v>3103</v>
      </c>
      <c r="AC1026" s="0" t="s">
        <v>2747</v>
      </c>
      <c r="AD1026" s="0" t="s">
        <v>2748</v>
      </c>
      <c r="AE1026" s="0" t="s">
        <v>2749</v>
      </c>
      <c r="AF1026" s="0" t="s">
        <v>3142</v>
      </c>
      <c r="AH1026" s="0" t="s">
        <v>2751</v>
      </c>
      <c r="AL1026" s="0" t="s">
        <v>384</v>
      </c>
    </row>
    <row r="1027" customFormat="false" ht="15" hidden="false" customHeight="false" outlineLevel="0" collapsed="false">
      <c r="A1027" s="0" t="s">
        <v>3161</v>
      </c>
      <c r="B1027" s="0" t="s">
        <v>109</v>
      </c>
      <c r="C1027" s="0" t="s">
        <v>3097</v>
      </c>
      <c r="D1027" s="0" t="n">
        <v>2018</v>
      </c>
      <c r="E1027" s="0" t="s">
        <v>3130</v>
      </c>
      <c r="F1027" s="0" t="n">
        <v>-85922543</v>
      </c>
      <c r="G1027" s="0" t="s">
        <v>1647</v>
      </c>
      <c r="H1027" s="0" t="s">
        <v>1648</v>
      </c>
      <c r="I1027" s="0" t="n">
        <v>85922.543</v>
      </c>
      <c r="J1027" s="0" t="s">
        <v>3098</v>
      </c>
      <c r="K1027" s="0" t="s">
        <v>1030</v>
      </c>
      <c r="L1027" s="0" t="n">
        <v>2018</v>
      </c>
      <c r="M1027" s="0" t="s">
        <v>1031</v>
      </c>
      <c r="N1027" s="0" t="s">
        <v>111</v>
      </c>
      <c r="O1027" s="0" t="s">
        <v>1223</v>
      </c>
      <c r="P1027" s="0" t="s">
        <v>3139</v>
      </c>
      <c r="Q1027" s="0" t="n">
        <v>266</v>
      </c>
      <c r="R1027" s="0" t="n">
        <v>265</v>
      </c>
      <c r="S1027" s="0" t="n">
        <v>29</v>
      </c>
      <c r="T1027" s="0" t="s">
        <v>3108</v>
      </c>
      <c r="U1027" s="0" t="s">
        <v>3015</v>
      </c>
      <c r="V1027" s="0" t="s">
        <v>113</v>
      </c>
      <c r="W1027" s="0" t="s">
        <v>3162</v>
      </c>
      <c r="X1027" s="0" t="s">
        <v>3156</v>
      </c>
      <c r="Y1027" s="0" t="s">
        <v>2744</v>
      </c>
      <c r="Z1027" s="0" t="s">
        <v>2745</v>
      </c>
      <c r="AA1027" s="0" t="s">
        <v>2829</v>
      </c>
      <c r="AB1027" s="0" t="s">
        <v>3103</v>
      </c>
      <c r="AC1027" s="0" t="s">
        <v>2747</v>
      </c>
      <c r="AD1027" s="0" t="s">
        <v>2748</v>
      </c>
      <c r="AE1027" s="0" t="s">
        <v>2749</v>
      </c>
      <c r="AF1027" s="0" t="s">
        <v>3142</v>
      </c>
      <c r="AH1027" s="0" t="s">
        <v>2760</v>
      </c>
      <c r="AI1027" s="0" t="s">
        <v>2770</v>
      </c>
      <c r="AL1027" s="0" t="s">
        <v>384</v>
      </c>
    </row>
    <row r="1028" customFormat="false" ht="15" hidden="false" customHeight="false" outlineLevel="0" collapsed="false">
      <c r="A1028" s="0" t="s">
        <v>570</v>
      </c>
      <c r="B1028" s="0" t="s">
        <v>109</v>
      </c>
      <c r="C1028" s="0" t="s">
        <v>3097</v>
      </c>
      <c r="D1028" s="0" t="n">
        <v>2018</v>
      </c>
      <c r="E1028" s="0" t="s">
        <v>62</v>
      </c>
      <c r="F1028" s="0" t="n">
        <v>1067999019</v>
      </c>
      <c r="G1028" s="0" t="s">
        <v>1647</v>
      </c>
      <c r="H1028" s="0" t="s">
        <v>1648</v>
      </c>
      <c r="I1028" s="0" t="n">
        <v>1067999.019</v>
      </c>
      <c r="J1028" s="0" t="s">
        <v>3098</v>
      </c>
      <c r="K1028" s="0" t="s">
        <v>1030</v>
      </c>
      <c r="L1028" s="0" t="n">
        <v>2018</v>
      </c>
      <c r="M1028" s="0" t="s">
        <v>1031</v>
      </c>
      <c r="N1028" s="0" t="s">
        <v>111</v>
      </c>
      <c r="O1028" s="0" t="s">
        <v>1223</v>
      </c>
      <c r="P1028" s="0" t="s">
        <v>3139</v>
      </c>
      <c r="Q1028" s="0" t="n">
        <v>266</v>
      </c>
      <c r="R1028" s="0" t="n">
        <v>265</v>
      </c>
      <c r="S1028" s="0" t="n">
        <v>29</v>
      </c>
      <c r="T1028" s="0" t="s">
        <v>3108</v>
      </c>
      <c r="U1028" s="0" t="s">
        <v>3015</v>
      </c>
      <c r="V1028" s="0" t="s">
        <v>113</v>
      </c>
      <c r="W1028" s="0" t="s">
        <v>3163</v>
      </c>
      <c r="X1028" s="0" t="s">
        <v>3156</v>
      </c>
      <c r="Y1028" s="0" t="s">
        <v>2744</v>
      </c>
      <c r="Z1028" s="0" t="s">
        <v>2745</v>
      </c>
      <c r="AB1028" s="0" t="s">
        <v>3103</v>
      </c>
      <c r="AC1028" s="0" t="s">
        <v>2747</v>
      </c>
      <c r="AD1028" s="0" t="s">
        <v>2748</v>
      </c>
      <c r="AE1028" s="0" t="s">
        <v>2749</v>
      </c>
      <c r="AF1028" s="0" t="s">
        <v>3142</v>
      </c>
      <c r="AH1028" s="0" t="s">
        <v>2751</v>
      </c>
      <c r="AL1028" s="0" t="s">
        <v>384</v>
      </c>
    </row>
    <row r="1029" customFormat="false" ht="15" hidden="false" customHeight="false" outlineLevel="0" collapsed="false">
      <c r="A1029" s="0" t="s">
        <v>3164</v>
      </c>
      <c r="B1029" s="0" t="s">
        <v>109</v>
      </c>
      <c r="C1029" s="0" t="s">
        <v>3097</v>
      </c>
      <c r="D1029" s="0" t="n">
        <v>2018</v>
      </c>
      <c r="E1029" s="0" t="s">
        <v>3134</v>
      </c>
      <c r="F1029" s="0" t="n">
        <v>-5001254</v>
      </c>
      <c r="G1029" s="0" t="s">
        <v>1647</v>
      </c>
      <c r="H1029" s="0" t="s">
        <v>1648</v>
      </c>
      <c r="I1029" s="0" t="n">
        <v>5001.254</v>
      </c>
      <c r="J1029" s="0" t="s">
        <v>3098</v>
      </c>
      <c r="K1029" s="0" t="s">
        <v>1030</v>
      </c>
      <c r="L1029" s="0" t="n">
        <v>2018</v>
      </c>
      <c r="M1029" s="0" t="s">
        <v>1031</v>
      </c>
      <c r="N1029" s="0" t="s">
        <v>111</v>
      </c>
      <c r="O1029" s="0" t="s">
        <v>1223</v>
      </c>
      <c r="P1029" s="0" t="s">
        <v>3139</v>
      </c>
      <c r="Q1029" s="0" t="n">
        <v>266</v>
      </c>
      <c r="R1029" s="0" t="n">
        <v>265</v>
      </c>
      <c r="S1029" s="0" t="n">
        <v>29</v>
      </c>
      <c r="T1029" s="0" t="s">
        <v>3108</v>
      </c>
      <c r="U1029" s="0" t="s">
        <v>3015</v>
      </c>
      <c r="V1029" s="0" t="s">
        <v>113</v>
      </c>
      <c r="W1029" s="0" t="s">
        <v>3165</v>
      </c>
      <c r="X1029" s="0" t="s">
        <v>3156</v>
      </c>
      <c r="Y1029" s="0" t="s">
        <v>2744</v>
      </c>
      <c r="Z1029" s="0" t="s">
        <v>2745</v>
      </c>
      <c r="AA1029" s="0" t="s">
        <v>2829</v>
      </c>
      <c r="AB1029" s="0" t="s">
        <v>3103</v>
      </c>
      <c r="AC1029" s="0" t="s">
        <v>2747</v>
      </c>
      <c r="AD1029" s="0" t="s">
        <v>2748</v>
      </c>
      <c r="AE1029" s="0" t="s">
        <v>2749</v>
      </c>
      <c r="AF1029" s="0" t="s">
        <v>3142</v>
      </c>
      <c r="AH1029" s="0" t="s">
        <v>2760</v>
      </c>
      <c r="AI1029" s="0" t="s">
        <v>2770</v>
      </c>
      <c r="AL1029" s="0" t="s">
        <v>384</v>
      </c>
    </row>
    <row r="1030" customFormat="false" ht="15" hidden="false" customHeight="false" outlineLevel="0" collapsed="false">
      <c r="A1030" s="0" t="s">
        <v>3166</v>
      </c>
      <c r="B1030" s="0" t="s">
        <v>109</v>
      </c>
      <c r="C1030" s="0" t="s">
        <v>3097</v>
      </c>
      <c r="D1030" s="0" t="n">
        <v>2018</v>
      </c>
      <c r="E1030" s="0" t="s">
        <v>3137</v>
      </c>
      <c r="F1030" s="0" t="n">
        <v>-69666741</v>
      </c>
      <c r="G1030" s="0" t="s">
        <v>1647</v>
      </c>
      <c r="H1030" s="0" t="s">
        <v>1648</v>
      </c>
      <c r="I1030" s="0" t="n">
        <v>69666.741</v>
      </c>
      <c r="J1030" s="0" t="s">
        <v>3098</v>
      </c>
      <c r="K1030" s="0" t="s">
        <v>1030</v>
      </c>
      <c r="L1030" s="0" t="n">
        <v>2018</v>
      </c>
      <c r="M1030" s="0" t="s">
        <v>1031</v>
      </c>
      <c r="N1030" s="0" t="s">
        <v>111</v>
      </c>
      <c r="O1030" s="0" t="s">
        <v>1223</v>
      </c>
      <c r="P1030" s="0" t="s">
        <v>3139</v>
      </c>
      <c r="Q1030" s="0" t="n">
        <v>266</v>
      </c>
      <c r="R1030" s="0" t="n">
        <v>265</v>
      </c>
      <c r="S1030" s="0" t="n">
        <v>29</v>
      </c>
      <c r="T1030" s="0" t="s">
        <v>3108</v>
      </c>
      <c r="U1030" s="0" t="s">
        <v>3015</v>
      </c>
      <c r="V1030" s="0" t="s">
        <v>113</v>
      </c>
      <c r="W1030" s="0" t="s">
        <v>3167</v>
      </c>
      <c r="X1030" s="0" t="s">
        <v>3156</v>
      </c>
      <c r="Y1030" s="0" t="s">
        <v>2744</v>
      </c>
      <c r="Z1030" s="0" t="s">
        <v>2745</v>
      </c>
      <c r="AA1030" s="0" t="s">
        <v>2829</v>
      </c>
      <c r="AB1030" s="0" t="s">
        <v>3103</v>
      </c>
      <c r="AC1030" s="0" t="s">
        <v>2747</v>
      </c>
      <c r="AD1030" s="0" t="s">
        <v>2748</v>
      </c>
      <c r="AE1030" s="0" t="s">
        <v>2749</v>
      </c>
      <c r="AF1030" s="0" t="s">
        <v>3142</v>
      </c>
      <c r="AH1030" s="0" t="s">
        <v>2760</v>
      </c>
      <c r="AI1030" s="0" t="s">
        <v>2770</v>
      </c>
      <c r="AL1030" s="0" t="s">
        <v>384</v>
      </c>
    </row>
    <row r="1031" customFormat="false" ht="15" hidden="false" customHeight="false" outlineLevel="0" collapsed="false">
      <c r="A1031" s="0" t="s">
        <v>546</v>
      </c>
      <c r="B1031" s="0" t="s">
        <v>109</v>
      </c>
      <c r="C1031" s="0" t="s">
        <v>3097</v>
      </c>
      <c r="D1031" s="0" t="n">
        <v>2017</v>
      </c>
      <c r="E1031" s="0" t="s">
        <v>55</v>
      </c>
      <c r="F1031" s="0" t="n">
        <v>2824928985</v>
      </c>
      <c r="G1031" s="0" t="s">
        <v>1647</v>
      </c>
      <c r="H1031" s="0" t="s">
        <v>1648</v>
      </c>
      <c r="I1031" s="0" t="n">
        <v>2824928.985</v>
      </c>
      <c r="J1031" s="0" t="s">
        <v>3098</v>
      </c>
      <c r="K1031" s="0" t="s">
        <v>1030</v>
      </c>
      <c r="L1031" s="0" t="n">
        <v>2018</v>
      </c>
      <c r="M1031" s="0" t="s">
        <v>1031</v>
      </c>
      <c r="N1031" s="0" t="s">
        <v>111</v>
      </c>
      <c r="O1031" s="0" t="s">
        <v>1223</v>
      </c>
      <c r="P1031" s="0" t="s">
        <v>3139</v>
      </c>
      <c r="Q1031" s="0" t="n">
        <v>82</v>
      </c>
      <c r="R1031" s="0" t="n">
        <v>81</v>
      </c>
      <c r="T1031" s="0" t="s">
        <v>3168</v>
      </c>
      <c r="U1031" s="0" t="s">
        <v>2807</v>
      </c>
      <c r="V1031" s="0" t="s">
        <v>112</v>
      </c>
      <c r="W1031" s="0" t="s">
        <v>3140</v>
      </c>
      <c r="X1031" s="0" t="s">
        <v>3141</v>
      </c>
      <c r="Y1031" s="0" t="s">
        <v>2744</v>
      </c>
      <c r="Z1031" s="0" t="s">
        <v>2745</v>
      </c>
      <c r="AB1031" s="0" t="s">
        <v>3103</v>
      </c>
      <c r="AC1031" s="0" t="s">
        <v>2747</v>
      </c>
      <c r="AD1031" s="0" t="s">
        <v>2748</v>
      </c>
      <c r="AE1031" s="0" t="s">
        <v>2749</v>
      </c>
      <c r="AF1031" s="0" t="s">
        <v>3142</v>
      </c>
      <c r="AH1031" s="0" t="s">
        <v>2751</v>
      </c>
      <c r="AL1031" s="0" t="s">
        <v>384</v>
      </c>
    </row>
    <row r="1032" customFormat="false" ht="15" hidden="false" customHeight="false" outlineLevel="0" collapsed="false">
      <c r="A1032" s="0" t="s">
        <v>547</v>
      </c>
      <c r="B1032" s="0" t="s">
        <v>109</v>
      </c>
      <c r="C1032" s="0" t="s">
        <v>3097</v>
      </c>
      <c r="D1032" s="0" t="n">
        <v>2017</v>
      </c>
      <c r="E1032" s="0" t="s">
        <v>56</v>
      </c>
      <c r="F1032" s="0" t="n">
        <v>2246352209</v>
      </c>
      <c r="G1032" s="0" t="s">
        <v>1647</v>
      </c>
      <c r="H1032" s="0" t="s">
        <v>1648</v>
      </c>
      <c r="I1032" s="0" t="n">
        <v>2246352.209</v>
      </c>
      <c r="J1032" s="0" t="s">
        <v>3098</v>
      </c>
      <c r="K1032" s="0" t="s">
        <v>1030</v>
      </c>
      <c r="L1032" s="0" t="n">
        <v>2018</v>
      </c>
      <c r="M1032" s="0" t="s">
        <v>1031</v>
      </c>
      <c r="N1032" s="0" t="s">
        <v>111</v>
      </c>
      <c r="O1032" s="0" t="s">
        <v>1223</v>
      </c>
      <c r="P1032" s="0" t="s">
        <v>3139</v>
      </c>
      <c r="Q1032" s="0" t="n">
        <v>82</v>
      </c>
      <c r="R1032" s="0" t="n">
        <v>81</v>
      </c>
      <c r="T1032" s="0" t="s">
        <v>3168</v>
      </c>
      <c r="U1032" s="0" t="s">
        <v>2807</v>
      </c>
      <c r="V1032" s="0" t="s">
        <v>112</v>
      </c>
      <c r="W1032" s="0" t="s">
        <v>3143</v>
      </c>
      <c r="X1032" s="0" t="s">
        <v>3141</v>
      </c>
      <c r="Y1032" s="0" t="s">
        <v>2744</v>
      </c>
      <c r="Z1032" s="0" t="s">
        <v>2745</v>
      </c>
      <c r="AB1032" s="0" t="s">
        <v>3103</v>
      </c>
      <c r="AC1032" s="0" t="s">
        <v>2747</v>
      </c>
      <c r="AD1032" s="0" t="s">
        <v>2748</v>
      </c>
      <c r="AE1032" s="0" t="s">
        <v>2749</v>
      </c>
      <c r="AF1032" s="0" t="s">
        <v>3142</v>
      </c>
      <c r="AH1032" s="0" t="s">
        <v>2751</v>
      </c>
      <c r="AL1032" s="0" t="s">
        <v>384</v>
      </c>
    </row>
    <row r="1033" customFormat="false" ht="15" hidden="false" customHeight="false" outlineLevel="0" collapsed="false">
      <c r="A1033" s="0" t="s">
        <v>548</v>
      </c>
      <c r="B1033" s="0" t="s">
        <v>109</v>
      </c>
      <c r="C1033" s="0" t="s">
        <v>3097</v>
      </c>
      <c r="D1033" s="0" t="n">
        <v>2017</v>
      </c>
      <c r="E1033" s="0" t="s">
        <v>57</v>
      </c>
      <c r="F1033" s="0" t="n">
        <v>578576776</v>
      </c>
      <c r="G1033" s="0" t="s">
        <v>1647</v>
      </c>
      <c r="H1033" s="0" t="s">
        <v>1648</v>
      </c>
      <c r="I1033" s="0" t="n">
        <v>578576.776</v>
      </c>
      <c r="J1033" s="0" t="s">
        <v>3098</v>
      </c>
      <c r="K1033" s="0" t="s">
        <v>1030</v>
      </c>
      <c r="L1033" s="0" t="n">
        <v>2018</v>
      </c>
      <c r="M1033" s="0" t="s">
        <v>1031</v>
      </c>
      <c r="N1033" s="0" t="s">
        <v>111</v>
      </c>
      <c r="O1033" s="0" t="s">
        <v>1223</v>
      </c>
      <c r="P1033" s="0" t="s">
        <v>3139</v>
      </c>
      <c r="Q1033" s="0" t="n">
        <v>83</v>
      </c>
      <c r="R1033" s="0" t="n">
        <v>82</v>
      </c>
      <c r="T1033" s="0" t="s">
        <v>3168</v>
      </c>
      <c r="U1033" s="0" t="s">
        <v>2807</v>
      </c>
      <c r="V1033" s="0" t="s">
        <v>112</v>
      </c>
      <c r="W1033" s="0" t="s">
        <v>3144</v>
      </c>
      <c r="X1033" s="0" t="s">
        <v>3145</v>
      </c>
      <c r="Y1033" s="0" t="s">
        <v>2744</v>
      </c>
      <c r="Z1033" s="0" t="s">
        <v>2745</v>
      </c>
      <c r="AB1033" s="0" t="s">
        <v>3103</v>
      </c>
      <c r="AC1033" s="0" t="s">
        <v>2747</v>
      </c>
      <c r="AD1033" s="0" t="s">
        <v>2748</v>
      </c>
      <c r="AE1033" s="0" t="s">
        <v>2749</v>
      </c>
      <c r="AF1033" s="0" t="s">
        <v>3142</v>
      </c>
      <c r="AH1033" s="0" t="s">
        <v>2751</v>
      </c>
      <c r="AL1033" s="0" t="s">
        <v>384</v>
      </c>
    </row>
    <row r="1034" customFormat="false" ht="15" hidden="false" customHeight="false" outlineLevel="0" collapsed="false">
      <c r="A1034" s="0" t="s">
        <v>550</v>
      </c>
      <c r="B1034" s="0" t="s">
        <v>109</v>
      </c>
      <c r="C1034" s="0" t="s">
        <v>3097</v>
      </c>
      <c r="D1034" s="0" t="n">
        <v>2017</v>
      </c>
      <c r="E1034" s="0" t="s">
        <v>59</v>
      </c>
      <c r="F1034" s="0" t="n">
        <v>2613340074</v>
      </c>
      <c r="G1034" s="0" t="s">
        <v>1647</v>
      </c>
      <c r="H1034" s="0" t="s">
        <v>1648</v>
      </c>
      <c r="I1034" s="0" t="n">
        <v>2613340.074</v>
      </c>
      <c r="J1034" s="0" t="s">
        <v>3098</v>
      </c>
      <c r="K1034" s="0" t="s">
        <v>1030</v>
      </c>
      <c r="L1034" s="0" t="n">
        <v>2018</v>
      </c>
      <c r="M1034" s="0" t="s">
        <v>1031</v>
      </c>
      <c r="N1034" s="0" t="s">
        <v>111</v>
      </c>
      <c r="O1034" s="0" t="s">
        <v>1223</v>
      </c>
      <c r="P1034" s="0" t="s">
        <v>3139</v>
      </c>
      <c r="Q1034" s="0" t="n">
        <v>82</v>
      </c>
      <c r="R1034" s="0" t="n">
        <v>81</v>
      </c>
      <c r="T1034" s="0" t="s">
        <v>3169</v>
      </c>
      <c r="U1034" s="0" t="s">
        <v>2807</v>
      </c>
      <c r="V1034" s="0" t="s">
        <v>112</v>
      </c>
      <c r="W1034" s="0" t="s">
        <v>3140</v>
      </c>
      <c r="X1034" s="0" t="s">
        <v>3141</v>
      </c>
      <c r="Y1034" s="0" t="s">
        <v>2744</v>
      </c>
      <c r="Z1034" s="0" t="s">
        <v>2745</v>
      </c>
      <c r="AA1034" s="0" t="s">
        <v>3109</v>
      </c>
      <c r="AB1034" s="0" t="s">
        <v>3103</v>
      </c>
      <c r="AC1034" s="0" t="s">
        <v>2747</v>
      </c>
      <c r="AD1034" s="0" t="s">
        <v>2748</v>
      </c>
      <c r="AE1034" s="0" t="s">
        <v>2749</v>
      </c>
      <c r="AF1034" s="0" t="s">
        <v>3142</v>
      </c>
      <c r="AH1034" s="0" t="s">
        <v>2751</v>
      </c>
      <c r="AL1034" s="0" t="s">
        <v>384</v>
      </c>
    </row>
    <row r="1035" customFormat="false" ht="15" hidden="false" customHeight="false" outlineLevel="0" collapsed="false">
      <c r="A1035" s="0" t="s">
        <v>545</v>
      </c>
      <c r="B1035" s="0" t="s">
        <v>109</v>
      </c>
      <c r="C1035" s="0" t="s">
        <v>3097</v>
      </c>
      <c r="D1035" s="0" t="n">
        <v>2017</v>
      </c>
      <c r="E1035" s="0" t="s">
        <v>54</v>
      </c>
      <c r="F1035" s="0" t="n">
        <v>158727705</v>
      </c>
      <c r="G1035" s="0" t="s">
        <v>1647</v>
      </c>
      <c r="H1035" s="0" t="s">
        <v>1648</v>
      </c>
      <c r="I1035" s="0" t="n">
        <v>158727.705</v>
      </c>
      <c r="J1035" s="0" t="s">
        <v>3098</v>
      </c>
      <c r="K1035" s="0" t="s">
        <v>1030</v>
      </c>
      <c r="L1035" s="0" t="n">
        <v>2018</v>
      </c>
      <c r="M1035" s="0" t="s">
        <v>1031</v>
      </c>
      <c r="N1035" s="0" t="s">
        <v>111</v>
      </c>
      <c r="O1035" s="0" t="s">
        <v>1223</v>
      </c>
      <c r="P1035" s="0" t="s">
        <v>3139</v>
      </c>
      <c r="Q1035" s="0" t="n">
        <v>84</v>
      </c>
      <c r="R1035" s="0" t="n">
        <v>83</v>
      </c>
      <c r="T1035" s="0" t="s">
        <v>3168</v>
      </c>
      <c r="U1035" s="0" t="s">
        <v>2807</v>
      </c>
      <c r="V1035" s="0" t="s">
        <v>112</v>
      </c>
      <c r="W1035" s="0" t="s">
        <v>3147</v>
      </c>
      <c r="X1035" s="0" t="s">
        <v>3148</v>
      </c>
      <c r="Y1035" s="0" t="s">
        <v>2744</v>
      </c>
      <c r="Z1035" s="0" t="s">
        <v>2745</v>
      </c>
      <c r="AB1035" s="0" t="s">
        <v>3103</v>
      </c>
      <c r="AC1035" s="0" t="s">
        <v>2747</v>
      </c>
      <c r="AD1035" s="0" t="s">
        <v>2748</v>
      </c>
      <c r="AE1035" s="0" t="s">
        <v>2749</v>
      </c>
      <c r="AF1035" s="0" t="s">
        <v>3142</v>
      </c>
      <c r="AH1035" s="0" t="s">
        <v>2751</v>
      </c>
      <c r="AL1035" s="0" t="s">
        <v>384</v>
      </c>
    </row>
    <row r="1036" customFormat="false" ht="15" hidden="false" customHeight="false" outlineLevel="0" collapsed="false">
      <c r="A1036" s="0" t="s">
        <v>559</v>
      </c>
      <c r="B1036" s="0" t="s">
        <v>109</v>
      </c>
      <c r="C1036" s="0" t="s">
        <v>3097</v>
      </c>
      <c r="D1036" s="0" t="n">
        <v>2017</v>
      </c>
      <c r="E1036" s="0" t="s">
        <v>402</v>
      </c>
      <c r="F1036" s="0" t="n">
        <v>183647629</v>
      </c>
      <c r="G1036" s="0" t="s">
        <v>1647</v>
      </c>
      <c r="H1036" s="0" t="s">
        <v>1648</v>
      </c>
      <c r="I1036" s="0" t="n">
        <v>183647.629</v>
      </c>
      <c r="J1036" s="0" t="s">
        <v>3098</v>
      </c>
      <c r="K1036" s="0" t="s">
        <v>1030</v>
      </c>
      <c r="L1036" s="0" t="n">
        <v>2018</v>
      </c>
      <c r="M1036" s="0" t="s">
        <v>1031</v>
      </c>
      <c r="N1036" s="0" t="s">
        <v>111</v>
      </c>
      <c r="O1036" s="0" t="s">
        <v>1223</v>
      </c>
      <c r="P1036" s="0" t="s">
        <v>3139</v>
      </c>
      <c r="Q1036" s="0" t="n">
        <v>84</v>
      </c>
      <c r="R1036" s="0" t="n">
        <v>83</v>
      </c>
      <c r="T1036" s="0" t="s">
        <v>3168</v>
      </c>
      <c r="U1036" s="0" t="s">
        <v>2807</v>
      </c>
      <c r="V1036" s="0" t="s">
        <v>112</v>
      </c>
      <c r="W1036" s="0" t="s">
        <v>3149</v>
      </c>
      <c r="X1036" s="0" t="s">
        <v>3148</v>
      </c>
      <c r="Y1036" s="0" t="s">
        <v>2744</v>
      </c>
      <c r="Z1036" s="0" t="s">
        <v>2745</v>
      </c>
      <c r="AB1036" s="0" t="s">
        <v>3103</v>
      </c>
      <c r="AC1036" s="0" t="s">
        <v>2747</v>
      </c>
      <c r="AD1036" s="0" t="s">
        <v>2748</v>
      </c>
      <c r="AE1036" s="0" t="s">
        <v>2749</v>
      </c>
      <c r="AF1036" s="0" t="s">
        <v>3142</v>
      </c>
      <c r="AH1036" s="0" t="s">
        <v>2751</v>
      </c>
      <c r="AL1036" s="0" t="s">
        <v>384</v>
      </c>
    </row>
    <row r="1037" customFormat="false" ht="15" hidden="false" customHeight="false" outlineLevel="0" collapsed="false">
      <c r="A1037" s="0" t="s">
        <v>556</v>
      </c>
      <c r="B1037" s="0" t="s">
        <v>109</v>
      </c>
      <c r="C1037" s="0" t="s">
        <v>3097</v>
      </c>
      <c r="D1037" s="0" t="n">
        <v>2017</v>
      </c>
      <c r="E1037" s="0" t="s">
        <v>247</v>
      </c>
      <c r="F1037" s="0" t="n">
        <v>-10834612</v>
      </c>
      <c r="G1037" s="0" t="s">
        <v>1647</v>
      </c>
      <c r="H1037" s="0" t="s">
        <v>1648</v>
      </c>
      <c r="I1037" s="0" t="n">
        <v>10834.612</v>
      </c>
      <c r="J1037" s="0" t="s">
        <v>3098</v>
      </c>
      <c r="K1037" s="0" t="s">
        <v>1030</v>
      </c>
      <c r="L1037" s="0" t="n">
        <v>2018</v>
      </c>
      <c r="M1037" s="0" t="s">
        <v>1031</v>
      </c>
      <c r="N1037" s="0" t="s">
        <v>111</v>
      </c>
      <c r="O1037" s="0" t="s">
        <v>1223</v>
      </c>
      <c r="P1037" s="0" t="s">
        <v>3139</v>
      </c>
      <c r="Q1037" s="0" t="n">
        <v>84</v>
      </c>
      <c r="R1037" s="0" t="n">
        <v>83</v>
      </c>
      <c r="S1037" s="0" t="n">
        <v>11</v>
      </c>
      <c r="T1037" s="0" t="s">
        <v>3168</v>
      </c>
      <c r="U1037" s="0" t="s">
        <v>2807</v>
      </c>
      <c r="V1037" s="0" t="s">
        <v>112</v>
      </c>
      <c r="W1037" s="0" t="s">
        <v>3150</v>
      </c>
      <c r="X1037" s="0" t="s">
        <v>3148</v>
      </c>
      <c r="Y1037" s="0" t="s">
        <v>2744</v>
      </c>
      <c r="Z1037" s="0" t="s">
        <v>2745</v>
      </c>
      <c r="AA1037" s="0" t="s">
        <v>3114</v>
      </c>
      <c r="AB1037" s="0" t="s">
        <v>3103</v>
      </c>
      <c r="AC1037" s="0" t="s">
        <v>2747</v>
      </c>
      <c r="AD1037" s="0" t="s">
        <v>2748</v>
      </c>
      <c r="AE1037" s="0" t="s">
        <v>2749</v>
      </c>
      <c r="AF1037" s="0" t="s">
        <v>3142</v>
      </c>
      <c r="AH1037" s="0" t="s">
        <v>2760</v>
      </c>
      <c r="AI1037" s="0" t="s">
        <v>2761</v>
      </c>
      <c r="AL1037" s="0" t="s">
        <v>384</v>
      </c>
    </row>
    <row r="1038" customFormat="false" ht="15" hidden="false" customHeight="false" outlineLevel="0" collapsed="false">
      <c r="A1038" s="0" t="s">
        <v>558</v>
      </c>
      <c r="B1038" s="0" t="s">
        <v>109</v>
      </c>
      <c r="C1038" s="0" t="s">
        <v>3097</v>
      </c>
      <c r="D1038" s="0" t="n">
        <v>2017</v>
      </c>
      <c r="E1038" s="0" t="s">
        <v>557</v>
      </c>
      <c r="F1038" s="0" t="n">
        <v>-696680</v>
      </c>
      <c r="G1038" s="0" t="s">
        <v>1647</v>
      </c>
      <c r="H1038" s="0" t="s">
        <v>1648</v>
      </c>
      <c r="I1038" s="0" t="n">
        <v>696.68</v>
      </c>
      <c r="J1038" s="0" t="s">
        <v>3098</v>
      </c>
      <c r="K1038" s="0" t="s">
        <v>1030</v>
      </c>
      <c r="L1038" s="0" t="n">
        <v>2018</v>
      </c>
      <c r="M1038" s="0" t="s">
        <v>1031</v>
      </c>
      <c r="N1038" s="0" t="s">
        <v>111</v>
      </c>
      <c r="O1038" s="0" t="s">
        <v>1223</v>
      </c>
      <c r="P1038" s="0" t="s">
        <v>3139</v>
      </c>
      <c r="Q1038" s="0" t="n">
        <v>84</v>
      </c>
      <c r="R1038" s="0" t="n">
        <v>83</v>
      </c>
      <c r="S1038" s="0" t="n">
        <v>16</v>
      </c>
      <c r="T1038" s="0" t="s">
        <v>3168</v>
      </c>
      <c r="U1038" s="0" t="s">
        <v>2807</v>
      </c>
      <c r="V1038" s="0" t="s">
        <v>112</v>
      </c>
      <c r="W1038" s="0" t="s">
        <v>3151</v>
      </c>
      <c r="X1038" s="0" t="s">
        <v>3148</v>
      </c>
      <c r="Y1038" s="0" t="s">
        <v>2744</v>
      </c>
      <c r="Z1038" s="0" t="s">
        <v>2745</v>
      </c>
      <c r="AA1038" s="0" t="s">
        <v>3116</v>
      </c>
      <c r="AB1038" s="0" t="s">
        <v>3103</v>
      </c>
      <c r="AC1038" s="0" t="s">
        <v>2747</v>
      </c>
      <c r="AD1038" s="0" t="s">
        <v>2748</v>
      </c>
      <c r="AE1038" s="0" t="s">
        <v>2749</v>
      </c>
      <c r="AF1038" s="0" t="s">
        <v>3142</v>
      </c>
      <c r="AH1038" s="0" t="s">
        <v>2760</v>
      </c>
      <c r="AI1038" s="0" t="s">
        <v>2761</v>
      </c>
      <c r="AL1038" s="0" t="s">
        <v>384</v>
      </c>
    </row>
    <row r="1039" customFormat="false" ht="15" hidden="false" customHeight="false" outlineLevel="0" collapsed="false">
      <c r="A1039" s="0" t="s">
        <v>549</v>
      </c>
      <c r="B1039" s="0" t="s">
        <v>109</v>
      </c>
      <c r="C1039" s="0" t="s">
        <v>3097</v>
      </c>
      <c r="D1039" s="0" t="n">
        <v>2017</v>
      </c>
      <c r="E1039" s="0" t="s">
        <v>58</v>
      </c>
      <c r="F1039" s="0" t="n">
        <v>353397327</v>
      </c>
      <c r="G1039" s="0" t="s">
        <v>1647</v>
      </c>
      <c r="H1039" s="0" t="s">
        <v>1648</v>
      </c>
      <c r="I1039" s="0" t="n">
        <v>353397.327</v>
      </c>
      <c r="J1039" s="0" t="s">
        <v>3098</v>
      </c>
      <c r="K1039" s="0" t="s">
        <v>1030</v>
      </c>
      <c r="L1039" s="0" t="n">
        <v>2018</v>
      </c>
      <c r="M1039" s="0" t="s">
        <v>1031</v>
      </c>
      <c r="N1039" s="0" t="s">
        <v>111</v>
      </c>
      <c r="O1039" s="0" t="s">
        <v>1223</v>
      </c>
      <c r="P1039" s="0" t="s">
        <v>3139</v>
      </c>
      <c r="Q1039" s="0" t="n">
        <v>90</v>
      </c>
      <c r="R1039" s="0" t="n">
        <v>89</v>
      </c>
      <c r="T1039" s="0" t="s">
        <v>3168</v>
      </c>
      <c r="U1039" s="0" t="s">
        <v>2807</v>
      </c>
      <c r="V1039" s="0" t="s">
        <v>112</v>
      </c>
      <c r="W1039" s="0" t="s">
        <v>3152</v>
      </c>
      <c r="X1039" s="0" t="s">
        <v>3153</v>
      </c>
      <c r="Y1039" s="0" t="s">
        <v>2744</v>
      </c>
      <c r="Z1039" s="0" t="s">
        <v>2745</v>
      </c>
      <c r="AB1039" s="0" t="s">
        <v>3103</v>
      </c>
      <c r="AC1039" s="0" t="s">
        <v>2747</v>
      </c>
      <c r="AD1039" s="0" t="s">
        <v>2748</v>
      </c>
      <c r="AE1039" s="0" t="s">
        <v>2749</v>
      </c>
      <c r="AF1039" s="0" t="s">
        <v>3142</v>
      </c>
      <c r="AH1039" s="0" t="s">
        <v>2751</v>
      </c>
      <c r="AL1039" s="0" t="s">
        <v>384</v>
      </c>
    </row>
    <row r="1040" customFormat="false" ht="15" hidden="false" customHeight="false" outlineLevel="0" collapsed="false">
      <c r="A1040" s="0" t="s">
        <v>3170</v>
      </c>
      <c r="B1040" s="0" t="s">
        <v>109</v>
      </c>
      <c r="C1040" s="0" t="s">
        <v>3097</v>
      </c>
      <c r="D1040" s="0" t="n">
        <v>2017</v>
      </c>
      <c r="E1040" s="0" t="s">
        <v>3120</v>
      </c>
      <c r="F1040" s="0" t="n">
        <v>105319029</v>
      </c>
      <c r="G1040" s="0" t="s">
        <v>1647</v>
      </c>
      <c r="H1040" s="0" t="s">
        <v>1648</v>
      </c>
      <c r="I1040" s="0" t="n">
        <v>105319.029</v>
      </c>
      <c r="J1040" s="0" t="s">
        <v>3098</v>
      </c>
      <c r="K1040" s="0" t="s">
        <v>1030</v>
      </c>
      <c r="L1040" s="0" t="n">
        <v>2018</v>
      </c>
      <c r="M1040" s="0" t="s">
        <v>1031</v>
      </c>
      <c r="N1040" s="0" t="s">
        <v>111</v>
      </c>
      <c r="O1040" s="0" t="s">
        <v>1223</v>
      </c>
      <c r="P1040" s="0" t="s">
        <v>3139</v>
      </c>
      <c r="Q1040" s="0" t="n">
        <v>267</v>
      </c>
      <c r="R1040" s="0" t="n">
        <v>266</v>
      </c>
      <c r="S1040" s="0" t="n">
        <v>29</v>
      </c>
      <c r="T1040" s="0" t="s">
        <v>3168</v>
      </c>
      <c r="U1040" s="0" t="s">
        <v>2807</v>
      </c>
      <c r="V1040" s="0" t="s">
        <v>112</v>
      </c>
      <c r="W1040" s="0" t="s">
        <v>3171</v>
      </c>
      <c r="X1040" s="0" t="s">
        <v>3172</v>
      </c>
      <c r="Y1040" s="0" t="s">
        <v>2744</v>
      </c>
      <c r="Z1040" s="0" t="s">
        <v>2745</v>
      </c>
      <c r="AB1040" s="0" t="s">
        <v>3103</v>
      </c>
      <c r="AC1040" s="0" t="s">
        <v>2747</v>
      </c>
      <c r="AD1040" s="0" t="s">
        <v>2748</v>
      </c>
      <c r="AE1040" s="0" t="s">
        <v>2749</v>
      </c>
      <c r="AF1040" s="0" t="s">
        <v>3142</v>
      </c>
      <c r="AH1040" s="0" t="s">
        <v>2751</v>
      </c>
      <c r="AL1040" s="0" t="s">
        <v>384</v>
      </c>
    </row>
    <row r="1041" customFormat="false" ht="15" hidden="false" customHeight="false" outlineLevel="0" collapsed="false">
      <c r="A1041" s="0" t="s">
        <v>3173</v>
      </c>
      <c r="B1041" s="0" t="s">
        <v>109</v>
      </c>
      <c r="C1041" s="0" t="s">
        <v>3097</v>
      </c>
      <c r="D1041" s="0" t="n">
        <v>2017</v>
      </c>
      <c r="E1041" s="0" t="s">
        <v>3124</v>
      </c>
      <c r="F1041" s="0" t="n">
        <v>-2620599</v>
      </c>
      <c r="G1041" s="0" t="s">
        <v>1647</v>
      </c>
      <c r="H1041" s="0" t="s">
        <v>1648</v>
      </c>
      <c r="I1041" s="0" t="n">
        <v>2620.599</v>
      </c>
      <c r="J1041" s="0" t="s">
        <v>3098</v>
      </c>
      <c r="K1041" s="0" t="s">
        <v>1030</v>
      </c>
      <c r="L1041" s="0" t="n">
        <v>2018</v>
      </c>
      <c r="M1041" s="0" t="s">
        <v>1031</v>
      </c>
      <c r="N1041" s="0" t="s">
        <v>111</v>
      </c>
      <c r="O1041" s="0" t="s">
        <v>1223</v>
      </c>
      <c r="P1041" s="0" t="s">
        <v>3139</v>
      </c>
      <c r="Q1041" s="0" t="n">
        <v>267</v>
      </c>
      <c r="R1041" s="0" t="n">
        <v>266</v>
      </c>
      <c r="S1041" s="0" t="n">
        <v>29</v>
      </c>
      <c r="T1041" s="0" t="s">
        <v>3168</v>
      </c>
      <c r="U1041" s="0" t="s">
        <v>2807</v>
      </c>
      <c r="V1041" s="0" t="s">
        <v>112</v>
      </c>
      <c r="W1041" s="0" t="s">
        <v>3174</v>
      </c>
      <c r="X1041" s="0" t="s">
        <v>3172</v>
      </c>
      <c r="Y1041" s="0" t="s">
        <v>2744</v>
      </c>
      <c r="Z1041" s="0" t="s">
        <v>2745</v>
      </c>
      <c r="AA1041" s="0" t="s">
        <v>2829</v>
      </c>
      <c r="AB1041" s="0" t="s">
        <v>3103</v>
      </c>
      <c r="AC1041" s="0" t="s">
        <v>2747</v>
      </c>
      <c r="AD1041" s="0" t="s">
        <v>2748</v>
      </c>
      <c r="AE1041" s="0" t="s">
        <v>2749</v>
      </c>
      <c r="AF1041" s="0" t="s">
        <v>3142</v>
      </c>
      <c r="AH1041" s="0" t="s">
        <v>2760</v>
      </c>
      <c r="AI1041" s="0" t="s">
        <v>2770</v>
      </c>
      <c r="AL1041" s="0" t="s">
        <v>384</v>
      </c>
    </row>
    <row r="1042" customFormat="false" ht="15" hidden="false" customHeight="false" outlineLevel="0" collapsed="false">
      <c r="A1042" s="0" t="s">
        <v>3175</v>
      </c>
      <c r="B1042" s="0" t="s">
        <v>109</v>
      </c>
      <c r="C1042" s="0" t="s">
        <v>3097</v>
      </c>
      <c r="D1042" s="0" t="n">
        <v>2017</v>
      </c>
      <c r="E1042" s="0" t="s">
        <v>3127</v>
      </c>
      <c r="F1042" s="0" t="n">
        <v>1220931366</v>
      </c>
      <c r="G1042" s="0" t="s">
        <v>1647</v>
      </c>
      <c r="H1042" s="0" t="s">
        <v>1648</v>
      </c>
      <c r="I1042" s="0" t="n">
        <v>1220931.366</v>
      </c>
      <c r="J1042" s="0" t="s">
        <v>3098</v>
      </c>
      <c r="K1042" s="0" t="s">
        <v>1030</v>
      </c>
      <c r="L1042" s="0" t="n">
        <v>2018</v>
      </c>
      <c r="M1042" s="0" t="s">
        <v>1031</v>
      </c>
      <c r="N1042" s="0" t="s">
        <v>111</v>
      </c>
      <c r="O1042" s="0" t="s">
        <v>1223</v>
      </c>
      <c r="P1042" s="0" t="s">
        <v>3139</v>
      </c>
      <c r="Q1042" s="0" t="n">
        <v>267</v>
      </c>
      <c r="R1042" s="0" t="n">
        <v>266</v>
      </c>
      <c r="S1042" s="0" t="n">
        <v>29</v>
      </c>
      <c r="T1042" s="0" t="s">
        <v>3168</v>
      </c>
      <c r="U1042" s="0" t="s">
        <v>2807</v>
      </c>
      <c r="V1042" s="0" t="s">
        <v>112</v>
      </c>
      <c r="W1042" s="0" t="s">
        <v>3176</v>
      </c>
      <c r="X1042" s="0" t="s">
        <v>3172</v>
      </c>
      <c r="Y1042" s="0" t="s">
        <v>2744</v>
      </c>
      <c r="Z1042" s="0" t="s">
        <v>2745</v>
      </c>
      <c r="AB1042" s="0" t="s">
        <v>3103</v>
      </c>
      <c r="AC1042" s="0" t="s">
        <v>2747</v>
      </c>
      <c r="AD1042" s="0" t="s">
        <v>2748</v>
      </c>
      <c r="AE1042" s="0" t="s">
        <v>2749</v>
      </c>
      <c r="AF1042" s="0" t="s">
        <v>3142</v>
      </c>
      <c r="AH1042" s="0" t="s">
        <v>2751</v>
      </c>
      <c r="AL1042" s="0" t="s">
        <v>384</v>
      </c>
    </row>
    <row r="1043" customFormat="false" ht="15" hidden="false" customHeight="false" outlineLevel="0" collapsed="false">
      <c r="A1043" s="0" t="s">
        <v>3177</v>
      </c>
      <c r="B1043" s="0" t="s">
        <v>109</v>
      </c>
      <c r="C1043" s="0" t="s">
        <v>3097</v>
      </c>
      <c r="D1043" s="0" t="n">
        <v>2017</v>
      </c>
      <c r="E1043" s="0" t="s">
        <v>3130</v>
      </c>
      <c r="F1043" s="0" t="n">
        <v>-57658108</v>
      </c>
      <c r="G1043" s="0" t="s">
        <v>1647</v>
      </c>
      <c r="H1043" s="0" t="s">
        <v>1648</v>
      </c>
      <c r="I1043" s="0" t="n">
        <v>57658.108</v>
      </c>
      <c r="J1043" s="0" t="s">
        <v>3098</v>
      </c>
      <c r="K1043" s="0" t="s">
        <v>1030</v>
      </c>
      <c r="L1043" s="0" t="n">
        <v>2018</v>
      </c>
      <c r="M1043" s="0" t="s">
        <v>1031</v>
      </c>
      <c r="N1043" s="0" t="s">
        <v>111</v>
      </c>
      <c r="O1043" s="0" t="s">
        <v>1223</v>
      </c>
      <c r="P1043" s="0" t="s">
        <v>3139</v>
      </c>
      <c r="Q1043" s="0" t="n">
        <v>267</v>
      </c>
      <c r="R1043" s="0" t="n">
        <v>266</v>
      </c>
      <c r="S1043" s="0" t="n">
        <v>29</v>
      </c>
      <c r="T1043" s="0" t="s">
        <v>3168</v>
      </c>
      <c r="U1043" s="0" t="s">
        <v>2807</v>
      </c>
      <c r="V1043" s="0" t="s">
        <v>112</v>
      </c>
      <c r="W1043" s="0" t="s">
        <v>3178</v>
      </c>
      <c r="X1043" s="0" t="s">
        <v>3172</v>
      </c>
      <c r="Y1043" s="0" t="s">
        <v>2744</v>
      </c>
      <c r="Z1043" s="0" t="s">
        <v>2745</v>
      </c>
      <c r="AA1043" s="0" t="s">
        <v>2829</v>
      </c>
      <c r="AB1043" s="0" t="s">
        <v>3103</v>
      </c>
      <c r="AC1043" s="0" t="s">
        <v>2747</v>
      </c>
      <c r="AD1043" s="0" t="s">
        <v>2748</v>
      </c>
      <c r="AE1043" s="0" t="s">
        <v>2749</v>
      </c>
      <c r="AF1043" s="0" t="s">
        <v>3142</v>
      </c>
      <c r="AH1043" s="0" t="s">
        <v>2760</v>
      </c>
      <c r="AI1043" s="0" t="s">
        <v>2770</v>
      </c>
      <c r="AL1043" s="0" t="s">
        <v>384</v>
      </c>
    </row>
    <row r="1044" customFormat="false" ht="15" hidden="false" customHeight="false" outlineLevel="0" collapsed="false">
      <c r="A1044" s="0" t="s">
        <v>554</v>
      </c>
      <c r="B1044" s="0" t="s">
        <v>109</v>
      </c>
      <c r="C1044" s="0" t="s">
        <v>3097</v>
      </c>
      <c r="D1044" s="0" t="n">
        <v>2017</v>
      </c>
      <c r="E1044" s="0" t="s">
        <v>62</v>
      </c>
      <c r="F1044" s="0" t="n">
        <v>1265971688</v>
      </c>
      <c r="G1044" s="0" t="s">
        <v>1647</v>
      </c>
      <c r="H1044" s="0" t="s">
        <v>1648</v>
      </c>
      <c r="I1044" s="0" t="n">
        <v>1265971.688</v>
      </c>
      <c r="J1044" s="0" t="s">
        <v>3098</v>
      </c>
      <c r="K1044" s="0" t="s">
        <v>1030</v>
      </c>
      <c r="L1044" s="0" t="n">
        <v>2018</v>
      </c>
      <c r="M1044" s="0" t="s">
        <v>1031</v>
      </c>
      <c r="N1044" s="0" t="s">
        <v>111</v>
      </c>
      <c r="O1044" s="0" t="s">
        <v>1223</v>
      </c>
      <c r="P1044" s="0" t="s">
        <v>3139</v>
      </c>
      <c r="Q1044" s="0" t="n">
        <v>267</v>
      </c>
      <c r="R1044" s="0" t="n">
        <v>266</v>
      </c>
      <c r="S1044" s="0" t="n">
        <v>29</v>
      </c>
      <c r="T1044" s="0" t="s">
        <v>3168</v>
      </c>
      <c r="U1044" s="0" t="s">
        <v>2807</v>
      </c>
      <c r="V1044" s="0" t="s">
        <v>112</v>
      </c>
      <c r="W1044" s="0" t="s">
        <v>3179</v>
      </c>
      <c r="X1044" s="0" t="s">
        <v>3172</v>
      </c>
      <c r="Y1044" s="0" t="s">
        <v>2744</v>
      </c>
      <c r="Z1044" s="0" t="s">
        <v>2745</v>
      </c>
      <c r="AB1044" s="0" t="s">
        <v>3103</v>
      </c>
      <c r="AC1044" s="0" t="s">
        <v>2747</v>
      </c>
      <c r="AD1044" s="0" t="s">
        <v>2748</v>
      </c>
      <c r="AE1044" s="0" t="s">
        <v>2749</v>
      </c>
      <c r="AF1044" s="0" t="s">
        <v>3142</v>
      </c>
      <c r="AH1044" s="0" t="s">
        <v>2751</v>
      </c>
      <c r="AL1044" s="0" t="s">
        <v>384</v>
      </c>
    </row>
    <row r="1045" customFormat="false" ht="15" hidden="false" customHeight="false" outlineLevel="0" collapsed="false">
      <c r="A1045" s="0" t="s">
        <v>529</v>
      </c>
      <c r="B1045" s="0" t="s">
        <v>104</v>
      </c>
      <c r="C1045" s="0" t="s">
        <v>3180</v>
      </c>
      <c r="D1045" s="0" t="n">
        <v>2017</v>
      </c>
      <c r="E1045" s="0" t="s">
        <v>55</v>
      </c>
      <c r="F1045" s="0" t="n">
        <v>3777039</v>
      </c>
      <c r="G1045" s="0" t="s">
        <v>1681</v>
      </c>
      <c r="H1045" s="0" t="s">
        <v>1648</v>
      </c>
      <c r="I1045" s="0" t="n">
        <v>3777039</v>
      </c>
      <c r="J1045" s="0" t="s">
        <v>2739</v>
      </c>
      <c r="K1045" s="0" t="s">
        <v>3181</v>
      </c>
      <c r="L1045" s="0" t="n">
        <v>2017</v>
      </c>
      <c r="M1045" s="0" t="s">
        <v>1235</v>
      </c>
      <c r="N1045" s="0" t="s">
        <v>106</v>
      </c>
      <c r="O1045" s="0" t="s">
        <v>1236</v>
      </c>
      <c r="P1045" s="0" t="s">
        <v>3182</v>
      </c>
      <c r="Q1045" s="0" t="n">
        <v>6</v>
      </c>
      <c r="R1045" s="0" t="n">
        <v>18</v>
      </c>
      <c r="T1045" s="0" t="s">
        <v>3183</v>
      </c>
      <c r="U1045" s="0" t="s">
        <v>2985</v>
      </c>
      <c r="V1045" s="0" t="s">
        <v>108</v>
      </c>
      <c r="W1045" s="0" t="s">
        <v>3184</v>
      </c>
      <c r="X1045" s="0" t="s">
        <v>3185</v>
      </c>
      <c r="Y1045" s="0" t="s">
        <v>2744</v>
      </c>
      <c r="Z1045" s="0" t="s">
        <v>2745</v>
      </c>
      <c r="AA1045" s="0" t="s">
        <v>3186</v>
      </c>
      <c r="AB1045" s="0" t="s">
        <v>3187</v>
      </c>
      <c r="AC1045" s="0" t="s">
        <v>2747</v>
      </c>
      <c r="AD1045" s="0" t="s">
        <v>2748</v>
      </c>
      <c r="AE1045" s="0" t="s">
        <v>2749</v>
      </c>
      <c r="AF1045" s="0" t="s">
        <v>3188</v>
      </c>
      <c r="AH1045" s="0" t="s">
        <v>2751</v>
      </c>
      <c r="AL1045" s="0" t="s">
        <v>384</v>
      </c>
    </row>
    <row r="1046" customFormat="false" ht="15" hidden="false" customHeight="false" outlineLevel="0" collapsed="false">
      <c r="A1046" s="0" t="s">
        <v>530</v>
      </c>
      <c r="B1046" s="0" t="s">
        <v>104</v>
      </c>
      <c r="C1046" s="0" t="s">
        <v>3180</v>
      </c>
      <c r="D1046" s="0" t="n">
        <v>2017</v>
      </c>
      <c r="E1046" s="0" t="s">
        <v>56</v>
      </c>
      <c r="F1046" s="0" t="n">
        <v>3197196</v>
      </c>
      <c r="G1046" s="0" t="s">
        <v>1681</v>
      </c>
      <c r="H1046" s="0" t="s">
        <v>1648</v>
      </c>
      <c r="I1046" s="0" t="n">
        <v>3197196</v>
      </c>
      <c r="J1046" s="0" t="s">
        <v>2739</v>
      </c>
      <c r="K1046" s="0" t="s">
        <v>3181</v>
      </c>
      <c r="L1046" s="0" t="n">
        <v>2017</v>
      </c>
      <c r="M1046" s="0" t="s">
        <v>1235</v>
      </c>
      <c r="N1046" s="0" t="s">
        <v>106</v>
      </c>
      <c r="O1046" s="0" t="s">
        <v>1236</v>
      </c>
      <c r="P1046" s="0" t="s">
        <v>3182</v>
      </c>
      <c r="Q1046" s="0" t="n">
        <v>6</v>
      </c>
      <c r="R1046" s="0" t="n">
        <v>18</v>
      </c>
      <c r="T1046" s="0" t="s">
        <v>3183</v>
      </c>
      <c r="U1046" s="0" t="s">
        <v>2985</v>
      </c>
      <c r="V1046" s="0" t="s">
        <v>108</v>
      </c>
      <c r="W1046" s="0" t="s">
        <v>3189</v>
      </c>
      <c r="X1046" s="0" t="s">
        <v>3185</v>
      </c>
      <c r="Y1046" s="0" t="s">
        <v>2744</v>
      </c>
      <c r="Z1046" s="0" t="s">
        <v>2745</v>
      </c>
      <c r="AA1046" s="0" t="s">
        <v>3186</v>
      </c>
      <c r="AB1046" s="0" t="s">
        <v>3187</v>
      </c>
      <c r="AC1046" s="0" t="s">
        <v>2747</v>
      </c>
      <c r="AD1046" s="0" t="s">
        <v>2748</v>
      </c>
      <c r="AE1046" s="0" t="s">
        <v>2749</v>
      </c>
      <c r="AF1046" s="0" t="s">
        <v>3188</v>
      </c>
      <c r="AH1046" s="0" t="s">
        <v>2751</v>
      </c>
      <c r="AL1046" s="0" t="s">
        <v>384</v>
      </c>
    </row>
    <row r="1047" customFormat="false" ht="15" hidden="false" customHeight="false" outlineLevel="0" collapsed="false">
      <c r="A1047" s="0" t="s">
        <v>531</v>
      </c>
      <c r="B1047" s="0" t="s">
        <v>104</v>
      </c>
      <c r="C1047" s="0" t="s">
        <v>3180</v>
      </c>
      <c r="D1047" s="0" t="n">
        <v>2017</v>
      </c>
      <c r="E1047" s="0" t="s">
        <v>57</v>
      </c>
      <c r="F1047" s="0" t="n">
        <v>579843</v>
      </c>
      <c r="G1047" s="0" t="s">
        <v>1681</v>
      </c>
      <c r="H1047" s="0" t="s">
        <v>1648</v>
      </c>
      <c r="I1047" s="0" t="n">
        <v>579843</v>
      </c>
      <c r="J1047" s="0" t="s">
        <v>2739</v>
      </c>
      <c r="K1047" s="0" t="s">
        <v>3181</v>
      </c>
      <c r="L1047" s="0" t="n">
        <v>2017</v>
      </c>
      <c r="M1047" s="0" t="s">
        <v>1235</v>
      </c>
      <c r="N1047" s="0" t="s">
        <v>106</v>
      </c>
      <c r="O1047" s="0" t="s">
        <v>1236</v>
      </c>
      <c r="P1047" s="0" t="s">
        <v>3182</v>
      </c>
      <c r="Q1047" s="0" t="n">
        <v>6</v>
      </c>
      <c r="R1047" s="0" t="n">
        <v>18</v>
      </c>
      <c r="T1047" s="0" t="s">
        <v>3183</v>
      </c>
      <c r="U1047" s="0" t="s">
        <v>2985</v>
      </c>
      <c r="V1047" s="0" t="s">
        <v>108</v>
      </c>
      <c r="W1047" s="0" t="s">
        <v>3190</v>
      </c>
      <c r="X1047" s="0" t="s">
        <v>3185</v>
      </c>
      <c r="Y1047" s="0" t="s">
        <v>2744</v>
      </c>
      <c r="Z1047" s="0" t="s">
        <v>2745</v>
      </c>
      <c r="AA1047" s="0" t="s">
        <v>3186</v>
      </c>
      <c r="AB1047" s="0" t="s">
        <v>3187</v>
      </c>
      <c r="AC1047" s="0" t="s">
        <v>2747</v>
      </c>
      <c r="AD1047" s="0" t="s">
        <v>2748</v>
      </c>
      <c r="AE1047" s="0" t="s">
        <v>2749</v>
      </c>
      <c r="AF1047" s="0" t="s">
        <v>3188</v>
      </c>
      <c r="AH1047" s="0" t="s">
        <v>2751</v>
      </c>
      <c r="AL1047" s="0" t="s">
        <v>384</v>
      </c>
    </row>
    <row r="1048" customFormat="false" ht="15" hidden="false" customHeight="false" outlineLevel="0" collapsed="false">
      <c r="A1048" s="0" t="s">
        <v>528</v>
      </c>
      <c r="B1048" s="0" t="s">
        <v>104</v>
      </c>
      <c r="C1048" s="0" t="s">
        <v>3180</v>
      </c>
      <c r="D1048" s="0" t="n">
        <v>2017</v>
      </c>
      <c r="E1048" s="0" t="s">
        <v>54</v>
      </c>
      <c r="F1048" s="0" t="n">
        <v>46918</v>
      </c>
      <c r="G1048" s="0" t="s">
        <v>1681</v>
      </c>
      <c r="H1048" s="0" t="s">
        <v>1648</v>
      </c>
      <c r="I1048" s="0" t="n">
        <v>46918</v>
      </c>
      <c r="J1048" s="0" t="s">
        <v>2739</v>
      </c>
      <c r="K1048" s="0" t="s">
        <v>3181</v>
      </c>
      <c r="L1048" s="0" t="n">
        <v>2017</v>
      </c>
      <c r="M1048" s="0" t="s">
        <v>1235</v>
      </c>
      <c r="N1048" s="0" t="s">
        <v>106</v>
      </c>
      <c r="O1048" s="0" t="s">
        <v>1236</v>
      </c>
      <c r="P1048" s="0" t="s">
        <v>3182</v>
      </c>
      <c r="Q1048" s="0" t="n">
        <v>4</v>
      </c>
      <c r="R1048" s="0" t="n">
        <v>16</v>
      </c>
      <c r="T1048" s="0" t="s">
        <v>3183</v>
      </c>
      <c r="U1048" s="0" t="s">
        <v>2985</v>
      </c>
      <c r="V1048" s="0" t="s">
        <v>108</v>
      </c>
      <c r="W1048" s="0" t="s">
        <v>3191</v>
      </c>
      <c r="X1048" s="0" t="s">
        <v>3192</v>
      </c>
      <c r="Y1048" s="0" t="s">
        <v>2744</v>
      </c>
      <c r="Z1048" s="0" t="s">
        <v>2745</v>
      </c>
      <c r="AA1048" s="0" t="s">
        <v>3193</v>
      </c>
      <c r="AB1048" s="0" t="s">
        <v>3187</v>
      </c>
      <c r="AC1048" s="0" t="s">
        <v>2747</v>
      </c>
      <c r="AD1048" s="0" t="s">
        <v>2748</v>
      </c>
      <c r="AE1048" s="0" t="s">
        <v>2749</v>
      </c>
      <c r="AF1048" s="0" t="s">
        <v>3188</v>
      </c>
      <c r="AH1048" s="0" t="s">
        <v>2751</v>
      </c>
      <c r="AL1048" s="0" t="s">
        <v>384</v>
      </c>
    </row>
    <row r="1049" customFormat="false" ht="15" hidden="false" customHeight="false" outlineLevel="0" collapsed="false">
      <c r="A1049" s="0" t="s">
        <v>542</v>
      </c>
      <c r="B1049" s="0" t="s">
        <v>104</v>
      </c>
      <c r="C1049" s="0" t="s">
        <v>3180</v>
      </c>
      <c r="D1049" s="0" t="n">
        <v>2017</v>
      </c>
      <c r="E1049" s="0" t="s">
        <v>402</v>
      </c>
      <c r="F1049" s="0" t="n">
        <v>52263</v>
      </c>
      <c r="G1049" s="0" t="s">
        <v>1681</v>
      </c>
      <c r="H1049" s="0" t="s">
        <v>1648</v>
      </c>
      <c r="I1049" s="0" t="n">
        <v>52263</v>
      </c>
      <c r="J1049" s="0" t="s">
        <v>2739</v>
      </c>
      <c r="K1049" s="0" t="s">
        <v>3181</v>
      </c>
      <c r="L1049" s="0" t="n">
        <v>2017</v>
      </c>
      <c r="M1049" s="0" t="s">
        <v>1235</v>
      </c>
      <c r="N1049" s="0" t="s">
        <v>106</v>
      </c>
      <c r="O1049" s="0" t="s">
        <v>1236</v>
      </c>
      <c r="P1049" s="0" t="s">
        <v>3182</v>
      </c>
      <c r="Q1049" s="0" t="n">
        <v>4</v>
      </c>
      <c r="R1049" s="0" t="n">
        <v>16</v>
      </c>
      <c r="T1049" s="0" t="s">
        <v>3183</v>
      </c>
      <c r="U1049" s="0" t="s">
        <v>2985</v>
      </c>
      <c r="V1049" s="0" t="s">
        <v>108</v>
      </c>
      <c r="W1049" s="0" t="s">
        <v>3194</v>
      </c>
      <c r="X1049" s="0" t="s">
        <v>3192</v>
      </c>
      <c r="Y1049" s="0" t="s">
        <v>2744</v>
      </c>
      <c r="Z1049" s="0" t="s">
        <v>2745</v>
      </c>
      <c r="AA1049" s="0" t="s">
        <v>3186</v>
      </c>
      <c r="AB1049" s="0" t="s">
        <v>3187</v>
      </c>
      <c r="AC1049" s="0" t="s">
        <v>2747</v>
      </c>
      <c r="AD1049" s="0" t="s">
        <v>2748</v>
      </c>
      <c r="AE1049" s="0" t="s">
        <v>2749</v>
      </c>
      <c r="AF1049" s="0" t="s">
        <v>3188</v>
      </c>
      <c r="AH1049" s="0" t="s">
        <v>2751</v>
      </c>
      <c r="AL1049" s="0" t="s">
        <v>384</v>
      </c>
    </row>
    <row r="1050" customFormat="false" ht="15" hidden="false" customHeight="false" outlineLevel="0" collapsed="false">
      <c r="A1050" s="0" t="s">
        <v>537</v>
      </c>
      <c r="B1050" s="0" t="s">
        <v>104</v>
      </c>
      <c r="C1050" s="0" t="s">
        <v>3180</v>
      </c>
      <c r="D1050" s="0" t="n">
        <v>2017</v>
      </c>
      <c r="E1050" s="0" t="s">
        <v>247</v>
      </c>
      <c r="F1050" s="0" t="n">
        <v>-126190</v>
      </c>
      <c r="G1050" s="0" t="s">
        <v>1681</v>
      </c>
      <c r="H1050" s="0" t="s">
        <v>1648</v>
      </c>
      <c r="I1050" s="0" t="n">
        <v>126190</v>
      </c>
      <c r="J1050" s="0" t="s">
        <v>2739</v>
      </c>
      <c r="K1050" s="0" t="s">
        <v>3181</v>
      </c>
      <c r="L1050" s="0" t="n">
        <v>2017</v>
      </c>
      <c r="M1050" s="0" t="s">
        <v>1235</v>
      </c>
      <c r="N1050" s="0" t="s">
        <v>106</v>
      </c>
      <c r="O1050" s="0" t="s">
        <v>1236</v>
      </c>
      <c r="P1050" s="0" t="s">
        <v>3182</v>
      </c>
      <c r="Q1050" s="0" t="n">
        <v>4</v>
      </c>
      <c r="R1050" s="0" t="n">
        <v>16</v>
      </c>
      <c r="S1050" s="0" t="n">
        <v>9</v>
      </c>
      <c r="T1050" s="0" t="s">
        <v>3183</v>
      </c>
      <c r="U1050" s="0" t="s">
        <v>2985</v>
      </c>
      <c r="V1050" s="0" t="s">
        <v>108</v>
      </c>
      <c r="W1050" s="0" t="s">
        <v>3195</v>
      </c>
      <c r="X1050" s="0" t="s">
        <v>3192</v>
      </c>
      <c r="Y1050" s="0" t="s">
        <v>2744</v>
      </c>
      <c r="Z1050" s="0" t="s">
        <v>2745</v>
      </c>
      <c r="AA1050" s="0" t="s">
        <v>3196</v>
      </c>
      <c r="AB1050" s="0" t="s">
        <v>3187</v>
      </c>
      <c r="AC1050" s="0" t="s">
        <v>2747</v>
      </c>
      <c r="AD1050" s="0" t="s">
        <v>2748</v>
      </c>
      <c r="AE1050" s="0" t="s">
        <v>2749</v>
      </c>
      <c r="AF1050" s="0" t="s">
        <v>3188</v>
      </c>
      <c r="AH1050" s="0" t="s">
        <v>2760</v>
      </c>
      <c r="AI1050" s="0" t="s">
        <v>2761</v>
      </c>
      <c r="AL1050" s="0" t="s">
        <v>384</v>
      </c>
    </row>
    <row r="1051" customFormat="false" ht="15" hidden="false" customHeight="false" outlineLevel="0" collapsed="false">
      <c r="A1051" s="0" t="s">
        <v>532</v>
      </c>
      <c r="B1051" s="0" t="s">
        <v>104</v>
      </c>
      <c r="C1051" s="0" t="s">
        <v>3180</v>
      </c>
      <c r="D1051" s="0" t="n">
        <v>2017</v>
      </c>
      <c r="E1051" s="0" t="s">
        <v>58</v>
      </c>
      <c r="F1051" s="0" t="n">
        <v>113212</v>
      </c>
      <c r="G1051" s="0" t="s">
        <v>1681</v>
      </c>
      <c r="H1051" s="0" t="s">
        <v>1648</v>
      </c>
      <c r="I1051" s="0" t="n">
        <v>113212</v>
      </c>
      <c r="J1051" s="0" t="s">
        <v>2739</v>
      </c>
      <c r="K1051" s="0" t="s">
        <v>3181</v>
      </c>
      <c r="L1051" s="0" t="n">
        <v>2017</v>
      </c>
      <c r="M1051" s="0" t="s">
        <v>1235</v>
      </c>
      <c r="N1051" s="0" t="s">
        <v>106</v>
      </c>
      <c r="O1051" s="0" t="s">
        <v>1236</v>
      </c>
      <c r="P1051" s="0" t="s">
        <v>3182</v>
      </c>
      <c r="Q1051" s="0" t="n">
        <v>9</v>
      </c>
      <c r="R1051" s="0" t="n">
        <v>21</v>
      </c>
      <c r="T1051" s="0" t="s">
        <v>3183</v>
      </c>
      <c r="U1051" s="0" t="s">
        <v>2985</v>
      </c>
      <c r="V1051" s="0" t="s">
        <v>108</v>
      </c>
      <c r="W1051" s="0" t="s">
        <v>3197</v>
      </c>
      <c r="X1051" s="0" t="s">
        <v>3198</v>
      </c>
      <c r="Y1051" s="0" t="s">
        <v>2744</v>
      </c>
      <c r="Z1051" s="0" t="s">
        <v>2745</v>
      </c>
      <c r="AA1051" s="0" t="s">
        <v>3186</v>
      </c>
      <c r="AB1051" s="0" t="s">
        <v>3187</v>
      </c>
      <c r="AC1051" s="0" t="s">
        <v>2747</v>
      </c>
      <c r="AD1051" s="0" t="s">
        <v>2748</v>
      </c>
      <c r="AE1051" s="0" t="s">
        <v>2749</v>
      </c>
      <c r="AF1051" s="0" t="s">
        <v>3188</v>
      </c>
      <c r="AH1051" s="0" t="s">
        <v>2751</v>
      </c>
      <c r="AL1051" s="0" t="s">
        <v>384</v>
      </c>
    </row>
    <row r="1052" customFormat="false" ht="15" hidden="false" customHeight="false" outlineLevel="0" collapsed="false">
      <c r="A1052" s="0" t="s">
        <v>534</v>
      </c>
      <c r="B1052" s="0" t="s">
        <v>104</v>
      </c>
      <c r="C1052" s="0" t="s">
        <v>3180</v>
      </c>
      <c r="D1052" s="0" t="n">
        <v>2017</v>
      </c>
      <c r="E1052" s="0" t="s">
        <v>60</v>
      </c>
      <c r="F1052" s="0" t="n">
        <v>1837515</v>
      </c>
      <c r="G1052" s="0" t="s">
        <v>1681</v>
      </c>
      <c r="H1052" s="0" t="s">
        <v>1648</v>
      </c>
      <c r="I1052" s="0" t="n">
        <v>1837515</v>
      </c>
      <c r="J1052" s="0" t="s">
        <v>2739</v>
      </c>
      <c r="K1052" s="0" t="s">
        <v>3181</v>
      </c>
      <c r="L1052" s="0" t="n">
        <v>2017</v>
      </c>
      <c r="M1052" s="0" t="s">
        <v>1235</v>
      </c>
      <c r="N1052" s="0" t="s">
        <v>106</v>
      </c>
      <c r="O1052" s="0" t="s">
        <v>1236</v>
      </c>
      <c r="P1052" s="0" t="s">
        <v>3182</v>
      </c>
      <c r="Q1052" s="0" t="n">
        <v>60</v>
      </c>
      <c r="R1052" s="0" t="n">
        <v>72</v>
      </c>
      <c r="S1052" s="0" t="n">
        <v>20</v>
      </c>
      <c r="T1052" s="0" t="s">
        <v>3199</v>
      </c>
      <c r="U1052" s="0" t="s">
        <v>2985</v>
      </c>
      <c r="V1052" s="0" t="s">
        <v>108</v>
      </c>
      <c r="W1052" s="0" t="s">
        <v>3200</v>
      </c>
      <c r="X1052" s="0" t="s">
        <v>3201</v>
      </c>
      <c r="Y1052" s="0" t="s">
        <v>2744</v>
      </c>
      <c r="Z1052" s="0" t="s">
        <v>2745</v>
      </c>
      <c r="AA1052" s="0" t="s">
        <v>3202</v>
      </c>
      <c r="AB1052" s="0" t="s">
        <v>3187</v>
      </c>
      <c r="AC1052" s="0" t="s">
        <v>2747</v>
      </c>
      <c r="AD1052" s="0" t="s">
        <v>2748</v>
      </c>
      <c r="AE1052" s="0" t="s">
        <v>2749</v>
      </c>
      <c r="AF1052" s="0" t="s">
        <v>3188</v>
      </c>
      <c r="AH1052" s="0" t="s">
        <v>2751</v>
      </c>
      <c r="AL1052" s="0" t="s">
        <v>384</v>
      </c>
    </row>
    <row r="1053" customFormat="false" ht="15" hidden="false" customHeight="false" outlineLevel="0" collapsed="false">
      <c r="A1053" s="0" t="s">
        <v>543</v>
      </c>
      <c r="B1053" s="0" t="s">
        <v>104</v>
      </c>
      <c r="C1053" s="0" t="s">
        <v>3180</v>
      </c>
      <c r="D1053" s="0" t="n">
        <v>2017</v>
      </c>
      <c r="E1053" s="0" t="s">
        <v>404</v>
      </c>
      <c r="F1053" s="0" t="n">
        <v>133484</v>
      </c>
      <c r="G1053" s="0" t="s">
        <v>1681</v>
      </c>
      <c r="H1053" s="0" t="s">
        <v>1648</v>
      </c>
      <c r="I1053" s="0" t="n">
        <v>133484</v>
      </c>
      <c r="J1053" s="0" t="s">
        <v>2739</v>
      </c>
      <c r="K1053" s="0" t="s">
        <v>3181</v>
      </c>
      <c r="L1053" s="0" t="n">
        <v>2017</v>
      </c>
      <c r="M1053" s="0" t="s">
        <v>1235</v>
      </c>
      <c r="N1053" s="0" t="s">
        <v>106</v>
      </c>
      <c r="O1053" s="0" t="s">
        <v>1236</v>
      </c>
      <c r="P1053" s="0" t="s">
        <v>3182</v>
      </c>
      <c r="Q1053" s="0" t="n">
        <v>60</v>
      </c>
      <c r="R1053" s="0" t="n">
        <v>72</v>
      </c>
      <c r="S1053" s="0" t="n">
        <v>20</v>
      </c>
      <c r="T1053" s="0" t="s">
        <v>3203</v>
      </c>
      <c r="U1053" s="0" t="s">
        <v>2985</v>
      </c>
      <c r="V1053" s="0" t="s">
        <v>108</v>
      </c>
      <c r="W1053" s="0" t="s">
        <v>3200</v>
      </c>
      <c r="X1053" s="0" t="s">
        <v>3201</v>
      </c>
      <c r="Y1053" s="0" t="s">
        <v>2744</v>
      </c>
      <c r="Z1053" s="0" t="s">
        <v>2745</v>
      </c>
      <c r="AA1053" s="0" t="s">
        <v>3186</v>
      </c>
      <c r="AB1053" s="0" t="s">
        <v>3187</v>
      </c>
      <c r="AC1053" s="0" t="s">
        <v>2747</v>
      </c>
      <c r="AD1053" s="0" t="s">
        <v>2748</v>
      </c>
      <c r="AE1053" s="0" t="s">
        <v>2749</v>
      </c>
      <c r="AF1053" s="0" t="s">
        <v>3188</v>
      </c>
      <c r="AH1053" s="0" t="s">
        <v>2751</v>
      </c>
      <c r="AL1053" s="0" t="s">
        <v>384</v>
      </c>
    </row>
    <row r="1054" customFormat="false" ht="15" hidden="false" customHeight="false" outlineLevel="0" collapsed="false">
      <c r="A1054" s="0" t="s">
        <v>544</v>
      </c>
      <c r="B1054" s="0" t="s">
        <v>104</v>
      </c>
      <c r="C1054" s="0" t="s">
        <v>3180</v>
      </c>
      <c r="D1054" s="0" t="n">
        <v>2017</v>
      </c>
      <c r="E1054" s="0" t="s">
        <v>406</v>
      </c>
      <c r="F1054" s="0" t="n">
        <v>45235</v>
      </c>
      <c r="G1054" s="0" t="s">
        <v>1681</v>
      </c>
      <c r="H1054" s="0" t="s">
        <v>1648</v>
      </c>
      <c r="I1054" s="0" t="n">
        <v>45235</v>
      </c>
      <c r="J1054" s="0" t="s">
        <v>2739</v>
      </c>
      <c r="K1054" s="0" t="s">
        <v>3181</v>
      </c>
      <c r="L1054" s="0" t="n">
        <v>2017</v>
      </c>
      <c r="M1054" s="0" t="s">
        <v>1235</v>
      </c>
      <c r="N1054" s="0" t="s">
        <v>106</v>
      </c>
      <c r="O1054" s="0" t="s">
        <v>1236</v>
      </c>
      <c r="P1054" s="0" t="s">
        <v>3182</v>
      </c>
      <c r="Q1054" s="0" t="n">
        <v>60</v>
      </c>
      <c r="R1054" s="0" t="n">
        <v>72</v>
      </c>
      <c r="S1054" s="0" t="n">
        <v>20</v>
      </c>
      <c r="T1054" s="0" t="s">
        <v>3204</v>
      </c>
      <c r="U1054" s="0" t="s">
        <v>2985</v>
      </c>
      <c r="V1054" s="0" t="s">
        <v>108</v>
      </c>
      <c r="W1054" s="0" t="s">
        <v>3200</v>
      </c>
      <c r="X1054" s="0" t="s">
        <v>3201</v>
      </c>
      <c r="Y1054" s="0" t="s">
        <v>2744</v>
      </c>
      <c r="Z1054" s="0" t="s">
        <v>2745</v>
      </c>
      <c r="AA1054" s="0" t="s">
        <v>3186</v>
      </c>
      <c r="AB1054" s="0" t="s">
        <v>3187</v>
      </c>
      <c r="AC1054" s="0" t="s">
        <v>2747</v>
      </c>
      <c r="AD1054" s="0" t="s">
        <v>2748</v>
      </c>
      <c r="AE1054" s="0" t="s">
        <v>2749</v>
      </c>
      <c r="AF1054" s="0" t="s">
        <v>3188</v>
      </c>
      <c r="AH1054" s="0" t="s">
        <v>2751</v>
      </c>
      <c r="AL1054" s="0" t="s">
        <v>384</v>
      </c>
    </row>
    <row r="1055" customFormat="false" ht="15" hidden="false" customHeight="false" outlineLevel="0" collapsed="false">
      <c r="A1055" s="0" t="s">
        <v>535</v>
      </c>
      <c r="B1055" s="0" t="s">
        <v>104</v>
      </c>
      <c r="C1055" s="0" t="s">
        <v>3180</v>
      </c>
      <c r="D1055" s="0" t="n">
        <v>2017</v>
      </c>
      <c r="E1055" s="0" t="s">
        <v>61</v>
      </c>
      <c r="F1055" s="0" t="n">
        <v>178719</v>
      </c>
      <c r="G1055" s="0" t="s">
        <v>1681</v>
      </c>
      <c r="H1055" s="0" t="s">
        <v>1648</v>
      </c>
      <c r="I1055" s="0" t="n">
        <v>178719</v>
      </c>
      <c r="J1055" s="0" t="s">
        <v>2739</v>
      </c>
      <c r="K1055" s="0" t="s">
        <v>3181</v>
      </c>
      <c r="L1055" s="0" t="n">
        <v>2017</v>
      </c>
      <c r="M1055" s="0" t="s">
        <v>1235</v>
      </c>
      <c r="N1055" s="0" t="s">
        <v>106</v>
      </c>
      <c r="O1055" s="0" t="s">
        <v>1236</v>
      </c>
      <c r="P1055" s="0" t="s">
        <v>3182</v>
      </c>
      <c r="Q1055" s="0" t="n">
        <v>60</v>
      </c>
      <c r="R1055" s="0" t="n">
        <v>72</v>
      </c>
      <c r="S1055" s="0" t="n">
        <v>20</v>
      </c>
      <c r="T1055" s="0" t="s">
        <v>3205</v>
      </c>
      <c r="U1055" s="0" t="s">
        <v>2985</v>
      </c>
      <c r="V1055" s="0" t="s">
        <v>108</v>
      </c>
      <c r="W1055" s="0" t="s">
        <v>3200</v>
      </c>
      <c r="X1055" s="0" t="s">
        <v>3201</v>
      </c>
      <c r="Y1055" s="0" t="s">
        <v>2744</v>
      </c>
      <c r="Z1055" s="0" t="s">
        <v>2745</v>
      </c>
      <c r="AA1055" s="0" t="s">
        <v>3186</v>
      </c>
      <c r="AB1055" s="0" t="s">
        <v>3187</v>
      </c>
      <c r="AC1055" s="0" t="s">
        <v>2747</v>
      </c>
      <c r="AD1055" s="0" t="s">
        <v>2748</v>
      </c>
      <c r="AE1055" s="0" t="s">
        <v>2749</v>
      </c>
      <c r="AF1055" s="0" t="s">
        <v>3188</v>
      </c>
      <c r="AH1055" s="0" t="s">
        <v>2751</v>
      </c>
      <c r="AL1055" s="0" t="s">
        <v>384</v>
      </c>
    </row>
    <row r="1056" customFormat="false" ht="15" hidden="false" customHeight="false" outlineLevel="0" collapsed="false">
      <c r="A1056" s="0" t="s">
        <v>536</v>
      </c>
      <c r="B1056" s="0" t="s">
        <v>104</v>
      </c>
      <c r="C1056" s="0" t="s">
        <v>3180</v>
      </c>
      <c r="D1056" s="0" t="n">
        <v>2017</v>
      </c>
      <c r="E1056" s="0" t="s">
        <v>62</v>
      </c>
      <c r="F1056" s="0" t="n">
        <v>1658796</v>
      </c>
      <c r="G1056" s="0" t="s">
        <v>1681</v>
      </c>
      <c r="H1056" s="0" t="s">
        <v>1648</v>
      </c>
      <c r="I1056" s="0" t="n">
        <v>1658796</v>
      </c>
      <c r="J1056" s="0" t="s">
        <v>2739</v>
      </c>
      <c r="K1056" s="0" t="s">
        <v>3181</v>
      </c>
      <c r="L1056" s="0" t="n">
        <v>2017</v>
      </c>
      <c r="M1056" s="0" t="s">
        <v>1235</v>
      </c>
      <c r="N1056" s="0" t="s">
        <v>106</v>
      </c>
      <c r="O1056" s="0" t="s">
        <v>1236</v>
      </c>
      <c r="P1056" s="0" t="s">
        <v>3182</v>
      </c>
      <c r="Q1056" s="0" t="n">
        <v>60</v>
      </c>
      <c r="R1056" s="0" t="n">
        <v>72</v>
      </c>
      <c r="S1056" s="0" t="n">
        <v>20</v>
      </c>
      <c r="T1056" s="0" t="s">
        <v>3206</v>
      </c>
      <c r="U1056" s="0" t="s">
        <v>2985</v>
      </c>
      <c r="V1056" s="0" t="s">
        <v>108</v>
      </c>
      <c r="W1056" s="0" t="s">
        <v>3200</v>
      </c>
      <c r="X1056" s="0" t="s">
        <v>3201</v>
      </c>
      <c r="Y1056" s="0" t="s">
        <v>2744</v>
      </c>
      <c r="Z1056" s="0" t="s">
        <v>2745</v>
      </c>
      <c r="AA1056" s="0" t="s">
        <v>3186</v>
      </c>
      <c r="AB1056" s="0" t="s">
        <v>3187</v>
      </c>
      <c r="AC1056" s="0" t="s">
        <v>2747</v>
      </c>
      <c r="AD1056" s="0" t="s">
        <v>2748</v>
      </c>
      <c r="AE1056" s="0" t="s">
        <v>2749</v>
      </c>
      <c r="AF1056" s="0" t="s">
        <v>3188</v>
      </c>
      <c r="AH1056" s="0" t="s">
        <v>2751</v>
      </c>
      <c r="AL1056" s="0" t="s">
        <v>384</v>
      </c>
    </row>
    <row r="1057" customFormat="false" ht="15" hidden="false" customHeight="false" outlineLevel="0" collapsed="false">
      <c r="A1057" s="0" t="s">
        <v>540</v>
      </c>
      <c r="B1057" s="0" t="s">
        <v>104</v>
      </c>
      <c r="C1057" s="0" t="s">
        <v>3180</v>
      </c>
      <c r="D1057" s="0" t="n">
        <v>2017</v>
      </c>
      <c r="E1057" s="0" t="s">
        <v>65</v>
      </c>
      <c r="F1057" s="0" t="n">
        <v>535692</v>
      </c>
      <c r="G1057" s="0" t="s">
        <v>1681</v>
      </c>
      <c r="H1057" s="0" t="s">
        <v>1648</v>
      </c>
      <c r="I1057" s="0" t="n">
        <v>535692</v>
      </c>
      <c r="J1057" s="0" t="s">
        <v>2739</v>
      </c>
      <c r="K1057" s="0" t="s">
        <v>3181</v>
      </c>
      <c r="L1057" s="0" t="n">
        <v>2017</v>
      </c>
      <c r="M1057" s="0" t="s">
        <v>1235</v>
      </c>
      <c r="N1057" s="0" t="s">
        <v>106</v>
      </c>
      <c r="O1057" s="0" t="s">
        <v>1236</v>
      </c>
      <c r="P1057" s="0" t="s">
        <v>3182</v>
      </c>
      <c r="Q1057" s="0" t="n">
        <v>51</v>
      </c>
      <c r="R1057" s="0" t="n">
        <v>63</v>
      </c>
      <c r="S1057" s="0" t="n">
        <v>4</v>
      </c>
      <c r="T1057" s="0" t="s">
        <v>3207</v>
      </c>
      <c r="U1057" s="0" t="s">
        <v>2985</v>
      </c>
      <c r="V1057" s="0" t="s">
        <v>108</v>
      </c>
      <c r="W1057" s="0" t="s">
        <v>3208</v>
      </c>
      <c r="X1057" s="0" t="s">
        <v>3209</v>
      </c>
      <c r="Y1057" s="0" t="s">
        <v>2744</v>
      </c>
      <c r="Z1057" s="0" t="s">
        <v>2745</v>
      </c>
      <c r="AA1057" s="0" t="s">
        <v>3186</v>
      </c>
      <c r="AB1057" s="0" t="s">
        <v>3187</v>
      </c>
      <c r="AC1057" s="0" t="s">
        <v>2747</v>
      </c>
      <c r="AD1057" s="0" t="s">
        <v>2748</v>
      </c>
      <c r="AE1057" s="0" t="s">
        <v>2749</v>
      </c>
      <c r="AF1057" s="0" t="s">
        <v>3188</v>
      </c>
      <c r="AH1057" s="0" t="s">
        <v>2751</v>
      </c>
      <c r="AL1057" s="0" t="s">
        <v>384</v>
      </c>
    </row>
    <row r="1058" customFormat="false" ht="15" hidden="false" customHeight="false" outlineLevel="0" collapsed="false">
      <c r="A1058" s="0" t="s">
        <v>541</v>
      </c>
      <c r="B1058" s="0" t="s">
        <v>104</v>
      </c>
      <c r="C1058" s="0" t="s">
        <v>3180</v>
      </c>
      <c r="D1058" s="0" t="n">
        <v>2017</v>
      </c>
      <c r="E1058" s="0" t="s">
        <v>66</v>
      </c>
      <c r="F1058" s="0" t="n">
        <v>3019880</v>
      </c>
      <c r="G1058" s="0" t="s">
        <v>1681</v>
      </c>
      <c r="H1058" s="0" t="s">
        <v>1648</v>
      </c>
      <c r="I1058" s="0" t="n">
        <v>3019880</v>
      </c>
      <c r="J1058" s="0" t="s">
        <v>2739</v>
      </c>
      <c r="K1058" s="0" t="s">
        <v>3181</v>
      </c>
      <c r="L1058" s="0" t="n">
        <v>2017</v>
      </c>
      <c r="M1058" s="0" t="s">
        <v>1235</v>
      </c>
      <c r="N1058" s="0" t="s">
        <v>106</v>
      </c>
      <c r="O1058" s="0" t="s">
        <v>1236</v>
      </c>
      <c r="P1058" s="0" t="s">
        <v>3182</v>
      </c>
      <c r="Q1058" s="0" t="n">
        <v>51</v>
      </c>
      <c r="R1058" s="0" t="n">
        <v>63</v>
      </c>
      <c r="S1058" s="0" t="n">
        <v>4</v>
      </c>
      <c r="T1058" s="0" t="s">
        <v>3207</v>
      </c>
      <c r="U1058" s="0" t="s">
        <v>2985</v>
      </c>
      <c r="V1058" s="0" t="s">
        <v>108</v>
      </c>
      <c r="W1058" s="0" t="s">
        <v>3210</v>
      </c>
      <c r="X1058" s="0" t="s">
        <v>3209</v>
      </c>
      <c r="Y1058" s="0" t="s">
        <v>2744</v>
      </c>
      <c r="Z1058" s="0" t="s">
        <v>2745</v>
      </c>
      <c r="AA1058" s="0" t="s">
        <v>3186</v>
      </c>
      <c r="AB1058" s="0" t="s">
        <v>3187</v>
      </c>
      <c r="AC1058" s="0" t="s">
        <v>2747</v>
      </c>
      <c r="AD1058" s="0" t="s">
        <v>2748</v>
      </c>
      <c r="AE1058" s="0" t="s">
        <v>2749</v>
      </c>
      <c r="AF1058" s="0" t="s">
        <v>3188</v>
      </c>
      <c r="AH1058" s="0" t="s">
        <v>2751</v>
      </c>
      <c r="AL1058" s="0" t="s">
        <v>384</v>
      </c>
    </row>
    <row r="1059" customFormat="false" ht="15" hidden="false" customHeight="false" outlineLevel="0" collapsed="false">
      <c r="A1059" s="0" t="s">
        <v>538</v>
      </c>
      <c r="B1059" s="0" t="s">
        <v>104</v>
      </c>
      <c r="C1059" s="0" t="s">
        <v>3180</v>
      </c>
      <c r="D1059" s="0" t="n">
        <v>2017</v>
      </c>
      <c r="E1059" s="0" t="s">
        <v>69</v>
      </c>
      <c r="F1059" s="0" t="s">
        <v>3211</v>
      </c>
      <c r="G1059" s="0" t="s">
        <v>1723</v>
      </c>
      <c r="I1059" s="0" t="n">
        <v>17.74</v>
      </c>
      <c r="J1059" s="0" t="s">
        <v>2739</v>
      </c>
      <c r="K1059" s="0" t="s">
        <v>3181</v>
      </c>
      <c r="L1059" s="0" t="n">
        <v>2017</v>
      </c>
      <c r="M1059" s="0" t="s">
        <v>1235</v>
      </c>
      <c r="N1059" s="0" t="s">
        <v>106</v>
      </c>
      <c r="O1059" s="0" t="s">
        <v>1236</v>
      </c>
      <c r="P1059" s="0" t="s">
        <v>3182</v>
      </c>
      <c r="Q1059" s="0" t="n">
        <v>51</v>
      </c>
      <c r="R1059" s="0" t="n">
        <v>63</v>
      </c>
      <c r="S1059" s="0" t="n">
        <v>4</v>
      </c>
      <c r="T1059" s="0" t="s">
        <v>3207</v>
      </c>
      <c r="U1059" s="0" t="s">
        <v>2985</v>
      </c>
      <c r="V1059" s="0" t="s">
        <v>108</v>
      </c>
      <c r="W1059" s="0" t="s">
        <v>3212</v>
      </c>
      <c r="X1059" s="0" t="s">
        <v>3209</v>
      </c>
      <c r="Y1059" s="0" t="s">
        <v>2744</v>
      </c>
      <c r="Z1059" s="0" t="s">
        <v>2745</v>
      </c>
      <c r="AA1059" s="0" t="s">
        <v>3186</v>
      </c>
      <c r="AB1059" s="0" t="s">
        <v>3187</v>
      </c>
      <c r="AC1059" s="0" t="s">
        <v>2747</v>
      </c>
      <c r="AD1059" s="0" t="s">
        <v>2748</v>
      </c>
      <c r="AE1059" s="0" t="s">
        <v>2749</v>
      </c>
      <c r="AF1059" s="0" t="s">
        <v>3188</v>
      </c>
      <c r="AH1059" s="0" t="s">
        <v>2751</v>
      </c>
      <c r="AL1059" s="0" t="s">
        <v>384</v>
      </c>
    </row>
    <row r="1060" customFormat="false" ht="15" hidden="false" customHeight="false" outlineLevel="0" collapsed="false">
      <c r="A1060" s="0" t="s">
        <v>539</v>
      </c>
      <c r="B1060" s="0" t="s">
        <v>104</v>
      </c>
      <c r="C1060" s="0" t="s">
        <v>3180</v>
      </c>
      <c r="D1060" s="0" t="n">
        <v>2017</v>
      </c>
      <c r="E1060" s="0" t="s">
        <v>70</v>
      </c>
      <c r="F1060" s="0" t="s">
        <v>2840</v>
      </c>
      <c r="G1060" s="0" t="s">
        <v>1723</v>
      </c>
      <c r="I1060" s="0" t="n">
        <v>15</v>
      </c>
      <c r="J1060" s="0" t="s">
        <v>2739</v>
      </c>
      <c r="K1060" s="0" t="s">
        <v>3181</v>
      </c>
      <c r="L1060" s="0" t="n">
        <v>2017</v>
      </c>
      <c r="M1060" s="0" t="s">
        <v>1235</v>
      </c>
      <c r="N1060" s="0" t="s">
        <v>106</v>
      </c>
      <c r="O1060" s="0" t="s">
        <v>1236</v>
      </c>
      <c r="P1060" s="0" t="s">
        <v>3182</v>
      </c>
      <c r="Q1060" s="0" t="n">
        <v>51</v>
      </c>
      <c r="R1060" s="0" t="n">
        <v>63</v>
      </c>
      <c r="S1060" s="0" t="n">
        <v>4</v>
      </c>
      <c r="T1060" s="0" t="s">
        <v>2841</v>
      </c>
      <c r="U1060" s="0" t="s">
        <v>2985</v>
      </c>
      <c r="V1060" s="0" t="s">
        <v>108</v>
      </c>
      <c r="W1060" s="0" t="s">
        <v>3213</v>
      </c>
      <c r="X1060" s="0" t="s">
        <v>3209</v>
      </c>
      <c r="Y1060" s="0" t="s">
        <v>2744</v>
      </c>
      <c r="Z1060" s="0" t="s">
        <v>2745</v>
      </c>
      <c r="AA1060" s="0" t="s">
        <v>3214</v>
      </c>
      <c r="AB1060" s="0" t="s">
        <v>3187</v>
      </c>
      <c r="AC1060" s="0" t="s">
        <v>2747</v>
      </c>
      <c r="AD1060" s="0" t="s">
        <v>2748</v>
      </c>
      <c r="AE1060" s="0" t="s">
        <v>2749</v>
      </c>
      <c r="AF1060" s="0" t="s">
        <v>3188</v>
      </c>
      <c r="AH1060" s="0" t="s">
        <v>2751</v>
      </c>
      <c r="AL1060" s="0" t="s">
        <v>384</v>
      </c>
    </row>
    <row r="1061" customFormat="false" ht="15" hidden="false" customHeight="false" outlineLevel="0" collapsed="false">
      <c r="A1061" s="0" t="s">
        <v>513</v>
      </c>
      <c r="B1061" s="0" t="s">
        <v>104</v>
      </c>
      <c r="C1061" s="0" t="s">
        <v>3180</v>
      </c>
      <c r="D1061" s="0" t="n">
        <v>2016</v>
      </c>
      <c r="E1061" s="0" t="s">
        <v>55</v>
      </c>
      <c r="F1061" s="0" t="n">
        <v>3557782</v>
      </c>
      <c r="G1061" s="0" t="s">
        <v>1681</v>
      </c>
      <c r="H1061" s="0" t="s">
        <v>1648</v>
      </c>
      <c r="I1061" s="0" t="n">
        <v>3557782</v>
      </c>
      <c r="J1061" s="0" t="s">
        <v>2739</v>
      </c>
      <c r="K1061" s="0" t="s">
        <v>3181</v>
      </c>
      <c r="L1061" s="0" t="n">
        <v>2017</v>
      </c>
      <c r="M1061" s="0" t="s">
        <v>1235</v>
      </c>
      <c r="N1061" s="0" t="s">
        <v>106</v>
      </c>
      <c r="O1061" s="0" t="s">
        <v>1236</v>
      </c>
      <c r="P1061" s="0" t="s">
        <v>3182</v>
      </c>
      <c r="Q1061" s="0" t="n">
        <v>6</v>
      </c>
      <c r="R1061" s="0" t="n">
        <v>18</v>
      </c>
      <c r="T1061" s="0" t="s">
        <v>3215</v>
      </c>
      <c r="U1061" s="0" t="s">
        <v>2741</v>
      </c>
      <c r="V1061" s="0" t="s">
        <v>107</v>
      </c>
      <c r="W1061" s="0" t="s">
        <v>3184</v>
      </c>
      <c r="X1061" s="0" t="s">
        <v>3185</v>
      </c>
      <c r="Y1061" s="0" t="s">
        <v>2744</v>
      </c>
      <c r="Z1061" s="0" t="s">
        <v>2745</v>
      </c>
      <c r="AA1061" s="0" t="s">
        <v>3186</v>
      </c>
      <c r="AB1061" s="0" t="s">
        <v>3187</v>
      </c>
      <c r="AC1061" s="0" t="s">
        <v>2747</v>
      </c>
      <c r="AD1061" s="0" t="s">
        <v>2748</v>
      </c>
      <c r="AE1061" s="0" t="s">
        <v>2749</v>
      </c>
      <c r="AF1061" s="0" t="s">
        <v>3188</v>
      </c>
      <c r="AH1061" s="0" t="s">
        <v>2751</v>
      </c>
      <c r="AL1061" s="0" t="s">
        <v>384</v>
      </c>
    </row>
    <row r="1062" customFormat="false" ht="15" hidden="false" customHeight="false" outlineLevel="0" collapsed="false">
      <c r="A1062" s="0" t="s">
        <v>514</v>
      </c>
      <c r="B1062" s="0" t="s">
        <v>104</v>
      </c>
      <c r="C1062" s="0" t="s">
        <v>3180</v>
      </c>
      <c r="D1062" s="0" t="n">
        <v>2016</v>
      </c>
      <c r="E1062" s="0" t="s">
        <v>56</v>
      </c>
      <c r="F1062" s="0" t="n">
        <v>3071695</v>
      </c>
      <c r="G1062" s="0" t="s">
        <v>1681</v>
      </c>
      <c r="H1062" s="0" t="s">
        <v>1648</v>
      </c>
      <c r="I1062" s="0" t="n">
        <v>3071695</v>
      </c>
      <c r="J1062" s="0" t="s">
        <v>2739</v>
      </c>
      <c r="K1062" s="0" t="s">
        <v>3181</v>
      </c>
      <c r="L1062" s="0" t="n">
        <v>2017</v>
      </c>
      <c r="M1062" s="0" t="s">
        <v>1235</v>
      </c>
      <c r="N1062" s="0" t="s">
        <v>106</v>
      </c>
      <c r="O1062" s="0" t="s">
        <v>1236</v>
      </c>
      <c r="P1062" s="0" t="s">
        <v>3182</v>
      </c>
      <c r="Q1062" s="0" t="n">
        <v>6</v>
      </c>
      <c r="R1062" s="0" t="n">
        <v>18</v>
      </c>
      <c r="T1062" s="0" t="s">
        <v>3215</v>
      </c>
      <c r="U1062" s="0" t="s">
        <v>2741</v>
      </c>
      <c r="V1062" s="0" t="s">
        <v>107</v>
      </c>
      <c r="W1062" s="0" t="s">
        <v>3189</v>
      </c>
      <c r="X1062" s="0" t="s">
        <v>3185</v>
      </c>
      <c r="Y1062" s="0" t="s">
        <v>2744</v>
      </c>
      <c r="Z1062" s="0" t="s">
        <v>2745</v>
      </c>
      <c r="AA1062" s="0" t="s">
        <v>3186</v>
      </c>
      <c r="AB1062" s="0" t="s">
        <v>3187</v>
      </c>
      <c r="AC1062" s="0" t="s">
        <v>2747</v>
      </c>
      <c r="AD1062" s="0" t="s">
        <v>2748</v>
      </c>
      <c r="AE1062" s="0" t="s">
        <v>2749</v>
      </c>
      <c r="AF1062" s="0" t="s">
        <v>3188</v>
      </c>
      <c r="AH1062" s="0" t="s">
        <v>2751</v>
      </c>
      <c r="AL1062" s="0" t="s">
        <v>384</v>
      </c>
    </row>
    <row r="1063" customFormat="false" ht="15" hidden="false" customHeight="false" outlineLevel="0" collapsed="false">
      <c r="A1063" s="0" t="s">
        <v>515</v>
      </c>
      <c r="B1063" s="0" t="s">
        <v>104</v>
      </c>
      <c r="C1063" s="0" t="s">
        <v>3180</v>
      </c>
      <c r="D1063" s="0" t="n">
        <v>2016</v>
      </c>
      <c r="E1063" s="0" t="s">
        <v>57</v>
      </c>
      <c r="F1063" s="0" t="n">
        <v>486087</v>
      </c>
      <c r="G1063" s="0" t="s">
        <v>1681</v>
      </c>
      <c r="H1063" s="0" t="s">
        <v>1648</v>
      </c>
      <c r="I1063" s="0" t="n">
        <v>486087</v>
      </c>
      <c r="J1063" s="0" t="s">
        <v>2739</v>
      </c>
      <c r="K1063" s="0" t="s">
        <v>3181</v>
      </c>
      <c r="L1063" s="0" t="n">
        <v>2017</v>
      </c>
      <c r="M1063" s="0" t="s">
        <v>1235</v>
      </c>
      <c r="N1063" s="0" t="s">
        <v>106</v>
      </c>
      <c r="O1063" s="0" t="s">
        <v>1236</v>
      </c>
      <c r="P1063" s="0" t="s">
        <v>3182</v>
      </c>
      <c r="Q1063" s="0" t="n">
        <v>6</v>
      </c>
      <c r="R1063" s="0" t="n">
        <v>18</v>
      </c>
      <c r="T1063" s="0" t="s">
        <v>3215</v>
      </c>
      <c r="U1063" s="0" t="s">
        <v>2741</v>
      </c>
      <c r="V1063" s="0" t="s">
        <v>107</v>
      </c>
      <c r="W1063" s="0" t="s">
        <v>3190</v>
      </c>
      <c r="X1063" s="0" t="s">
        <v>3185</v>
      </c>
      <c r="Y1063" s="0" t="s">
        <v>2744</v>
      </c>
      <c r="Z1063" s="0" t="s">
        <v>2745</v>
      </c>
      <c r="AA1063" s="0" t="s">
        <v>3186</v>
      </c>
      <c r="AB1063" s="0" t="s">
        <v>3187</v>
      </c>
      <c r="AC1063" s="0" t="s">
        <v>2747</v>
      </c>
      <c r="AD1063" s="0" t="s">
        <v>2748</v>
      </c>
      <c r="AE1063" s="0" t="s">
        <v>2749</v>
      </c>
      <c r="AF1063" s="0" t="s">
        <v>3188</v>
      </c>
      <c r="AH1063" s="0" t="s">
        <v>2751</v>
      </c>
      <c r="AL1063" s="0" t="s">
        <v>384</v>
      </c>
    </row>
    <row r="1064" customFormat="false" ht="15" hidden="false" customHeight="false" outlineLevel="0" collapsed="false">
      <c r="A1064" s="0" t="s">
        <v>512</v>
      </c>
      <c r="B1064" s="0" t="s">
        <v>104</v>
      </c>
      <c r="C1064" s="0" t="s">
        <v>3180</v>
      </c>
      <c r="D1064" s="0" t="n">
        <v>2016</v>
      </c>
      <c r="E1064" s="0" t="s">
        <v>54</v>
      </c>
      <c r="F1064" s="0" t="n">
        <v>50072</v>
      </c>
      <c r="G1064" s="0" t="s">
        <v>1681</v>
      </c>
      <c r="H1064" s="0" t="s">
        <v>1648</v>
      </c>
      <c r="I1064" s="0" t="n">
        <v>50072</v>
      </c>
      <c r="J1064" s="0" t="s">
        <v>2739</v>
      </c>
      <c r="K1064" s="0" t="s">
        <v>3181</v>
      </c>
      <c r="L1064" s="0" t="n">
        <v>2017</v>
      </c>
      <c r="M1064" s="0" t="s">
        <v>1235</v>
      </c>
      <c r="N1064" s="0" t="s">
        <v>106</v>
      </c>
      <c r="O1064" s="0" t="s">
        <v>1236</v>
      </c>
      <c r="P1064" s="0" t="s">
        <v>3182</v>
      </c>
      <c r="Q1064" s="0" t="n">
        <v>4</v>
      </c>
      <c r="R1064" s="0" t="n">
        <v>16</v>
      </c>
      <c r="T1064" s="0" t="s">
        <v>3215</v>
      </c>
      <c r="U1064" s="0" t="s">
        <v>2741</v>
      </c>
      <c r="V1064" s="0" t="s">
        <v>107</v>
      </c>
      <c r="W1064" s="0" t="s">
        <v>3191</v>
      </c>
      <c r="X1064" s="0" t="s">
        <v>3192</v>
      </c>
      <c r="Y1064" s="0" t="s">
        <v>2744</v>
      </c>
      <c r="Z1064" s="0" t="s">
        <v>2745</v>
      </c>
      <c r="AA1064" s="0" t="s">
        <v>3193</v>
      </c>
      <c r="AB1064" s="0" t="s">
        <v>3187</v>
      </c>
      <c r="AC1064" s="0" t="s">
        <v>2747</v>
      </c>
      <c r="AD1064" s="0" t="s">
        <v>2748</v>
      </c>
      <c r="AE1064" s="0" t="s">
        <v>2749</v>
      </c>
      <c r="AF1064" s="0" t="s">
        <v>3188</v>
      </c>
      <c r="AH1064" s="0" t="s">
        <v>2751</v>
      </c>
      <c r="AL1064" s="0" t="s">
        <v>384</v>
      </c>
    </row>
    <row r="1065" customFormat="false" ht="15" hidden="false" customHeight="false" outlineLevel="0" collapsed="false">
      <c r="A1065" s="0" t="s">
        <v>525</v>
      </c>
      <c r="B1065" s="0" t="s">
        <v>104</v>
      </c>
      <c r="C1065" s="0" t="s">
        <v>3180</v>
      </c>
      <c r="D1065" s="0" t="n">
        <v>2016</v>
      </c>
      <c r="E1065" s="0" t="s">
        <v>402</v>
      </c>
      <c r="F1065" s="0" t="n">
        <v>54733</v>
      </c>
      <c r="G1065" s="0" t="s">
        <v>1681</v>
      </c>
      <c r="H1065" s="0" t="s">
        <v>1648</v>
      </c>
      <c r="I1065" s="0" t="n">
        <v>54733</v>
      </c>
      <c r="J1065" s="0" t="s">
        <v>2739</v>
      </c>
      <c r="K1065" s="0" t="s">
        <v>3181</v>
      </c>
      <c r="L1065" s="0" t="n">
        <v>2017</v>
      </c>
      <c r="M1065" s="0" t="s">
        <v>1235</v>
      </c>
      <c r="N1065" s="0" t="s">
        <v>106</v>
      </c>
      <c r="O1065" s="0" t="s">
        <v>1236</v>
      </c>
      <c r="P1065" s="0" t="s">
        <v>3182</v>
      </c>
      <c r="Q1065" s="0" t="n">
        <v>4</v>
      </c>
      <c r="R1065" s="0" t="n">
        <v>16</v>
      </c>
      <c r="T1065" s="0" t="s">
        <v>3215</v>
      </c>
      <c r="U1065" s="0" t="s">
        <v>2741</v>
      </c>
      <c r="V1065" s="0" t="s">
        <v>107</v>
      </c>
      <c r="W1065" s="0" t="s">
        <v>3194</v>
      </c>
      <c r="X1065" s="0" t="s">
        <v>3192</v>
      </c>
      <c r="Y1065" s="0" t="s">
        <v>2744</v>
      </c>
      <c r="Z1065" s="0" t="s">
        <v>2745</v>
      </c>
      <c r="AA1065" s="0" t="s">
        <v>3186</v>
      </c>
      <c r="AB1065" s="0" t="s">
        <v>3187</v>
      </c>
      <c r="AC1065" s="0" t="s">
        <v>2747</v>
      </c>
      <c r="AD1065" s="0" t="s">
        <v>2748</v>
      </c>
      <c r="AE1065" s="0" t="s">
        <v>2749</v>
      </c>
      <c r="AF1065" s="0" t="s">
        <v>3188</v>
      </c>
      <c r="AH1065" s="0" t="s">
        <v>2751</v>
      </c>
      <c r="AL1065" s="0" t="s">
        <v>384</v>
      </c>
    </row>
    <row r="1066" customFormat="false" ht="15" hidden="false" customHeight="false" outlineLevel="0" collapsed="false">
      <c r="A1066" s="0" t="s">
        <v>520</v>
      </c>
      <c r="B1066" s="0" t="s">
        <v>104</v>
      </c>
      <c r="C1066" s="0" t="s">
        <v>3180</v>
      </c>
      <c r="D1066" s="0" t="n">
        <v>2016</v>
      </c>
      <c r="E1066" s="0" t="s">
        <v>247</v>
      </c>
      <c r="F1066" s="0" t="n">
        <v>-159841</v>
      </c>
      <c r="G1066" s="0" t="s">
        <v>1681</v>
      </c>
      <c r="H1066" s="0" t="s">
        <v>1648</v>
      </c>
      <c r="I1066" s="0" t="n">
        <v>159841</v>
      </c>
      <c r="J1066" s="0" t="s">
        <v>2739</v>
      </c>
      <c r="K1066" s="0" t="s">
        <v>3181</v>
      </c>
      <c r="L1066" s="0" t="n">
        <v>2017</v>
      </c>
      <c r="M1066" s="0" t="s">
        <v>1235</v>
      </c>
      <c r="N1066" s="0" t="s">
        <v>106</v>
      </c>
      <c r="O1066" s="0" t="s">
        <v>1236</v>
      </c>
      <c r="P1066" s="0" t="s">
        <v>3182</v>
      </c>
      <c r="Q1066" s="0" t="n">
        <v>4</v>
      </c>
      <c r="R1066" s="0" t="n">
        <v>16</v>
      </c>
      <c r="S1066" s="0" t="n">
        <v>9</v>
      </c>
      <c r="T1066" s="0" t="s">
        <v>3215</v>
      </c>
      <c r="U1066" s="0" t="s">
        <v>2741</v>
      </c>
      <c r="V1066" s="0" t="s">
        <v>107</v>
      </c>
      <c r="W1066" s="0" t="s">
        <v>3195</v>
      </c>
      <c r="X1066" s="0" t="s">
        <v>3192</v>
      </c>
      <c r="Y1066" s="0" t="s">
        <v>2744</v>
      </c>
      <c r="Z1066" s="0" t="s">
        <v>2745</v>
      </c>
      <c r="AA1066" s="0" t="s">
        <v>3196</v>
      </c>
      <c r="AB1066" s="0" t="s">
        <v>3187</v>
      </c>
      <c r="AC1066" s="0" t="s">
        <v>2747</v>
      </c>
      <c r="AD1066" s="0" t="s">
        <v>2748</v>
      </c>
      <c r="AE1066" s="0" t="s">
        <v>2749</v>
      </c>
      <c r="AF1066" s="0" t="s">
        <v>3188</v>
      </c>
      <c r="AH1066" s="0" t="s">
        <v>2760</v>
      </c>
      <c r="AI1066" s="0" t="s">
        <v>2761</v>
      </c>
      <c r="AL1066" s="0" t="s">
        <v>384</v>
      </c>
    </row>
    <row r="1067" customFormat="false" ht="15" hidden="false" customHeight="false" outlineLevel="0" collapsed="false">
      <c r="A1067" s="0" t="s">
        <v>516</v>
      </c>
      <c r="B1067" s="0" t="s">
        <v>104</v>
      </c>
      <c r="C1067" s="0" t="s">
        <v>3180</v>
      </c>
      <c r="D1067" s="0" t="n">
        <v>2016</v>
      </c>
      <c r="E1067" s="0" t="s">
        <v>58</v>
      </c>
      <c r="F1067" s="0" t="n">
        <v>-171230</v>
      </c>
      <c r="G1067" s="0" t="s">
        <v>1681</v>
      </c>
      <c r="H1067" s="0" t="s">
        <v>1648</v>
      </c>
      <c r="I1067" s="0" t="n">
        <v>-171230</v>
      </c>
      <c r="J1067" s="0" t="s">
        <v>2739</v>
      </c>
      <c r="K1067" s="0" t="s">
        <v>3181</v>
      </c>
      <c r="L1067" s="0" t="n">
        <v>2017</v>
      </c>
      <c r="M1067" s="0" t="s">
        <v>1235</v>
      </c>
      <c r="N1067" s="0" t="s">
        <v>106</v>
      </c>
      <c r="O1067" s="0" t="s">
        <v>1236</v>
      </c>
      <c r="P1067" s="0" t="s">
        <v>3182</v>
      </c>
      <c r="Q1067" s="0" t="n">
        <v>9</v>
      </c>
      <c r="R1067" s="0" t="n">
        <v>21</v>
      </c>
      <c r="T1067" s="0" t="s">
        <v>3215</v>
      </c>
      <c r="U1067" s="0" t="s">
        <v>2741</v>
      </c>
      <c r="V1067" s="0" t="s">
        <v>107</v>
      </c>
      <c r="W1067" s="0" t="s">
        <v>3197</v>
      </c>
      <c r="X1067" s="0" t="s">
        <v>3198</v>
      </c>
      <c r="Y1067" s="0" t="s">
        <v>2744</v>
      </c>
      <c r="Z1067" s="0" t="s">
        <v>2745</v>
      </c>
      <c r="AA1067" s="0" t="s">
        <v>3186</v>
      </c>
      <c r="AB1067" s="0" t="s">
        <v>3187</v>
      </c>
      <c r="AC1067" s="0" t="s">
        <v>2747</v>
      </c>
      <c r="AD1067" s="0" t="s">
        <v>2748</v>
      </c>
      <c r="AE1067" s="0" t="s">
        <v>2749</v>
      </c>
      <c r="AF1067" s="0" t="s">
        <v>3188</v>
      </c>
      <c r="AH1067" s="0" t="s">
        <v>2751</v>
      </c>
      <c r="AL1067" s="0" t="s">
        <v>384</v>
      </c>
    </row>
    <row r="1068" customFormat="false" ht="15" hidden="false" customHeight="false" outlineLevel="0" collapsed="false">
      <c r="A1068" s="0" t="s">
        <v>517</v>
      </c>
      <c r="B1068" s="0" t="s">
        <v>104</v>
      </c>
      <c r="C1068" s="0" t="s">
        <v>3180</v>
      </c>
      <c r="D1068" s="0" t="n">
        <v>2016</v>
      </c>
      <c r="E1068" s="0" t="s">
        <v>60</v>
      </c>
      <c r="F1068" s="0" t="n">
        <v>1933407</v>
      </c>
      <c r="G1068" s="0" t="s">
        <v>1681</v>
      </c>
      <c r="H1068" s="0" t="s">
        <v>1648</v>
      </c>
      <c r="I1068" s="0" t="n">
        <v>1933407</v>
      </c>
      <c r="J1068" s="0" t="s">
        <v>2739</v>
      </c>
      <c r="K1068" s="0" t="s">
        <v>3181</v>
      </c>
      <c r="L1068" s="0" t="n">
        <v>2017</v>
      </c>
      <c r="M1068" s="0" t="s">
        <v>1235</v>
      </c>
      <c r="N1068" s="0" t="s">
        <v>106</v>
      </c>
      <c r="O1068" s="0" t="s">
        <v>1236</v>
      </c>
      <c r="P1068" s="0" t="s">
        <v>3182</v>
      </c>
      <c r="Q1068" s="0" t="n">
        <v>60</v>
      </c>
      <c r="R1068" s="0" t="n">
        <v>72</v>
      </c>
      <c r="S1068" s="0" t="n">
        <v>20</v>
      </c>
      <c r="T1068" s="0" t="s">
        <v>3216</v>
      </c>
      <c r="U1068" s="0" t="s">
        <v>2741</v>
      </c>
      <c r="V1068" s="0" t="s">
        <v>107</v>
      </c>
      <c r="W1068" s="0" t="s">
        <v>3217</v>
      </c>
      <c r="X1068" s="0" t="s">
        <v>3201</v>
      </c>
      <c r="Y1068" s="0" t="s">
        <v>2744</v>
      </c>
      <c r="Z1068" s="0" t="s">
        <v>2745</v>
      </c>
      <c r="AA1068" s="0" t="s">
        <v>3202</v>
      </c>
      <c r="AB1068" s="0" t="s">
        <v>3187</v>
      </c>
      <c r="AC1068" s="0" t="s">
        <v>2747</v>
      </c>
      <c r="AD1068" s="0" t="s">
        <v>2748</v>
      </c>
      <c r="AE1068" s="0" t="s">
        <v>2749</v>
      </c>
      <c r="AF1068" s="0" t="s">
        <v>3188</v>
      </c>
      <c r="AH1068" s="0" t="s">
        <v>2751</v>
      </c>
      <c r="AL1068" s="0" t="s">
        <v>384</v>
      </c>
    </row>
    <row r="1069" customFormat="false" ht="15" hidden="false" customHeight="false" outlineLevel="0" collapsed="false">
      <c r="A1069" s="0" t="s">
        <v>526</v>
      </c>
      <c r="B1069" s="0" t="s">
        <v>104</v>
      </c>
      <c r="C1069" s="0" t="s">
        <v>3180</v>
      </c>
      <c r="D1069" s="0" t="n">
        <v>2016</v>
      </c>
      <c r="E1069" s="0" t="s">
        <v>404</v>
      </c>
      <c r="F1069" s="0" t="n">
        <v>210105</v>
      </c>
      <c r="G1069" s="0" t="s">
        <v>1681</v>
      </c>
      <c r="H1069" s="0" t="s">
        <v>1648</v>
      </c>
      <c r="I1069" s="0" t="n">
        <v>210105</v>
      </c>
      <c r="J1069" s="0" t="s">
        <v>2739</v>
      </c>
      <c r="K1069" s="0" t="s">
        <v>3181</v>
      </c>
      <c r="L1069" s="0" t="n">
        <v>2017</v>
      </c>
      <c r="M1069" s="0" t="s">
        <v>1235</v>
      </c>
      <c r="N1069" s="0" t="s">
        <v>106</v>
      </c>
      <c r="O1069" s="0" t="s">
        <v>1236</v>
      </c>
      <c r="P1069" s="0" t="s">
        <v>3182</v>
      </c>
      <c r="Q1069" s="0" t="n">
        <v>60</v>
      </c>
      <c r="R1069" s="0" t="n">
        <v>72</v>
      </c>
      <c r="S1069" s="0" t="n">
        <v>20</v>
      </c>
      <c r="T1069" s="0" t="s">
        <v>3218</v>
      </c>
      <c r="U1069" s="0" t="s">
        <v>2741</v>
      </c>
      <c r="V1069" s="0" t="s">
        <v>107</v>
      </c>
      <c r="W1069" s="0" t="s">
        <v>3217</v>
      </c>
      <c r="X1069" s="0" t="s">
        <v>3201</v>
      </c>
      <c r="Y1069" s="0" t="s">
        <v>2744</v>
      </c>
      <c r="Z1069" s="0" t="s">
        <v>2745</v>
      </c>
      <c r="AA1069" s="0" t="s">
        <v>3186</v>
      </c>
      <c r="AB1069" s="0" t="s">
        <v>3187</v>
      </c>
      <c r="AC1069" s="0" t="s">
        <v>2747</v>
      </c>
      <c r="AD1069" s="0" t="s">
        <v>2748</v>
      </c>
      <c r="AE1069" s="0" t="s">
        <v>2749</v>
      </c>
      <c r="AF1069" s="0" t="s">
        <v>3188</v>
      </c>
      <c r="AH1069" s="0" t="s">
        <v>2751</v>
      </c>
      <c r="AL1069" s="0" t="s">
        <v>384</v>
      </c>
    </row>
    <row r="1070" customFormat="false" ht="15" hidden="false" customHeight="false" outlineLevel="0" collapsed="false">
      <c r="A1070" s="0" t="s">
        <v>527</v>
      </c>
      <c r="B1070" s="0" t="s">
        <v>104</v>
      </c>
      <c r="C1070" s="0" t="s">
        <v>3180</v>
      </c>
      <c r="D1070" s="0" t="n">
        <v>2016</v>
      </c>
      <c r="E1070" s="0" t="s">
        <v>406</v>
      </c>
      <c r="F1070" s="0" t="n">
        <v>30590</v>
      </c>
      <c r="G1070" s="0" t="s">
        <v>1681</v>
      </c>
      <c r="H1070" s="0" t="s">
        <v>1648</v>
      </c>
      <c r="I1070" s="0" t="n">
        <v>30590</v>
      </c>
      <c r="J1070" s="0" t="s">
        <v>2739</v>
      </c>
      <c r="K1070" s="0" t="s">
        <v>3181</v>
      </c>
      <c r="L1070" s="0" t="n">
        <v>2017</v>
      </c>
      <c r="M1070" s="0" t="s">
        <v>1235</v>
      </c>
      <c r="N1070" s="0" t="s">
        <v>106</v>
      </c>
      <c r="O1070" s="0" t="s">
        <v>1236</v>
      </c>
      <c r="P1070" s="0" t="s">
        <v>3182</v>
      </c>
      <c r="Q1070" s="0" t="n">
        <v>60</v>
      </c>
      <c r="R1070" s="0" t="n">
        <v>72</v>
      </c>
      <c r="S1070" s="0" t="n">
        <v>20</v>
      </c>
      <c r="T1070" s="0" t="s">
        <v>3219</v>
      </c>
      <c r="U1070" s="0" t="s">
        <v>2741</v>
      </c>
      <c r="V1070" s="0" t="s">
        <v>107</v>
      </c>
      <c r="W1070" s="0" t="s">
        <v>3217</v>
      </c>
      <c r="X1070" s="0" t="s">
        <v>3201</v>
      </c>
      <c r="Y1070" s="0" t="s">
        <v>2744</v>
      </c>
      <c r="Z1070" s="0" t="s">
        <v>2745</v>
      </c>
      <c r="AA1070" s="0" t="s">
        <v>3186</v>
      </c>
      <c r="AB1070" s="0" t="s">
        <v>3187</v>
      </c>
      <c r="AC1070" s="0" t="s">
        <v>2747</v>
      </c>
      <c r="AD1070" s="0" t="s">
        <v>2748</v>
      </c>
      <c r="AE1070" s="0" t="s">
        <v>2749</v>
      </c>
      <c r="AF1070" s="0" t="s">
        <v>3188</v>
      </c>
      <c r="AH1070" s="0" t="s">
        <v>2751</v>
      </c>
      <c r="AL1070" s="0" t="s">
        <v>384</v>
      </c>
    </row>
    <row r="1071" customFormat="false" ht="15" hidden="false" customHeight="false" outlineLevel="0" collapsed="false">
      <c r="A1071" s="0" t="s">
        <v>518</v>
      </c>
      <c r="B1071" s="0" t="s">
        <v>104</v>
      </c>
      <c r="C1071" s="0" t="s">
        <v>3180</v>
      </c>
      <c r="D1071" s="0" t="n">
        <v>2016</v>
      </c>
      <c r="E1071" s="0" t="s">
        <v>61</v>
      </c>
      <c r="F1071" s="0" t="n">
        <v>240695</v>
      </c>
      <c r="G1071" s="0" t="s">
        <v>1681</v>
      </c>
      <c r="H1071" s="0" t="s">
        <v>1648</v>
      </c>
      <c r="I1071" s="0" t="n">
        <v>240695</v>
      </c>
      <c r="J1071" s="0" t="s">
        <v>2739</v>
      </c>
      <c r="K1071" s="0" t="s">
        <v>3181</v>
      </c>
      <c r="L1071" s="0" t="n">
        <v>2017</v>
      </c>
      <c r="M1071" s="0" t="s">
        <v>1235</v>
      </c>
      <c r="N1071" s="0" t="s">
        <v>106</v>
      </c>
      <c r="O1071" s="0" t="s">
        <v>1236</v>
      </c>
      <c r="P1071" s="0" t="s">
        <v>3182</v>
      </c>
      <c r="Q1071" s="0" t="n">
        <v>60</v>
      </c>
      <c r="R1071" s="0" t="n">
        <v>72</v>
      </c>
      <c r="S1071" s="0" t="n">
        <v>20</v>
      </c>
      <c r="T1071" s="0" t="s">
        <v>3220</v>
      </c>
      <c r="U1071" s="0" t="s">
        <v>2741</v>
      </c>
      <c r="V1071" s="0" t="s">
        <v>107</v>
      </c>
      <c r="W1071" s="0" t="s">
        <v>3217</v>
      </c>
      <c r="X1071" s="0" t="s">
        <v>3201</v>
      </c>
      <c r="Y1071" s="0" t="s">
        <v>2744</v>
      </c>
      <c r="Z1071" s="0" t="s">
        <v>2745</v>
      </c>
      <c r="AA1071" s="0" t="s">
        <v>3186</v>
      </c>
      <c r="AB1071" s="0" t="s">
        <v>3187</v>
      </c>
      <c r="AC1071" s="0" t="s">
        <v>2747</v>
      </c>
      <c r="AD1071" s="0" t="s">
        <v>2748</v>
      </c>
      <c r="AE1071" s="0" t="s">
        <v>2749</v>
      </c>
      <c r="AF1071" s="0" t="s">
        <v>3188</v>
      </c>
      <c r="AH1071" s="0" t="s">
        <v>2751</v>
      </c>
      <c r="AL1071" s="0" t="s">
        <v>384</v>
      </c>
    </row>
    <row r="1072" customFormat="false" ht="15" hidden="false" customHeight="false" outlineLevel="0" collapsed="false">
      <c r="A1072" s="0" t="s">
        <v>519</v>
      </c>
      <c r="B1072" s="0" t="s">
        <v>104</v>
      </c>
      <c r="C1072" s="0" t="s">
        <v>3180</v>
      </c>
      <c r="D1072" s="0" t="n">
        <v>2016</v>
      </c>
      <c r="E1072" s="0" t="s">
        <v>62</v>
      </c>
      <c r="F1072" s="0" t="n">
        <v>1692712</v>
      </c>
      <c r="G1072" s="0" t="s">
        <v>1681</v>
      </c>
      <c r="H1072" s="0" t="s">
        <v>1648</v>
      </c>
      <c r="I1072" s="0" t="n">
        <v>1692712</v>
      </c>
      <c r="J1072" s="0" t="s">
        <v>2739</v>
      </c>
      <c r="K1072" s="0" t="s">
        <v>3181</v>
      </c>
      <c r="L1072" s="0" t="n">
        <v>2017</v>
      </c>
      <c r="M1072" s="0" t="s">
        <v>1235</v>
      </c>
      <c r="N1072" s="0" t="s">
        <v>106</v>
      </c>
      <c r="O1072" s="0" t="s">
        <v>1236</v>
      </c>
      <c r="P1072" s="0" t="s">
        <v>3182</v>
      </c>
      <c r="Q1072" s="0" t="n">
        <v>60</v>
      </c>
      <c r="R1072" s="0" t="n">
        <v>72</v>
      </c>
      <c r="S1072" s="0" t="n">
        <v>20</v>
      </c>
      <c r="T1072" s="0" t="s">
        <v>3221</v>
      </c>
      <c r="U1072" s="0" t="s">
        <v>2741</v>
      </c>
      <c r="V1072" s="0" t="s">
        <v>107</v>
      </c>
      <c r="W1072" s="0" t="s">
        <v>3217</v>
      </c>
      <c r="X1072" s="0" t="s">
        <v>3201</v>
      </c>
      <c r="Y1072" s="0" t="s">
        <v>2744</v>
      </c>
      <c r="Z1072" s="0" t="s">
        <v>2745</v>
      </c>
      <c r="AA1072" s="0" t="s">
        <v>3186</v>
      </c>
      <c r="AB1072" s="0" t="s">
        <v>3187</v>
      </c>
      <c r="AC1072" s="0" t="s">
        <v>2747</v>
      </c>
      <c r="AD1072" s="0" t="s">
        <v>2748</v>
      </c>
      <c r="AE1072" s="0" t="s">
        <v>2749</v>
      </c>
      <c r="AF1072" s="0" t="s">
        <v>3188</v>
      </c>
      <c r="AH1072" s="0" t="s">
        <v>2751</v>
      </c>
      <c r="AL1072" s="0" t="s">
        <v>384</v>
      </c>
    </row>
    <row r="1073" customFormat="false" ht="15" hidden="false" customHeight="false" outlineLevel="0" collapsed="false">
      <c r="A1073" s="0" t="s">
        <v>523</v>
      </c>
      <c r="B1073" s="0" t="s">
        <v>104</v>
      </c>
      <c r="C1073" s="0" t="s">
        <v>3180</v>
      </c>
      <c r="D1073" s="0" t="n">
        <v>2016</v>
      </c>
      <c r="E1073" s="0" t="s">
        <v>65</v>
      </c>
      <c r="F1073" s="0" t="n">
        <v>501256</v>
      </c>
      <c r="G1073" s="0" t="s">
        <v>1681</v>
      </c>
      <c r="H1073" s="0" t="s">
        <v>1648</v>
      </c>
      <c r="I1073" s="0" t="n">
        <v>501256</v>
      </c>
      <c r="J1073" s="0" t="s">
        <v>2739</v>
      </c>
      <c r="K1073" s="0" t="s">
        <v>3181</v>
      </c>
      <c r="L1073" s="0" t="n">
        <v>2017</v>
      </c>
      <c r="M1073" s="0" t="s">
        <v>1235</v>
      </c>
      <c r="N1073" s="0" t="s">
        <v>106</v>
      </c>
      <c r="O1073" s="0" t="s">
        <v>1236</v>
      </c>
      <c r="P1073" s="0" t="s">
        <v>3182</v>
      </c>
      <c r="Q1073" s="0" t="n">
        <v>51</v>
      </c>
      <c r="R1073" s="0" t="n">
        <v>63</v>
      </c>
      <c r="S1073" s="0" t="n">
        <v>4</v>
      </c>
      <c r="T1073" s="0" t="s">
        <v>2976</v>
      </c>
      <c r="U1073" s="0" t="s">
        <v>2741</v>
      </c>
      <c r="V1073" s="0" t="s">
        <v>107</v>
      </c>
      <c r="W1073" s="0" t="s">
        <v>3208</v>
      </c>
      <c r="X1073" s="0" t="s">
        <v>3209</v>
      </c>
      <c r="Y1073" s="0" t="s">
        <v>2744</v>
      </c>
      <c r="Z1073" s="0" t="s">
        <v>2745</v>
      </c>
      <c r="AA1073" s="0" t="s">
        <v>3186</v>
      </c>
      <c r="AB1073" s="0" t="s">
        <v>3187</v>
      </c>
      <c r="AC1073" s="0" t="s">
        <v>2747</v>
      </c>
      <c r="AD1073" s="0" t="s">
        <v>2748</v>
      </c>
      <c r="AE1073" s="0" t="s">
        <v>2749</v>
      </c>
      <c r="AF1073" s="0" t="s">
        <v>3188</v>
      </c>
      <c r="AH1073" s="0" t="s">
        <v>2751</v>
      </c>
      <c r="AL1073" s="0" t="s">
        <v>384</v>
      </c>
    </row>
    <row r="1074" customFormat="false" ht="15" hidden="false" customHeight="false" outlineLevel="0" collapsed="false">
      <c r="A1074" s="0" t="s">
        <v>524</v>
      </c>
      <c r="B1074" s="0" t="s">
        <v>104</v>
      </c>
      <c r="C1074" s="0" t="s">
        <v>3180</v>
      </c>
      <c r="D1074" s="0" t="n">
        <v>2016</v>
      </c>
      <c r="E1074" s="0" t="s">
        <v>66</v>
      </c>
      <c r="F1074" s="0" t="n">
        <v>2818158</v>
      </c>
      <c r="G1074" s="0" t="s">
        <v>1681</v>
      </c>
      <c r="H1074" s="0" t="s">
        <v>1648</v>
      </c>
      <c r="I1074" s="0" t="n">
        <v>2818158</v>
      </c>
      <c r="J1074" s="0" t="s">
        <v>2739</v>
      </c>
      <c r="K1074" s="0" t="s">
        <v>3181</v>
      </c>
      <c r="L1074" s="0" t="n">
        <v>2017</v>
      </c>
      <c r="M1074" s="0" t="s">
        <v>1235</v>
      </c>
      <c r="N1074" s="0" t="s">
        <v>106</v>
      </c>
      <c r="O1074" s="0" t="s">
        <v>1236</v>
      </c>
      <c r="P1074" s="0" t="s">
        <v>3182</v>
      </c>
      <c r="Q1074" s="0" t="n">
        <v>51</v>
      </c>
      <c r="R1074" s="0" t="n">
        <v>63</v>
      </c>
      <c r="S1074" s="0" t="n">
        <v>4</v>
      </c>
      <c r="T1074" s="0" t="s">
        <v>2976</v>
      </c>
      <c r="U1074" s="0" t="s">
        <v>2741</v>
      </c>
      <c r="V1074" s="0" t="s">
        <v>107</v>
      </c>
      <c r="W1074" s="0" t="s">
        <v>3210</v>
      </c>
      <c r="X1074" s="0" t="s">
        <v>3209</v>
      </c>
      <c r="Y1074" s="0" t="s">
        <v>2744</v>
      </c>
      <c r="Z1074" s="0" t="s">
        <v>2745</v>
      </c>
      <c r="AA1074" s="0" t="s">
        <v>3186</v>
      </c>
      <c r="AB1074" s="0" t="s">
        <v>3187</v>
      </c>
      <c r="AC1074" s="0" t="s">
        <v>2747</v>
      </c>
      <c r="AD1074" s="0" t="s">
        <v>2748</v>
      </c>
      <c r="AE1074" s="0" t="s">
        <v>2749</v>
      </c>
      <c r="AF1074" s="0" t="s">
        <v>3188</v>
      </c>
      <c r="AH1074" s="0" t="s">
        <v>2751</v>
      </c>
      <c r="AL1074" s="0" t="s">
        <v>384</v>
      </c>
    </row>
    <row r="1075" customFormat="false" ht="15" hidden="false" customHeight="false" outlineLevel="0" collapsed="false">
      <c r="A1075" s="0" t="s">
        <v>521</v>
      </c>
      <c r="B1075" s="0" t="s">
        <v>104</v>
      </c>
      <c r="C1075" s="0" t="s">
        <v>3180</v>
      </c>
      <c r="D1075" s="0" t="n">
        <v>2016</v>
      </c>
      <c r="E1075" s="0" t="s">
        <v>69</v>
      </c>
      <c r="F1075" s="0" t="s">
        <v>3222</v>
      </c>
      <c r="G1075" s="0" t="s">
        <v>1723</v>
      </c>
      <c r="I1075" s="0" t="n">
        <v>17.79</v>
      </c>
      <c r="J1075" s="0" t="s">
        <v>2739</v>
      </c>
      <c r="K1075" s="0" t="s">
        <v>3181</v>
      </c>
      <c r="L1075" s="0" t="n">
        <v>2017</v>
      </c>
      <c r="M1075" s="0" t="s">
        <v>1235</v>
      </c>
      <c r="N1075" s="0" t="s">
        <v>106</v>
      </c>
      <c r="O1075" s="0" t="s">
        <v>1236</v>
      </c>
      <c r="P1075" s="0" t="s">
        <v>3182</v>
      </c>
      <c r="Q1075" s="0" t="n">
        <v>51</v>
      </c>
      <c r="R1075" s="0" t="n">
        <v>63</v>
      </c>
      <c r="S1075" s="0" t="n">
        <v>4</v>
      </c>
      <c r="T1075" s="0" t="s">
        <v>2976</v>
      </c>
      <c r="U1075" s="0" t="s">
        <v>2741</v>
      </c>
      <c r="V1075" s="0" t="s">
        <v>107</v>
      </c>
      <c r="W1075" s="0" t="s">
        <v>3212</v>
      </c>
      <c r="X1075" s="0" t="s">
        <v>3209</v>
      </c>
      <c r="Y1075" s="0" t="s">
        <v>2744</v>
      </c>
      <c r="Z1075" s="0" t="s">
        <v>2745</v>
      </c>
      <c r="AA1075" s="0" t="s">
        <v>3186</v>
      </c>
      <c r="AB1075" s="0" t="s">
        <v>3187</v>
      </c>
      <c r="AC1075" s="0" t="s">
        <v>2747</v>
      </c>
      <c r="AD1075" s="0" t="s">
        <v>2748</v>
      </c>
      <c r="AE1075" s="0" t="s">
        <v>2749</v>
      </c>
      <c r="AF1075" s="0" t="s">
        <v>3188</v>
      </c>
      <c r="AH1075" s="0" t="s">
        <v>2751</v>
      </c>
      <c r="AL1075" s="0" t="s">
        <v>384</v>
      </c>
    </row>
    <row r="1076" customFormat="false" ht="15" hidden="false" customHeight="false" outlineLevel="0" collapsed="false">
      <c r="A1076" s="0" t="s">
        <v>522</v>
      </c>
      <c r="B1076" s="0" t="s">
        <v>104</v>
      </c>
      <c r="C1076" s="0" t="s">
        <v>3180</v>
      </c>
      <c r="D1076" s="0" t="n">
        <v>2016</v>
      </c>
      <c r="E1076" s="0" t="s">
        <v>70</v>
      </c>
      <c r="F1076" s="0" t="s">
        <v>2840</v>
      </c>
      <c r="G1076" s="0" t="s">
        <v>1723</v>
      </c>
      <c r="I1076" s="0" t="n">
        <v>15</v>
      </c>
      <c r="J1076" s="0" t="s">
        <v>2739</v>
      </c>
      <c r="K1076" s="0" t="s">
        <v>3181</v>
      </c>
      <c r="L1076" s="0" t="n">
        <v>2017</v>
      </c>
      <c r="M1076" s="0" t="s">
        <v>1235</v>
      </c>
      <c r="N1076" s="0" t="s">
        <v>106</v>
      </c>
      <c r="O1076" s="0" t="s">
        <v>1236</v>
      </c>
      <c r="P1076" s="0" t="s">
        <v>3182</v>
      </c>
      <c r="Q1076" s="0" t="n">
        <v>51</v>
      </c>
      <c r="R1076" s="0" t="n">
        <v>63</v>
      </c>
      <c r="S1076" s="0" t="n">
        <v>4</v>
      </c>
      <c r="T1076" s="0" t="s">
        <v>2841</v>
      </c>
      <c r="U1076" s="0" t="s">
        <v>2741</v>
      </c>
      <c r="V1076" s="0" t="s">
        <v>107</v>
      </c>
      <c r="W1076" s="0" t="s">
        <v>3213</v>
      </c>
      <c r="X1076" s="0" t="s">
        <v>3209</v>
      </c>
      <c r="Y1076" s="0" t="s">
        <v>2744</v>
      </c>
      <c r="Z1076" s="0" t="s">
        <v>2745</v>
      </c>
      <c r="AA1076" s="0" t="s">
        <v>3214</v>
      </c>
      <c r="AB1076" s="0" t="s">
        <v>3187</v>
      </c>
      <c r="AC1076" s="0" t="s">
        <v>2747</v>
      </c>
      <c r="AD1076" s="0" t="s">
        <v>2748</v>
      </c>
      <c r="AE1076" s="0" t="s">
        <v>2749</v>
      </c>
      <c r="AF1076" s="0" t="s">
        <v>3188</v>
      </c>
      <c r="AH1076" s="0" t="s">
        <v>2751</v>
      </c>
      <c r="AL1076" s="0" t="s">
        <v>384</v>
      </c>
    </row>
    <row r="1077" customFormat="false" ht="15" hidden="false" customHeight="false" outlineLevel="0" collapsed="false">
      <c r="A1077" s="0" t="s">
        <v>533</v>
      </c>
      <c r="B1077" s="0" t="s">
        <v>104</v>
      </c>
      <c r="C1077" s="0" t="s">
        <v>3180</v>
      </c>
      <c r="D1077" s="0" t="n">
        <v>2017</v>
      </c>
      <c r="E1077" s="0" t="s">
        <v>59</v>
      </c>
      <c r="F1077" s="0" t="n">
        <v>3557782</v>
      </c>
      <c r="G1077" s="0" t="s">
        <v>1681</v>
      </c>
      <c r="H1077" s="0" t="s">
        <v>1648</v>
      </c>
      <c r="I1077" s="0" t="n">
        <v>3557782</v>
      </c>
      <c r="J1077" s="0" t="s">
        <v>2739</v>
      </c>
      <c r="K1077" s="0" t="s">
        <v>3181</v>
      </c>
      <c r="L1077" s="0" t="n">
        <v>2017</v>
      </c>
      <c r="M1077" s="0" t="s">
        <v>1235</v>
      </c>
      <c r="N1077" s="0" t="s">
        <v>106</v>
      </c>
      <c r="O1077" s="0" t="s">
        <v>1236</v>
      </c>
      <c r="P1077" s="0" t="s">
        <v>3182</v>
      </c>
      <c r="Q1077" s="0" t="n">
        <v>6</v>
      </c>
      <c r="R1077" s="0" t="n">
        <v>18</v>
      </c>
      <c r="T1077" s="0" t="s">
        <v>3215</v>
      </c>
      <c r="U1077" s="0" t="s">
        <v>2985</v>
      </c>
      <c r="V1077" s="0" t="s">
        <v>108</v>
      </c>
      <c r="W1077" s="0" t="s">
        <v>3184</v>
      </c>
      <c r="X1077" s="0" t="s">
        <v>3185</v>
      </c>
      <c r="Y1077" s="0" t="s">
        <v>2744</v>
      </c>
      <c r="Z1077" s="0" t="s">
        <v>2745</v>
      </c>
      <c r="AA1077" s="0" t="s">
        <v>3223</v>
      </c>
      <c r="AB1077" s="0" t="s">
        <v>3187</v>
      </c>
      <c r="AC1077" s="0" t="s">
        <v>2747</v>
      </c>
      <c r="AD1077" s="0" t="s">
        <v>2748</v>
      </c>
      <c r="AE1077" s="0" t="s">
        <v>2749</v>
      </c>
      <c r="AF1077" s="0" t="s">
        <v>3188</v>
      </c>
      <c r="AH1077" s="0" t="s">
        <v>2751</v>
      </c>
      <c r="AL1077" s="0" t="s">
        <v>384</v>
      </c>
    </row>
    <row r="1078" customFormat="false" ht="15" hidden="false" customHeight="false" outlineLevel="0" collapsed="false">
      <c r="A1078" s="0" t="s">
        <v>496</v>
      </c>
      <c r="B1078" s="0" t="s">
        <v>86</v>
      </c>
      <c r="C1078" s="0" t="s">
        <v>3224</v>
      </c>
      <c r="D1078" s="0" t="n">
        <v>2022</v>
      </c>
      <c r="E1078" s="0" t="s">
        <v>55</v>
      </c>
      <c r="F1078" s="0" t="n">
        <v>3989009</v>
      </c>
      <c r="G1078" s="0" t="s">
        <v>1681</v>
      </c>
      <c r="H1078" s="0" t="s">
        <v>1648</v>
      </c>
      <c r="I1078" s="0" t="n">
        <v>3989009</v>
      </c>
      <c r="J1078" s="0" t="s">
        <v>3225</v>
      </c>
      <c r="K1078" s="0" t="s">
        <v>1011</v>
      </c>
      <c r="L1078" s="0" t="n">
        <v>2022</v>
      </c>
      <c r="M1078" s="0" t="s">
        <v>1012</v>
      </c>
      <c r="N1078" s="0" t="s">
        <v>101</v>
      </c>
      <c r="O1078" s="0" t="s">
        <v>1149</v>
      </c>
      <c r="P1078" s="0" t="s">
        <v>1604</v>
      </c>
      <c r="Q1078" s="0" t="n">
        <v>139</v>
      </c>
      <c r="R1078" s="0" t="n">
        <v>139</v>
      </c>
      <c r="T1078" s="0" t="n">
        <v>2022</v>
      </c>
      <c r="U1078" s="0" t="s">
        <v>2852</v>
      </c>
      <c r="V1078" s="0" t="s">
        <v>103</v>
      </c>
      <c r="W1078" s="0" t="s">
        <v>3226</v>
      </c>
      <c r="X1078" s="0" t="s">
        <v>3227</v>
      </c>
      <c r="Y1078" s="0" t="s">
        <v>2744</v>
      </c>
      <c r="Z1078" s="0" t="s">
        <v>2745</v>
      </c>
      <c r="AB1078" s="0" t="s">
        <v>1605</v>
      </c>
      <c r="AC1078" s="0" t="s">
        <v>2747</v>
      </c>
      <c r="AD1078" s="0" t="s">
        <v>3228</v>
      </c>
      <c r="AE1078" s="0" t="s">
        <v>1008</v>
      </c>
      <c r="AF1078" s="0" t="s">
        <v>3229</v>
      </c>
      <c r="AH1078" s="0" t="s">
        <v>2751</v>
      </c>
      <c r="AL1078" s="0" t="s">
        <v>384</v>
      </c>
    </row>
    <row r="1079" customFormat="false" ht="15" hidden="false" customHeight="false" outlineLevel="0" collapsed="false">
      <c r="A1079" s="0" t="s">
        <v>497</v>
      </c>
      <c r="B1079" s="0" t="s">
        <v>86</v>
      </c>
      <c r="C1079" s="0" t="s">
        <v>3224</v>
      </c>
      <c r="D1079" s="0" t="n">
        <v>2022</v>
      </c>
      <c r="E1079" s="0" t="s">
        <v>56</v>
      </c>
      <c r="F1079" s="0" t="n">
        <v>3674649</v>
      </c>
      <c r="G1079" s="0" t="s">
        <v>1681</v>
      </c>
      <c r="H1079" s="0" t="s">
        <v>1648</v>
      </c>
      <c r="I1079" s="0" t="n">
        <v>3674649</v>
      </c>
      <c r="J1079" s="0" t="s">
        <v>3225</v>
      </c>
      <c r="K1079" s="0" t="s">
        <v>1011</v>
      </c>
      <c r="L1079" s="0" t="n">
        <v>2022</v>
      </c>
      <c r="M1079" s="0" t="s">
        <v>1012</v>
      </c>
      <c r="N1079" s="0" t="s">
        <v>101</v>
      </c>
      <c r="O1079" s="0" t="s">
        <v>1149</v>
      </c>
      <c r="P1079" s="0" t="s">
        <v>1604</v>
      </c>
      <c r="Q1079" s="0" t="n">
        <v>139</v>
      </c>
      <c r="R1079" s="0" t="n">
        <v>139</v>
      </c>
      <c r="T1079" s="0" t="n">
        <v>2022</v>
      </c>
      <c r="U1079" s="0" t="s">
        <v>2852</v>
      </c>
      <c r="V1079" s="0" t="s">
        <v>103</v>
      </c>
      <c r="W1079" s="0" t="s">
        <v>3230</v>
      </c>
      <c r="X1079" s="0" t="s">
        <v>3227</v>
      </c>
      <c r="Y1079" s="0" t="s">
        <v>2744</v>
      </c>
      <c r="Z1079" s="0" t="s">
        <v>2745</v>
      </c>
      <c r="AB1079" s="0" t="s">
        <v>1605</v>
      </c>
      <c r="AC1079" s="0" t="s">
        <v>2747</v>
      </c>
      <c r="AD1079" s="0" t="s">
        <v>3228</v>
      </c>
      <c r="AE1079" s="0" t="s">
        <v>1008</v>
      </c>
      <c r="AF1079" s="0" t="s">
        <v>3229</v>
      </c>
      <c r="AH1079" s="0" t="s">
        <v>2751</v>
      </c>
      <c r="AL1079" s="0" t="s">
        <v>384</v>
      </c>
    </row>
    <row r="1080" customFormat="false" ht="15" hidden="false" customHeight="false" outlineLevel="0" collapsed="false">
      <c r="A1080" s="0" t="s">
        <v>498</v>
      </c>
      <c r="B1080" s="0" t="s">
        <v>86</v>
      </c>
      <c r="C1080" s="0" t="s">
        <v>3224</v>
      </c>
      <c r="D1080" s="0" t="n">
        <v>2022</v>
      </c>
      <c r="E1080" s="0" t="s">
        <v>57</v>
      </c>
      <c r="F1080" s="0" t="n">
        <v>314360</v>
      </c>
      <c r="G1080" s="0" t="s">
        <v>1681</v>
      </c>
      <c r="H1080" s="0" t="s">
        <v>1648</v>
      </c>
      <c r="I1080" s="0" t="n">
        <v>314360</v>
      </c>
      <c r="J1080" s="0" t="s">
        <v>3225</v>
      </c>
      <c r="K1080" s="0" t="s">
        <v>1011</v>
      </c>
      <c r="L1080" s="0" t="n">
        <v>2022</v>
      </c>
      <c r="M1080" s="0" t="s">
        <v>1012</v>
      </c>
      <c r="N1080" s="0" t="s">
        <v>101</v>
      </c>
      <c r="O1080" s="0" t="s">
        <v>1149</v>
      </c>
      <c r="P1080" s="0" t="s">
        <v>1604</v>
      </c>
      <c r="Q1080" s="0" t="n">
        <v>139</v>
      </c>
      <c r="R1080" s="0" t="n">
        <v>139</v>
      </c>
      <c r="T1080" s="0" t="n">
        <v>2022</v>
      </c>
      <c r="U1080" s="0" t="s">
        <v>2852</v>
      </c>
      <c r="V1080" s="0" t="s">
        <v>103</v>
      </c>
      <c r="W1080" s="0" t="s">
        <v>3231</v>
      </c>
      <c r="X1080" s="0" t="s">
        <v>3227</v>
      </c>
      <c r="Y1080" s="0" t="s">
        <v>2744</v>
      </c>
      <c r="Z1080" s="0" t="s">
        <v>2745</v>
      </c>
      <c r="AB1080" s="0" t="s">
        <v>1605</v>
      </c>
      <c r="AC1080" s="0" t="s">
        <v>2747</v>
      </c>
      <c r="AD1080" s="0" t="s">
        <v>3228</v>
      </c>
      <c r="AE1080" s="0" t="s">
        <v>1008</v>
      </c>
      <c r="AF1080" s="0" t="s">
        <v>3229</v>
      </c>
      <c r="AH1080" s="0" t="s">
        <v>2751</v>
      </c>
      <c r="AL1080" s="0" t="s">
        <v>384</v>
      </c>
    </row>
    <row r="1081" customFormat="false" ht="15" hidden="false" customHeight="false" outlineLevel="0" collapsed="false">
      <c r="A1081" s="0" t="s">
        <v>495</v>
      </c>
      <c r="B1081" s="0" t="s">
        <v>86</v>
      </c>
      <c r="C1081" s="0" t="s">
        <v>3224</v>
      </c>
      <c r="D1081" s="0" t="n">
        <v>2022</v>
      </c>
      <c r="E1081" s="0" t="s">
        <v>54</v>
      </c>
      <c r="F1081" s="0" t="n">
        <v>46724</v>
      </c>
      <c r="G1081" s="0" t="s">
        <v>1681</v>
      </c>
      <c r="H1081" s="0" t="s">
        <v>1648</v>
      </c>
      <c r="I1081" s="0" t="n">
        <v>46724</v>
      </c>
      <c r="J1081" s="0" t="s">
        <v>3225</v>
      </c>
      <c r="K1081" s="0" t="s">
        <v>1011</v>
      </c>
      <c r="L1081" s="0" t="n">
        <v>2022</v>
      </c>
      <c r="M1081" s="0" t="s">
        <v>1012</v>
      </c>
      <c r="N1081" s="0" t="s">
        <v>101</v>
      </c>
      <c r="O1081" s="0" t="s">
        <v>1149</v>
      </c>
      <c r="P1081" s="0" t="s">
        <v>1604</v>
      </c>
      <c r="Q1081" s="0" t="n">
        <v>138</v>
      </c>
      <c r="R1081" s="0" t="n">
        <v>138</v>
      </c>
      <c r="T1081" s="0" t="n">
        <v>2022</v>
      </c>
      <c r="U1081" s="0" t="s">
        <v>2852</v>
      </c>
      <c r="V1081" s="0" t="s">
        <v>103</v>
      </c>
      <c r="W1081" s="0" t="s">
        <v>3232</v>
      </c>
      <c r="X1081" s="0" t="s">
        <v>3233</v>
      </c>
      <c r="Y1081" s="0" t="s">
        <v>2744</v>
      </c>
      <c r="Z1081" s="0" t="s">
        <v>2745</v>
      </c>
      <c r="AB1081" s="0" t="s">
        <v>1605</v>
      </c>
      <c r="AC1081" s="0" t="s">
        <v>2747</v>
      </c>
      <c r="AD1081" s="0" t="s">
        <v>3228</v>
      </c>
      <c r="AE1081" s="0" t="s">
        <v>1008</v>
      </c>
      <c r="AF1081" s="0" t="s">
        <v>3229</v>
      </c>
      <c r="AH1081" s="0" t="s">
        <v>2751</v>
      </c>
      <c r="AL1081" s="0" t="s">
        <v>384</v>
      </c>
    </row>
    <row r="1082" customFormat="false" ht="15" hidden="false" customHeight="false" outlineLevel="0" collapsed="false">
      <c r="A1082" s="0" t="s">
        <v>511</v>
      </c>
      <c r="B1082" s="0" t="s">
        <v>86</v>
      </c>
      <c r="C1082" s="0" t="s">
        <v>3224</v>
      </c>
      <c r="D1082" s="0" t="n">
        <v>2022</v>
      </c>
      <c r="E1082" s="0" t="s">
        <v>402</v>
      </c>
      <c r="F1082" s="0" t="n">
        <v>53677</v>
      </c>
      <c r="G1082" s="0" t="s">
        <v>1681</v>
      </c>
      <c r="H1082" s="0" t="s">
        <v>1648</v>
      </c>
      <c r="I1082" s="0" t="n">
        <v>53677</v>
      </c>
      <c r="J1082" s="0" t="s">
        <v>3225</v>
      </c>
      <c r="K1082" s="0" t="s">
        <v>1011</v>
      </c>
      <c r="L1082" s="0" t="n">
        <v>2022</v>
      </c>
      <c r="M1082" s="0" t="s">
        <v>1012</v>
      </c>
      <c r="N1082" s="0" t="s">
        <v>101</v>
      </c>
      <c r="O1082" s="0" t="s">
        <v>1149</v>
      </c>
      <c r="P1082" s="0" t="s">
        <v>1604</v>
      </c>
      <c r="Q1082" s="0" t="n">
        <v>138</v>
      </c>
      <c r="R1082" s="0" t="n">
        <v>138</v>
      </c>
      <c r="T1082" s="0" t="n">
        <v>2022</v>
      </c>
      <c r="U1082" s="0" t="s">
        <v>2852</v>
      </c>
      <c r="V1082" s="0" t="s">
        <v>103</v>
      </c>
      <c r="W1082" s="0" t="s">
        <v>3234</v>
      </c>
      <c r="X1082" s="0" t="s">
        <v>3233</v>
      </c>
      <c r="Y1082" s="0" t="s">
        <v>2744</v>
      </c>
      <c r="Z1082" s="0" t="s">
        <v>2745</v>
      </c>
      <c r="AB1082" s="0" t="s">
        <v>1605</v>
      </c>
      <c r="AC1082" s="0" t="s">
        <v>2747</v>
      </c>
      <c r="AD1082" s="0" t="s">
        <v>3228</v>
      </c>
      <c r="AE1082" s="0" t="s">
        <v>1008</v>
      </c>
      <c r="AF1082" s="0" t="s">
        <v>3229</v>
      </c>
      <c r="AH1082" s="0" t="s">
        <v>2751</v>
      </c>
      <c r="AL1082" s="0" t="s">
        <v>384</v>
      </c>
    </row>
    <row r="1083" customFormat="false" ht="15" hidden="false" customHeight="false" outlineLevel="0" collapsed="false">
      <c r="A1083" s="0" t="s">
        <v>504</v>
      </c>
      <c r="B1083" s="0" t="s">
        <v>86</v>
      </c>
      <c r="C1083" s="0" t="s">
        <v>3224</v>
      </c>
      <c r="D1083" s="0" t="n">
        <v>2022</v>
      </c>
      <c r="E1083" s="0" t="s">
        <v>63</v>
      </c>
      <c r="F1083" s="0" t="n">
        <v>-5443</v>
      </c>
      <c r="G1083" s="0" t="s">
        <v>1681</v>
      </c>
      <c r="H1083" s="0" t="s">
        <v>1648</v>
      </c>
      <c r="I1083" s="0" t="n">
        <v>5443</v>
      </c>
      <c r="J1083" s="0" t="s">
        <v>3225</v>
      </c>
      <c r="K1083" s="0" t="s">
        <v>1011</v>
      </c>
      <c r="L1083" s="0" t="n">
        <v>2022</v>
      </c>
      <c r="M1083" s="0" t="s">
        <v>1012</v>
      </c>
      <c r="N1083" s="0" t="s">
        <v>101</v>
      </c>
      <c r="O1083" s="0" t="s">
        <v>1149</v>
      </c>
      <c r="P1083" s="0" t="s">
        <v>1604</v>
      </c>
      <c r="Q1083" s="0" t="n">
        <v>138</v>
      </c>
      <c r="R1083" s="0" t="n">
        <v>138</v>
      </c>
      <c r="S1083" s="0" t="n">
        <v>8</v>
      </c>
      <c r="T1083" s="0" t="n">
        <v>2022</v>
      </c>
      <c r="U1083" s="0" t="s">
        <v>2852</v>
      </c>
      <c r="V1083" s="0" t="s">
        <v>103</v>
      </c>
      <c r="W1083" s="0" t="s">
        <v>3235</v>
      </c>
      <c r="X1083" s="0" t="s">
        <v>3233</v>
      </c>
      <c r="Y1083" s="0" t="s">
        <v>2744</v>
      </c>
      <c r="Z1083" s="0" t="s">
        <v>2745</v>
      </c>
      <c r="AA1083" s="0" t="s">
        <v>3236</v>
      </c>
      <c r="AB1083" s="0" t="s">
        <v>1605</v>
      </c>
      <c r="AC1083" s="0" t="s">
        <v>2747</v>
      </c>
      <c r="AD1083" s="0" t="s">
        <v>3228</v>
      </c>
      <c r="AE1083" s="0" t="s">
        <v>1008</v>
      </c>
      <c r="AF1083" s="0" t="s">
        <v>3229</v>
      </c>
      <c r="AH1083" s="0" t="s">
        <v>2760</v>
      </c>
      <c r="AI1083" s="0" t="s">
        <v>2761</v>
      </c>
      <c r="AL1083" s="0" t="s">
        <v>384</v>
      </c>
    </row>
    <row r="1084" customFormat="false" ht="15" hidden="false" customHeight="false" outlineLevel="0" collapsed="false">
      <c r="A1084" s="0" t="s">
        <v>499</v>
      </c>
      <c r="B1084" s="0" t="s">
        <v>86</v>
      </c>
      <c r="C1084" s="0" t="s">
        <v>3224</v>
      </c>
      <c r="D1084" s="0" t="n">
        <v>2022</v>
      </c>
      <c r="E1084" s="0" t="s">
        <v>58</v>
      </c>
      <c r="F1084" s="0" t="n">
        <v>297592</v>
      </c>
      <c r="G1084" s="0" t="s">
        <v>1681</v>
      </c>
      <c r="H1084" s="0" t="s">
        <v>1648</v>
      </c>
      <c r="I1084" s="0" t="n">
        <v>297592</v>
      </c>
      <c r="J1084" s="0" t="s">
        <v>3225</v>
      </c>
      <c r="K1084" s="0" t="s">
        <v>1011</v>
      </c>
      <c r="L1084" s="0" t="n">
        <v>2022</v>
      </c>
      <c r="M1084" s="0" t="s">
        <v>1012</v>
      </c>
      <c r="N1084" s="0" t="s">
        <v>101</v>
      </c>
      <c r="O1084" s="0" t="s">
        <v>1149</v>
      </c>
      <c r="P1084" s="0" t="s">
        <v>1604</v>
      </c>
      <c r="Q1084" s="0" t="n">
        <v>141</v>
      </c>
      <c r="R1084" s="0" t="n">
        <v>141</v>
      </c>
      <c r="T1084" s="0" t="n">
        <v>2022</v>
      </c>
      <c r="U1084" s="0" t="s">
        <v>2852</v>
      </c>
      <c r="V1084" s="0" t="s">
        <v>103</v>
      </c>
      <c r="W1084" s="0" t="s">
        <v>3237</v>
      </c>
      <c r="X1084" s="0" t="s">
        <v>3238</v>
      </c>
      <c r="Y1084" s="0" t="s">
        <v>2744</v>
      </c>
      <c r="Z1084" s="0" t="s">
        <v>2745</v>
      </c>
      <c r="AB1084" s="0" t="s">
        <v>1605</v>
      </c>
      <c r="AC1084" s="0" t="s">
        <v>2747</v>
      </c>
      <c r="AD1084" s="0" t="s">
        <v>3228</v>
      </c>
      <c r="AE1084" s="0" t="s">
        <v>1008</v>
      </c>
      <c r="AF1084" s="0" t="s">
        <v>3229</v>
      </c>
      <c r="AH1084" s="0" t="s">
        <v>2751</v>
      </c>
      <c r="AL1084" s="0" t="s">
        <v>384</v>
      </c>
    </row>
    <row r="1085" customFormat="false" ht="15" hidden="false" customHeight="false" outlineLevel="0" collapsed="false">
      <c r="A1085" s="0" t="s">
        <v>501</v>
      </c>
      <c r="B1085" s="0" t="s">
        <v>86</v>
      </c>
      <c r="C1085" s="0" t="s">
        <v>3224</v>
      </c>
      <c r="D1085" s="0" t="n">
        <v>2022</v>
      </c>
      <c r="E1085" s="0" t="s">
        <v>60</v>
      </c>
      <c r="F1085" s="0" t="n">
        <v>2196760</v>
      </c>
      <c r="G1085" s="0" t="s">
        <v>1681</v>
      </c>
      <c r="H1085" s="0" t="s">
        <v>1648</v>
      </c>
      <c r="I1085" s="0" t="n">
        <v>2196760</v>
      </c>
      <c r="J1085" s="0" t="s">
        <v>3225</v>
      </c>
      <c r="K1085" s="0" t="s">
        <v>1011</v>
      </c>
      <c r="L1085" s="0" t="n">
        <v>2022</v>
      </c>
      <c r="M1085" s="0" t="s">
        <v>1012</v>
      </c>
      <c r="N1085" s="0" t="s">
        <v>101</v>
      </c>
      <c r="O1085" s="0" t="s">
        <v>1149</v>
      </c>
      <c r="P1085" s="0" t="s">
        <v>1604</v>
      </c>
      <c r="Q1085" s="0" t="n">
        <v>225</v>
      </c>
      <c r="R1085" s="0" t="n">
        <v>225</v>
      </c>
      <c r="S1085" s="0" t="n">
        <v>22</v>
      </c>
      <c r="T1085" s="0" t="n">
        <v>2022</v>
      </c>
      <c r="U1085" s="0" t="s">
        <v>2852</v>
      </c>
      <c r="V1085" s="0" t="s">
        <v>103</v>
      </c>
      <c r="W1085" s="0" t="s">
        <v>3239</v>
      </c>
      <c r="X1085" s="0" t="s">
        <v>3240</v>
      </c>
      <c r="Y1085" s="0" t="s">
        <v>2744</v>
      </c>
      <c r="Z1085" s="0" t="s">
        <v>2745</v>
      </c>
      <c r="AA1085" s="0" t="s">
        <v>3241</v>
      </c>
      <c r="AB1085" s="0" t="s">
        <v>1605</v>
      </c>
      <c r="AC1085" s="0" t="s">
        <v>2747</v>
      </c>
      <c r="AD1085" s="0" t="s">
        <v>3228</v>
      </c>
      <c r="AE1085" s="0" t="s">
        <v>1008</v>
      </c>
      <c r="AF1085" s="0" t="s">
        <v>3229</v>
      </c>
      <c r="AH1085" s="0" t="s">
        <v>2751</v>
      </c>
      <c r="AL1085" s="0" t="s">
        <v>384</v>
      </c>
    </row>
    <row r="1086" customFormat="false" ht="15" hidden="false" customHeight="false" outlineLevel="0" collapsed="false">
      <c r="A1086" s="0" t="s">
        <v>502</v>
      </c>
      <c r="B1086" s="0" t="s">
        <v>86</v>
      </c>
      <c r="C1086" s="0" t="s">
        <v>3224</v>
      </c>
      <c r="D1086" s="0" t="n">
        <v>2022</v>
      </c>
      <c r="E1086" s="0" t="s">
        <v>61</v>
      </c>
      <c r="F1086" s="0" t="n">
        <v>-80548</v>
      </c>
      <c r="G1086" s="0" t="s">
        <v>1681</v>
      </c>
      <c r="H1086" s="0" t="s">
        <v>1648</v>
      </c>
      <c r="I1086" s="0" t="n">
        <v>80548</v>
      </c>
      <c r="J1086" s="0" t="s">
        <v>3225</v>
      </c>
      <c r="K1086" s="0" t="s">
        <v>1011</v>
      </c>
      <c r="L1086" s="0" t="n">
        <v>2022</v>
      </c>
      <c r="M1086" s="0" t="s">
        <v>1012</v>
      </c>
      <c r="N1086" s="0" t="s">
        <v>101</v>
      </c>
      <c r="O1086" s="0" t="s">
        <v>1149</v>
      </c>
      <c r="P1086" s="0" t="s">
        <v>1604</v>
      </c>
      <c r="Q1086" s="0" t="n">
        <v>225</v>
      </c>
      <c r="R1086" s="0" t="n">
        <v>225</v>
      </c>
      <c r="S1086" s="0" t="n">
        <v>22</v>
      </c>
      <c r="T1086" s="0" t="n">
        <v>2022</v>
      </c>
      <c r="U1086" s="0" t="s">
        <v>2852</v>
      </c>
      <c r="V1086" s="0" t="s">
        <v>103</v>
      </c>
      <c r="W1086" s="0" t="s">
        <v>3242</v>
      </c>
      <c r="X1086" s="0" t="s">
        <v>3240</v>
      </c>
      <c r="Y1086" s="0" t="s">
        <v>2744</v>
      </c>
      <c r="Z1086" s="0" t="s">
        <v>2745</v>
      </c>
      <c r="AA1086" s="0" t="s">
        <v>2829</v>
      </c>
      <c r="AB1086" s="0" t="s">
        <v>1605</v>
      </c>
      <c r="AC1086" s="0" t="s">
        <v>2747</v>
      </c>
      <c r="AD1086" s="0" t="s">
        <v>3228</v>
      </c>
      <c r="AE1086" s="0" t="s">
        <v>1008</v>
      </c>
      <c r="AF1086" s="0" t="s">
        <v>3229</v>
      </c>
      <c r="AH1086" s="0" t="s">
        <v>2760</v>
      </c>
      <c r="AI1086" s="0" t="s">
        <v>2770</v>
      </c>
      <c r="AL1086" s="0" t="s">
        <v>384</v>
      </c>
    </row>
    <row r="1087" customFormat="false" ht="15" hidden="false" customHeight="false" outlineLevel="0" collapsed="false">
      <c r="A1087" s="0" t="s">
        <v>503</v>
      </c>
      <c r="B1087" s="0" t="s">
        <v>86</v>
      </c>
      <c r="C1087" s="0" t="s">
        <v>3224</v>
      </c>
      <c r="D1087" s="0" t="n">
        <v>2022</v>
      </c>
      <c r="E1087" s="0" t="s">
        <v>62</v>
      </c>
      <c r="F1087" s="0" t="n">
        <v>2116212</v>
      </c>
      <c r="G1087" s="0" t="s">
        <v>1681</v>
      </c>
      <c r="H1087" s="0" t="s">
        <v>1648</v>
      </c>
      <c r="I1087" s="0" t="n">
        <v>2116212</v>
      </c>
      <c r="J1087" s="0" t="s">
        <v>3225</v>
      </c>
      <c r="K1087" s="0" t="s">
        <v>1011</v>
      </c>
      <c r="L1087" s="0" t="n">
        <v>2022</v>
      </c>
      <c r="M1087" s="0" t="s">
        <v>1012</v>
      </c>
      <c r="N1087" s="0" t="s">
        <v>101</v>
      </c>
      <c r="O1087" s="0" t="s">
        <v>1149</v>
      </c>
      <c r="P1087" s="0" t="s">
        <v>1604</v>
      </c>
      <c r="Q1087" s="0" t="n">
        <v>225</v>
      </c>
      <c r="R1087" s="0" t="n">
        <v>225</v>
      </c>
      <c r="S1087" s="0" t="n">
        <v>22</v>
      </c>
      <c r="T1087" s="0" t="n">
        <v>2022</v>
      </c>
      <c r="U1087" s="0" t="s">
        <v>2852</v>
      </c>
      <c r="V1087" s="0" t="s">
        <v>103</v>
      </c>
      <c r="W1087" s="0" t="s">
        <v>3243</v>
      </c>
      <c r="X1087" s="0" t="s">
        <v>3240</v>
      </c>
      <c r="Y1087" s="0" t="s">
        <v>2744</v>
      </c>
      <c r="Z1087" s="0" t="s">
        <v>2745</v>
      </c>
      <c r="AA1087" s="0" t="s">
        <v>3096</v>
      </c>
      <c r="AB1087" s="0" t="s">
        <v>1605</v>
      </c>
      <c r="AC1087" s="0" t="s">
        <v>2747</v>
      </c>
      <c r="AD1087" s="0" t="s">
        <v>3228</v>
      </c>
      <c r="AE1087" s="0" t="s">
        <v>1008</v>
      </c>
      <c r="AF1087" s="0" t="s">
        <v>3229</v>
      </c>
      <c r="AH1087" s="0" t="s">
        <v>2751</v>
      </c>
      <c r="AL1087" s="0" t="s">
        <v>384</v>
      </c>
    </row>
    <row r="1088" customFormat="false" ht="15" hidden="false" customHeight="false" outlineLevel="0" collapsed="false">
      <c r="A1088" s="0" t="s">
        <v>507</v>
      </c>
      <c r="B1088" s="0" t="s">
        <v>86</v>
      </c>
      <c r="C1088" s="0" t="s">
        <v>3224</v>
      </c>
      <c r="D1088" s="0" t="n">
        <v>2022</v>
      </c>
      <c r="E1088" s="0" t="s">
        <v>65</v>
      </c>
      <c r="F1088" s="0" t="n">
        <v>289500</v>
      </c>
      <c r="G1088" s="0" t="s">
        <v>1681</v>
      </c>
      <c r="H1088" s="0" t="s">
        <v>1648</v>
      </c>
      <c r="I1088" s="0" t="n">
        <v>289500</v>
      </c>
      <c r="J1088" s="0" t="s">
        <v>3225</v>
      </c>
      <c r="K1088" s="0" t="s">
        <v>1011</v>
      </c>
      <c r="L1088" s="0" t="n">
        <v>2022</v>
      </c>
      <c r="M1088" s="0" t="s">
        <v>1012</v>
      </c>
      <c r="N1088" s="0" t="s">
        <v>101</v>
      </c>
      <c r="O1088" s="0" t="s">
        <v>1149</v>
      </c>
      <c r="P1088" s="0" t="s">
        <v>1604</v>
      </c>
      <c r="Q1088" s="0" t="n">
        <v>209</v>
      </c>
      <c r="R1088" s="0" t="n">
        <v>209</v>
      </c>
      <c r="T1088" s="0" t="n">
        <v>2022</v>
      </c>
      <c r="U1088" s="0" t="s">
        <v>2852</v>
      </c>
      <c r="V1088" s="0" t="s">
        <v>103</v>
      </c>
      <c r="W1088" s="0" t="s">
        <v>3244</v>
      </c>
      <c r="X1088" s="0" t="s">
        <v>3245</v>
      </c>
      <c r="Y1088" s="0" t="s">
        <v>2744</v>
      </c>
      <c r="Z1088" s="0" t="s">
        <v>2745</v>
      </c>
      <c r="AA1088" s="0" t="s">
        <v>3246</v>
      </c>
      <c r="AB1088" s="0" t="s">
        <v>1605</v>
      </c>
      <c r="AC1088" s="0" t="s">
        <v>2747</v>
      </c>
      <c r="AD1088" s="0" t="s">
        <v>3228</v>
      </c>
      <c r="AE1088" s="0" t="s">
        <v>1008</v>
      </c>
      <c r="AF1088" s="0" t="s">
        <v>3229</v>
      </c>
      <c r="AH1088" s="0" t="s">
        <v>2751</v>
      </c>
      <c r="AL1088" s="0" t="s">
        <v>384</v>
      </c>
    </row>
    <row r="1089" customFormat="false" ht="15" hidden="false" customHeight="false" outlineLevel="0" collapsed="false">
      <c r="A1089" s="0" t="s">
        <v>508</v>
      </c>
      <c r="B1089" s="0" t="s">
        <v>86</v>
      </c>
      <c r="C1089" s="0" t="s">
        <v>3224</v>
      </c>
      <c r="D1089" s="0" t="n">
        <v>2022</v>
      </c>
      <c r="E1089" s="0" t="s">
        <v>66</v>
      </c>
      <c r="F1089" s="0" t="n">
        <v>1595729</v>
      </c>
      <c r="G1089" s="0" t="s">
        <v>1681</v>
      </c>
      <c r="H1089" s="0" t="s">
        <v>1648</v>
      </c>
      <c r="I1089" s="0" t="n">
        <v>1595729</v>
      </c>
      <c r="J1089" s="0" t="s">
        <v>3225</v>
      </c>
      <c r="K1089" s="0" t="s">
        <v>1011</v>
      </c>
      <c r="L1089" s="0" t="n">
        <v>2022</v>
      </c>
      <c r="M1089" s="0" t="s">
        <v>1012</v>
      </c>
      <c r="N1089" s="0" t="s">
        <v>101</v>
      </c>
      <c r="O1089" s="0" t="s">
        <v>1149</v>
      </c>
      <c r="P1089" s="0" t="s">
        <v>1604</v>
      </c>
      <c r="Q1089" s="0" t="n">
        <v>209</v>
      </c>
      <c r="R1089" s="0" t="n">
        <v>209</v>
      </c>
      <c r="T1089" s="0" t="n">
        <v>2022</v>
      </c>
      <c r="U1089" s="0" t="s">
        <v>2852</v>
      </c>
      <c r="V1089" s="0" t="s">
        <v>103</v>
      </c>
      <c r="W1089" s="0" t="s">
        <v>3247</v>
      </c>
      <c r="X1089" s="0" t="s">
        <v>3245</v>
      </c>
      <c r="Y1089" s="0" t="s">
        <v>2744</v>
      </c>
      <c r="Z1089" s="0" t="s">
        <v>2745</v>
      </c>
      <c r="AB1089" s="0" t="s">
        <v>1605</v>
      </c>
      <c r="AC1089" s="0" t="s">
        <v>2747</v>
      </c>
      <c r="AD1089" s="0" t="s">
        <v>3228</v>
      </c>
      <c r="AE1089" s="0" t="s">
        <v>1008</v>
      </c>
      <c r="AF1089" s="0" t="s">
        <v>3229</v>
      </c>
      <c r="AH1089" s="0" t="s">
        <v>2751</v>
      </c>
      <c r="AL1089" s="0" t="s">
        <v>384</v>
      </c>
    </row>
    <row r="1090" customFormat="false" ht="15" hidden="false" customHeight="false" outlineLevel="0" collapsed="false">
      <c r="A1090" s="0" t="s">
        <v>505</v>
      </c>
      <c r="B1090" s="0" t="s">
        <v>86</v>
      </c>
      <c r="C1090" s="0" t="s">
        <v>3224</v>
      </c>
      <c r="D1090" s="0" t="n">
        <v>2022</v>
      </c>
      <c r="E1090" s="0" t="s">
        <v>69</v>
      </c>
      <c r="F1090" s="0" t="s">
        <v>3248</v>
      </c>
      <c r="G1090" s="0" t="s">
        <v>1723</v>
      </c>
      <c r="I1090" s="0" t="n">
        <v>18.14</v>
      </c>
      <c r="J1090" s="0" t="s">
        <v>3225</v>
      </c>
      <c r="K1090" s="0" t="s">
        <v>1011</v>
      </c>
      <c r="L1090" s="0" t="n">
        <v>2022</v>
      </c>
      <c r="M1090" s="0" t="s">
        <v>1012</v>
      </c>
      <c r="N1090" s="0" t="s">
        <v>101</v>
      </c>
      <c r="O1090" s="0" t="s">
        <v>1149</v>
      </c>
      <c r="P1090" s="0" t="s">
        <v>1604</v>
      </c>
      <c r="Q1090" s="0" t="n">
        <v>209</v>
      </c>
      <c r="R1090" s="0" t="n">
        <v>209</v>
      </c>
      <c r="T1090" s="0" t="n">
        <v>2022</v>
      </c>
      <c r="U1090" s="0" t="s">
        <v>2852</v>
      </c>
      <c r="V1090" s="0" t="s">
        <v>103</v>
      </c>
      <c r="W1090" s="0" t="s">
        <v>3249</v>
      </c>
      <c r="X1090" s="0" t="s">
        <v>3245</v>
      </c>
      <c r="Y1090" s="0" t="s">
        <v>2744</v>
      </c>
      <c r="Z1090" s="0" t="s">
        <v>2745</v>
      </c>
      <c r="AB1090" s="0" t="s">
        <v>1605</v>
      </c>
      <c r="AC1090" s="0" t="s">
        <v>2747</v>
      </c>
      <c r="AD1090" s="0" t="s">
        <v>3228</v>
      </c>
      <c r="AE1090" s="0" t="s">
        <v>1008</v>
      </c>
      <c r="AF1090" s="0" t="s">
        <v>3229</v>
      </c>
      <c r="AH1090" s="0" t="s">
        <v>2751</v>
      </c>
      <c r="AL1090" s="0" t="s">
        <v>384</v>
      </c>
    </row>
    <row r="1091" customFormat="false" ht="15" hidden="false" customHeight="false" outlineLevel="0" collapsed="false">
      <c r="A1091" s="0" t="s">
        <v>506</v>
      </c>
      <c r="B1091" s="0" t="s">
        <v>86</v>
      </c>
      <c r="C1091" s="0" t="s">
        <v>3224</v>
      </c>
      <c r="D1091" s="0" t="n">
        <v>2022</v>
      </c>
      <c r="E1091" s="0" t="s">
        <v>70</v>
      </c>
      <c r="F1091" s="0" t="s">
        <v>2840</v>
      </c>
      <c r="G1091" s="0" t="s">
        <v>1723</v>
      </c>
      <c r="I1091" s="0" t="n">
        <v>15</v>
      </c>
      <c r="J1091" s="0" t="s">
        <v>3225</v>
      </c>
      <c r="K1091" s="0" t="s">
        <v>1011</v>
      </c>
      <c r="L1091" s="0" t="n">
        <v>2022</v>
      </c>
      <c r="M1091" s="0" t="s">
        <v>1012</v>
      </c>
      <c r="N1091" s="0" t="s">
        <v>101</v>
      </c>
      <c r="O1091" s="0" t="s">
        <v>1149</v>
      </c>
      <c r="P1091" s="0" t="s">
        <v>1604</v>
      </c>
      <c r="Q1091" s="0" t="n">
        <v>209</v>
      </c>
      <c r="R1091" s="0" t="n">
        <v>209</v>
      </c>
      <c r="T1091" s="0" t="n">
        <v>2022</v>
      </c>
      <c r="U1091" s="0" t="s">
        <v>2852</v>
      </c>
      <c r="V1091" s="0" t="s">
        <v>103</v>
      </c>
      <c r="W1091" s="0" t="s">
        <v>3250</v>
      </c>
      <c r="X1091" s="0" t="s">
        <v>3245</v>
      </c>
      <c r="Y1091" s="0" t="s">
        <v>2744</v>
      </c>
      <c r="Z1091" s="0" t="s">
        <v>2745</v>
      </c>
      <c r="AB1091" s="0" t="s">
        <v>1605</v>
      </c>
      <c r="AC1091" s="0" t="s">
        <v>2747</v>
      </c>
      <c r="AD1091" s="0" t="s">
        <v>3228</v>
      </c>
      <c r="AE1091" s="0" t="s">
        <v>1008</v>
      </c>
      <c r="AF1091" s="0" t="s">
        <v>3229</v>
      </c>
      <c r="AH1091" s="0" t="s">
        <v>2751</v>
      </c>
      <c r="AL1091" s="0" t="s">
        <v>384</v>
      </c>
    </row>
    <row r="1092" customFormat="false" ht="15" hidden="false" customHeight="false" outlineLevel="0" collapsed="false">
      <c r="A1092" s="0" t="s">
        <v>482</v>
      </c>
      <c r="B1092" s="0" t="s">
        <v>86</v>
      </c>
      <c r="C1092" s="0" t="s">
        <v>3224</v>
      </c>
      <c r="D1092" s="0" t="n">
        <v>2021</v>
      </c>
      <c r="E1092" s="0" t="s">
        <v>55</v>
      </c>
      <c r="F1092" s="0" t="n">
        <v>3280454</v>
      </c>
      <c r="G1092" s="0" t="s">
        <v>1681</v>
      </c>
      <c r="H1092" s="0" t="s">
        <v>1648</v>
      </c>
      <c r="I1092" s="0" t="n">
        <v>3280454</v>
      </c>
      <c r="J1092" s="0" t="s">
        <v>3225</v>
      </c>
      <c r="K1092" s="0" t="s">
        <v>1011</v>
      </c>
      <c r="L1092" s="0" t="n">
        <v>2022</v>
      </c>
      <c r="M1092" s="0" t="s">
        <v>1012</v>
      </c>
      <c r="N1092" s="0" t="s">
        <v>101</v>
      </c>
      <c r="O1092" s="0" t="s">
        <v>1149</v>
      </c>
      <c r="P1092" s="0" t="s">
        <v>1604</v>
      </c>
      <c r="Q1092" s="0" t="n">
        <v>139</v>
      </c>
      <c r="R1092" s="0" t="n">
        <v>139</v>
      </c>
      <c r="T1092" s="0" t="s">
        <v>3251</v>
      </c>
      <c r="U1092" s="0" t="s">
        <v>3252</v>
      </c>
      <c r="V1092" s="0" t="s">
        <v>102</v>
      </c>
      <c r="W1092" s="0" t="s">
        <v>3226</v>
      </c>
      <c r="X1092" s="0" t="s">
        <v>3227</v>
      </c>
      <c r="Y1092" s="0" t="s">
        <v>2744</v>
      </c>
      <c r="Z1092" s="0" t="s">
        <v>2745</v>
      </c>
      <c r="AB1092" s="0" t="s">
        <v>1605</v>
      </c>
      <c r="AC1092" s="0" t="s">
        <v>2747</v>
      </c>
      <c r="AD1092" s="0" t="s">
        <v>3228</v>
      </c>
      <c r="AE1092" s="0" t="s">
        <v>1008</v>
      </c>
      <c r="AF1092" s="0" t="s">
        <v>3229</v>
      </c>
      <c r="AH1092" s="0" t="s">
        <v>2751</v>
      </c>
      <c r="AL1092" s="0" t="s">
        <v>384</v>
      </c>
    </row>
    <row r="1093" customFormat="false" ht="15" hidden="false" customHeight="false" outlineLevel="0" collapsed="false">
      <c r="A1093" s="0" t="s">
        <v>483</v>
      </c>
      <c r="B1093" s="0" t="s">
        <v>86</v>
      </c>
      <c r="C1093" s="0" t="s">
        <v>3224</v>
      </c>
      <c r="D1093" s="0" t="n">
        <v>2021</v>
      </c>
      <c r="E1093" s="0" t="s">
        <v>56</v>
      </c>
      <c r="F1093" s="0" t="n">
        <v>2995160</v>
      </c>
      <c r="G1093" s="0" t="s">
        <v>1681</v>
      </c>
      <c r="H1093" s="0" t="s">
        <v>1648</v>
      </c>
      <c r="I1093" s="0" t="n">
        <v>2995160</v>
      </c>
      <c r="J1093" s="0" t="s">
        <v>3225</v>
      </c>
      <c r="K1093" s="0" t="s">
        <v>1011</v>
      </c>
      <c r="L1093" s="0" t="n">
        <v>2022</v>
      </c>
      <c r="M1093" s="0" t="s">
        <v>1012</v>
      </c>
      <c r="N1093" s="0" t="s">
        <v>101</v>
      </c>
      <c r="O1093" s="0" t="s">
        <v>1149</v>
      </c>
      <c r="P1093" s="0" t="s">
        <v>1604</v>
      </c>
      <c r="Q1093" s="0" t="n">
        <v>139</v>
      </c>
      <c r="R1093" s="0" t="n">
        <v>139</v>
      </c>
      <c r="T1093" s="0" t="s">
        <v>3251</v>
      </c>
      <c r="U1093" s="0" t="s">
        <v>3252</v>
      </c>
      <c r="V1093" s="0" t="s">
        <v>102</v>
      </c>
      <c r="W1093" s="0" t="s">
        <v>3230</v>
      </c>
      <c r="X1093" s="0" t="s">
        <v>3227</v>
      </c>
      <c r="Y1093" s="0" t="s">
        <v>2744</v>
      </c>
      <c r="Z1093" s="0" t="s">
        <v>2745</v>
      </c>
      <c r="AB1093" s="0" t="s">
        <v>1605</v>
      </c>
      <c r="AC1093" s="0" t="s">
        <v>2747</v>
      </c>
      <c r="AD1093" s="0" t="s">
        <v>3228</v>
      </c>
      <c r="AE1093" s="0" t="s">
        <v>1008</v>
      </c>
      <c r="AF1093" s="0" t="s">
        <v>3229</v>
      </c>
      <c r="AH1093" s="0" t="s">
        <v>2751</v>
      </c>
      <c r="AL1093" s="0" t="s">
        <v>384</v>
      </c>
    </row>
    <row r="1094" customFormat="false" ht="15" hidden="false" customHeight="false" outlineLevel="0" collapsed="false">
      <c r="A1094" s="0" t="s">
        <v>484</v>
      </c>
      <c r="B1094" s="0" t="s">
        <v>86</v>
      </c>
      <c r="C1094" s="0" t="s">
        <v>3224</v>
      </c>
      <c r="D1094" s="0" t="n">
        <v>2021</v>
      </c>
      <c r="E1094" s="0" t="s">
        <v>57</v>
      </c>
      <c r="F1094" s="0" t="n">
        <v>285294</v>
      </c>
      <c r="G1094" s="0" t="s">
        <v>1681</v>
      </c>
      <c r="H1094" s="0" t="s">
        <v>1648</v>
      </c>
      <c r="I1094" s="0" t="n">
        <v>285294</v>
      </c>
      <c r="J1094" s="0" t="s">
        <v>3225</v>
      </c>
      <c r="K1094" s="0" t="s">
        <v>1011</v>
      </c>
      <c r="L1094" s="0" t="n">
        <v>2022</v>
      </c>
      <c r="M1094" s="0" t="s">
        <v>1012</v>
      </c>
      <c r="N1094" s="0" t="s">
        <v>101</v>
      </c>
      <c r="O1094" s="0" t="s">
        <v>1149</v>
      </c>
      <c r="P1094" s="0" t="s">
        <v>1604</v>
      </c>
      <c r="Q1094" s="0" t="n">
        <v>139</v>
      </c>
      <c r="R1094" s="0" t="n">
        <v>139</v>
      </c>
      <c r="T1094" s="0" t="s">
        <v>3251</v>
      </c>
      <c r="U1094" s="0" t="s">
        <v>3252</v>
      </c>
      <c r="V1094" s="0" t="s">
        <v>102</v>
      </c>
      <c r="W1094" s="0" t="s">
        <v>3231</v>
      </c>
      <c r="X1094" s="0" t="s">
        <v>3227</v>
      </c>
      <c r="Y1094" s="0" t="s">
        <v>2744</v>
      </c>
      <c r="Z1094" s="0" t="s">
        <v>2745</v>
      </c>
      <c r="AB1094" s="0" t="s">
        <v>1605</v>
      </c>
      <c r="AC1094" s="0" t="s">
        <v>2747</v>
      </c>
      <c r="AD1094" s="0" t="s">
        <v>3228</v>
      </c>
      <c r="AE1094" s="0" t="s">
        <v>1008</v>
      </c>
      <c r="AF1094" s="0" t="s">
        <v>3229</v>
      </c>
      <c r="AH1094" s="0" t="s">
        <v>2751</v>
      </c>
      <c r="AL1094" s="0" t="s">
        <v>384</v>
      </c>
    </row>
    <row r="1095" customFormat="false" ht="15" hidden="false" customHeight="false" outlineLevel="0" collapsed="false">
      <c r="A1095" s="0" t="s">
        <v>481</v>
      </c>
      <c r="B1095" s="0" t="s">
        <v>86</v>
      </c>
      <c r="C1095" s="0" t="s">
        <v>3224</v>
      </c>
      <c r="D1095" s="0" t="n">
        <v>2021</v>
      </c>
      <c r="E1095" s="0" t="s">
        <v>54</v>
      </c>
      <c r="F1095" s="0" t="n">
        <v>23104</v>
      </c>
      <c r="G1095" s="0" t="s">
        <v>1681</v>
      </c>
      <c r="H1095" s="0" t="s">
        <v>1648</v>
      </c>
      <c r="I1095" s="0" t="n">
        <v>23104</v>
      </c>
      <c r="J1095" s="0" t="s">
        <v>3225</v>
      </c>
      <c r="K1095" s="0" t="s">
        <v>1011</v>
      </c>
      <c r="L1095" s="0" t="n">
        <v>2022</v>
      </c>
      <c r="M1095" s="0" t="s">
        <v>1012</v>
      </c>
      <c r="N1095" s="0" t="s">
        <v>101</v>
      </c>
      <c r="O1095" s="0" t="s">
        <v>1149</v>
      </c>
      <c r="P1095" s="0" t="s">
        <v>1604</v>
      </c>
      <c r="Q1095" s="0" t="n">
        <v>138</v>
      </c>
      <c r="R1095" s="0" t="n">
        <v>138</v>
      </c>
      <c r="T1095" s="0" t="s">
        <v>3251</v>
      </c>
      <c r="U1095" s="0" t="s">
        <v>3252</v>
      </c>
      <c r="V1095" s="0" t="s">
        <v>102</v>
      </c>
      <c r="W1095" s="0" t="s">
        <v>3232</v>
      </c>
      <c r="X1095" s="0" t="s">
        <v>3233</v>
      </c>
      <c r="Y1095" s="0" t="s">
        <v>2744</v>
      </c>
      <c r="Z1095" s="0" t="s">
        <v>2745</v>
      </c>
      <c r="AB1095" s="0" t="s">
        <v>1605</v>
      </c>
      <c r="AC1095" s="0" t="s">
        <v>2747</v>
      </c>
      <c r="AD1095" s="0" t="s">
        <v>3228</v>
      </c>
      <c r="AE1095" s="0" t="s">
        <v>1008</v>
      </c>
      <c r="AF1095" s="0" t="s">
        <v>3229</v>
      </c>
      <c r="AH1095" s="0" t="s">
        <v>2751</v>
      </c>
      <c r="AL1095" s="0" t="s">
        <v>384</v>
      </c>
    </row>
    <row r="1096" customFormat="false" ht="15" hidden="false" customHeight="false" outlineLevel="0" collapsed="false">
      <c r="A1096" s="0" t="s">
        <v>494</v>
      </c>
      <c r="B1096" s="0" t="s">
        <v>86</v>
      </c>
      <c r="C1096" s="0" t="s">
        <v>3224</v>
      </c>
      <c r="D1096" s="0" t="n">
        <v>2021</v>
      </c>
      <c r="E1096" s="0" t="s">
        <v>402</v>
      </c>
      <c r="F1096" s="0" t="n">
        <v>25215</v>
      </c>
      <c r="G1096" s="0" t="s">
        <v>1681</v>
      </c>
      <c r="H1096" s="0" t="s">
        <v>1648</v>
      </c>
      <c r="I1096" s="0" t="n">
        <v>25215</v>
      </c>
      <c r="J1096" s="0" t="s">
        <v>3225</v>
      </c>
      <c r="K1096" s="0" t="s">
        <v>1011</v>
      </c>
      <c r="L1096" s="0" t="n">
        <v>2022</v>
      </c>
      <c r="M1096" s="0" t="s">
        <v>1012</v>
      </c>
      <c r="N1096" s="0" t="s">
        <v>101</v>
      </c>
      <c r="O1096" s="0" t="s">
        <v>1149</v>
      </c>
      <c r="P1096" s="0" t="s">
        <v>1604</v>
      </c>
      <c r="Q1096" s="0" t="n">
        <v>138</v>
      </c>
      <c r="R1096" s="0" t="n">
        <v>138</v>
      </c>
      <c r="T1096" s="0" t="s">
        <v>3251</v>
      </c>
      <c r="U1096" s="0" t="s">
        <v>3252</v>
      </c>
      <c r="V1096" s="0" t="s">
        <v>102</v>
      </c>
      <c r="W1096" s="0" t="s">
        <v>3234</v>
      </c>
      <c r="X1096" s="0" t="s">
        <v>3233</v>
      </c>
      <c r="Y1096" s="0" t="s">
        <v>2744</v>
      </c>
      <c r="Z1096" s="0" t="s">
        <v>2745</v>
      </c>
      <c r="AB1096" s="0" t="s">
        <v>1605</v>
      </c>
      <c r="AC1096" s="0" t="s">
        <v>2747</v>
      </c>
      <c r="AD1096" s="0" t="s">
        <v>3228</v>
      </c>
      <c r="AE1096" s="0" t="s">
        <v>1008</v>
      </c>
      <c r="AF1096" s="0" t="s">
        <v>3229</v>
      </c>
      <c r="AH1096" s="0" t="s">
        <v>2751</v>
      </c>
      <c r="AL1096" s="0" t="s">
        <v>384</v>
      </c>
    </row>
    <row r="1097" customFormat="false" ht="15" hidden="false" customHeight="false" outlineLevel="0" collapsed="false">
      <c r="A1097" s="0" t="s">
        <v>489</v>
      </c>
      <c r="B1097" s="0" t="s">
        <v>86</v>
      </c>
      <c r="C1097" s="0" t="s">
        <v>3224</v>
      </c>
      <c r="D1097" s="0" t="n">
        <v>2021</v>
      </c>
      <c r="E1097" s="0" t="s">
        <v>63</v>
      </c>
      <c r="F1097" s="0" t="n">
        <v>-7034</v>
      </c>
      <c r="G1097" s="0" t="s">
        <v>1681</v>
      </c>
      <c r="H1097" s="0" t="s">
        <v>1648</v>
      </c>
      <c r="I1097" s="0" t="n">
        <v>7034</v>
      </c>
      <c r="J1097" s="0" t="s">
        <v>3225</v>
      </c>
      <c r="K1097" s="0" t="s">
        <v>1011</v>
      </c>
      <c r="L1097" s="0" t="n">
        <v>2022</v>
      </c>
      <c r="M1097" s="0" t="s">
        <v>1012</v>
      </c>
      <c r="N1097" s="0" t="s">
        <v>101</v>
      </c>
      <c r="O1097" s="0" t="s">
        <v>1149</v>
      </c>
      <c r="P1097" s="0" t="s">
        <v>1604</v>
      </c>
      <c r="Q1097" s="0" t="n">
        <v>138</v>
      </c>
      <c r="R1097" s="0" t="n">
        <v>138</v>
      </c>
      <c r="S1097" s="0" t="n">
        <v>8</v>
      </c>
      <c r="T1097" s="0" t="s">
        <v>3251</v>
      </c>
      <c r="U1097" s="0" t="s">
        <v>3252</v>
      </c>
      <c r="V1097" s="0" t="s">
        <v>102</v>
      </c>
      <c r="W1097" s="0" t="s">
        <v>3235</v>
      </c>
      <c r="X1097" s="0" t="s">
        <v>3233</v>
      </c>
      <c r="Y1097" s="0" t="s">
        <v>2744</v>
      </c>
      <c r="Z1097" s="0" t="s">
        <v>2745</v>
      </c>
      <c r="AA1097" s="0" t="s">
        <v>3236</v>
      </c>
      <c r="AB1097" s="0" t="s">
        <v>1605</v>
      </c>
      <c r="AC1097" s="0" t="s">
        <v>2747</v>
      </c>
      <c r="AD1097" s="0" t="s">
        <v>3228</v>
      </c>
      <c r="AE1097" s="0" t="s">
        <v>1008</v>
      </c>
      <c r="AF1097" s="0" t="s">
        <v>3229</v>
      </c>
      <c r="AH1097" s="0" t="s">
        <v>2760</v>
      </c>
      <c r="AI1097" s="0" t="s">
        <v>2761</v>
      </c>
      <c r="AL1097" s="0" t="s">
        <v>384</v>
      </c>
    </row>
    <row r="1098" customFormat="false" ht="15" hidden="false" customHeight="false" outlineLevel="0" collapsed="false">
      <c r="A1098" s="0" t="s">
        <v>485</v>
      </c>
      <c r="B1098" s="0" t="s">
        <v>86</v>
      </c>
      <c r="C1098" s="0" t="s">
        <v>3224</v>
      </c>
      <c r="D1098" s="0" t="n">
        <v>2021</v>
      </c>
      <c r="E1098" s="0" t="s">
        <v>58</v>
      </c>
      <c r="F1098" s="0" t="n">
        <v>-107190</v>
      </c>
      <c r="G1098" s="0" t="s">
        <v>1681</v>
      </c>
      <c r="H1098" s="0" t="s">
        <v>1648</v>
      </c>
      <c r="I1098" s="0" t="n">
        <v>-107190</v>
      </c>
      <c r="J1098" s="0" t="s">
        <v>3225</v>
      </c>
      <c r="K1098" s="0" t="s">
        <v>1011</v>
      </c>
      <c r="L1098" s="0" t="n">
        <v>2022</v>
      </c>
      <c r="M1098" s="0" t="s">
        <v>1012</v>
      </c>
      <c r="N1098" s="0" t="s">
        <v>101</v>
      </c>
      <c r="O1098" s="0" t="s">
        <v>1149</v>
      </c>
      <c r="P1098" s="0" t="s">
        <v>1604</v>
      </c>
      <c r="Q1098" s="0" t="n">
        <v>141</v>
      </c>
      <c r="R1098" s="0" t="n">
        <v>141</v>
      </c>
      <c r="T1098" s="0" t="s">
        <v>3251</v>
      </c>
      <c r="U1098" s="0" t="s">
        <v>3252</v>
      </c>
      <c r="V1098" s="0" t="s">
        <v>102</v>
      </c>
      <c r="W1098" s="0" t="s">
        <v>3237</v>
      </c>
      <c r="X1098" s="0" t="s">
        <v>3238</v>
      </c>
      <c r="Y1098" s="0" t="s">
        <v>2744</v>
      </c>
      <c r="Z1098" s="0" t="s">
        <v>2745</v>
      </c>
      <c r="AB1098" s="0" t="s">
        <v>1605</v>
      </c>
      <c r="AC1098" s="0" t="s">
        <v>2747</v>
      </c>
      <c r="AD1098" s="0" t="s">
        <v>3228</v>
      </c>
      <c r="AE1098" s="0" t="s">
        <v>1008</v>
      </c>
      <c r="AF1098" s="0" t="s">
        <v>3229</v>
      </c>
      <c r="AH1098" s="0" t="s">
        <v>2751</v>
      </c>
      <c r="AL1098" s="0" t="s">
        <v>384</v>
      </c>
    </row>
    <row r="1099" customFormat="false" ht="15" hidden="false" customHeight="false" outlineLevel="0" collapsed="false">
      <c r="A1099" s="0" t="s">
        <v>486</v>
      </c>
      <c r="B1099" s="0" t="s">
        <v>86</v>
      </c>
      <c r="C1099" s="0" t="s">
        <v>3224</v>
      </c>
      <c r="D1099" s="0" t="n">
        <v>2021</v>
      </c>
      <c r="E1099" s="0" t="s">
        <v>60</v>
      </c>
      <c r="F1099" s="0" t="n">
        <v>1732543</v>
      </c>
      <c r="G1099" s="0" t="s">
        <v>1681</v>
      </c>
      <c r="H1099" s="0" t="s">
        <v>1648</v>
      </c>
      <c r="I1099" s="0" t="n">
        <v>1732543</v>
      </c>
      <c r="J1099" s="0" t="s">
        <v>3225</v>
      </c>
      <c r="K1099" s="0" t="s">
        <v>1011</v>
      </c>
      <c r="L1099" s="0" t="n">
        <v>2022</v>
      </c>
      <c r="M1099" s="0" t="s">
        <v>1012</v>
      </c>
      <c r="N1099" s="0" t="s">
        <v>101</v>
      </c>
      <c r="O1099" s="0" t="s">
        <v>1149</v>
      </c>
      <c r="P1099" s="0" t="s">
        <v>1604</v>
      </c>
      <c r="Q1099" s="0" t="n">
        <v>225</v>
      </c>
      <c r="R1099" s="0" t="n">
        <v>225</v>
      </c>
      <c r="S1099" s="0" t="n">
        <v>22</v>
      </c>
      <c r="T1099" s="0" t="s">
        <v>3251</v>
      </c>
      <c r="U1099" s="0" t="s">
        <v>3252</v>
      </c>
      <c r="V1099" s="0" t="s">
        <v>102</v>
      </c>
      <c r="W1099" s="0" t="s">
        <v>3239</v>
      </c>
      <c r="X1099" s="0" t="s">
        <v>3240</v>
      </c>
      <c r="Y1099" s="0" t="s">
        <v>2744</v>
      </c>
      <c r="Z1099" s="0" t="s">
        <v>2745</v>
      </c>
      <c r="AA1099" s="0" t="s">
        <v>3241</v>
      </c>
      <c r="AB1099" s="0" t="s">
        <v>1605</v>
      </c>
      <c r="AC1099" s="0" t="s">
        <v>2747</v>
      </c>
      <c r="AD1099" s="0" t="s">
        <v>3228</v>
      </c>
      <c r="AE1099" s="0" t="s">
        <v>1008</v>
      </c>
      <c r="AF1099" s="0" t="s">
        <v>3229</v>
      </c>
      <c r="AH1099" s="0" t="s">
        <v>2751</v>
      </c>
      <c r="AL1099" s="0" t="s">
        <v>384</v>
      </c>
    </row>
    <row r="1100" customFormat="false" ht="15" hidden="false" customHeight="false" outlineLevel="0" collapsed="false">
      <c r="A1100" s="0" t="s">
        <v>487</v>
      </c>
      <c r="B1100" s="0" t="s">
        <v>86</v>
      </c>
      <c r="C1100" s="0" t="s">
        <v>3224</v>
      </c>
      <c r="D1100" s="0" t="n">
        <v>2021</v>
      </c>
      <c r="E1100" s="0" t="s">
        <v>61</v>
      </c>
      <c r="F1100" s="0" t="n">
        <v>-74131</v>
      </c>
      <c r="G1100" s="0" t="s">
        <v>1681</v>
      </c>
      <c r="H1100" s="0" t="s">
        <v>1648</v>
      </c>
      <c r="I1100" s="0" t="n">
        <v>74131</v>
      </c>
      <c r="J1100" s="0" t="s">
        <v>3225</v>
      </c>
      <c r="K1100" s="0" t="s">
        <v>1011</v>
      </c>
      <c r="L1100" s="0" t="n">
        <v>2022</v>
      </c>
      <c r="M1100" s="0" t="s">
        <v>1012</v>
      </c>
      <c r="N1100" s="0" t="s">
        <v>101</v>
      </c>
      <c r="O1100" s="0" t="s">
        <v>1149</v>
      </c>
      <c r="P1100" s="0" t="s">
        <v>1604</v>
      </c>
      <c r="Q1100" s="0" t="n">
        <v>225</v>
      </c>
      <c r="R1100" s="0" t="n">
        <v>225</v>
      </c>
      <c r="S1100" s="0" t="n">
        <v>22</v>
      </c>
      <c r="T1100" s="0" t="s">
        <v>3251</v>
      </c>
      <c r="U1100" s="0" t="s">
        <v>3252</v>
      </c>
      <c r="V1100" s="0" t="s">
        <v>102</v>
      </c>
      <c r="W1100" s="0" t="s">
        <v>3242</v>
      </c>
      <c r="X1100" s="0" t="s">
        <v>3240</v>
      </c>
      <c r="Y1100" s="0" t="s">
        <v>2744</v>
      </c>
      <c r="Z1100" s="0" t="s">
        <v>2745</v>
      </c>
      <c r="AA1100" s="0" t="s">
        <v>2829</v>
      </c>
      <c r="AB1100" s="0" t="s">
        <v>1605</v>
      </c>
      <c r="AC1100" s="0" t="s">
        <v>2747</v>
      </c>
      <c r="AD1100" s="0" t="s">
        <v>3228</v>
      </c>
      <c r="AE1100" s="0" t="s">
        <v>1008</v>
      </c>
      <c r="AF1100" s="0" t="s">
        <v>3229</v>
      </c>
      <c r="AH1100" s="0" t="s">
        <v>2760</v>
      </c>
      <c r="AI1100" s="0" t="s">
        <v>2770</v>
      </c>
      <c r="AL1100" s="0" t="s">
        <v>384</v>
      </c>
    </row>
    <row r="1101" customFormat="false" ht="15" hidden="false" customHeight="false" outlineLevel="0" collapsed="false">
      <c r="A1101" s="0" t="s">
        <v>488</v>
      </c>
      <c r="B1101" s="0" t="s">
        <v>86</v>
      </c>
      <c r="C1101" s="0" t="s">
        <v>3224</v>
      </c>
      <c r="D1101" s="0" t="n">
        <v>2021</v>
      </c>
      <c r="E1101" s="0" t="s">
        <v>62</v>
      </c>
      <c r="F1101" s="0" t="n">
        <v>1658412</v>
      </c>
      <c r="G1101" s="0" t="s">
        <v>1681</v>
      </c>
      <c r="H1101" s="0" t="s">
        <v>1648</v>
      </c>
      <c r="I1101" s="0" t="n">
        <v>1658412</v>
      </c>
      <c r="J1101" s="0" t="s">
        <v>3225</v>
      </c>
      <c r="K1101" s="0" t="s">
        <v>1011</v>
      </c>
      <c r="L1101" s="0" t="n">
        <v>2022</v>
      </c>
      <c r="M1101" s="0" t="s">
        <v>1012</v>
      </c>
      <c r="N1101" s="0" t="s">
        <v>101</v>
      </c>
      <c r="O1101" s="0" t="s">
        <v>1149</v>
      </c>
      <c r="P1101" s="0" t="s">
        <v>1604</v>
      </c>
      <c r="Q1101" s="0" t="n">
        <v>225</v>
      </c>
      <c r="R1101" s="0" t="n">
        <v>225</v>
      </c>
      <c r="S1101" s="0" t="n">
        <v>22</v>
      </c>
      <c r="T1101" s="0" t="s">
        <v>3251</v>
      </c>
      <c r="U1101" s="0" t="s">
        <v>3252</v>
      </c>
      <c r="V1101" s="0" t="s">
        <v>102</v>
      </c>
      <c r="W1101" s="0" t="s">
        <v>3243</v>
      </c>
      <c r="X1101" s="0" t="s">
        <v>3240</v>
      </c>
      <c r="Y1101" s="0" t="s">
        <v>2744</v>
      </c>
      <c r="Z1101" s="0" t="s">
        <v>2745</v>
      </c>
      <c r="AA1101" s="0" t="s">
        <v>3096</v>
      </c>
      <c r="AB1101" s="0" t="s">
        <v>1605</v>
      </c>
      <c r="AC1101" s="0" t="s">
        <v>2747</v>
      </c>
      <c r="AD1101" s="0" t="s">
        <v>3228</v>
      </c>
      <c r="AE1101" s="0" t="s">
        <v>1008</v>
      </c>
      <c r="AF1101" s="0" t="s">
        <v>3229</v>
      </c>
      <c r="AH1101" s="0" t="s">
        <v>2751</v>
      </c>
      <c r="AL1101" s="0" t="s">
        <v>384</v>
      </c>
    </row>
    <row r="1102" customFormat="false" ht="15" hidden="false" customHeight="false" outlineLevel="0" collapsed="false">
      <c r="A1102" s="0" t="s">
        <v>492</v>
      </c>
      <c r="B1102" s="0" t="s">
        <v>86</v>
      </c>
      <c r="C1102" s="0" t="s">
        <v>3224</v>
      </c>
      <c r="D1102" s="0" t="n">
        <v>2021</v>
      </c>
      <c r="E1102" s="0" t="s">
        <v>65</v>
      </c>
      <c r="F1102" s="0" t="n">
        <v>292323</v>
      </c>
      <c r="G1102" s="0" t="s">
        <v>1681</v>
      </c>
      <c r="H1102" s="0" t="s">
        <v>1648</v>
      </c>
      <c r="I1102" s="0" t="n">
        <v>292323</v>
      </c>
      <c r="J1102" s="0" t="s">
        <v>3225</v>
      </c>
      <c r="K1102" s="0" t="s">
        <v>1011</v>
      </c>
      <c r="L1102" s="0" t="n">
        <v>2022</v>
      </c>
      <c r="M1102" s="0" t="s">
        <v>1012</v>
      </c>
      <c r="N1102" s="0" t="s">
        <v>101</v>
      </c>
      <c r="O1102" s="0" t="s">
        <v>1149</v>
      </c>
      <c r="P1102" s="0" t="s">
        <v>1604</v>
      </c>
      <c r="Q1102" s="0" t="n">
        <v>209</v>
      </c>
      <c r="R1102" s="0" t="n">
        <v>209</v>
      </c>
      <c r="T1102" s="0" t="s">
        <v>3251</v>
      </c>
      <c r="U1102" s="0" t="s">
        <v>3252</v>
      </c>
      <c r="V1102" s="0" t="s">
        <v>102</v>
      </c>
      <c r="W1102" s="0" t="s">
        <v>3244</v>
      </c>
      <c r="X1102" s="0" t="s">
        <v>3245</v>
      </c>
      <c r="Y1102" s="0" t="s">
        <v>2744</v>
      </c>
      <c r="Z1102" s="0" t="s">
        <v>2745</v>
      </c>
      <c r="AA1102" s="0" t="s">
        <v>3246</v>
      </c>
      <c r="AB1102" s="0" t="s">
        <v>1605</v>
      </c>
      <c r="AC1102" s="0" t="s">
        <v>2747</v>
      </c>
      <c r="AD1102" s="0" t="s">
        <v>3228</v>
      </c>
      <c r="AE1102" s="0" t="s">
        <v>1008</v>
      </c>
      <c r="AF1102" s="0" t="s">
        <v>3229</v>
      </c>
      <c r="AH1102" s="0" t="s">
        <v>2751</v>
      </c>
      <c r="AL1102" s="0" t="s">
        <v>384</v>
      </c>
    </row>
    <row r="1103" customFormat="false" ht="15" hidden="false" customHeight="false" outlineLevel="0" collapsed="false">
      <c r="A1103" s="0" t="s">
        <v>493</v>
      </c>
      <c r="B1103" s="0" t="s">
        <v>86</v>
      </c>
      <c r="C1103" s="0" t="s">
        <v>3224</v>
      </c>
      <c r="D1103" s="0" t="n">
        <v>2021</v>
      </c>
      <c r="E1103" s="0" t="s">
        <v>66</v>
      </c>
      <c r="F1103" s="0" t="n">
        <v>1526722</v>
      </c>
      <c r="G1103" s="0" t="s">
        <v>1681</v>
      </c>
      <c r="H1103" s="0" t="s">
        <v>1648</v>
      </c>
      <c r="I1103" s="0" t="n">
        <v>1526722</v>
      </c>
      <c r="J1103" s="0" t="s">
        <v>3225</v>
      </c>
      <c r="K1103" s="0" t="s">
        <v>1011</v>
      </c>
      <c r="L1103" s="0" t="n">
        <v>2022</v>
      </c>
      <c r="M1103" s="0" t="s">
        <v>1012</v>
      </c>
      <c r="N1103" s="0" t="s">
        <v>101</v>
      </c>
      <c r="O1103" s="0" t="s">
        <v>1149</v>
      </c>
      <c r="P1103" s="0" t="s">
        <v>1604</v>
      </c>
      <c r="Q1103" s="0" t="n">
        <v>209</v>
      </c>
      <c r="R1103" s="0" t="n">
        <v>209</v>
      </c>
      <c r="T1103" s="0" t="s">
        <v>3251</v>
      </c>
      <c r="U1103" s="0" t="s">
        <v>3252</v>
      </c>
      <c r="V1103" s="0" t="s">
        <v>102</v>
      </c>
      <c r="W1103" s="0" t="s">
        <v>3247</v>
      </c>
      <c r="X1103" s="0" t="s">
        <v>3245</v>
      </c>
      <c r="Y1103" s="0" t="s">
        <v>2744</v>
      </c>
      <c r="Z1103" s="0" t="s">
        <v>2745</v>
      </c>
      <c r="AB1103" s="0" t="s">
        <v>1605</v>
      </c>
      <c r="AC1103" s="0" t="s">
        <v>2747</v>
      </c>
      <c r="AD1103" s="0" t="s">
        <v>3228</v>
      </c>
      <c r="AE1103" s="0" t="s">
        <v>1008</v>
      </c>
      <c r="AF1103" s="0" t="s">
        <v>3229</v>
      </c>
      <c r="AH1103" s="0" t="s">
        <v>2751</v>
      </c>
      <c r="AL1103" s="0" t="s">
        <v>384</v>
      </c>
    </row>
    <row r="1104" customFormat="false" ht="15" hidden="false" customHeight="false" outlineLevel="0" collapsed="false">
      <c r="A1104" s="0" t="s">
        <v>490</v>
      </c>
      <c r="B1104" s="0" t="s">
        <v>86</v>
      </c>
      <c r="C1104" s="0" t="s">
        <v>3224</v>
      </c>
      <c r="D1104" s="0" t="n">
        <v>2021</v>
      </c>
      <c r="E1104" s="0" t="s">
        <v>69</v>
      </c>
      <c r="F1104" s="0" t="s">
        <v>3253</v>
      </c>
      <c r="G1104" s="0" t="s">
        <v>1723</v>
      </c>
      <c r="I1104" s="0" t="n">
        <v>19.15</v>
      </c>
      <c r="J1104" s="0" t="s">
        <v>3225</v>
      </c>
      <c r="K1104" s="0" t="s">
        <v>1011</v>
      </c>
      <c r="L1104" s="0" t="n">
        <v>2022</v>
      </c>
      <c r="M1104" s="0" t="s">
        <v>1012</v>
      </c>
      <c r="N1104" s="0" t="s">
        <v>101</v>
      </c>
      <c r="O1104" s="0" t="s">
        <v>1149</v>
      </c>
      <c r="P1104" s="0" t="s">
        <v>1604</v>
      </c>
      <c r="Q1104" s="0" t="n">
        <v>209</v>
      </c>
      <c r="R1104" s="0" t="n">
        <v>209</v>
      </c>
      <c r="T1104" s="0" t="s">
        <v>3251</v>
      </c>
      <c r="U1104" s="0" t="s">
        <v>3252</v>
      </c>
      <c r="V1104" s="0" t="s">
        <v>102</v>
      </c>
      <c r="W1104" s="0" t="s">
        <v>3249</v>
      </c>
      <c r="X1104" s="0" t="s">
        <v>3245</v>
      </c>
      <c r="Y1104" s="0" t="s">
        <v>2744</v>
      </c>
      <c r="Z1104" s="0" t="s">
        <v>2745</v>
      </c>
      <c r="AB1104" s="0" t="s">
        <v>1605</v>
      </c>
      <c r="AC1104" s="0" t="s">
        <v>2747</v>
      </c>
      <c r="AD1104" s="0" t="s">
        <v>3228</v>
      </c>
      <c r="AE1104" s="0" t="s">
        <v>1008</v>
      </c>
      <c r="AF1104" s="0" t="s">
        <v>3229</v>
      </c>
      <c r="AH1104" s="0" t="s">
        <v>2751</v>
      </c>
      <c r="AL1104" s="0" t="s">
        <v>384</v>
      </c>
    </row>
    <row r="1105" customFormat="false" ht="15" hidden="false" customHeight="false" outlineLevel="0" collapsed="false">
      <c r="A1105" s="0" t="s">
        <v>491</v>
      </c>
      <c r="B1105" s="0" t="s">
        <v>86</v>
      </c>
      <c r="C1105" s="0" t="s">
        <v>3224</v>
      </c>
      <c r="D1105" s="0" t="n">
        <v>2021</v>
      </c>
      <c r="E1105" s="0" t="s">
        <v>70</v>
      </c>
      <c r="F1105" s="0" t="s">
        <v>2840</v>
      </c>
      <c r="G1105" s="0" t="s">
        <v>1723</v>
      </c>
      <c r="I1105" s="0" t="n">
        <v>15</v>
      </c>
      <c r="J1105" s="0" t="s">
        <v>3225</v>
      </c>
      <c r="K1105" s="0" t="s">
        <v>1011</v>
      </c>
      <c r="L1105" s="0" t="n">
        <v>2022</v>
      </c>
      <c r="M1105" s="0" t="s">
        <v>1012</v>
      </c>
      <c r="N1105" s="0" t="s">
        <v>101</v>
      </c>
      <c r="O1105" s="0" t="s">
        <v>1149</v>
      </c>
      <c r="P1105" s="0" t="s">
        <v>1604</v>
      </c>
      <c r="Q1105" s="0" t="n">
        <v>209</v>
      </c>
      <c r="R1105" s="0" t="n">
        <v>209</v>
      </c>
      <c r="T1105" s="0" t="s">
        <v>3251</v>
      </c>
      <c r="U1105" s="0" t="s">
        <v>3252</v>
      </c>
      <c r="V1105" s="0" t="s">
        <v>102</v>
      </c>
      <c r="W1105" s="0" t="s">
        <v>3250</v>
      </c>
      <c r="X1105" s="0" t="s">
        <v>3245</v>
      </c>
      <c r="Y1105" s="0" t="s">
        <v>2744</v>
      </c>
      <c r="Z1105" s="0" t="s">
        <v>2745</v>
      </c>
      <c r="AB1105" s="0" t="s">
        <v>1605</v>
      </c>
      <c r="AC1105" s="0" t="s">
        <v>2747</v>
      </c>
      <c r="AD1105" s="0" t="s">
        <v>3228</v>
      </c>
      <c r="AE1105" s="0" t="s">
        <v>1008</v>
      </c>
      <c r="AF1105" s="0" t="s">
        <v>3229</v>
      </c>
      <c r="AH1105" s="0" t="s">
        <v>2751</v>
      </c>
      <c r="AL1105" s="0" t="s">
        <v>384</v>
      </c>
    </row>
    <row r="1106" customFormat="false" ht="15" hidden="false" customHeight="false" outlineLevel="0" collapsed="false">
      <c r="A1106" s="0" t="s">
        <v>500</v>
      </c>
      <c r="B1106" s="0" t="s">
        <v>86</v>
      </c>
      <c r="C1106" s="0" t="s">
        <v>3224</v>
      </c>
      <c r="D1106" s="0" t="n">
        <v>2022</v>
      </c>
      <c r="E1106" s="0" t="s">
        <v>59</v>
      </c>
      <c r="F1106" s="0" t="n">
        <v>3280454</v>
      </c>
      <c r="G1106" s="0" t="s">
        <v>1681</v>
      </c>
      <c r="H1106" s="0" t="s">
        <v>1648</v>
      </c>
      <c r="I1106" s="0" t="n">
        <v>3280454</v>
      </c>
      <c r="J1106" s="0" t="s">
        <v>3225</v>
      </c>
      <c r="K1106" s="0" t="s">
        <v>1011</v>
      </c>
      <c r="L1106" s="0" t="n">
        <v>2022</v>
      </c>
      <c r="M1106" s="0" t="s">
        <v>1012</v>
      </c>
      <c r="N1106" s="0" t="s">
        <v>101</v>
      </c>
      <c r="O1106" s="0" t="s">
        <v>1149</v>
      </c>
      <c r="P1106" s="0" t="s">
        <v>1604</v>
      </c>
      <c r="Q1106" s="0" t="n">
        <v>139</v>
      </c>
      <c r="R1106" s="0" t="n">
        <v>139</v>
      </c>
      <c r="T1106" s="0" t="s">
        <v>3251</v>
      </c>
      <c r="U1106" s="0" t="s">
        <v>2852</v>
      </c>
      <c r="V1106" s="0" t="s">
        <v>103</v>
      </c>
      <c r="W1106" s="0" t="s">
        <v>3226</v>
      </c>
      <c r="X1106" s="0" t="s">
        <v>3227</v>
      </c>
      <c r="Y1106" s="0" t="s">
        <v>2744</v>
      </c>
      <c r="Z1106" s="0" t="s">
        <v>2745</v>
      </c>
      <c r="AA1106" s="0" t="s">
        <v>3254</v>
      </c>
      <c r="AB1106" s="0" t="s">
        <v>1605</v>
      </c>
      <c r="AC1106" s="0" t="s">
        <v>2747</v>
      </c>
      <c r="AD1106" s="0" t="s">
        <v>3228</v>
      </c>
      <c r="AE1106" s="0" t="s">
        <v>1008</v>
      </c>
      <c r="AF1106" s="0" t="s">
        <v>3229</v>
      </c>
      <c r="AH1106" s="0" t="s">
        <v>2751</v>
      </c>
      <c r="AL1106" s="0" t="s">
        <v>384</v>
      </c>
    </row>
    <row r="1107" customFormat="false" ht="15" hidden="false" customHeight="false" outlineLevel="0" collapsed="false">
      <c r="A1107" s="0" t="s">
        <v>302</v>
      </c>
      <c r="B1107" s="0" t="s">
        <v>138</v>
      </c>
      <c r="C1107" s="0" t="s">
        <v>2792</v>
      </c>
      <c r="D1107" s="0" t="n">
        <v>2018</v>
      </c>
      <c r="E1107" s="0" t="s">
        <v>73</v>
      </c>
      <c r="F1107" s="0" t="n">
        <v>0</v>
      </c>
      <c r="G1107" s="0" t="s">
        <v>2844</v>
      </c>
      <c r="I1107" s="0" t="n">
        <v>0</v>
      </c>
      <c r="J1107" s="0" t="s">
        <v>2845</v>
      </c>
      <c r="K1107" s="0" t="s">
        <v>966</v>
      </c>
      <c r="L1107" s="0" t="n">
        <v>2018</v>
      </c>
      <c r="M1107" s="0" t="s">
        <v>967</v>
      </c>
      <c r="N1107" s="0" t="s">
        <v>142</v>
      </c>
      <c r="O1107" s="0" t="s">
        <v>1216</v>
      </c>
      <c r="P1107" s="0" t="s">
        <v>1552</v>
      </c>
      <c r="Q1107" s="0" t="n">
        <v>56</v>
      </c>
      <c r="S1107" s="0" t="s">
        <v>3255</v>
      </c>
      <c r="T1107" s="0" t="s">
        <v>3256</v>
      </c>
      <c r="U1107" s="0" t="s">
        <v>3257</v>
      </c>
      <c r="V1107" s="0" t="s">
        <v>574</v>
      </c>
      <c r="W1107" s="0" t="s">
        <v>2938</v>
      </c>
      <c r="X1107" s="0" t="s">
        <v>3258</v>
      </c>
      <c r="Y1107" s="0" t="s">
        <v>2799</v>
      </c>
      <c r="Z1107" s="0" t="s">
        <v>2745</v>
      </c>
      <c r="AA1107" s="0" t="s">
        <v>3259</v>
      </c>
      <c r="AB1107" s="0" t="s">
        <v>1553</v>
      </c>
      <c r="AC1107" s="0" t="s">
        <v>2747</v>
      </c>
      <c r="AD1107" s="0" t="s">
        <v>2748</v>
      </c>
      <c r="AG1107" s="0" t="s">
        <v>944</v>
      </c>
      <c r="AH1107" s="0" t="s">
        <v>2751</v>
      </c>
      <c r="AL1107" s="0" t="s">
        <v>400</v>
      </c>
    </row>
    <row r="1108" customFormat="false" ht="15" hidden="false" customHeight="false" outlineLevel="0" collapsed="false">
      <c r="A1108" s="0" t="s">
        <v>304</v>
      </c>
      <c r="B1108" s="0" t="s">
        <v>138</v>
      </c>
      <c r="C1108" s="0" t="s">
        <v>2792</v>
      </c>
      <c r="D1108" s="0" t="n">
        <v>2020</v>
      </c>
      <c r="E1108" s="0" t="s">
        <v>73</v>
      </c>
      <c r="F1108" s="0" t="n">
        <v>0</v>
      </c>
      <c r="G1108" s="0" t="s">
        <v>2844</v>
      </c>
      <c r="I1108" s="0" t="n">
        <v>0</v>
      </c>
      <c r="J1108" s="0" t="s">
        <v>2845</v>
      </c>
      <c r="K1108" s="0" t="s">
        <v>974</v>
      </c>
      <c r="L1108" s="0" t="n">
        <v>2020</v>
      </c>
      <c r="M1108" s="0" t="s">
        <v>975</v>
      </c>
      <c r="N1108" s="0" t="s">
        <v>146</v>
      </c>
      <c r="O1108" s="0" t="s">
        <v>1184</v>
      </c>
      <c r="P1108" s="0" t="s">
        <v>1555</v>
      </c>
      <c r="Q1108" s="0" t="n">
        <v>47</v>
      </c>
      <c r="S1108" s="0" t="s">
        <v>3255</v>
      </c>
      <c r="T1108" s="0" t="s">
        <v>3260</v>
      </c>
      <c r="U1108" s="0" t="s">
        <v>3261</v>
      </c>
      <c r="V1108" s="0" t="s">
        <v>712</v>
      </c>
      <c r="W1108" s="0" t="s">
        <v>2938</v>
      </c>
      <c r="X1108" s="0" t="s">
        <v>3262</v>
      </c>
      <c r="Y1108" s="0" t="s">
        <v>2799</v>
      </c>
      <c r="Z1108" s="0" t="s">
        <v>2745</v>
      </c>
      <c r="AA1108" s="0" t="s">
        <v>3263</v>
      </c>
      <c r="AB1108" s="0" t="s">
        <v>1553</v>
      </c>
      <c r="AC1108" s="0" t="s">
        <v>2747</v>
      </c>
      <c r="AD1108" s="0" t="s">
        <v>2748</v>
      </c>
      <c r="AG1108" s="0" t="s">
        <v>944</v>
      </c>
      <c r="AH1108" s="0" t="s">
        <v>2751</v>
      </c>
      <c r="AL1108" s="0" t="s">
        <v>400</v>
      </c>
    </row>
    <row r="1109" customFormat="false" ht="15" hidden="false" customHeight="false" outlineLevel="0" collapsed="false">
      <c r="A1109" s="0" t="s">
        <v>305</v>
      </c>
      <c r="B1109" s="0" t="s">
        <v>138</v>
      </c>
      <c r="C1109" s="0" t="s">
        <v>2792</v>
      </c>
      <c r="D1109" s="0" t="n">
        <v>2022</v>
      </c>
      <c r="E1109" s="0" t="s">
        <v>73</v>
      </c>
      <c r="F1109" s="0" t="n">
        <v>0</v>
      </c>
      <c r="G1109" s="0" t="s">
        <v>2844</v>
      </c>
      <c r="I1109" s="0" t="n">
        <v>0</v>
      </c>
      <c r="J1109" s="0" t="s">
        <v>2845</v>
      </c>
      <c r="K1109" s="0" t="s">
        <v>981</v>
      </c>
      <c r="L1109" s="0" t="n">
        <v>2022</v>
      </c>
      <c r="M1109" s="0" t="s">
        <v>982</v>
      </c>
      <c r="N1109" s="0" t="s">
        <v>149</v>
      </c>
      <c r="O1109" s="0" t="s">
        <v>1175</v>
      </c>
      <c r="P1109" s="0" t="s">
        <v>1557</v>
      </c>
      <c r="Q1109" s="0" t="n">
        <v>52</v>
      </c>
      <c r="S1109" s="0" t="s">
        <v>3255</v>
      </c>
      <c r="T1109" s="0" t="s">
        <v>3264</v>
      </c>
      <c r="U1109" s="0" t="s">
        <v>3265</v>
      </c>
      <c r="V1109" s="0" t="s">
        <v>509</v>
      </c>
      <c r="W1109" s="0" t="s">
        <v>2938</v>
      </c>
      <c r="X1109" s="0" t="s">
        <v>3266</v>
      </c>
      <c r="Y1109" s="0" t="s">
        <v>2799</v>
      </c>
      <c r="Z1109" s="0" t="s">
        <v>2745</v>
      </c>
      <c r="AA1109" s="0" t="s">
        <v>3267</v>
      </c>
      <c r="AB1109" s="0" t="s">
        <v>1558</v>
      </c>
      <c r="AC1109" s="0" t="s">
        <v>2747</v>
      </c>
      <c r="AD1109" s="0" t="s">
        <v>2748</v>
      </c>
      <c r="AG1109" s="0" t="s">
        <v>944</v>
      </c>
      <c r="AH1109" s="0" t="s">
        <v>2751</v>
      </c>
      <c r="AL1109" s="0" t="s">
        <v>400</v>
      </c>
    </row>
    <row r="1110" customFormat="false" ht="15" hidden="false" customHeight="false" outlineLevel="0" collapsed="false">
      <c r="A1110" s="0" t="s">
        <v>306</v>
      </c>
      <c r="B1110" s="0" t="s">
        <v>154</v>
      </c>
      <c r="C1110" s="0" t="s">
        <v>2738</v>
      </c>
      <c r="D1110" s="0" t="n">
        <v>2016</v>
      </c>
      <c r="E1110" s="0" t="s">
        <v>73</v>
      </c>
      <c r="F1110" s="0" t="n">
        <v>0</v>
      </c>
      <c r="G1110" s="0" t="s">
        <v>2844</v>
      </c>
      <c r="I1110" s="0" t="n">
        <v>0</v>
      </c>
      <c r="J1110" s="0" t="s">
        <v>2845</v>
      </c>
      <c r="K1110" s="0" t="s">
        <v>986</v>
      </c>
      <c r="L1110" s="0" t="n">
        <v>2016</v>
      </c>
      <c r="M1110" s="0" t="s">
        <v>987</v>
      </c>
      <c r="N1110" s="0" t="s">
        <v>157</v>
      </c>
      <c r="O1110" s="0" t="s">
        <v>1217</v>
      </c>
      <c r="P1110" s="0" t="s">
        <v>1566</v>
      </c>
      <c r="Q1110" s="0" t="n">
        <v>58</v>
      </c>
      <c r="S1110" s="0" t="s">
        <v>3255</v>
      </c>
      <c r="T1110" s="0" t="s">
        <v>3268</v>
      </c>
      <c r="U1110" s="0" t="s">
        <v>3269</v>
      </c>
      <c r="V1110" s="0" t="s">
        <v>714</v>
      </c>
      <c r="W1110" s="0" t="s">
        <v>2938</v>
      </c>
      <c r="X1110" s="0" t="s">
        <v>3270</v>
      </c>
      <c r="Y1110" s="0" t="s">
        <v>2799</v>
      </c>
      <c r="Z1110" s="0" t="s">
        <v>2745</v>
      </c>
      <c r="AA1110" s="0" t="s">
        <v>3271</v>
      </c>
      <c r="AB1110" s="0" t="s">
        <v>1564</v>
      </c>
      <c r="AC1110" s="0" t="s">
        <v>2747</v>
      </c>
      <c r="AD1110" s="0" t="s">
        <v>2748</v>
      </c>
      <c r="AG1110" s="0" t="s">
        <v>944</v>
      </c>
      <c r="AH1110" s="0" t="s">
        <v>2751</v>
      </c>
      <c r="AL1110" s="0" t="s">
        <v>400</v>
      </c>
    </row>
    <row r="1111" customFormat="false" ht="15" hidden="false" customHeight="false" outlineLevel="0" collapsed="false">
      <c r="A1111" s="0" t="s">
        <v>307</v>
      </c>
      <c r="B1111" s="0" t="s">
        <v>154</v>
      </c>
      <c r="C1111" s="0" t="s">
        <v>2738</v>
      </c>
      <c r="D1111" s="0" t="n">
        <v>2020</v>
      </c>
      <c r="E1111" s="0" t="s">
        <v>73</v>
      </c>
      <c r="F1111" s="0" t="n">
        <v>0</v>
      </c>
      <c r="G1111" s="0" t="s">
        <v>2844</v>
      </c>
      <c r="I1111" s="0" t="n">
        <v>0</v>
      </c>
      <c r="J1111" s="0" t="s">
        <v>2845</v>
      </c>
      <c r="K1111" s="0" t="s">
        <v>992</v>
      </c>
      <c r="L1111" s="0" t="n">
        <v>2020</v>
      </c>
      <c r="M1111" s="0" t="s">
        <v>993</v>
      </c>
      <c r="N1111" s="0" t="s">
        <v>159</v>
      </c>
      <c r="O1111" s="0" t="s">
        <v>1202</v>
      </c>
      <c r="P1111" s="0" t="s">
        <v>1571</v>
      </c>
      <c r="Q1111" s="0" t="n">
        <v>28</v>
      </c>
      <c r="S1111" s="0" t="s">
        <v>3255</v>
      </c>
      <c r="T1111" s="0" t="s">
        <v>3272</v>
      </c>
      <c r="U1111" s="0" t="s">
        <v>3261</v>
      </c>
      <c r="V1111" s="0" t="s">
        <v>712</v>
      </c>
      <c r="W1111" s="0" t="s">
        <v>2938</v>
      </c>
      <c r="X1111" s="0" t="s">
        <v>3273</v>
      </c>
      <c r="Y1111" s="0" t="s">
        <v>2799</v>
      </c>
      <c r="Z1111" s="0" t="s">
        <v>2745</v>
      </c>
      <c r="AA1111" s="0" t="s">
        <v>3274</v>
      </c>
      <c r="AB1111" s="0" t="s">
        <v>1572</v>
      </c>
      <c r="AC1111" s="0" t="s">
        <v>2747</v>
      </c>
      <c r="AD1111" s="0" t="s">
        <v>2748</v>
      </c>
      <c r="AG1111" s="0" t="s">
        <v>944</v>
      </c>
      <c r="AH1111" s="0" t="s">
        <v>2751</v>
      </c>
      <c r="AL1111" s="0" t="s">
        <v>400</v>
      </c>
    </row>
    <row r="1112" customFormat="false" ht="15" hidden="false" customHeight="false" outlineLevel="0" collapsed="false">
      <c r="A1112" s="0" t="s">
        <v>308</v>
      </c>
      <c r="B1112" s="0" t="s">
        <v>154</v>
      </c>
      <c r="C1112" s="0" t="s">
        <v>2738</v>
      </c>
      <c r="D1112" s="0" t="n">
        <v>2022</v>
      </c>
      <c r="E1112" s="0" t="s">
        <v>73</v>
      </c>
      <c r="F1112" s="0" t="n">
        <v>0</v>
      </c>
      <c r="G1112" s="0" t="s">
        <v>2844</v>
      </c>
      <c r="I1112" s="0" t="n">
        <v>0</v>
      </c>
      <c r="J1112" s="0" t="s">
        <v>2845</v>
      </c>
      <c r="K1112" s="0" t="s">
        <v>999</v>
      </c>
      <c r="L1112" s="0" t="n">
        <v>2022</v>
      </c>
      <c r="M1112" s="0" t="s">
        <v>1000</v>
      </c>
      <c r="N1112" s="0" t="s">
        <v>160</v>
      </c>
      <c r="O1112" s="0" t="s">
        <v>1158</v>
      </c>
      <c r="P1112" s="0" t="s">
        <v>1608</v>
      </c>
      <c r="Q1112" s="0" t="n">
        <v>109</v>
      </c>
      <c r="S1112" s="0" t="s">
        <v>3255</v>
      </c>
      <c r="T1112" s="0" t="s">
        <v>3275</v>
      </c>
      <c r="U1112" s="0" t="s">
        <v>3265</v>
      </c>
      <c r="V1112" s="0" t="s">
        <v>509</v>
      </c>
      <c r="W1112" s="0" t="s">
        <v>2938</v>
      </c>
      <c r="X1112" s="0" t="s">
        <v>3276</v>
      </c>
      <c r="Y1112" s="0" t="s">
        <v>2799</v>
      </c>
      <c r="Z1112" s="0" t="s">
        <v>2745</v>
      </c>
      <c r="AA1112" s="0" t="s">
        <v>3277</v>
      </c>
      <c r="AB1112" s="0" t="s">
        <v>1609</v>
      </c>
      <c r="AC1112" s="0" t="s">
        <v>2747</v>
      </c>
      <c r="AD1112" s="0" t="s">
        <v>2748</v>
      </c>
      <c r="AG1112" s="0" t="s">
        <v>944</v>
      </c>
      <c r="AH1112" s="0" t="s">
        <v>2751</v>
      </c>
      <c r="AL1112" s="0" t="s">
        <v>400</v>
      </c>
    </row>
    <row r="1113" customFormat="false" ht="15" hidden="false" customHeight="false" outlineLevel="0" collapsed="false">
      <c r="A1113" s="0" t="s">
        <v>309</v>
      </c>
      <c r="B1113" s="0" t="s">
        <v>86</v>
      </c>
      <c r="C1113" s="0" t="s">
        <v>3224</v>
      </c>
      <c r="D1113" s="0" t="n">
        <v>2019</v>
      </c>
      <c r="E1113" s="0" t="s">
        <v>73</v>
      </c>
      <c r="F1113" s="0" t="n">
        <v>0</v>
      </c>
      <c r="G1113" s="0" t="s">
        <v>2844</v>
      </c>
      <c r="I1113" s="0" t="n">
        <v>0</v>
      </c>
      <c r="J1113" s="0" t="s">
        <v>3278</v>
      </c>
      <c r="K1113" s="0" t="s">
        <v>1003</v>
      </c>
      <c r="L1113" s="0" t="n">
        <v>2019</v>
      </c>
      <c r="M1113" s="0" t="s">
        <v>1004</v>
      </c>
      <c r="N1113" s="0" t="s">
        <v>98</v>
      </c>
      <c r="O1113" s="0" t="s">
        <v>1180</v>
      </c>
      <c r="P1113" s="0" t="s">
        <v>1521</v>
      </c>
      <c r="Q1113" s="0" t="n">
        <v>57</v>
      </c>
      <c r="S1113" s="0" t="s">
        <v>3255</v>
      </c>
      <c r="T1113" s="0" t="s">
        <v>3279</v>
      </c>
      <c r="U1113" s="0" t="s">
        <v>3280</v>
      </c>
      <c r="V1113" s="0" t="s">
        <v>463</v>
      </c>
      <c r="W1113" s="0" t="s">
        <v>2938</v>
      </c>
      <c r="X1113" s="0" t="s">
        <v>3281</v>
      </c>
      <c r="Y1113" s="0" t="s">
        <v>2799</v>
      </c>
      <c r="Z1113" s="0" t="s">
        <v>2745</v>
      </c>
      <c r="AA1113" s="0" t="s">
        <v>3282</v>
      </c>
      <c r="AB1113" s="0" t="s">
        <v>1519</v>
      </c>
      <c r="AC1113" s="0" t="s">
        <v>2747</v>
      </c>
      <c r="AD1113" s="0" t="s">
        <v>3228</v>
      </c>
      <c r="AG1113" s="0" t="s">
        <v>1008</v>
      </c>
      <c r="AH1113" s="0" t="s">
        <v>2751</v>
      </c>
      <c r="AL1113" s="0" t="s">
        <v>400</v>
      </c>
    </row>
    <row r="1114" customFormat="false" ht="15" hidden="false" customHeight="false" outlineLevel="0" collapsed="false">
      <c r="A1114" s="0" t="s">
        <v>510</v>
      </c>
      <c r="B1114" s="0" t="s">
        <v>86</v>
      </c>
      <c r="C1114" s="0" t="s">
        <v>3224</v>
      </c>
      <c r="D1114" s="0" t="n">
        <v>2022</v>
      </c>
      <c r="E1114" s="0" t="s">
        <v>73</v>
      </c>
      <c r="F1114" s="0" t="n">
        <v>0</v>
      </c>
      <c r="G1114" s="0" t="s">
        <v>2844</v>
      </c>
      <c r="I1114" s="0" t="n">
        <v>0</v>
      </c>
      <c r="J1114" s="0" t="s">
        <v>3278</v>
      </c>
      <c r="K1114" s="0" t="s">
        <v>1011</v>
      </c>
      <c r="L1114" s="0" t="n">
        <v>2022</v>
      </c>
      <c r="M1114" s="0" t="s">
        <v>1012</v>
      </c>
      <c r="N1114" s="0" t="s">
        <v>101</v>
      </c>
      <c r="O1114" s="0" t="s">
        <v>1149</v>
      </c>
      <c r="P1114" s="0" t="s">
        <v>1604</v>
      </c>
      <c r="Q1114" s="0" t="n">
        <v>130</v>
      </c>
      <c r="S1114" s="0" t="s">
        <v>3255</v>
      </c>
      <c r="T1114" s="0" t="s">
        <v>3283</v>
      </c>
      <c r="U1114" s="0" t="s">
        <v>3265</v>
      </c>
      <c r="V1114" s="0" t="s">
        <v>509</v>
      </c>
      <c r="W1114" s="0" t="s">
        <v>2938</v>
      </c>
      <c r="X1114" s="0" t="s">
        <v>3284</v>
      </c>
      <c r="Y1114" s="0" t="s">
        <v>2799</v>
      </c>
      <c r="Z1114" s="0" t="s">
        <v>2745</v>
      </c>
      <c r="AA1114" s="0" t="s">
        <v>3285</v>
      </c>
      <c r="AB1114" s="0" t="s">
        <v>1605</v>
      </c>
      <c r="AC1114" s="0" t="s">
        <v>2747</v>
      </c>
      <c r="AD1114" s="0" t="s">
        <v>3228</v>
      </c>
      <c r="AG1114" s="0" t="s">
        <v>1008</v>
      </c>
      <c r="AH1114" s="0" t="s">
        <v>2751</v>
      </c>
      <c r="AL1114" s="0" t="s">
        <v>400</v>
      </c>
    </row>
    <row r="1115" customFormat="false" ht="15" hidden="false" customHeight="false" outlineLevel="0" collapsed="false">
      <c r="A1115" s="0" t="s">
        <v>310</v>
      </c>
      <c r="B1115" s="0" t="s">
        <v>126</v>
      </c>
      <c r="C1115" s="0" t="s">
        <v>3286</v>
      </c>
      <c r="D1115" s="0" t="n">
        <v>2014</v>
      </c>
      <c r="E1115" s="0" t="s">
        <v>73</v>
      </c>
      <c r="F1115" s="0" t="n">
        <v>0</v>
      </c>
      <c r="G1115" s="0" t="s">
        <v>2844</v>
      </c>
      <c r="I1115" s="0" t="n">
        <v>0</v>
      </c>
      <c r="J1115" s="0" t="s">
        <v>3278</v>
      </c>
      <c r="K1115" s="0" t="s">
        <v>1018</v>
      </c>
      <c r="L1115" s="0" t="n">
        <v>2014</v>
      </c>
      <c r="M1115" s="0" t="s">
        <v>1019</v>
      </c>
      <c r="N1115" s="0" t="s">
        <v>127</v>
      </c>
      <c r="O1115" s="0" t="s">
        <v>1204</v>
      </c>
      <c r="P1115" s="0" t="s">
        <v>1529</v>
      </c>
      <c r="Q1115" s="0" t="n">
        <v>53</v>
      </c>
      <c r="S1115" s="0" t="s">
        <v>3255</v>
      </c>
      <c r="T1115" s="0" t="s">
        <v>3287</v>
      </c>
      <c r="U1115" s="0" t="s">
        <v>3288</v>
      </c>
      <c r="V1115" s="0" t="s">
        <v>669</v>
      </c>
      <c r="W1115" s="0" t="s">
        <v>2938</v>
      </c>
      <c r="X1115" s="0" t="s">
        <v>3289</v>
      </c>
      <c r="Y1115" s="0" t="s">
        <v>2799</v>
      </c>
      <c r="Z1115" s="0" t="s">
        <v>2745</v>
      </c>
      <c r="AA1115" s="0" t="s">
        <v>3290</v>
      </c>
      <c r="AB1115" s="0" t="s">
        <v>1530</v>
      </c>
      <c r="AC1115" s="0" t="s">
        <v>2747</v>
      </c>
      <c r="AD1115" s="0" t="s">
        <v>3228</v>
      </c>
      <c r="AG1115" s="0" t="s">
        <v>1008</v>
      </c>
      <c r="AH1115" s="0" t="s">
        <v>2751</v>
      </c>
      <c r="AL1115" s="0" t="s">
        <v>400</v>
      </c>
    </row>
    <row r="1116" customFormat="false" ht="15" hidden="false" customHeight="false" outlineLevel="0" collapsed="false">
      <c r="A1116" s="0" t="s">
        <v>575</v>
      </c>
      <c r="B1116" s="0" t="s">
        <v>109</v>
      </c>
      <c r="C1116" s="0" t="s">
        <v>3097</v>
      </c>
      <c r="D1116" s="0" t="n">
        <v>2018</v>
      </c>
      <c r="E1116" s="0" t="s">
        <v>73</v>
      </c>
      <c r="F1116" s="0" t="n">
        <v>0</v>
      </c>
      <c r="G1116" s="0" t="s">
        <v>2844</v>
      </c>
      <c r="I1116" s="0" t="n">
        <v>0</v>
      </c>
      <c r="J1116" s="0" t="s">
        <v>2845</v>
      </c>
      <c r="K1116" s="0" t="s">
        <v>1030</v>
      </c>
      <c r="L1116" s="0" t="n">
        <v>2018</v>
      </c>
      <c r="M1116" s="0" t="s">
        <v>1031</v>
      </c>
      <c r="N1116" s="0" t="s">
        <v>111</v>
      </c>
      <c r="O1116" s="0" t="s">
        <v>1223</v>
      </c>
      <c r="P1116" s="0" t="s">
        <v>3139</v>
      </c>
      <c r="Q1116" s="0" t="n">
        <v>76</v>
      </c>
      <c r="S1116" s="0" t="s">
        <v>3255</v>
      </c>
      <c r="T1116" s="0" t="s">
        <v>3291</v>
      </c>
      <c r="U1116" s="0" t="s">
        <v>3257</v>
      </c>
      <c r="V1116" s="0" t="s">
        <v>574</v>
      </c>
      <c r="W1116" s="0" t="s">
        <v>2938</v>
      </c>
      <c r="X1116" s="0" t="s">
        <v>3292</v>
      </c>
      <c r="Y1116" s="0" t="s">
        <v>2799</v>
      </c>
      <c r="Z1116" s="0" t="s">
        <v>2745</v>
      </c>
      <c r="AA1116" s="0" t="s">
        <v>3293</v>
      </c>
      <c r="AB1116" s="0" t="s">
        <v>3103</v>
      </c>
      <c r="AC1116" s="0" t="s">
        <v>2747</v>
      </c>
      <c r="AD1116" s="0" t="s">
        <v>2748</v>
      </c>
      <c r="AG1116" s="0" t="s">
        <v>944</v>
      </c>
      <c r="AH1116" s="0" t="s">
        <v>2751</v>
      </c>
      <c r="AL1116" s="0" t="s">
        <v>400</v>
      </c>
    </row>
    <row r="1117" customFormat="false" ht="15" hidden="false" customHeight="false" outlineLevel="0" collapsed="false">
      <c r="A1117" s="0" t="s">
        <v>597</v>
      </c>
      <c r="B1117" s="0" t="s">
        <v>109</v>
      </c>
      <c r="C1117" s="0" t="s">
        <v>3097</v>
      </c>
      <c r="D1117" s="0" t="n">
        <v>2019</v>
      </c>
      <c r="E1117" s="0" t="s">
        <v>73</v>
      </c>
      <c r="F1117" s="0" t="n">
        <v>0</v>
      </c>
      <c r="G1117" s="0" t="s">
        <v>2844</v>
      </c>
      <c r="I1117" s="0" t="n">
        <v>0</v>
      </c>
      <c r="J1117" s="0" t="s">
        <v>2845</v>
      </c>
      <c r="K1117" s="0" t="s">
        <v>1035</v>
      </c>
      <c r="L1117" s="0" t="n">
        <v>2019</v>
      </c>
      <c r="M1117" s="0" t="s">
        <v>1036</v>
      </c>
      <c r="N1117" s="0" t="s">
        <v>114</v>
      </c>
      <c r="O1117" s="0" t="s">
        <v>1244</v>
      </c>
      <c r="P1117" s="0" t="s">
        <v>3099</v>
      </c>
      <c r="Q1117" s="0" t="n">
        <v>73</v>
      </c>
      <c r="S1117" s="0" t="s">
        <v>3255</v>
      </c>
      <c r="T1117" s="0" t="s">
        <v>3294</v>
      </c>
      <c r="U1117" s="0" t="s">
        <v>3280</v>
      </c>
      <c r="V1117" s="0" t="s">
        <v>463</v>
      </c>
      <c r="W1117" s="0" t="s">
        <v>2938</v>
      </c>
      <c r="X1117" s="0" t="s">
        <v>3295</v>
      </c>
      <c r="Y1117" s="0" t="s">
        <v>2799</v>
      </c>
      <c r="Z1117" s="0" t="s">
        <v>2745</v>
      </c>
      <c r="AA1117" s="0" t="s">
        <v>3296</v>
      </c>
      <c r="AB1117" s="0" t="s">
        <v>3103</v>
      </c>
      <c r="AC1117" s="0" t="s">
        <v>2747</v>
      </c>
      <c r="AD1117" s="0" t="s">
        <v>2748</v>
      </c>
      <c r="AG1117" s="0" t="s">
        <v>944</v>
      </c>
      <c r="AH1117" s="0" t="s">
        <v>2751</v>
      </c>
      <c r="AL1117" s="0" t="s">
        <v>400</v>
      </c>
    </row>
    <row r="1118" customFormat="false" ht="15" hidden="false" customHeight="false" outlineLevel="0" collapsed="false">
      <c r="A1118" s="0" t="s">
        <v>800</v>
      </c>
      <c r="B1118" s="0" t="s">
        <v>163</v>
      </c>
      <c r="C1118" s="0" t="s">
        <v>2944</v>
      </c>
      <c r="D1118" s="0" t="n">
        <v>2019</v>
      </c>
      <c r="E1118" s="0" t="s">
        <v>73</v>
      </c>
      <c r="F1118" s="0" t="n">
        <v>0</v>
      </c>
      <c r="G1118" s="0" t="s">
        <v>2844</v>
      </c>
      <c r="I1118" s="0" t="n">
        <v>0</v>
      </c>
      <c r="J1118" s="0" t="s">
        <v>2845</v>
      </c>
      <c r="K1118" s="0" t="s">
        <v>1039</v>
      </c>
      <c r="L1118" s="0" t="n">
        <v>2019</v>
      </c>
      <c r="M1118" s="0" t="s">
        <v>1040</v>
      </c>
      <c r="N1118" s="0" t="s">
        <v>171</v>
      </c>
      <c r="O1118" s="0" t="s">
        <v>1255</v>
      </c>
      <c r="P1118" s="0" t="s">
        <v>3049</v>
      </c>
      <c r="Q1118" s="0" t="n">
        <v>73</v>
      </c>
      <c r="S1118" s="0" t="s">
        <v>3255</v>
      </c>
      <c r="T1118" s="0" t="s">
        <v>3297</v>
      </c>
      <c r="U1118" s="0" t="s">
        <v>3280</v>
      </c>
      <c r="V1118" s="0" t="s">
        <v>463</v>
      </c>
      <c r="W1118" s="0" t="s">
        <v>2938</v>
      </c>
      <c r="X1118" s="0" t="s">
        <v>3298</v>
      </c>
      <c r="Y1118" s="0" t="s">
        <v>2799</v>
      </c>
      <c r="Z1118" s="0" t="s">
        <v>2745</v>
      </c>
      <c r="AA1118" s="0" t="s">
        <v>3299</v>
      </c>
      <c r="AB1118" s="0" t="s">
        <v>3054</v>
      </c>
      <c r="AC1118" s="0" t="s">
        <v>2747</v>
      </c>
      <c r="AD1118" s="0" t="s">
        <v>2748</v>
      </c>
      <c r="AG1118" s="0" t="s">
        <v>944</v>
      </c>
      <c r="AH1118" s="0" t="s">
        <v>2751</v>
      </c>
      <c r="AL1118" s="0" t="s">
        <v>400</v>
      </c>
    </row>
    <row r="1119" customFormat="false" ht="15" hidden="false" customHeight="false" outlineLevel="0" collapsed="false">
      <c r="A1119" s="0" t="s">
        <v>713</v>
      </c>
      <c r="B1119" s="0" t="s">
        <v>152</v>
      </c>
      <c r="C1119" s="0" t="s">
        <v>3300</v>
      </c>
      <c r="D1119" s="0" t="n">
        <v>2019</v>
      </c>
      <c r="E1119" s="0" t="s">
        <v>73</v>
      </c>
      <c r="F1119" s="0" t="n">
        <v>1</v>
      </c>
      <c r="G1119" s="0" t="s">
        <v>2844</v>
      </c>
      <c r="I1119" s="0" t="n">
        <v>1</v>
      </c>
      <c r="J1119" s="0" t="s">
        <v>3278</v>
      </c>
      <c r="K1119" s="0" t="s">
        <v>1047</v>
      </c>
      <c r="L1119" s="0" t="n">
        <v>2019</v>
      </c>
      <c r="M1119" s="0" t="s">
        <v>1048</v>
      </c>
      <c r="N1119" s="0" t="s">
        <v>153</v>
      </c>
      <c r="O1119" s="0" t="s">
        <v>1214</v>
      </c>
      <c r="P1119" s="0" t="s">
        <v>1560</v>
      </c>
      <c r="Q1119" s="0" t="n">
        <v>18</v>
      </c>
      <c r="S1119" s="0" t="s">
        <v>3255</v>
      </c>
      <c r="T1119" s="0" t="s">
        <v>3301</v>
      </c>
      <c r="U1119" s="0" t="s">
        <v>3280</v>
      </c>
      <c r="V1119" s="0" t="s">
        <v>463</v>
      </c>
      <c r="W1119" s="0" t="s">
        <v>2938</v>
      </c>
      <c r="X1119" s="0" t="s">
        <v>3302</v>
      </c>
      <c r="Y1119" s="0" t="s">
        <v>2799</v>
      </c>
      <c r="Z1119" s="0" t="s">
        <v>2745</v>
      </c>
      <c r="AA1119" s="0" t="s">
        <v>3303</v>
      </c>
      <c r="AB1119" s="0" t="s">
        <v>1561</v>
      </c>
      <c r="AC1119" s="0" t="s">
        <v>2747</v>
      </c>
      <c r="AD1119" s="0" t="s">
        <v>3228</v>
      </c>
      <c r="AG1119" s="0" t="s">
        <v>1008</v>
      </c>
      <c r="AH1119" s="0" t="s">
        <v>2751</v>
      </c>
      <c r="AL1119" s="0" t="s">
        <v>400</v>
      </c>
    </row>
    <row r="1120" customFormat="false" ht="15" hidden="false" customHeight="false" outlineLevel="0" collapsed="false">
      <c r="A1120" s="0" t="s">
        <v>593</v>
      </c>
      <c r="B1120" s="0" t="s">
        <v>109</v>
      </c>
      <c r="C1120" s="0" t="s">
        <v>3097</v>
      </c>
      <c r="D1120" s="0" t="n">
        <v>2019</v>
      </c>
      <c r="E1120" s="0" t="s">
        <v>65</v>
      </c>
      <c r="F1120" s="0" t="n">
        <v>418652170</v>
      </c>
      <c r="G1120" s="0" t="s">
        <v>1647</v>
      </c>
      <c r="H1120" s="0" t="s">
        <v>1648</v>
      </c>
      <c r="I1120" s="0" t="n">
        <v>418652.17</v>
      </c>
      <c r="J1120" s="0" t="s">
        <v>3304</v>
      </c>
      <c r="K1120" s="0" t="s">
        <v>1035</v>
      </c>
      <c r="L1120" s="0" t="n">
        <v>2019</v>
      </c>
      <c r="M1120" s="0" t="s">
        <v>1036</v>
      </c>
      <c r="N1120" s="0" t="s">
        <v>114</v>
      </c>
      <c r="O1120" s="0" t="s">
        <v>1244</v>
      </c>
      <c r="P1120" s="0" t="s">
        <v>3099</v>
      </c>
      <c r="Q1120" s="0" t="n">
        <v>209</v>
      </c>
      <c r="R1120" s="0" t="n">
        <v>207</v>
      </c>
      <c r="S1120" s="0" t="s">
        <v>3305</v>
      </c>
      <c r="T1120" s="0" t="s">
        <v>3306</v>
      </c>
      <c r="U1120" s="0" t="s">
        <v>3051</v>
      </c>
      <c r="V1120" s="0" t="s">
        <v>115</v>
      </c>
      <c r="W1120" s="0" t="s">
        <v>3307</v>
      </c>
      <c r="X1120" s="0" t="s">
        <v>3308</v>
      </c>
      <c r="Y1120" s="0" t="s">
        <v>2799</v>
      </c>
      <c r="Z1120" s="0" t="s">
        <v>2745</v>
      </c>
      <c r="AA1120" s="0" t="s">
        <v>3309</v>
      </c>
      <c r="AB1120" s="0" t="s">
        <v>3103</v>
      </c>
      <c r="AC1120" s="0" t="s">
        <v>2747</v>
      </c>
      <c r="AD1120" s="0" t="s">
        <v>2748</v>
      </c>
      <c r="AE1120" s="0" t="s">
        <v>2749</v>
      </c>
      <c r="AF1120" s="0" t="s">
        <v>3104</v>
      </c>
      <c r="AH1120" s="0" t="s">
        <v>2751</v>
      </c>
      <c r="AL1120" s="0" t="s">
        <v>400</v>
      </c>
    </row>
    <row r="1121" customFormat="false" ht="15" hidden="false" customHeight="false" outlineLevel="0" collapsed="false">
      <c r="A1121" s="0" t="s">
        <v>594</v>
      </c>
      <c r="B1121" s="0" t="s">
        <v>109</v>
      </c>
      <c r="C1121" s="0" t="s">
        <v>3097</v>
      </c>
      <c r="D1121" s="0" t="n">
        <v>2019</v>
      </c>
      <c r="E1121" s="0" t="s">
        <v>66</v>
      </c>
      <c r="F1121" s="0" t="n">
        <v>2026402562</v>
      </c>
      <c r="G1121" s="0" t="s">
        <v>1647</v>
      </c>
      <c r="H1121" s="0" t="s">
        <v>1648</v>
      </c>
      <c r="I1121" s="0" t="n">
        <v>2026402.562</v>
      </c>
      <c r="J1121" s="0" t="s">
        <v>3304</v>
      </c>
      <c r="K1121" s="0" t="s">
        <v>1035</v>
      </c>
      <c r="L1121" s="0" t="n">
        <v>2019</v>
      </c>
      <c r="M1121" s="0" t="s">
        <v>1036</v>
      </c>
      <c r="N1121" s="0" t="s">
        <v>114</v>
      </c>
      <c r="O1121" s="0" t="s">
        <v>1244</v>
      </c>
      <c r="P1121" s="0" t="s">
        <v>3099</v>
      </c>
      <c r="Q1121" s="0" t="n">
        <v>209</v>
      </c>
      <c r="R1121" s="0" t="n">
        <v>207</v>
      </c>
      <c r="S1121" s="0" t="s">
        <v>3305</v>
      </c>
      <c r="T1121" s="0" t="s">
        <v>3306</v>
      </c>
      <c r="U1121" s="0" t="s">
        <v>3051</v>
      </c>
      <c r="V1121" s="0" t="s">
        <v>115</v>
      </c>
      <c r="W1121" s="0" t="s">
        <v>3310</v>
      </c>
      <c r="X1121" s="0" t="s">
        <v>3308</v>
      </c>
      <c r="Y1121" s="0" t="s">
        <v>2799</v>
      </c>
      <c r="Z1121" s="0" t="s">
        <v>2745</v>
      </c>
      <c r="AA1121" s="0" t="s">
        <v>3309</v>
      </c>
      <c r="AB1121" s="0" t="s">
        <v>3103</v>
      </c>
      <c r="AC1121" s="0" t="s">
        <v>2747</v>
      </c>
      <c r="AD1121" s="0" t="s">
        <v>2748</v>
      </c>
      <c r="AE1121" s="0" t="s">
        <v>2749</v>
      </c>
      <c r="AF1121" s="0" t="s">
        <v>3104</v>
      </c>
      <c r="AH1121" s="0" t="s">
        <v>2751</v>
      </c>
      <c r="AL1121" s="0" t="s">
        <v>400</v>
      </c>
    </row>
    <row r="1122" customFormat="false" ht="15" hidden="false" customHeight="false" outlineLevel="0" collapsed="false">
      <c r="A1122" s="0" t="s">
        <v>590</v>
      </c>
      <c r="B1122" s="0" t="s">
        <v>109</v>
      </c>
      <c r="C1122" s="0" t="s">
        <v>3097</v>
      </c>
      <c r="D1122" s="0" t="n">
        <v>2019</v>
      </c>
      <c r="E1122" s="0" t="s">
        <v>69</v>
      </c>
      <c r="F1122" s="0" t="s">
        <v>3311</v>
      </c>
      <c r="G1122" s="0" t="s">
        <v>1723</v>
      </c>
      <c r="I1122" s="0" t="n">
        <v>20.66</v>
      </c>
      <c r="J1122" s="0" t="s">
        <v>3304</v>
      </c>
      <c r="K1122" s="0" t="s">
        <v>1035</v>
      </c>
      <c r="L1122" s="0" t="n">
        <v>2019</v>
      </c>
      <c r="M1122" s="0" t="s">
        <v>1036</v>
      </c>
      <c r="N1122" s="0" t="s">
        <v>114</v>
      </c>
      <c r="O1122" s="0" t="s">
        <v>1244</v>
      </c>
      <c r="P1122" s="0" t="s">
        <v>3099</v>
      </c>
      <c r="Q1122" s="0" t="n">
        <v>209</v>
      </c>
      <c r="R1122" s="0" t="n">
        <v>207</v>
      </c>
      <c r="S1122" s="0" t="s">
        <v>3305</v>
      </c>
      <c r="T1122" s="0" t="s">
        <v>3306</v>
      </c>
      <c r="U1122" s="0" t="s">
        <v>3051</v>
      </c>
      <c r="V1122" s="0" t="s">
        <v>115</v>
      </c>
      <c r="W1122" s="0" t="s">
        <v>3312</v>
      </c>
      <c r="X1122" s="0" t="s">
        <v>3308</v>
      </c>
      <c r="Y1122" s="0" t="s">
        <v>2799</v>
      </c>
      <c r="Z1122" s="0" t="s">
        <v>2745</v>
      </c>
      <c r="AA1122" s="0" t="s">
        <v>3313</v>
      </c>
      <c r="AB1122" s="0" t="s">
        <v>3103</v>
      </c>
      <c r="AC1122" s="0" t="s">
        <v>2747</v>
      </c>
      <c r="AD1122" s="0" t="s">
        <v>2748</v>
      </c>
      <c r="AE1122" s="0" t="s">
        <v>2749</v>
      </c>
      <c r="AF1122" s="0" t="s">
        <v>3104</v>
      </c>
      <c r="AH1122" s="0" t="s">
        <v>2751</v>
      </c>
      <c r="AL1122" s="0" t="s">
        <v>400</v>
      </c>
    </row>
    <row r="1123" customFormat="false" ht="15" hidden="false" customHeight="false" outlineLevel="0" collapsed="false">
      <c r="A1123" s="0" t="s">
        <v>596</v>
      </c>
      <c r="B1123" s="0" t="s">
        <v>109</v>
      </c>
      <c r="C1123" s="0" t="s">
        <v>3097</v>
      </c>
      <c r="D1123" s="0" t="n">
        <v>2019</v>
      </c>
      <c r="E1123" s="0" t="s">
        <v>595</v>
      </c>
      <c r="F1123" s="0" t="n">
        <v>517502852</v>
      </c>
      <c r="G1123" s="0" t="s">
        <v>1647</v>
      </c>
      <c r="H1123" s="0" t="s">
        <v>1648</v>
      </c>
      <c r="I1123" s="0" t="n">
        <v>517502.852</v>
      </c>
      <c r="J1123" s="0" t="s">
        <v>3304</v>
      </c>
      <c r="K1123" s="0" t="s">
        <v>1035</v>
      </c>
      <c r="L1123" s="0" t="n">
        <v>2019</v>
      </c>
      <c r="M1123" s="0" t="s">
        <v>1036</v>
      </c>
      <c r="N1123" s="0" t="s">
        <v>114</v>
      </c>
      <c r="O1123" s="0" t="s">
        <v>1244</v>
      </c>
      <c r="P1123" s="0" t="s">
        <v>3099</v>
      </c>
      <c r="Q1123" s="0" t="n">
        <v>209</v>
      </c>
      <c r="R1123" s="0" t="n">
        <v>207</v>
      </c>
      <c r="S1123" s="0" t="s">
        <v>3305</v>
      </c>
      <c r="T1123" s="0" t="s">
        <v>3314</v>
      </c>
      <c r="U1123" s="0" t="s">
        <v>3051</v>
      </c>
      <c r="V1123" s="0" t="s">
        <v>115</v>
      </c>
      <c r="W1123" s="0" t="s">
        <v>3307</v>
      </c>
      <c r="X1123" s="0" t="s">
        <v>3308</v>
      </c>
      <c r="Y1123" s="0" t="s">
        <v>2799</v>
      </c>
      <c r="Z1123" s="0" t="s">
        <v>2745</v>
      </c>
      <c r="AA1123" s="0" t="s">
        <v>3315</v>
      </c>
      <c r="AB1123" s="0" t="s">
        <v>3103</v>
      </c>
      <c r="AC1123" s="0" t="s">
        <v>2747</v>
      </c>
      <c r="AD1123" s="0" t="s">
        <v>2748</v>
      </c>
      <c r="AE1123" s="0" t="s">
        <v>2749</v>
      </c>
      <c r="AF1123" s="0" t="s">
        <v>3104</v>
      </c>
      <c r="AH1123" s="0" t="s">
        <v>2751</v>
      </c>
      <c r="AL1123" s="0" t="s">
        <v>400</v>
      </c>
    </row>
    <row r="1124" customFormat="false" ht="15" hidden="false" customHeight="false" outlineLevel="0" collapsed="false">
      <c r="A1124" s="0" t="s">
        <v>592</v>
      </c>
      <c r="B1124" s="0" t="s">
        <v>109</v>
      </c>
      <c r="C1124" s="0" t="s">
        <v>3097</v>
      </c>
      <c r="D1124" s="0" t="n">
        <v>2019</v>
      </c>
      <c r="E1124" s="0" t="s">
        <v>591</v>
      </c>
      <c r="F1124" s="0" t="s">
        <v>3316</v>
      </c>
      <c r="G1124" s="0" t="s">
        <v>1723</v>
      </c>
      <c r="I1124" s="0" t="n">
        <v>24.74</v>
      </c>
      <c r="J1124" s="0" t="s">
        <v>3304</v>
      </c>
      <c r="K1124" s="0" t="s">
        <v>1035</v>
      </c>
      <c r="L1124" s="0" t="n">
        <v>2019</v>
      </c>
      <c r="M1124" s="0" t="s">
        <v>1036</v>
      </c>
      <c r="N1124" s="0" t="s">
        <v>114</v>
      </c>
      <c r="O1124" s="0" t="s">
        <v>1244</v>
      </c>
      <c r="P1124" s="0" t="s">
        <v>3099</v>
      </c>
      <c r="Q1124" s="0" t="n">
        <v>209</v>
      </c>
      <c r="R1124" s="0" t="n">
        <v>207</v>
      </c>
      <c r="S1124" s="0" t="s">
        <v>3305</v>
      </c>
      <c r="T1124" s="0" t="s">
        <v>3314</v>
      </c>
      <c r="U1124" s="0" t="s">
        <v>3051</v>
      </c>
      <c r="V1124" s="0" t="s">
        <v>115</v>
      </c>
      <c r="W1124" s="0" t="s">
        <v>3312</v>
      </c>
      <c r="X1124" s="0" t="s">
        <v>3308</v>
      </c>
      <c r="Y1124" s="0" t="s">
        <v>2799</v>
      </c>
      <c r="Z1124" s="0" t="s">
        <v>2745</v>
      </c>
      <c r="AA1124" s="0" t="s">
        <v>3309</v>
      </c>
      <c r="AB1124" s="0" t="s">
        <v>3103</v>
      </c>
      <c r="AC1124" s="0" t="s">
        <v>2747</v>
      </c>
      <c r="AD1124" s="0" t="s">
        <v>2748</v>
      </c>
      <c r="AE1124" s="0" t="s">
        <v>2749</v>
      </c>
      <c r="AF1124" s="0" t="s">
        <v>3104</v>
      </c>
      <c r="AH1124" s="0" t="s">
        <v>2751</v>
      </c>
      <c r="AL1124" s="0" t="s">
        <v>400</v>
      </c>
    </row>
    <row r="1125" customFormat="false" ht="15" hidden="false" customHeight="false" outlineLevel="0" collapsed="false">
      <c r="A1125" s="0" t="s">
        <v>311</v>
      </c>
      <c r="B1125" s="0" t="s">
        <v>126</v>
      </c>
      <c r="C1125" s="0" t="s">
        <v>3286</v>
      </c>
      <c r="D1125" s="0" t="n">
        <v>2019</v>
      </c>
      <c r="E1125" s="0" t="s">
        <v>73</v>
      </c>
      <c r="F1125" s="0" t="n">
        <v>0</v>
      </c>
      <c r="G1125" s="0" t="s">
        <v>2844</v>
      </c>
      <c r="I1125" s="0" t="n">
        <v>0</v>
      </c>
      <c r="J1125" s="0" t="s">
        <v>2845</v>
      </c>
      <c r="K1125" s="0" t="s">
        <v>1025</v>
      </c>
      <c r="L1125" s="0" t="n">
        <v>2019</v>
      </c>
      <c r="M1125" s="0" t="s">
        <v>1026</v>
      </c>
      <c r="N1125" s="0" t="s">
        <v>128</v>
      </c>
      <c r="O1125" s="0" t="s">
        <v>1211</v>
      </c>
      <c r="P1125" s="0" t="s">
        <v>1532</v>
      </c>
      <c r="Q1125" s="0" t="n">
        <v>26</v>
      </c>
      <c r="R1125" s="0" t="n">
        <v>25</v>
      </c>
      <c r="S1125" s="0" t="s">
        <v>3255</v>
      </c>
      <c r="T1125" s="0" t="s">
        <v>3317</v>
      </c>
      <c r="U1125" s="0" t="s">
        <v>3280</v>
      </c>
      <c r="V1125" s="0" t="s">
        <v>463</v>
      </c>
      <c r="W1125" s="0" t="s">
        <v>2938</v>
      </c>
      <c r="X1125" s="0" t="s">
        <v>3318</v>
      </c>
      <c r="Y1125" s="0" t="s">
        <v>2799</v>
      </c>
      <c r="Z1125" s="0" t="s">
        <v>2745</v>
      </c>
      <c r="AA1125" s="0" t="s">
        <v>3319</v>
      </c>
      <c r="AB1125" s="0" t="s">
        <v>1533</v>
      </c>
      <c r="AC1125" s="0" t="s">
        <v>2747</v>
      </c>
      <c r="AD1125" s="0" t="s">
        <v>2748</v>
      </c>
      <c r="AG1125" s="0" t="s">
        <v>944</v>
      </c>
      <c r="AH1125" s="0" t="s">
        <v>2751</v>
      </c>
      <c r="AL1125" s="0" t="s">
        <v>400</v>
      </c>
    </row>
    <row r="1126" customFormat="false" ht="15" hidden="false" customHeight="false" outlineLevel="0" collapsed="false">
      <c r="A1126" s="0" t="s">
        <v>812</v>
      </c>
      <c r="B1126" s="0" t="s">
        <v>163</v>
      </c>
      <c r="C1126" s="0" t="s">
        <v>2944</v>
      </c>
      <c r="D1126" s="0" t="n">
        <v>2020</v>
      </c>
      <c r="E1126" s="0" t="s">
        <v>73</v>
      </c>
      <c r="F1126" s="0" t="n">
        <v>0</v>
      </c>
      <c r="G1126" s="0" t="s">
        <v>2844</v>
      </c>
      <c r="I1126" s="0" t="n">
        <v>0</v>
      </c>
      <c r="J1126" s="0" t="s">
        <v>2845</v>
      </c>
      <c r="K1126" s="0" t="s">
        <v>1043</v>
      </c>
      <c r="L1126" s="0" t="n">
        <v>2020</v>
      </c>
      <c r="M1126" s="0" t="s">
        <v>1044</v>
      </c>
      <c r="N1126" s="0" t="s">
        <v>173</v>
      </c>
      <c r="O1126" s="0" t="s">
        <v>1243</v>
      </c>
      <c r="P1126" s="0" t="s">
        <v>3079</v>
      </c>
      <c r="Q1126" s="0" t="n">
        <v>73</v>
      </c>
      <c r="R1126" s="0" t="n">
        <v>71</v>
      </c>
      <c r="S1126" s="0" t="s">
        <v>3255</v>
      </c>
      <c r="T1126" s="0" t="s">
        <v>3320</v>
      </c>
      <c r="U1126" s="0" t="s">
        <v>3261</v>
      </c>
      <c r="V1126" s="0" t="s">
        <v>712</v>
      </c>
      <c r="W1126" s="0" t="s">
        <v>2938</v>
      </c>
      <c r="X1126" s="0" t="s">
        <v>3321</v>
      </c>
      <c r="Y1126" s="0" t="s">
        <v>2799</v>
      </c>
      <c r="Z1126" s="0" t="s">
        <v>2745</v>
      </c>
      <c r="AA1126" s="0" t="s">
        <v>3322</v>
      </c>
      <c r="AB1126" s="0" t="s">
        <v>3082</v>
      </c>
      <c r="AC1126" s="0" t="s">
        <v>2747</v>
      </c>
      <c r="AD1126" s="0" t="s">
        <v>2748</v>
      </c>
      <c r="AG1126" s="0" t="s">
        <v>944</v>
      </c>
      <c r="AH1126" s="0" t="s">
        <v>2751</v>
      </c>
      <c r="AL1126" s="0" t="s">
        <v>400</v>
      </c>
    </row>
    <row r="1127" customFormat="false" ht="15" hidden="false" customHeight="false" outlineLevel="0" collapsed="false">
      <c r="A1127" s="0" t="s">
        <v>601</v>
      </c>
      <c r="B1127" s="0" t="s">
        <v>116</v>
      </c>
      <c r="C1127" s="0" t="s">
        <v>2850</v>
      </c>
      <c r="D1127" s="0" t="n">
        <v>2018</v>
      </c>
      <c r="E1127" s="0" t="s">
        <v>55</v>
      </c>
      <c r="F1127" s="0" t="n">
        <v>1599245</v>
      </c>
      <c r="G1127" s="0" t="s">
        <v>1681</v>
      </c>
      <c r="H1127" s="0" t="s">
        <v>1648</v>
      </c>
      <c r="I1127" s="0" t="n">
        <v>1599245</v>
      </c>
      <c r="J1127" s="0" t="s">
        <v>2739</v>
      </c>
      <c r="K1127" s="0" t="s">
        <v>3323</v>
      </c>
      <c r="L1127" s="0" t="n">
        <v>2018</v>
      </c>
      <c r="M1127" s="0" t="s">
        <v>1117</v>
      </c>
      <c r="N1127" s="0" t="s">
        <v>117</v>
      </c>
      <c r="O1127" s="0" t="s">
        <v>1176</v>
      </c>
      <c r="P1127" s="0" t="s">
        <v>1597</v>
      </c>
      <c r="Q1127" s="0" t="n">
        <v>9</v>
      </c>
      <c r="R1127" s="0" t="n">
        <v>1</v>
      </c>
      <c r="T1127" s="0" t="s">
        <v>3324</v>
      </c>
      <c r="U1127" s="0" t="s">
        <v>3015</v>
      </c>
      <c r="V1127" s="0" t="s">
        <v>118</v>
      </c>
      <c r="W1127" s="0" t="s">
        <v>2992</v>
      </c>
      <c r="X1127" s="0" t="s">
        <v>3325</v>
      </c>
      <c r="Y1127" s="0" t="s">
        <v>2799</v>
      </c>
      <c r="Z1127" s="0" t="s">
        <v>2745</v>
      </c>
      <c r="AA1127" s="0" t="s">
        <v>3326</v>
      </c>
      <c r="AB1127" s="0" t="s">
        <v>1598</v>
      </c>
      <c r="AC1127" s="0" t="s">
        <v>2747</v>
      </c>
      <c r="AD1127" s="0" t="s">
        <v>2748</v>
      </c>
      <c r="AE1127" s="0" t="s">
        <v>2749</v>
      </c>
      <c r="AF1127" s="0" t="s">
        <v>3327</v>
      </c>
      <c r="AH1127" s="0" t="s">
        <v>2751</v>
      </c>
      <c r="AL1127" s="0" t="s">
        <v>400</v>
      </c>
    </row>
    <row r="1128" customFormat="false" ht="15" hidden="false" customHeight="false" outlineLevel="0" collapsed="false">
      <c r="A1128" s="0" t="s">
        <v>602</v>
      </c>
      <c r="B1128" s="0" t="s">
        <v>116</v>
      </c>
      <c r="C1128" s="0" t="s">
        <v>2850</v>
      </c>
      <c r="D1128" s="0" t="n">
        <v>2018</v>
      </c>
      <c r="E1128" s="0" t="s">
        <v>56</v>
      </c>
      <c r="F1128" s="0" t="n">
        <v>1428904</v>
      </c>
      <c r="G1128" s="0" t="s">
        <v>1681</v>
      </c>
      <c r="H1128" s="0" t="s">
        <v>1648</v>
      </c>
      <c r="I1128" s="0" t="n">
        <v>1428904</v>
      </c>
      <c r="J1128" s="0" t="s">
        <v>2739</v>
      </c>
      <c r="K1128" s="0" t="s">
        <v>3323</v>
      </c>
      <c r="L1128" s="0" t="n">
        <v>2018</v>
      </c>
      <c r="M1128" s="0" t="s">
        <v>1117</v>
      </c>
      <c r="N1128" s="0" t="s">
        <v>117</v>
      </c>
      <c r="O1128" s="0" t="s">
        <v>1176</v>
      </c>
      <c r="P1128" s="0" t="s">
        <v>1597</v>
      </c>
      <c r="Q1128" s="0" t="n">
        <v>9</v>
      </c>
      <c r="R1128" s="0" t="n">
        <v>1</v>
      </c>
      <c r="T1128" s="0" t="s">
        <v>3324</v>
      </c>
      <c r="U1128" s="0" t="s">
        <v>3015</v>
      </c>
      <c r="V1128" s="0" t="s">
        <v>118</v>
      </c>
      <c r="W1128" s="0" t="s">
        <v>3328</v>
      </c>
      <c r="X1128" s="0" t="s">
        <v>3325</v>
      </c>
      <c r="Y1128" s="0" t="s">
        <v>2799</v>
      </c>
      <c r="Z1128" s="0" t="s">
        <v>2745</v>
      </c>
      <c r="AA1128" s="0" t="s">
        <v>3326</v>
      </c>
      <c r="AB1128" s="0" t="s">
        <v>1598</v>
      </c>
      <c r="AC1128" s="0" t="s">
        <v>2747</v>
      </c>
      <c r="AD1128" s="0" t="s">
        <v>2748</v>
      </c>
      <c r="AE1128" s="0" t="s">
        <v>2749</v>
      </c>
      <c r="AF1128" s="0" t="s">
        <v>3327</v>
      </c>
      <c r="AH1128" s="0" t="s">
        <v>2751</v>
      </c>
      <c r="AL1128" s="0" t="s">
        <v>400</v>
      </c>
    </row>
    <row r="1129" customFormat="false" ht="15" hidden="false" customHeight="false" outlineLevel="0" collapsed="false">
      <c r="A1129" s="0" t="s">
        <v>603</v>
      </c>
      <c r="B1129" s="0" t="s">
        <v>116</v>
      </c>
      <c r="C1129" s="0" t="s">
        <v>2850</v>
      </c>
      <c r="D1129" s="0" t="n">
        <v>2018</v>
      </c>
      <c r="E1129" s="0" t="s">
        <v>57</v>
      </c>
      <c r="F1129" s="0" t="n">
        <v>170341</v>
      </c>
      <c r="G1129" s="0" t="s">
        <v>1681</v>
      </c>
      <c r="H1129" s="0" t="s">
        <v>1648</v>
      </c>
      <c r="I1129" s="0" t="n">
        <v>170341</v>
      </c>
      <c r="J1129" s="0" t="s">
        <v>2739</v>
      </c>
      <c r="K1129" s="0" t="s">
        <v>3323</v>
      </c>
      <c r="L1129" s="0" t="n">
        <v>2018</v>
      </c>
      <c r="M1129" s="0" t="s">
        <v>1117</v>
      </c>
      <c r="N1129" s="0" t="s">
        <v>117</v>
      </c>
      <c r="O1129" s="0" t="s">
        <v>1176</v>
      </c>
      <c r="P1129" s="0" t="s">
        <v>1597</v>
      </c>
      <c r="Q1129" s="0" t="n">
        <v>9</v>
      </c>
      <c r="R1129" s="0" t="n">
        <v>1</v>
      </c>
      <c r="T1129" s="0" t="s">
        <v>3324</v>
      </c>
      <c r="U1129" s="0" t="s">
        <v>3015</v>
      </c>
      <c r="V1129" s="0" t="s">
        <v>118</v>
      </c>
      <c r="W1129" s="0" t="s">
        <v>3329</v>
      </c>
      <c r="X1129" s="0" t="s">
        <v>3325</v>
      </c>
      <c r="Y1129" s="0" t="s">
        <v>2799</v>
      </c>
      <c r="Z1129" s="0" t="s">
        <v>2745</v>
      </c>
      <c r="AA1129" s="0" t="s">
        <v>3326</v>
      </c>
      <c r="AB1129" s="0" t="s">
        <v>1598</v>
      </c>
      <c r="AC1129" s="0" t="s">
        <v>2747</v>
      </c>
      <c r="AD1129" s="0" t="s">
        <v>2748</v>
      </c>
      <c r="AE1129" s="0" t="s">
        <v>2749</v>
      </c>
      <c r="AF1129" s="0" t="s">
        <v>3327</v>
      </c>
      <c r="AH1129" s="0" t="s">
        <v>2751</v>
      </c>
      <c r="AL1129" s="0" t="s">
        <v>400</v>
      </c>
    </row>
    <row r="1130" customFormat="false" ht="15" hidden="false" customHeight="false" outlineLevel="0" collapsed="false">
      <c r="A1130" s="0" t="s">
        <v>605</v>
      </c>
      <c r="B1130" s="0" t="s">
        <v>116</v>
      </c>
      <c r="C1130" s="0" t="s">
        <v>2850</v>
      </c>
      <c r="D1130" s="0" t="n">
        <v>2018</v>
      </c>
      <c r="E1130" s="0" t="s">
        <v>62</v>
      </c>
      <c r="F1130" s="0" t="n">
        <v>432713</v>
      </c>
      <c r="G1130" s="0" t="s">
        <v>1681</v>
      </c>
      <c r="H1130" s="0" t="s">
        <v>1648</v>
      </c>
      <c r="I1130" s="0" t="n">
        <v>432713</v>
      </c>
      <c r="J1130" s="0" t="s">
        <v>2739</v>
      </c>
      <c r="K1130" s="0" t="s">
        <v>3323</v>
      </c>
      <c r="L1130" s="0" t="n">
        <v>2018</v>
      </c>
      <c r="M1130" s="0" t="s">
        <v>1117</v>
      </c>
      <c r="N1130" s="0" t="s">
        <v>117</v>
      </c>
      <c r="O1130" s="0" t="s">
        <v>1176</v>
      </c>
      <c r="P1130" s="0" t="s">
        <v>1597</v>
      </c>
      <c r="Q1130" s="0" t="n">
        <v>9</v>
      </c>
      <c r="R1130" s="0" t="n">
        <v>1</v>
      </c>
      <c r="S1130" s="0" t="n">
        <v>12</v>
      </c>
      <c r="T1130" s="0" t="s">
        <v>3324</v>
      </c>
      <c r="U1130" s="0" t="s">
        <v>3015</v>
      </c>
      <c r="V1130" s="0" t="s">
        <v>118</v>
      </c>
      <c r="W1130" s="0" t="s">
        <v>3330</v>
      </c>
      <c r="X1130" s="0" t="s">
        <v>3325</v>
      </c>
      <c r="Y1130" s="0" t="s">
        <v>2799</v>
      </c>
      <c r="Z1130" s="0" t="s">
        <v>2745</v>
      </c>
      <c r="AA1130" s="0" t="s">
        <v>3331</v>
      </c>
      <c r="AB1130" s="0" t="s">
        <v>1598</v>
      </c>
      <c r="AC1130" s="0" t="s">
        <v>2747</v>
      </c>
      <c r="AD1130" s="0" t="s">
        <v>2748</v>
      </c>
      <c r="AE1130" s="0" t="s">
        <v>2749</v>
      </c>
      <c r="AF1130" s="0" t="s">
        <v>3327</v>
      </c>
      <c r="AH1130" s="0" t="s">
        <v>2751</v>
      </c>
      <c r="AL1130" s="0" t="s">
        <v>400</v>
      </c>
    </row>
    <row r="1131" customFormat="false" ht="15" hidden="false" customHeight="false" outlineLevel="0" collapsed="false">
      <c r="A1131" s="0" t="s">
        <v>604</v>
      </c>
      <c r="B1131" s="0" t="s">
        <v>116</v>
      </c>
      <c r="C1131" s="0" t="s">
        <v>2850</v>
      </c>
      <c r="D1131" s="0" t="n">
        <v>2018</v>
      </c>
      <c r="E1131" s="0" t="s">
        <v>59</v>
      </c>
      <c r="F1131" s="0" t="n">
        <v>1332723</v>
      </c>
      <c r="G1131" s="0" t="s">
        <v>1681</v>
      </c>
      <c r="H1131" s="0" t="s">
        <v>1648</v>
      </c>
      <c r="I1131" s="0" t="n">
        <v>1332723</v>
      </c>
      <c r="J1131" s="0" t="s">
        <v>2739</v>
      </c>
      <c r="K1131" s="0" t="s">
        <v>3323</v>
      </c>
      <c r="L1131" s="0" t="n">
        <v>2018</v>
      </c>
      <c r="M1131" s="0" t="s">
        <v>1117</v>
      </c>
      <c r="N1131" s="0" t="s">
        <v>117</v>
      </c>
      <c r="O1131" s="0" t="s">
        <v>1176</v>
      </c>
      <c r="P1131" s="0" t="s">
        <v>1597</v>
      </c>
      <c r="Q1131" s="0" t="n">
        <v>9</v>
      </c>
      <c r="R1131" s="0" t="n">
        <v>1</v>
      </c>
      <c r="T1131" s="0" t="s">
        <v>3332</v>
      </c>
      <c r="U1131" s="0" t="s">
        <v>3015</v>
      </c>
      <c r="V1131" s="0" t="s">
        <v>118</v>
      </c>
      <c r="W1131" s="0" t="s">
        <v>2992</v>
      </c>
      <c r="X1131" s="0" t="s">
        <v>3325</v>
      </c>
      <c r="Y1131" s="0" t="s">
        <v>2799</v>
      </c>
      <c r="Z1131" s="0" t="s">
        <v>2745</v>
      </c>
      <c r="AA1131" s="0" t="s">
        <v>3333</v>
      </c>
      <c r="AB1131" s="0" t="s">
        <v>1598</v>
      </c>
      <c r="AC1131" s="0" t="s">
        <v>2747</v>
      </c>
      <c r="AD1131" s="0" t="s">
        <v>2748</v>
      </c>
      <c r="AE1131" s="0" t="s">
        <v>2749</v>
      </c>
      <c r="AF1131" s="0" t="s">
        <v>3327</v>
      </c>
      <c r="AH1131" s="0" t="s">
        <v>2751</v>
      </c>
      <c r="AL1131" s="0" t="s">
        <v>400</v>
      </c>
    </row>
    <row r="1132" customFormat="false" ht="15" hidden="false" customHeight="false" outlineLevel="0" collapsed="false">
      <c r="A1132" s="0" t="s">
        <v>600</v>
      </c>
      <c r="B1132" s="0" t="s">
        <v>116</v>
      </c>
      <c r="C1132" s="0" t="s">
        <v>2850</v>
      </c>
      <c r="D1132" s="0" t="n">
        <v>2018</v>
      </c>
      <c r="E1132" s="0" t="s">
        <v>54</v>
      </c>
      <c r="F1132" s="0" t="n">
        <v>49912</v>
      </c>
      <c r="G1132" s="0" t="s">
        <v>1681</v>
      </c>
      <c r="H1132" s="0" t="s">
        <v>1648</v>
      </c>
      <c r="I1132" s="0" t="n">
        <v>49912</v>
      </c>
      <c r="J1132" s="0" t="s">
        <v>2739</v>
      </c>
      <c r="K1132" s="0" t="s">
        <v>3323</v>
      </c>
      <c r="L1132" s="0" t="n">
        <v>2018</v>
      </c>
      <c r="M1132" s="0" t="s">
        <v>1117</v>
      </c>
      <c r="N1132" s="0" t="s">
        <v>117</v>
      </c>
      <c r="O1132" s="0" t="s">
        <v>1176</v>
      </c>
      <c r="P1132" s="0" t="s">
        <v>1597</v>
      </c>
      <c r="Q1132" s="0" t="n">
        <v>10</v>
      </c>
      <c r="R1132" s="0" t="n">
        <v>2</v>
      </c>
      <c r="T1132" s="0" t="s">
        <v>3014</v>
      </c>
      <c r="U1132" s="0" t="s">
        <v>3015</v>
      </c>
      <c r="V1132" s="0" t="s">
        <v>118</v>
      </c>
      <c r="W1132" s="0" t="s">
        <v>3334</v>
      </c>
      <c r="X1132" s="0" t="s">
        <v>3335</v>
      </c>
      <c r="Y1132" s="0" t="s">
        <v>2744</v>
      </c>
      <c r="Z1132" s="0" t="s">
        <v>2745</v>
      </c>
      <c r="AB1132" s="0" t="s">
        <v>1598</v>
      </c>
      <c r="AC1132" s="0" t="s">
        <v>2747</v>
      </c>
      <c r="AD1132" s="0" t="s">
        <v>2748</v>
      </c>
      <c r="AE1132" s="0" t="s">
        <v>2749</v>
      </c>
      <c r="AF1132" s="0" t="s">
        <v>3327</v>
      </c>
      <c r="AH1132" s="0" t="s">
        <v>2751</v>
      </c>
      <c r="AL1132" s="0" t="s">
        <v>384</v>
      </c>
    </row>
    <row r="1133" customFormat="false" ht="15" hidden="false" customHeight="false" outlineLevel="0" collapsed="false">
      <c r="A1133" s="0" t="s">
        <v>608</v>
      </c>
      <c r="B1133" s="0" t="s">
        <v>116</v>
      </c>
      <c r="C1133" s="0" t="s">
        <v>2850</v>
      </c>
      <c r="D1133" s="0" t="n">
        <v>2018</v>
      </c>
      <c r="E1133" s="0" t="s">
        <v>402</v>
      </c>
      <c r="F1133" s="0" t="n">
        <v>52058</v>
      </c>
      <c r="G1133" s="0" t="s">
        <v>1681</v>
      </c>
      <c r="H1133" s="0" t="s">
        <v>1648</v>
      </c>
      <c r="I1133" s="0" t="n">
        <v>52058</v>
      </c>
      <c r="J1133" s="0" t="s">
        <v>2739</v>
      </c>
      <c r="K1133" s="0" t="s">
        <v>3323</v>
      </c>
      <c r="L1133" s="0" t="n">
        <v>2018</v>
      </c>
      <c r="M1133" s="0" t="s">
        <v>1117</v>
      </c>
      <c r="N1133" s="0" t="s">
        <v>117</v>
      </c>
      <c r="O1133" s="0" t="s">
        <v>1176</v>
      </c>
      <c r="P1133" s="0" t="s">
        <v>1597</v>
      </c>
      <c r="Q1133" s="0" t="n">
        <v>10</v>
      </c>
      <c r="R1133" s="0" t="n">
        <v>2</v>
      </c>
      <c r="T1133" s="0" t="s">
        <v>3014</v>
      </c>
      <c r="U1133" s="0" t="s">
        <v>3015</v>
      </c>
      <c r="V1133" s="0" t="s">
        <v>118</v>
      </c>
      <c r="W1133" s="0" t="s">
        <v>3336</v>
      </c>
      <c r="X1133" s="0" t="s">
        <v>3335</v>
      </c>
      <c r="Y1133" s="0" t="s">
        <v>2744</v>
      </c>
      <c r="Z1133" s="0" t="s">
        <v>2745</v>
      </c>
      <c r="AB1133" s="0" t="s">
        <v>1598</v>
      </c>
      <c r="AC1133" s="0" t="s">
        <v>2747</v>
      </c>
      <c r="AD1133" s="0" t="s">
        <v>2748</v>
      </c>
      <c r="AE1133" s="0" t="s">
        <v>2749</v>
      </c>
      <c r="AF1133" s="0" t="s">
        <v>3327</v>
      </c>
      <c r="AH1133" s="0" t="s">
        <v>2751</v>
      </c>
      <c r="AL1133" s="0" t="s">
        <v>384</v>
      </c>
    </row>
    <row r="1134" customFormat="false" ht="15" hidden="false" customHeight="false" outlineLevel="0" collapsed="false">
      <c r="A1134" s="0" t="s">
        <v>606</v>
      </c>
      <c r="B1134" s="0" t="s">
        <v>116</v>
      </c>
      <c r="C1134" s="0" t="s">
        <v>2850</v>
      </c>
      <c r="D1134" s="0" t="n">
        <v>2018</v>
      </c>
      <c r="E1134" s="0" t="s">
        <v>63</v>
      </c>
      <c r="F1134" s="0" t="n">
        <v>2988</v>
      </c>
      <c r="G1134" s="0" t="s">
        <v>1681</v>
      </c>
      <c r="H1134" s="0" t="s">
        <v>1648</v>
      </c>
      <c r="I1134" s="0" t="n">
        <v>-2988</v>
      </c>
      <c r="J1134" s="0" t="s">
        <v>2739</v>
      </c>
      <c r="K1134" s="0" t="s">
        <v>3323</v>
      </c>
      <c r="L1134" s="0" t="n">
        <v>2018</v>
      </c>
      <c r="M1134" s="0" t="s">
        <v>1117</v>
      </c>
      <c r="N1134" s="0" t="s">
        <v>117</v>
      </c>
      <c r="O1134" s="0" t="s">
        <v>1176</v>
      </c>
      <c r="P1134" s="0" t="s">
        <v>1597</v>
      </c>
      <c r="Q1134" s="0" t="n">
        <v>10</v>
      </c>
      <c r="R1134" s="0" t="n">
        <v>2</v>
      </c>
      <c r="S1134" s="0" t="n">
        <v>30.6</v>
      </c>
      <c r="T1134" s="0" t="s">
        <v>3014</v>
      </c>
      <c r="U1134" s="0" t="s">
        <v>3015</v>
      </c>
      <c r="V1134" s="0" t="s">
        <v>118</v>
      </c>
      <c r="W1134" s="0" t="s">
        <v>3337</v>
      </c>
      <c r="X1134" s="0" t="s">
        <v>3335</v>
      </c>
      <c r="Y1134" s="0" t="s">
        <v>2744</v>
      </c>
      <c r="Z1134" s="0" t="s">
        <v>2745</v>
      </c>
      <c r="AA1134" s="0" t="s">
        <v>2829</v>
      </c>
      <c r="AB1134" s="0" t="s">
        <v>1598</v>
      </c>
      <c r="AC1134" s="0" t="s">
        <v>2747</v>
      </c>
      <c r="AD1134" s="0" t="s">
        <v>2748</v>
      </c>
      <c r="AE1134" s="0" t="s">
        <v>2749</v>
      </c>
      <c r="AF1134" s="0" t="s">
        <v>3327</v>
      </c>
      <c r="AH1134" s="0" t="s">
        <v>2760</v>
      </c>
      <c r="AI1134" s="0" t="s">
        <v>3338</v>
      </c>
      <c r="AL1134" s="0" t="s">
        <v>384</v>
      </c>
    </row>
    <row r="1135" customFormat="false" ht="15" hidden="false" customHeight="false" outlineLevel="0" collapsed="false">
      <c r="A1135" s="0" t="s">
        <v>607</v>
      </c>
      <c r="B1135" s="0" t="s">
        <v>116</v>
      </c>
      <c r="C1135" s="0" t="s">
        <v>2850</v>
      </c>
      <c r="D1135" s="0" t="n">
        <v>2018</v>
      </c>
      <c r="E1135" s="0" t="s">
        <v>73</v>
      </c>
      <c r="F1135" s="0" t="n">
        <v>0</v>
      </c>
      <c r="G1135" s="0" t="s">
        <v>2844</v>
      </c>
      <c r="I1135" s="0" t="n">
        <v>0</v>
      </c>
      <c r="J1135" s="0" t="s">
        <v>2845</v>
      </c>
      <c r="K1135" s="0" t="s">
        <v>3323</v>
      </c>
      <c r="L1135" s="0" t="n">
        <v>2018</v>
      </c>
      <c r="M1135" s="0" t="s">
        <v>1117</v>
      </c>
      <c r="N1135" s="0" t="s">
        <v>117</v>
      </c>
      <c r="O1135" s="0" t="s">
        <v>1176</v>
      </c>
      <c r="P1135" s="0" t="s">
        <v>1597</v>
      </c>
      <c r="Q1135" s="0" t="n">
        <v>1</v>
      </c>
      <c r="S1135" s="0" t="s">
        <v>3255</v>
      </c>
      <c r="T1135" s="0" t="s">
        <v>3339</v>
      </c>
      <c r="U1135" s="0" t="s">
        <v>3015</v>
      </c>
      <c r="V1135" s="0" t="s">
        <v>118</v>
      </c>
      <c r="W1135" s="0" t="s">
        <v>2938</v>
      </c>
      <c r="X1135" s="0" t="s">
        <v>3340</v>
      </c>
      <c r="Y1135" s="0" t="s">
        <v>2799</v>
      </c>
      <c r="Z1135" s="0" t="s">
        <v>2745</v>
      </c>
      <c r="AA1135" s="0" t="s">
        <v>3341</v>
      </c>
      <c r="AB1135" s="0" t="s">
        <v>1598</v>
      </c>
      <c r="AC1135" s="0" t="s">
        <v>2747</v>
      </c>
      <c r="AD1135" s="0" t="s">
        <v>2748</v>
      </c>
      <c r="AG1135" s="0" t="s">
        <v>944</v>
      </c>
      <c r="AH1135" s="0" t="s">
        <v>2751</v>
      </c>
      <c r="AL1135" s="0" t="s">
        <v>400</v>
      </c>
    </row>
    <row r="1136" customFormat="false" ht="15" hidden="false" customHeight="false" outlineLevel="0" collapsed="false">
      <c r="A1136" s="0" t="s">
        <v>610</v>
      </c>
      <c r="B1136" s="0" t="s">
        <v>116</v>
      </c>
      <c r="C1136" s="0" t="s">
        <v>2850</v>
      </c>
      <c r="D1136" s="0" t="n">
        <v>2019</v>
      </c>
      <c r="E1136" s="0" t="s">
        <v>55</v>
      </c>
      <c r="F1136" s="0" t="n">
        <v>1792320</v>
      </c>
      <c r="G1136" s="0" t="s">
        <v>1681</v>
      </c>
      <c r="H1136" s="0" t="s">
        <v>1648</v>
      </c>
      <c r="I1136" s="0" t="n">
        <v>1792320</v>
      </c>
      <c r="J1136" s="0" t="s">
        <v>2739</v>
      </c>
      <c r="K1136" s="0" t="s">
        <v>3342</v>
      </c>
      <c r="L1136" s="0" t="n">
        <v>2019</v>
      </c>
      <c r="M1136" s="0" t="s">
        <v>1127</v>
      </c>
      <c r="N1136" s="0" t="s">
        <v>119</v>
      </c>
      <c r="O1136" s="0" t="s">
        <v>1218</v>
      </c>
      <c r="P1136" s="0" t="s">
        <v>1600</v>
      </c>
      <c r="Q1136" s="0" t="n">
        <v>8</v>
      </c>
      <c r="R1136" s="0" t="n">
        <v>1</v>
      </c>
      <c r="T1136" s="0" t="s">
        <v>3343</v>
      </c>
      <c r="U1136" s="0" t="s">
        <v>3051</v>
      </c>
      <c r="V1136" s="0" t="s">
        <v>120</v>
      </c>
      <c r="W1136" s="0" t="s">
        <v>2992</v>
      </c>
      <c r="X1136" s="0" t="s">
        <v>3344</v>
      </c>
      <c r="Y1136" s="0" t="s">
        <v>2799</v>
      </c>
      <c r="Z1136" s="0" t="s">
        <v>2745</v>
      </c>
      <c r="AA1136" s="0" t="s">
        <v>3326</v>
      </c>
      <c r="AB1136" s="0" t="s">
        <v>1601</v>
      </c>
      <c r="AC1136" s="0" t="s">
        <v>2747</v>
      </c>
      <c r="AD1136" s="0" t="s">
        <v>2748</v>
      </c>
      <c r="AE1136" s="0" t="s">
        <v>2749</v>
      </c>
      <c r="AF1136" s="0" t="s">
        <v>3345</v>
      </c>
      <c r="AH1136" s="0" t="s">
        <v>2751</v>
      </c>
      <c r="AL1136" s="0" t="s">
        <v>400</v>
      </c>
    </row>
    <row r="1137" customFormat="false" ht="15" hidden="false" customHeight="false" outlineLevel="0" collapsed="false">
      <c r="A1137" s="0" t="s">
        <v>611</v>
      </c>
      <c r="B1137" s="0" t="s">
        <v>116</v>
      </c>
      <c r="C1137" s="0" t="s">
        <v>2850</v>
      </c>
      <c r="D1137" s="0" t="n">
        <v>2019</v>
      </c>
      <c r="E1137" s="0" t="s">
        <v>56</v>
      </c>
      <c r="F1137" s="0" t="n">
        <v>1590980</v>
      </c>
      <c r="G1137" s="0" t="s">
        <v>1681</v>
      </c>
      <c r="H1137" s="0" t="s">
        <v>1648</v>
      </c>
      <c r="I1137" s="0" t="n">
        <v>1590980</v>
      </c>
      <c r="J1137" s="0" t="s">
        <v>2739</v>
      </c>
      <c r="K1137" s="0" t="s">
        <v>3342</v>
      </c>
      <c r="L1137" s="0" t="n">
        <v>2019</v>
      </c>
      <c r="M1137" s="0" t="s">
        <v>1127</v>
      </c>
      <c r="N1137" s="0" t="s">
        <v>119</v>
      </c>
      <c r="O1137" s="0" t="s">
        <v>1218</v>
      </c>
      <c r="P1137" s="0" t="s">
        <v>1600</v>
      </c>
      <c r="Q1137" s="0" t="n">
        <v>8</v>
      </c>
      <c r="R1137" s="0" t="n">
        <v>1</v>
      </c>
      <c r="T1137" s="0" t="s">
        <v>3343</v>
      </c>
      <c r="U1137" s="0" t="s">
        <v>3051</v>
      </c>
      <c r="V1137" s="0" t="s">
        <v>120</v>
      </c>
      <c r="W1137" s="0" t="s">
        <v>3328</v>
      </c>
      <c r="X1137" s="0" t="s">
        <v>3344</v>
      </c>
      <c r="Y1137" s="0" t="s">
        <v>2799</v>
      </c>
      <c r="Z1137" s="0" t="s">
        <v>2745</v>
      </c>
      <c r="AA1137" s="0" t="s">
        <v>3326</v>
      </c>
      <c r="AB1137" s="0" t="s">
        <v>1601</v>
      </c>
      <c r="AC1137" s="0" t="s">
        <v>2747</v>
      </c>
      <c r="AD1137" s="0" t="s">
        <v>2748</v>
      </c>
      <c r="AE1137" s="0" t="s">
        <v>2749</v>
      </c>
      <c r="AF1137" s="0" t="s">
        <v>3345</v>
      </c>
      <c r="AH1137" s="0" t="s">
        <v>2751</v>
      </c>
      <c r="AL1137" s="0" t="s">
        <v>400</v>
      </c>
    </row>
    <row r="1138" customFormat="false" ht="15" hidden="false" customHeight="false" outlineLevel="0" collapsed="false">
      <c r="A1138" s="0" t="s">
        <v>612</v>
      </c>
      <c r="B1138" s="0" t="s">
        <v>116</v>
      </c>
      <c r="C1138" s="0" t="s">
        <v>2850</v>
      </c>
      <c r="D1138" s="0" t="n">
        <v>2019</v>
      </c>
      <c r="E1138" s="0" t="s">
        <v>57</v>
      </c>
      <c r="F1138" s="0" t="n">
        <v>201340</v>
      </c>
      <c r="G1138" s="0" t="s">
        <v>1681</v>
      </c>
      <c r="H1138" s="0" t="s">
        <v>1648</v>
      </c>
      <c r="I1138" s="0" t="n">
        <v>201340</v>
      </c>
      <c r="J1138" s="0" t="s">
        <v>2739</v>
      </c>
      <c r="K1138" s="0" t="s">
        <v>3342</v>
      </c>
      <c r="L1138" s="0" t="n">
        <v>2019</v>
      </c>
      <c r="M1138" s="0" t="s">
        <v>1127</v>
      </c>
      <c r="N1138" s="0" t="s">
        <v>119</v>
      </c>
      <c r="O1138" s="0" t="s">
        <v>1218</v>
      </c>
      <c r="P1138" s="0" t="s">
        <v>1600</v>
      </c>
      <c r="Q1138" s="0" t="n">
        <v>8</v>
      </c>
      <c r="R1138" s="0" t="n">
        <v>1</v>
      </c>
      <c r="T1138" s="0" t="s">
        <v>3343</v>
      </c>
      <c r="U1138" s="0" t="s">
        <v>3051</v>
      </c>
      <c r="V1138" s="0" t="s">
        <v>120</v>
      </c>
      <c r="W1138" s="0" t="s">
        <v>3329</v>
      </c>
      <c r="X1138" s="0" t="s">
        <v>3344</v>
      </c>
      <c r="Y1138" s="0" t="s">
        <v>2799</v>
      </c>
      <c r="Z1138" s="0" t="s">
        <v>2745</v>
      </c>
      <c r="AA1138" s="0" t="s">
        <v>3326</v>
      </c>
      <c r="AB1138" s="0" t="s">
        <v>1601</v>
      </c>
      <c r="AC1138" s="0" t="s">
        <v>2747</v>
      </c>
      <c r="AD1138" s="0" t="s">
        <v>2748</v>
      </c>
      <c r="AE1138" s="0" t="s">
        <v>2749</v>
      </c>
      <c r="AF1138" s="0" t="s">
        <v>3345</v>
      </c>
      <c r="AH1138" s="0" t="s">
        <v>2751</v>
      </c>
      <c r="AL1138" s="0" t="s">
        <v>400</v>
      </c>
    </row>
    <row r="1139" customFormat="false" ht="15" hidden="false" customHeight="false" outlineLevel="0" collapsed="false">
      <c r="A1139" s="0" t="s">
        <v>614</v>
      </c>
      <c r="B1139" s="0" t="s">
        <v>116</v>
      </c>
      <c r="C1139" s="0" t="s">
        <v>2850</v>
      </c>
      <c r="D1139" s="0" t="n">
        <v>2019</v>
      </c>
      <c r="E1139" s="0" t="s">
        <v>62</v>
      </c>
      <c r="F1139" s="0" t="n">
        <v>532124</v>
      </c>
      <c r="G1139" s="0" t="s">
        <v>1681</v>
      </c>
      <c r="H1139" s="0" t="s">
        <v>1648</v>
      </c>
      <c r="I1139" s="0" t="n">
        <v>532124</v>
      </c>
      <c r="J1139" s="0" t="s">
        <v>2739</v>
      </c>
      <c r="K1139" s="0" t="s">
        <v>3342</v>
      </c>
      <c r="L1139" s="0" t="n">
        <v>2019</v>
      </c>
      <c r="M1139" s="0" t="s">
        <v>1127</v>
      </c>
      <c r="N1139" s="0" t="s">
        <v>119</v>
      </c>
      <c r="O1139" s="0" t="s">
        <v>1218</v>
      </c>
      <c r="P1139" s="0" t="s">
        <v>1600</v>
      </c>
      <c r="Q1139" s="0" t="n">
        <v>8</v>
      </c>
      <c r="R1139" s="0" t="n">
        <v>1</v>
      </c>
      <c r="S1139" s="0" t="n">
        <v>12</v>
      </c>
      <c r="T1139" s="0" t="s">
        <v>3343</v>
      </c>
      <c r="U1139" s="0" t="s">
        <v>3051</v>
      </c>
      <c r="V1139" s="0" t="s">
        <v>120</v>
      </c>
      <c r="W1139" s="0" t="s">
        <v>3330</v>
      </c>
      <c r="X1139" s="0" t="s">
        <v>3344</v>
      </c>
      <c r="Y1139" s="0" t="s">
        <v>2799</v>
      </c>
      <c r="Z1139" s="0" t="s">
        <v>2745</v>
      </c>
      <c r="AA1139" s="0" t="s">
        <v>3331</v>
      </c>
      <c r="AB1139" s="0" t="s">
        <v>1601</v>
      </c>
      <c r="AC1139" s="0" t="s">
        <v>2747</v>
      </c>
      <c r="AD1139" s="0" t="s">
        <v>2748</v>
      </c>
      <c r="AE1139" s="0" t="s">
        <v>2749</v>
      </c>
      <c r="AF1139" s="0" t="s">
        <v>3345</v>
      </c>
      <c r="AH1139" s="0" t="s">
        <v>2751</v>
      </c>
      <c r="AL1139" s="0" t="s">
        <v>400</v>
      </c>
    </row>
    <row r="1140" customFormat="false" ht="15" hidden="false" customHeight="false" outlineLevel="0" collapsed="false">
      <c r="A1140" s="0" t="s">
        <v>613</v>
      </c>
      <c r="B1140" s="0" t="s">
        <v>116</v>
      </c>
      <c r="C1140" s="0" t="s">
        <v>2850</v>
      </c>
      <c r="D1140" s="0" t="n">
        <v>2019</v>
      </c>
      <c r="E1140" s="0" t="s">
        <v>59</v>
      </c>
      <c r="F1140" s="0" t="n">
        <v>1599245</v>
      </c>
      <c r="G1140" s="0" t="s">
        <v>1681</v>
      </c>
      <c r="H1140" s="0" t="s">
        <v>1648</v>
      </c>
      <c r="I1140" s="0" t="n">
        <v>1599245</v>
      </c>
      <c r="J1140" s="0" t="s">
        <v>2739</v>
      </c>
      <c r="K1140" s="0" t="s">
        <v>3342</v>
      </c>
      <c r="L1140" s="0" t="n">
        <v>2019</v>
      </c>
      <c r="M1140" s="0" t="s">
        <v>1127</v>
      </c>
      <c r="N1140" s="0" t="s">
        <v>119</v>
      </c>
      <c r="O1140" s="0" t="s">
        <v>1218</v>
      </c>
      <c r="P1140" s="0" t="s">
        <v>1600</v>
      </c>
      <c r="Q1140" s="0" t="n">
        <v>8</v>
      </c>
      <c r="R1140" s="0" t="n">
        <v>1</v>
      </c>
      <c r="T1140" s="0" t="s">
        <v>3324</v>
      </c>
      <c r="U1140" s="0" t="s">
        <v>3051</v>
      </c>
      <c r="V1140" s="0" t="s">
        <v>120</v>
      </c>
      <c r="W1140" s="0" t="s">
        <v>2992</v>
      </c>
      <c r="X1140" s="0" t="s">
        <v>3344</v>
      </c>
      <c r="Y1140" s="0" t="s">
        <v>2799</v>
      </c>
      <c r="Z1140" s="0" t="s">
        <v>2745</v>
      </c>
      <c r="AA1140" s="0" t="s">
        <v>3333</v>
      </c>
      <c r="AB1140" s="0" t="s">
        <v>1601</v>
      </c>
      <c r="AC1140" s="0" t="s">
        <v>2747</v>
      </c>
      <c r="AD1140" s="0" t="s">
        <v>2748</v>
      </c>
      <c r="AE1140" s="0" t="s">
        <v>2749</v>
      </c>
      <c r="AF1140" s="0" t="s">
        <v>3345</v>
      </c>
      <c r="AH1140" s="0" t="s">
        <v>2751</v>
      </c>
      <c r="AL1140" s="0" t="s">
        <v>400</v>
      </c>
    </row>
    <row r="1141" customFormat="false" ht="15" hidden="false" customHeight="false" outlineLevel="0" collapsed="false">
      <c r="A1141" s="0" t="s">
        <v>609</v>
      </c>
      <c r="B1141" s="0" t="s">
        <v>116</v>
      </c>
      <c r="C1141" s="0" t="s">
        <v>2850</v>
      </c>
      <c r="D1141" s="0" t="n">
        <v>2019</v>
      </c>
      <c r="E1141" s="0" t="s">
        <v>54</v>
      </c>
      <c r="F1141" s="0" t="n">
        <v>52287</v>
      </c>
      <c r="G1141" s="0" t="s">
        <v>1681</v>
      </c>
      <c r="H1141" s="0" t="s">
        <v>1648</v>
      </c>
      <c r="I1141" s="0" t="n">
        <v>52287</v>
      </c>
      <c r="J1141" s="0" t="s">
        <v>2739</v>
      </c>
      <c r="K1141" s="0" t="s">
        <v>3342</v>
      </c>
      <c r="L1141" s="0" t="n">
        <v>2019</v>
      </c>
      <c r="M1141" s="0" t="s">
        <v>1127</v>
      </c>
      <c r="N1141" s="0" t="s">
        <v>119</v>
      </c>
      <c r="O1141" s="0" t="s">
        <v>1218</v>
      </c>
      <c r="P1141" s="0" t="s">
        <v>1600</v>
      </c>
      <c r="Q1141" s="0" t="n">
        <v>9</v>
      </c>
      <c r="R1141" s="0" t="n">
        <v>2</v>
      </c>
      <c r="T1141" s="0" t="s">
        <v>3050</v>
      </c>
      <c r="U1141" s="0" t="s">
        <v>3051</v>
      </c>
      <c r="V1141" s="0" t="s">
        <v>120</v>
      </c>
      <c r="W1141" s="0" t="s">
        <v>3346</v>
      </c>
      <c r="X1141" s="0" t="s">
        <v>3347</v>
      </c>
      <c r="Y1141" s="0" t="s">
        <v>2744</v>
      </c>
      <c r="Z1141" s="0" t="s">
        <v>2745</v>
      </c>
      <c r="AB1141" s="0" t="s">
        <v>1601</v>
      </c>
      <c r="AC1141" s="0" t="s">
        <v>2747</v>
      </c>
      <c r="AD1141" s="0" t="s">
        <v>2748</v>
      </c>
      <c r="AE1141" s="0" t="s">
        <v>2749</v>
      </c>
      <c r="AF1141" s="0" t="s">
        <v>3345</v>
      </c>
      <c r="AH1141" s="0" t="s">
        <v>2751</v>
      </c>
      <c r="AL1141" s="0" t="s">
        <v>384</v>
      </c>
    </row>
    <row r="1142" customFormat="false" ht="15" hidden="false" customHeight="false" outlineLevel="0" collapsed="false">
      <c r="A1142" s="0" t="s">
        <v>617</v>
      </c>
      <c r="B1142" s="0" t="s">
        <v>116</v>
      </c>
      <c r="C1142" s="0" t="s">
        <v>2850</v>
      </c>
      <c r="D1142" s="0" t="n">
        <v>2019</v>
      </c>
      <c r="E1142" s="0" t="s">
        <v>402</v>
      </c>
      <c r="F1142" s="0" t="n">
        <v>56983</v>
      </c>
      <c r="G1142" s="0" t="s">
        <v>1681</v>
      </c>
      <c r="H1142" s="0" t="s">
        <v>1648</v>
      </c>
      <c r="I1142" s="0" t="n">
        <v>56983</v>
      </c>
      <c r="J1142" s="0" t="s">
        <v>2739</v>
      </c>
      <c r="K1142" s="0" t="s">
        <v>3342</v>
      </c>
      <c r="L1142" s="0" t="n">
        <v>2019</v>
      </c>
      <c r="M1142" s="0" t="s">
        <v>1127</v>
      </c>
      <c r="N1142" s="0" t="s">
        <v>119</v>
      </c>
      <c r="O1142" s="0" t="s">
        <v>1218</v>
      </c>
      <c r="P1142" s="0" t="s">
        <v>1600</v>
      </c>
      <c r="Q1142" s="0" t="n">
        <v>9</v>
      </c>
      <c r="R1142" s="0" t="n">
        <v>2</v>
      </c>
      <c r="T1142" s="0" t="s">
        <v>3050</v>
      </c>
      <c r="U1142" s="0" t="s">
        <v>3051</v>
      </c>
      <c r="V1142" s="0" t="s">
        <v>120</v>
      </c>
      <c r="W1142" s="0" t="s">
        <v>3348</v>
      </c>
      <c r="X1142" s="0" t="s">
        <v>3347</v>
      </c>
      <c r="Y1142" s="0" t="s">
        <v>2744</v>
      </c>
      <c r="Z1142" s="0" t="s">
        <v>2745</v>
      </c>
      <c r="AB1142" s="0" t="s">
        <v>1601</v>
      </c>
      <c r="AC1142" s="0" t="s">
        <v>2747</v>
      </c>
      <c r="AD1142" s="0" t="s">
        <v>2748</v>
      </c>
      <c r="AE1142" s="0" t="s">
        <v>2749</v>
      </c>
      <c r="AF1142" s="0" t="s">
        <v>3345</v>
      </c>
      <c r="AH1142" s="0" t="s">
        <v>2751</v>
      </c>
      <c r="AL1142" s="0" t="s">
        <v>384</v>
      </c>
    </row>
    <row r="1143" customFormat="false" ht="15" hidden="false" customHeight="false" outlineLevel="0" collapsed="false">
      <c r="A1143" s="0" t="s">
        <v>615</v>
      </c>
      <c r="B1143" s="0" t="s">
        <v>116</v>
      </c>
      <c r="C1143" s="0" t="s">
        <v>2850</v>
      </c>
      <c r="D1143" s="0" t="n">
        <v>2019</v>
      </c>
      <c r="E1143" s="0" t="s">
        <v>63</v>
      </c>
      <c r="F1143" s="0" t="n">
        <v>-1664</v>
      </c>
      <c r="G1143" s="0" t="s">
        <v>1681</v>
      </c>
      <c r="H1143" s="0" t="s">
        <v>1648</v>
      </c>
      <c r="I1143" s="0" t="n">
        <v>1664</v>
      </c>
      <c r="J1143" s="0" t="s">
        <v>2739</v>
      </c>
      <c r="K1143" s="0" t="s">
        <v>3342</v>
      </c>
      <c r="L1143" s="0" t="n">
        <v>2019</v>
      </c>
      <c r="M1143" s="0" t="s">
        <v>1127</v>
      </c>
      <c r="N1143" s="0" t="s">
        <v>119</v>
      </c>
      <c r="O1143" s="0" t="s">
        <v>1218</v>
      </c>
      <c r="P1143" s="0" t="s">
        <v>1600</v>
      </c>
      <c r="Q1143" s="0" t="n">
        <v>9</v>
      </c>
      <c r="R1143" s="0" t="n">
        <v>2</v>
      </c>
      <c r="S1143" s="0" t="n">
        <v>31.6</v>
      </c>
      <c r="T1143" s="0" t="s">
        <v>3050</v>
      </c>
      <c r="U1143" s="0" t="s">
        <v>3051</v>
      </c>
      <c r="V1143" s="0" t="s">
        <v>120</v>
      </c>
      <c r="W1143" s="0" t="s">
        <v>3349</v>
      </c>
      <c r="X1143" s="0" t="s">
        <v>3347</v>
      </c>
      <c r="Y1143" s="0" t="s">
        <v>2744</v>
      </c>
      <c r="Z1143" s="0" t="s">
        <v>2745</v>
      </c>
      <c r="AA1143" s="0" t="s">
        <v>2829</v>
      </c>
      <c r="AB1143" s="0" t="s">
        <v>1601</v>
      </c>
      <c r="AC1143" s="0" t="s">
        <v>2747</v>
      </c>
      <c r="AD1143" s="0" t="s">
        <v>2748</v>
      </c>
      <c r="AE1143" s="0" t="s">
        <v>2749</v>
      </c>
      <c r="AF1143" s="0" t="s">
        <v>3345</v>
      </c>
      <c r="AH1143" s="0" t="s">
        <v>2760</v>
      </c>
      <c r="AI1143" s="0" t="s">
        <v>3350</v>
      </c>
      <c r="AL1143" s="0" t="s">
        <v>384</v>
      </c>
    </row>
    <row r="1144" customFormat="false" ht="15" hidden="false" customHeight="false" outlineLevel="0" collapsed="false">
      <c r="A1144" s="0" t="s">
        <v>616</v>
      </c>
      <c r="B1144" s="0" t="s">
        <v>116</v>
      </c>
      <c r="C1144" s="0" t="s">
        <v>2850</v>
      </c>
      <c r="D1144" s="0" t="n">
        <v>2019</v>
      </c>
      <c r="E1144" s="0" t="s">
        <v>73</v>
      </c>
      <c r="F1144" s="0" t="n">
        <v>0</v>
      </c>
      <c r="G1144" s="0" t="s">
        <v>2844</v>
      </c>
      <c r="I1144" s="0" t="n">
        <v>0</v>
      </c>
      <c r="J1144" s="0" t="s">
        <v>2845</v>
      </c>
      <c r="K1144" s="0" t="s">
        <v>3342</v>
      </c>
      <c r="L1144" s="0" t="n">
        <v>2019</v>
      </c>
      <c r="M1144" s="0" t="s">
        <v>1127</v>
      </c>
      <c r="N1144" s="0" t="s">
        <v>119</v>
      </c>
      <c r="O1144" s="0" t="s">
        <v>1218</v>
      </c>
      <c r="P1144" s="0" t="s">
        <v>1600</v>
      </c>
      <c r="Q1144" s="0" t="n">
        <v>1</v>
      </c>
      <c r="S1144" s="0" t="s">
        <v>3255</v>
      </c>
      <c r="T1144" s="0" t="s">
        <v>3351</v>
      </c>
      <c r="U1144" s="0" t="s">
        <v>3051</v>
      </c>
      <c r="V1144" s="0" t="s">
        <v>120</v>
      </c>
      <c r="W1144" s="0" t="s">
        <v>2938</v>
      </c>
      <c r="X1144" s="0" t="s">
        <v>3352</v>
      </c>
      <c r="Y1144" s="0" t="s">
        <v>2799</v>
      </c>
      <c r="Z1144" s="0" t="s">
        <v>2745</v>
      </c>
      <c r="AA1144" s="0" t="s">
        <v>3353</v>
      </c>
      <c r="AB1144" s="0" t="s">
        <v>1601</v>
      </c>
      <c r="AC1144" s="0" t="s">
        <v>2747</v>
      </c>
      <c r="AD1144" s="0" t="s">
        <v>2748</v>
      </c>
      <c r="AG1144" s="0" t="s">
        <v>944</v>
      </c>
      <c r="AH1144" s="0" t="s">
        <v>2751</v>
      </c>
      <c r="AL1144" s="0" t="s">
        <v>400</v>
      </c>
    </row>
    <row r="1145" customFormat="false" ht="15" hidden="false" customHeight="false" outlineLevel="0" collapsed="false">
      <c r="A1145" s="0" t="s">
        <v>387</v>
      </c>
      <c r="B1145" s="0" t="s">
        <v>86</v>
      </c>
      <c r="C1145" s="0" t="s">
        <v>3224</v>
      </c>
      <c r="D1145" s="0" t="n">
        <v>2014</v>
      </c>
      <c r="E1145" s="0" t="s">
        <v>55</v>
      </c>
      <c r="F1145" s="0" t="n">
        <v>1187025</v>
      </c>
      <c r="G1145" s="0" t="s">
        <v>1681</v>
      </c>
      <c r="H1145" s="0" t="s">
        <v>1648</v>
      </c>
      <c r="I1145" s="0" t="n">
        <v>1187025</v>
      </c>
      <c r="J1145" s="0" t="s">
        <v>3225</v>
      </c>
      <c r="K1145" s="0" t="s">
        <v>3354</v>
      </c>
      <c r="L1145" s="0" t="n">
        <v>2014</v>
      </c>
      <c r="M1145" s="0" t="s">
        <v>1061</v>
      </c>
      <c r="N1145" s="0" t="s">
        <v>88</v>
      </c>
      <c r="O1145" s="0" t="s">
        <v>1256</v>
      </c>
      <c r="P1145" s="0" t="s">
        <v>3355</v>
      </c>
      <c r="Q1145" s="0" t="n">
        <v>98</v>
      </c>
      <c r="S1145" s="0" t="s">
        <v>3356</v>
      </c>
      <c r="T1145" s="0" t="n">
        <v>2014</v>
      </c>
      <c r="U1145" s="0" t="s">
        <v>3357</v>
      </c>
      <c r="V1145" s="0" t="s">
        <v>89</v>
      </c>
      <c r="W1145" s="0" t="s">
        <v>3358</v>
      </c>
      <c r="X1145" s="0" t="s">
        <v>3359</v>
      </c>
      <c r="Y1145" s="0" t="s">
        <v>2744</v>
      </c>
      <c r="Z1145" s="0" t="s">
        <v>2745</v>
      </c>
      <c r="AA1145" s="0" t="s">
        <v>3360</v>
      </c>
      <c r="AB1145" s="0" t="s">
        <v>3361</v>
      </c>
      <c r="AC1145" s="0" t="s">
        <v>2747</v>
      </c>
      <c r="AD1145" s="0" t="s">
        <v>3228</v>
      </c>
      <c r="AE1145" s="0" t="s">
        <v>1008</v>
      </c>
      <c r="AF1145" s="0" t="s">
        <v>3362</v>
      </c>
      <c r="AH1145" s="0" t="s">
        <v>2751</v>
      </c>
      <c r="AL1145" s="0" t="s">
        <v>384</v>
      </c>
    </row>
    <row r="1146" customFormat="false" ht="15" hidden="false" customHeight="false" outlineLevel="0" collapsed="false">
      <c r="A1146" s="0" t="s">
        <v>388</v>
      </c>
      <c r="B1146" s="0" t="s">
        <v>86</v>
      </c>
      <c r="C1146" s="0" t="s">
        <v>3224</v>
      </c>
      <c r="D1146" s="0" t="n">
        <v>2014</v>
      </c>
      <c r="E1146" s="0" t="s">
        <v>56</v>
      </c>
      <c r="F1146" s="0" t="n">
        <v>1013914</v>
      </c>
      <c r="G1146" s="0" t="s">
        <v>1681</v>
      </c>
      <c r="H1146" s="0" t="s">
        <v>1648</v>
      </c>
      <c r="I1146" s="0" t="n">
        <v>1013914</v>
      </c>
      <c r="J1146" s="0" t="s">
        <v>3225</v>
      </c>
      <c r="K1146" s="0" t="s">
        <v>3354</v>
      </c>
      <c r="L1146" s="0" t="n">
        <v>2014</v>
      </c>
      <c r="M1146" s="0" t="s">
        <v>1061</v>
      </c>
      <c r="N1146" s="0" t="s">
        <v>88</v>
      </c>
      <c r="O1146" s="0" t="s">
        <v>1256</v>
      </c>
      <c r="P1146" s="0" t="s">
        <v>3355</v>
      </c>
      <c r="Q1146" s="0" t="n">
        <v>98</v>
      </c>
      <c r="S1146" s="0" t="s">
        <v>3356</v>
      </c>
      <c r="T1146" s="0" t="n">
        <v>2014</v>
      </c>
      <c r="U1146" s="0" t="s">
        <v>3357</v>
      </c>
      <c r="V1146" s="0" t="s">
        <v>89</v>
      </c>
      <c r="W1146" s="0" t="s">
        <v>3363</v>
      </c>
      <c r="X1146" s="0" t="s">
        <v>3359</v>
      </c>
      <c r="Y1146" s="0" t="s">
        <v>2744</v>
      </c>
      <c r="Z1146" s="0" t="s">
        <v>2745</v>
      </c>
      <c r="AB1146" s="0" t="s">
        <v>3361</v>
      </c>
      <c r="AC1146" s="0" t="s">
        <v>2747</v>
      </c>
      <c r="AD1146" s="0" t="s">
        <v>3228</v>
      </c>
      <c r="AE1146" s="0" t="s">
        <v>1008</v>
      </c>
      <c r="AF1146" s="0" t="s">
        <v>3362</v>
      </c>
      <c r="AH1146" s="0" t="s">
        <v>2751</v>
      </c>
      <c r="AL1146" s="0" t="s">
        <v>384</v>
      </c>
    </row>
    <row r="1147" customFormat="false" ht="15" hidden="false" customHeight="false" outlineLevel="0" collapsed="false">
      <c r="A1147" s="0" t="s">
        <v>389</v>
      </c>
      <c r="B1147" s="0" t="s">
        <v>86</v>
      </c>
      <c r="C1147" s="0" t="s">
        <v>3224</v>
      </c>
      <c r="D1147" s="0" t="n">
        <v>2014</v>
      </c>
      <c r="E1147" s="0" t="s">
        <v>57</v>
      </c>
      <c r="F1147" s="0" t="n">
        <v>173111</v>
      </c>
      <c r="G1147" s="0" t="s">
        <v>1681</v>
      </c>
      <c r="H1147" s="0" t="s">
        <v>1648</v>
      </c>
      <c r="I1147" s="0" t="n">
        <v>173111</v>
      </c>
      <c r="J1147" s="0" t="s">
        <v>3225</v>
      </c>
      <c r="K1147" s="0" t="s">
        <v>3354</v>
      </c>
      <c r="L1147" s="0" t="n">
        <v>2014</v>
      </c>
      <c r="M1147" s="0" t="s">
        <v>1061</v>
      </c>
      <c r="N1147" s="0" t="s">
        <v>88</v>
      </c>
      <c r="O1147" s="0" t="s">
        <v>1256</v>
      </c>
      <c r="P1147" s="0" t="s">
        <v>3355</v>
      </c>
      <c r="Q1147" s="0" t="n">
        <v>98</v>
      </c>
      <c r="S1147" s="0" t="s">
        <v>3356</v>
      </c>
      <c r="T1147" s="0" t="n">
        <v>2014</v>
      </c>
      <c r="U1147" s="0" t="s">
        <v>3357</v>
      </c>
      <c r="V1147" s="0" t="s">
        <v>89</v>
      </c>
      <c r="W1147" s="0" t="s">
        <v>3364</v>
      </c>
      <c r="X1147" s="0" t="s">
        <v>3359</v>
      </c>
      <c r="Y1147" s="0" t="s">
        <v>2744</v>
      </c>
      <c r="Z1147" s="0" t="s">
        <v>2745</v>
      </c>
      <c r="AB1147" s="0" t="s">
        <v>3361</v>
      </c>
      <c r="AC1147" s="0" t="s">
        <v>2747</v>
      </c>
      <c r="AD1147" s="0" t="s">
        <v>3228</v>
      </c>
      <c r="AE1147" s="0" t="s">
        <v>1008</v>
      </c>
      <c r="AF1147" s="0" t="s">
        <v>3362</v>
      </c>
      <c r="AH1147" s="0" t="s">
        <v>2751</v>
      </c>
      <c r="AL1147" s="0" t="s">
        <v>384</v>
      </c>
    </row>
    <row r="1148" customFormat="false" ht="15" hidden="false" customHeight="false" outlineLevel="0" collapsed="false">
      <c r="A1148" s="0" t="s">
        <v>386</v>
      </c>
      <c r="B1148" s="0" t="s">
        <v>86</v>
      </c>
      <c r="C1148" s="0" t="s">
        <v>3224</v>
      </c>
      <c r="D1148" s="0" t="n">
        <v>2014</v>
      </c>
      <c r="E1148" s="0" t="s">
        <v>54</v>
      </c>
      <c r="F1148" s="0" t="n">
        <v>13796</v>
      </c>
      <c r="G1148" s="0" t="s">
        <v>1681</v>
      </c>
      <c r="H1148" s="0" t="s">
        <v>1648</v>
      </c>
      <c r="I1148" s="0" t="n">
        <v>13796</v>
      </c>
      <c r="J1148" s="0" t="s">
        <v>3225</v>
      </c>
      <c r="K1148" s="0" t="s">
        <v>3354</v>
      </c>
      <c r="L1148" s="0" t="n">
        <v>2014</v>
      </c>
      <c r="M1148" s="0" t="s">
        <v>1061</v>
      </c>
      <c r="N1148" s="0" t="s">
        <v>88</v>
      </c>
      <c r="O1148" s="0" t="s">
        <v>1256</v>
      </c>
      <c r="P1148" s="0" t="s">
        <v>3355</v>
      </c>
      <c r="Q1148" s="0" t="n">
        <v>96</v>
      </c>
      <c r="R1148" s="0" t="n">
        <v>96</v>
      </c>
      <c r="T1148" s="0" t="n">
        <v>2014</v>
      </c>
      <c r="U1148" s="0" t="s">
        <v>3357</v>
      </c>
      <c r="V1148" s="0" t="s">
        <v>89</v>
      </c>
      <c r="W1148" s="0" t="s">
        <v>3365</v>
      </c>
      <c r="X1148" s="0" t="s">
        <v>3366</v>
      </c>
      <c r="Y1148" s="0" t="s">
        <v>2744</v>
      </c>
      <c r="Z1148" s="0" t="s">
        <v>2745</v>
      </c>
      <c r="AB1148" s="0" t="s">
        <v>3361</v>
      </c>
      <c r="AC1148" s="0" t="s">
        <v>2747</v>
      </c>
      <c r="AD1148" s="0" t="s">
        <v>3228</v>
      </c>
      <c r="AE1148" s="0" t="s">
        <v>1008</v>
      </c>
      <c r="AF1148" s="0" t="s">
        <v>3362</v>
      </c>
      <c r="AH1148" s="0" t="s">
        <v>2751</v>
      </c>
      <c r="AL1148" s="0" t="s">
        <v>384</v>
      </c>
    </row>
    <row r="1149" customFormat="false" ht="15" hidden="false" customHeight="false" outlineLevel="0" collapsed="false">
      <c r="A1149" s="0" t="s">
        <v>403</v>
      </c>
      <c r="B1149" s="0" t="s">
        <v>86</v>
      </c>
      <c r="C1149" s="0" t="s">
        <v>3224</v>
      </c>
      <c r="D1149" s="0" t="n">
        <v>2014</v>
      </c>
      <c r="E1149" s="0" t="s">
        <v>402</v>
      </c>
      <c r="F1149" s="0" t="n">
        <v>15515</v>
      </c>
      <c r="G1149" s="0" t="s">
        <v>1681</v>
      </c>
      <c r="H1149" s="0" t="s">
        <v>1648</v>
      </c>
      <c r="I1149" s="0" t="n">
        <v>15515</v>
      </c>
      <c r="J1149" s="0" t="s">
        <v>3225</v>
      </c>
      <c r="K1149" s="0" t="s">
        <v>3354</v>
      </c>
      <c r="L1149" s="0" t="n">
        <v>2014</v>
      </c>
      <c r="M1149" s="0" t="s">
        <v>1061</v>
      </c>
      <c r="N1149" s="0" t="s">
        <v>88</v>
      </c>
      <c r="O1149" s="0" t="s">
        <v>1256</v>
      </c>
      <c r="P1149" s="0" t="s">
        <v>3355</v>
      </c>
      <c r="Q1149" s="0" t="n">
        <v>96</v>
      </c>
      <c r="R1149" s="0" t="n">
        <v>96</v>
      </c>
      <c r="T1149" s="0" t="n">
        <v>2014</v>
      </c>
      <c r="U1149" s="0" t="s">
        <v>3357</v>
      </c>
      <c r="V1149" s="0" t="s">
        <v>89</v>
      </c>
      <c r="W1149" s="0" t="s">
        <v>3367</v>
      </c>
      <c r="X1149" s="0" t="s">
        <v>3366</v>
      </c>
      <c r="Y1149" s="0" t="s">
        <v>2744</v>
      </c>
      <c r="Z1149" s="0" t="s">
        <v>2745</v>
      </c>
      <c r="AB1149" s="0" t="s">
        <v>3361</v>
      </c>
      <c r="AC1149" s="0" t="s">
        <v>2747</v>
      </c>
      <c r="AD1149" s="0" t="s">
        <v>3228</v>
      </c>
      <c r="AE1149" s="0" t="s">
        <v>1008</v>
      </c>
      <c r="AF1149" s="0" t="s">
        <v>3362</v>
      </c>
      <c r="AH1149" s="0" t="s">
        <v>2751</v>
      </c>
      <c r="AL1149" s="0" t="s">
        <v>384</v>
      </c>
    </row>
    <row r="1150" customFormat="false" ht="15" hidden="false" customHeight="false" outlineLevel="0" collapsed="false">
      <c r="A1150" s="0" t="s">
        <v>390</v>
      </c>
      <c r="B1150" s="0" t="s">
        <v>86</v>
      </c>
      <c r="C1150" s="0" t="s">
        <v>3224</v>
      </c>
      <c r="D1150" s="0" t="n">
        <v>2014</v>
      </c>
      <c r="E1150" s="0" t="s">
        <v>58</v>
      </c>
      <c r="F1150" s="0" t="n">
        <v>53565</v>
      </c>
      <c r="G1150" s="0" t="s">
        <v>1681</v>
      </c>
      <c r="H1150" s="0" t="s">
        <v>1648</v>
      </c>
      <c r="I1150" s="0" t="n">
        <v>53565</v>
      </c>
      <c r="J1150" s="0" t="s">
        <v>3225</v>
      </c>
      <c r="K1150" s="0" t="s">
        <v>3354</v>
      </c>
      <c r="L1150" s="0" t="n">
        <v>2014</v>
      </c>
      <c r="M1150" s="0" t="s">
        <v>1061</v>
      </c>
      <c r="N1150" s="0" t="s">
        <v>88</v>
      </c>
      <c r="O1150" s="0" t="s">
        <v>1256</v>
      </c>
      <c r="P1150" s="0" t="s">
        <v>3355</v>
      </c>
      <c r="Q1150" s="0" t="n">
        <v>100</v>
      </c>
      <c r="R1150" s="0" t="n">
        <v>100</v>
      </c>
      <c r="T1150" s="0" t="n">
        <v>2014</v>
      </c>
      <c r="U1150" s="0" t="s">
        <v>3357</v>
      </c>
      <c r="V1150" s="0" t="s">
        <v>89</v>
      </c>
      <c r="W1150" s="0" t="s">
        <v>3368</v>
      </c>
      <c r="X1150" s="0" t="s">
        <v>3369</v>
      </c>
      <c r="Y1150" s="0" t="s">
        <v>2744</v>
      </c>
      <c r="Z1150" s="0" t="s">
        <v>2745</v>
      </c>
      <c r="AA1150" s="0" t="s">
        <v>3370</v>
      </c>
      <c r="AB1150" s="0" t="s">
        <v>3361</v>
      </c>
      <c r="AC1150" s="0" t="s">
        <v>2747</v>
      </c>
      <c r="AD1150" s="0" t="s">
        <v>3228</v>
      </c>
      <c r="AE1150" s="0" t="s">
        <v>1008</v>
      </c>
      <c r="AF1150" s="0" t="s">
        <v>3362</v>
      </c>
      <c r="AH1150" s="0" t="s">
        <v>2751</v>
      </c>
      <c r="AL1150" s="0" t="s">
        <v>384</v>
      </c>
    </row>
    <row r="1151" customFormat="false" ht="15" hidden="false" customHeight="false" outlineLevel="0" collapsed="false">
      <c r="A1151" s="0" t="s">
        <v>391</v>
      </c>
      <c r="B1151" s="0" t="s">
        <v>86</v>
      </c>
      <c r="C1151" s="0" t="s">
        <v>3224</v>
      </c>
      <c r="D1151" s="0" t="n">
        <v>2014</v>
      </c>
      <c r="E1151" s="0" t="s">
        <v>59</v>
      </c>
      <c r="F1151" s="0" t="n">
        <v>1081217</v>
      </c>
      <c r="G1151" s="0" t="s">
        <v>1681</v>
      </c>
      <c r="H1151" s="0" t="s">
        <v>1648</v>
      </c>
      <c r="I1151" s="0" t="n">
        <v>1081217</v>
      </c>
      <c r="J1151" s="0" t="s">
        <v>3225</v>
      </c>
      <c r="K1151" s="0" t="s">
        <v>3354</v>
      </c>
      <c r="L1151" s="0" t="n">
        <v>2014</v>
      </c>
      <c r="M1151" s="0" t="s">
        <v>1061</v>
      </c>
      <c r="N1151" s="0" t="s">
        <v>88</v>
      </c>
      <c r="O1151" s="0" t="s">
        <v>1256</v>
      </c>
      <c r="P1151" s="0" t="s">
        <v>3355</v>
      </c>
      <c r="Q1151" s="0" t="n">
        <v>98</v>
      </c>
      <c r="S1151" s="0" t="s">
        <v>3356</v>
      </c>
      <c r="T1151" s="0" t="n">
        <v>2013</v>
      </c>
      <c r="U1151" s="0" t="s">
        <v>3371</v>
      </c>
      <c r="V1151" s="0" t="s">
        <v>89</v>
      </c>
      <c r="W1151" s="0" t="s">
        <v>3358</v>
      </c>
      <c r="X1151" s="0" t="s">
        <v>3359</v>
      </c>
      <c r="Y1151" s="0" t="s">
        <v>2744</v>
      </c>
      <c r="Z1151" s="0" t="s">
        <v>2745</v>
      </c>
      <c r="AA1151" s="0" t="s">
        <v>3372</v>
      </c>
      <c r="AB1151" s="0" t="s">
        <v>3361</v>
      </c>
      <c r="AC1151" s="0" t="s">
        <v>2747</v>
      </c>
      <c r="AD1151" s="0" t="s">
        <v>3228</v>
      </c>
      <c r="AE1151" s="0" t="s">
        <v>1008</v>
      </c>
      <c r="AF1151" s="0" t="s">
        <v>3362</v>
      </c>
      <c r="AH1151" s="0" t="s">
        <v>2751</v>
      </c>
      <c r="AL1151" s="0" t="s">
        <v>384</v>
      </c>
    </row>
    <row r="1152" customFormat="false" ht="15" hidden="false" customHeight="false" outlineLevel="0" collapsed="false">
      <c r="A1152" s="0" t="s">
        <v>395</v>
      </c>
      <c r="B1152" s="0" t="s">
        <v>86</v>
      </c>
      <c r="C1152" s="0" t="s">
        <v>3224</v>
      </c>
      <c r="D1152" s="0" t="n">
        <v>2014</v>
      </c>
      <c r="E1152" s="0" t="s">
        <v>63</v>
      </c>
      <c r="F1152" s="0" t="n">
        <v>-4306</v>
      </c>
      <c r="G1152" s="0" t="s">
        <v>1681</v>
      </c>
      <c r="H1152" s="0" t="s">
        <v>1648</v>
      </c>
      <c r="I1152" s="0" t="n">
        <v>4306</v>
      </c>
      <c r="J1152" s="0" t="s">
        <v>3225</v>
      </c>
      <c r="K1152" s="0" t="s">
        <v>3354</v>
      </c>
      <c r="L1152" s="0" t="n">
        <v>2014</v>
      </c>
      <c r="M1152" s="0" t="s">
        <v>1061</v>
      </c>
      <c r="N1152" s="0" t="s">
        <v>88</v>
      </c>
      <c r="O1152" s="0" t="s">
        <v>1256</v>
      </c>
      <c r="P1152" s="0" t="s">
        <v>3355</v>
      </c>
      <c r="Q1152" s="0" t="n">
        <v>96</v>
      </c>
      <c r="R1152" s="0" t="n">
        <v>96</v>
      </c>
      <c r="S1152" s="0" t="n">
        <v>8</v>
      </c>
      <c r="T1152" s="0" t="n">
        <v>2014</v>
      </c>
      <c r="U1152" s="0" t="s">
        <v>3357</v>
      </c>
      <c r="V1152" s="0" t="s">
        <v>89</v>
      </c>
      <c r="W1152" s="0" t="s">
        <v>3373</v>
      </c>
      <c r="X1152" s="0" t="s">
        <v>3366</v>
      </c>
      <c r="Y1152" s="0" t="s">
        <v>2744</v>
      </c>
      <c r="Z1152" s="0" t="s">
        <v>2745</v>
      </c>
      <c r="AA1152" s="0" t="s">
        <v>3374</v>
      </c>
      <c r="AB1152" s="0" t="s">
        <v>3361</v>
      </c>
      <c r="AC1152" s="0" t="s">
        <v>2747</v>
      </c>
      <c r="AD1152" s="0" t="s">
        <v>3228</v>
      </c>
      <c r="AE1152" s="0" t="s">
        <v>1008</v>
      </c>
      <c r="AF1152" s="0" t="s">
        <v>3362</v>
      </c>
      <c r="AH1152" s="0" t="s">
        <v>2760</v>
      </c>
      <c r="AI1152" s="0" t="s">
        <v>3375</v>
      </c>
      <c r="AL1152" s="0" t="s">
        <v>384</v>
      </c>
    </row>
    <row r="1153" customFormat="false" ht="15" hidden="false" customHeight="false" outlineLevel="0" collapsed="false">
      <c r="A1153" s="0" t="s">
        <v>392</v>
      </c>
      <c r="B1153" s="0" t="s">
        <v>86</v>
      </c>
      <c r="C1153" s="0" t="s">
        <v>3224</v>
      </c>
      <c r="D1153" s="0" t="n">
        <v>2014</v>
      </c>
      <c r="E1153" s="0" t="s">
        <v>60</v>
      </c>
      <c r="F1153" s="0" t="n">
        <v>559137</v>
      </c>
      <c r="G1153" s="0" t="s">
        <v>1681</v>
      </c>
      <c r="H1153" s="0" t="s">
        <v>1648</v>
      </c>
      <c r="I1153" s="0" t="n">
        <v>559137</v>
      </c>
      <c r="J1153" s="0" t="s">
        <v>3225</v>
      </c>
      <c r="K1153" s="0" t="s">
        <v>3354</v>
      </c>
      <c r="L1153" s="0" t="n">
        <v>2014</v>
      </c>
      <c r="M1153" s="0" t="s">
        <v>1061</v>
      </c>
      <c r="N1153" s="0" t="s">
        <v>88</v>
      </c>
      <c r="O1153" s="0" t="s">
        <v>1256</v>
      </c>
      <c r="P1153" s="0" t="s">
        <v>3355</v>
      </c>
      <c r="Q1153" s="0" t="n">
        <v>162</v>
      </c>
      <c r="R1153" s="0" t="n">
        <v>162</v>
      </c>
      <c r="S1153" s="0" t="n">
        <v>21</v>
      </c>
      <c r="T1153" s="0" t="s">
        <v>3376</v>
      </c>
      <c r="U1153" s="0" t="s">
        <v>3357</v>
      </c>
      <c r="V1153" s="0" t="s">
        <v>89</v>
      </c>
      <c r="W1153" s="0" t="s">
        <v>3377</v>
      </c>
      <c r="X1153" s="0" t="s">
        <v>3378</v>
      </c>
      <c r="Y1153" s="0" t="s">
        <v>2744</v>
      </c>
      <c r="Z1153" s="0" t="s">
        <v>2745</v>
      </c>
      <c r="AA1153" s="0" t="s">
        <v>3379</v>
      </c>
      <c r="AB1153" s="0" t="s">
        <v>3361</v>
      </c>
      <c r="AC1153" s="0" t="s">
        <v>2747</v>
      </c>
      <c r="AD1153" s="0" t="s">
        <v>3228</v>
      </c>
      <c r="AE1153" s="0" t="s">
        <v>1008</v>
      </c>
      <c r="AF1153" s="0" t="s">
        <v>3362</v>
      </c>
      <c r="AH1153" s="0" t="s">
        <v>2751</v>
      </c>
      <c r="AL1153" s="0" t="s">
        <v>384</v>
      </c>
    </row>
    <row r="1154" customFormat="false" ht="15" hidden="false" customHeight="false" outlineLevel="0" collapsed="false">
      <c r="A1154" s="0" t="s">
        <v>393</v>
      </c>
      <c r="B1154" s="0" t="s">
        <v>86</v>
      </c>
      <c r="C1154" s="0" t="s">
        <v>3224</v>
      </c>
      <c r="D1154" s="0" t="n">
        <v>2014</v>
      </c>
      <c r="E1154" s="0" t="s">
        <v>61</v>
      </c>
      <c r="F1154" s="0" t="n">
        <v>-17451</v>
      </c>
      <c r="G1154" s="0" t="s">
        <v>1681</v>
      </c>
      <c r="H1154" s="0" t="s">
        <v>1648</v>
      </c>
      <c r="I1154" s="0" t="n">
        <v>17451</v>
      </c>
      <c r="J1154" s="0" t="s">
        <v>3225</v>
      </c>
      <c r="K1154" s="0" t="s">
        <v>3354</v>
      </c>
      <c r="L1154" s="0" t="n">
        <v>2014</v>
      </c>
      <c r="M1154" s="0" t="s">
        <v>1061</v>
      </c>
      <c r="N1154" s="0" t="s">
        <v>88</v>
      </c>
      <c r="O1154" s="0" t="s">
        <v>1256</v>
      </c>
      <c r="P1154" s="0" t="s">
        <v>3355</v>
      </c>
      <c r="Q1154" s="0" t="n">
        <v>162</v>
      </c>
      <c r="R1154" s="0" t="n">
        <v>162</v>
      </c>
      <c r="S1154" s="0" t="n">
        <v>21</v>
      </c>
      <c r="T1154" s="0" t="s">
        <v>3380</v>
      </c>
      <c r="U1154" s="0" t="s">
        <v>3357</v>
      </c>
      <c r="V1154" s="0" t="s">
        <v>89</v>
      </c>
      <c r="W1154" s="0" t="s">
        <v>3377</v>
      </c>
      <c r="X1154" s="0" t="s">
        <v>3378</v>
      </c>
      <c r="Y1154" s="0" t="s">
        <v>2744</v>
      </c>
      <c r="Z1154" s="0" t="s">
        <v>2745</v>
      </c>
      <c r="AA1154" s="0" t="s">
        <v>3381</v>
      </c>
      <c r="AB1154" s="0" t="s">
        <v>3361</v>
      </c>
      <c r="AC1154" s="0" t="s">
        <v>2747</v>
      </c>
      <c r="AD1154" s="0" t="s">
        <v>3228</v>
      </c>
      <c r="AE1154" s="0" t="s">
        <v>1008</v>
      </c>
      <c r="AF1154" s="0" t="s">
        <v>3362</v>
      </c>
      <c r="AH1154" s="0" t="s">
        <v>2760</v>
      </c>
      <c r="AI1154" s="0" t="s">
        <v>3375</v>
      </c>
      <c r="AL1154" s="0" t="s">
        <v>384</v>
      </c>
    </row>
    <row r="1155" customFormat="false" ht="15" hidden="false" customHeight="false" outlineLevel="0" collapsed="false">
      <c r="A1155" s="0" t="s">
        <v>405</v>
      </c>
      <c r="B1155" s="0" t="s">
        <v>86</v>
      </c>
      <c r="C1155" s="0" t="s">
        <v>3224</v>
      </c>
      <c r="D1155" s="0" t="n">
        <v>2014</v>
      </c>
      <c r="E1155" s="0" t="s">
        <v>404</v>
      </c>
      <c r="F1155" s="0" t="n">
        <v>-10848</v>
      </c>
      <c r="G1155" s="0" t="s">
        <v>1681</v>
      </c>
      <c r="H1155" s="0" t="s">
        <v>1648</v>
      </c>
      <c r="I1155" s="0" t="n">
        <v>10848</v>
      </c>
      <c r="J1155" s="0" t="s">
        <v>3225</v>
      </c>
      <c r="K1155" s="0" t="s">
        <v>3354</v>
      </c>
      <c r="L1155" s="0" t="n">
        <v>2014</v>
      </c>
      <c r="M1155" s="0" t="s">
        <v>1061</v>
      </c>
      <c r="N1155" s="0" t="s">
        <v>88</v>
      </c>
      <c r="O1155" s="0" t="s">
        <v>1256</v>
      </c>
      <c r="P1155" s="0" t="s">
        <v>3355</v>
      </c>
      <c r="Q1155" s="0" t="n">
        <v>162</v>
      </c>
      <c r="R1155" s="0" t="n">
        <v>162</v>
      </c>
      <c r="S1155" s="0" t="n">
        <v>21</v>
      </c>
      <c r="T1155" s="0" t="s">
        <v>3382</v>
      </c>
      <c r="U1155" s="0" t="s">
        <v>3357</v>
      </c>
      <c r="V1155" s="0" t="s">
        <v>89</v>
      </c>
      <c r="W1155" s="0" t="s">
        <v>3377</v>
      </c>
      <c r="X1155" s="0" t="s">
        <v>3378</v>
      </c>
      <c r="Y1155" s="0" t="s">
        <v>2744</v>
      </c>
      <c r="Z1155" s="0" t="s">
        <v>2745</v>
      </c>
      <c r="AA1155" s="0" t="s">
        <v>3383</v>
      </c>
      <c r="AB1155" s="0" t="s">
        <v>3361</v>
      </c>
      <c r="AC1155" s="0" t="s">
        <v>2747</v>
      </c>
      <c r="AD1155" s="0" t="s">
        <v>3228</v>
      </c>
      <c r="AE1155" s="0" t="s">
        <v>1008</v>
      </c>
      <c r="AF1155" s="0" t="s">
        <v>3362</v>
      </c>
      <c r="AH1155" s="0" t="s">
        <v>2760</v>
      </c>
      <c r="AI1155" s="0" t="s">
        <v>3375</v>
      </c>
      <c r="AL1155" s="0" t="s">
        <v>384</v>
      </c>
    </row>
    <row r="1156" customFormat="false" ht="15" hidden="false" customHeight="false" outlineLevel="0" collapsed="false">
      <c r="A1156" s="0" t="s">
        <v>407</v>
      </c>
      <c r="B1156" s="0" t="s">
        <v>86</v>
      </c>
      <c r="C1156" s="0" t="s">
        <v>3224</v>
      </c>
      <c r="D1156" s="0" t="n">
        <v>2014</v>
      </c>
      <c r="E1156" s="0" t="s">
        <v>406</v>
      </c>
      <c r="F1156" s="0" t="n">
        <v>-6603</v>
      </c>
      <c r="G1156" s="0" t="s">
        <v>1681</v>
      </c>
      <c r="H1156" s="0" t="s">
        <v>1648</v>
      </c>
      <c r="I1156" s="0" t="n">
        <v>6603</v>
      </c>
      <c r="J1156" s="0" t="s">
        <v>3225</v>
      </c>
      <c r="K1156" s="0" t="s">
        <v>3354</v>
      </c>
      <c r="L1156" s="0" t="n">
        <v>2014</v>
      </c>
      <c r="M1156" s="0" t="s">
        <v>1061</v>
      </c>
      <c r="N1156" s="0" t="s">
        <v>88</v>
      </c>
      <c r="O1156" s="0" t="s">
        <v>1256</v>
      </c>
      <c r="P1156" s="0" t="s">
        <v>3355</v>
      </c>
      <c r="Q1156" s="0" t="n">
        <v>162</v>
      </c>
      <c r="R1156" s="0" t="n">
        <v>162</v>
      </c>
      <c r="S1156" s="0" t="n">
        <v>21</v>
      </c>
      <c r="T1156" s="0" t="s">
        <v>3384</v>
      </c>
      <c r="U1156" s="0" t="s">
        <v>3357</v>
      </c>
      <c r="V1156" s="0" t="s">
        <v>89</v>
      </c>
      <c r="W1156" s="0" t="s">
        <v>3377</v>
      </c>
      <c r="X1156" s="0" t="s">
        <v>3378</v>
      </c>
      <c r="Y1156" s="0" t="s">
        <v>2744</v>
      </c>
      <c r="Z1156" s="0" t="s">
        <v>2745</v>
      </c>
      <c r="AA1156" s="0" t="s">
        <v>3385</v>
      </c>
      <c r="AB1156" s="0" t="s">
        <v>3361</v>
      </c>
      <c r="AC1156" s="0" t="s">
        <v>2747</v>
      </c>
      <c r="AD1156" s="0" t="s">
        <v>3228</v>
      </c>
      <c r="AE1156" s="0" t="s">
        <v>1008</v>
      </c>
      <c r="AF1156" s="0" t="s">
        <v>3362</v>
      </c>
      <c r="AH1156" s="0" t="s">
        <v>2760</v>
      </c>
      <c r="AI1156" s="0" t="s">
        <v>3375</v>
      </c>
      <c r="AL1156" s="0" t="s">
        <v>384</v>
      </c>
    </row>
    <row r="1157" customFormat="false" ht="15" hidden="false" customHeight="false" outlineLevel="0" collapsed="false">
      <c r="A1157" s="0" t="s">
        <v>394</v>
      </c>
      <c r="B1157" s="0" t="s">
        <v>86</v>
      </c>
      <c r="C1157" s="0" t="s">
        <v>3224</v>
      </c>
      <c r="D1157" s="0" t="n">
        <v>2014</v>
      </c>
      <c r="E1157" s="0" t="s">
        <v>62</v>
      </c>
      <c r="F1157" s="0" t="n">
        <v>541686</v>
      </c>
      <c r="G1157" s="0" t="s">
        <v>1681</v>
      </c>
      <c r="H1157" s="0" t="s">
        <v>1648</v>
      </c>
      <c r="I1157" s="0" t="n">
        <v>541686</v>
      </c>
      <c r="J1157" s="0" t="s">
        <v>3225</v>
      </c>
      <c r="K1157" s="0" t="s">
        <v>3354</v>
      </c>
      <c r="L1157" s="0" t="n">
        <v>2014</v>
      </c>
      <c r="M1157" s="0" t="s">
        <v>1061</v>
      </c>
      <c r="N1157" s="0" t="s">
        <v>88</v>
      </c>
      <c r="O1157" s="0" t="s">
        <v>1256</v>
      </c>
      <c r="P1157" s="0" t="s">
        <v>3355</v>
      </c>
      <c r="Q1157" s="0" t="n">
        <v>98</v>
      </c>
      <c r="S1157" s="0" t="s">
        <v>3356</v>
      </c>
      <c r="T1157" s="0" t="n">
        <v>2014</v>
      </c>
      <c r="U1157" s="0" t="s">
        <v>3357</v>
      </c>
      <c r="V1157" s="0" t="s">
        <v>89</v>
      </c>
      <c r="W1157" s="0" t="s">
        <v>3386</v>
      </c>
      <c r="X1157" s="0" t="s">
        <v>3359</v>
      </c>
      <c r="Y1157" s="0" t="s">
        <v>2744</v>
      </c>
      <c r="Z1157" s="0" t="s">
        <v>2745</v>
      </c>
      <c r="AA1157" s="0" t="s">
        <v>3387</v>
      </c>
      <c r="AB1157" s="0" t="s">
        <v>3361</v>
      </c>
      <c r="AC1157" s="0" t="s">
        <v>2747</v>
      </c>
      <c r="AD1157" s="0" t="s">
        <v>3228</v>
      </c>
      <c r="AE1157" s="0" t="s">
        <v>1008</v>
      </c>
      <c r="AF1157" s="0" t="s">
        <v>3362</v>
      </c>
      <c r="AH1157" s="0" t="s">
        <v>2751</v>
      </c>
      <c r="AL1157" s="0" t="s">
        <v>384</v>
      </c>
    </row>
    <row r="1158" customFormat="false" ht="15" hidden="false" customHeight="false" outlineLevel="0" collapsed="false">
      <c r="A1158" s="0" t="s">
        <v>398</v>
      </c>
      <c r="B1158" s="0" t="s">
        <v>86</v>
      </c>
      <c r="C1158" s="0" t="s">
        <v>3224</v>
      </c>
      <c r="D1158" s="0" t="n">
        <v>2014</v>
      </c>
      <c r="E1158" s="0" t="s">
        <v>65</v>
      </c>
      <c r="F1158" s="0" t="n">
        <v>198886</v>
      </c>
      <c r="G1158" s="0" t="s">
        <v>1681</v>
      </c>
      <c r="H1158" s="0" t="s">
        <v>1648</v>
      </c>
      <c r="I1158" s="0" t="n">
        <v>198886</v>
      </c>
      <c r="J1158" s="0" t="s">
        <v>3225</v>
      </c>
      <c r="K1158" s="0" t="s">
        <v>3354</v>
      </c>
      <c r="L1158" s="0" t="n">
        <v>2014</v>
      </c>
      <c r="M1158" s="0" t="s">
        <v>1061</v>
      </c>
      <c r="N1158" s="0" t="s">
        <v>88</v>
      </c>
      <c r="O1158" s="0" t="s">
        <v>1256</v>
      </c>
      <c r="P1158" s="0" t="s">
        <v>3355</v>
      </c>
      <c r="Q1158" s="0" t="n">
        <v>154</v>
      </c>
      <c r="R1158" s="0" t="n">
        <v>154</v>
      </c>
      <c r="S1158" s="0" t="n">
        <v>4</v>
      </c>
      <c r="T1158" s="0" t="n">
        <v>2014</v>
      </c>
      <c r="U1158" s="0" t="s">
        <v>3357</v>
      </c>
      <c r="V1158" s="0" t="s">
        <v>89</v>
      </c>
      <c r="W1158" s="0" t="s">
        <v>3388</v>
      </c>
      <c r="X1158" s="0" t="s">
        <v>3389</v>
      </c>
      <c r="Y1158" s="0" t="s">
        <v>2744</v>
      </c>
      <c r="Z1158" s="0" t="s">
        <v>2745</v>
      </c>
      <c r="AA1158" s="0" t="s">
        <v>3390</v>
      </c>
      <c r="AB1158" s="0" t="s">
        <v>3361</v>
      </c>
      <c r="AC1158" s="0" t="s">
        <v>2747</v>
      </c>
      <c r="AD1158" s="0" t="s">
        <v>3228</v>
      </c>
      <c r="AE1158" s="0" t="s">
        <v>1008</v>
      </c>
      <c r="AF1158" s="0" t="s">
        <v>3362</v>
      </c>
      <c r="AH1158" s="0" t="s">
        <v>2751</v>
      </c>
      <c r="AL1158" s="0" t="s">
        <v>384</v>
      </c>
    </row>
    <row r="1159" customFormat="false" ht="15" hidden="false" customHeight="false" outlineLevel="0" collapsed="false">
      <c r="A1159" s="0" t="s">
        <v>399</v>
      </c>
      <c r="B1159" s="0" t="s">
        <v>86</v>
      </c>
      <c r="C1159" s="0" t="s">
        <v>3224</v>
      </c>
      <c r="D1159" s="0" t="n">
        <v>2014</v>
      </c>
      <c r="E1159" s="0" t="s">
        <v>66</v>
      </c>
      <c r="F1159" s="0" t="n">
        <v>821527</v>
      </c>
      <c r="G1159" s="0" t="s">
        <v>1681</v>
      </c>
      <c r="H1159" s="0" t="s">
        <v>1648</v>
      </c>
      <c r="I1159" s="0" t="n">
        <v>821527</v>
      </c>
      <c r="J1159" s="0" t="s">
        <v>3225</v>
      </c>
      <c r="K1159" s="0" t="s">
        <v>3354</v>
      </c>
      <c r="L1159" s="0" t="n">
        <v>2014</v>
      </c>
      <c r="M1159" s="0" t="s">
        <v>1061</v>
      </c>
      <c r="N1159" s="0" t="s">
        <v>88</v>
      </c>
      <c r="O1159" s="0" t="s">
        <v>1256</v>
      </c>
      <c r="P1159" s="0" t="s">
        <v>3355</v>
      </c>
      <c r="Q1159" s="0" t="n">
        <v>154</v>
      </c>
      <c r="R1159" s="0" t="n">
        <v>154</v>
      </c>
      <c r="S1159" s="0" t="n">
        <v>4</v>
      </c>
      <c r="T1159" s="0" t="n">
        <v>2014</v>
      </c>
      <c r="U1159" s="0" t="s">
        <v>3357</v>
      </c>
      <c r="V1159" s="0" t="s">
        <v>89</v>
      </c>
      <c r="W1159" s="0" t="s">
        <v>3391</v>
      </c>
      <c r="X1159" s="0" t="s">
        <v>3389</v>
      </c>
      <c r="Y1159" s="0" t="s">
        <v>2744</v>
      </c>
      <c r="Z1159" s="0" t="s">
        <v>2745</v>
      </c>
      <c r="AB1159" s="0" t="s">
        <v>3361</v>
      </c>
      <c r="AC1159" s="0" t="s">
        <v>2747</v>
      </c>
      <c r="AD1159" s="0" t="s">
        <v>3228</v>
      </c>
      <c r="AE1159" s="0" t="s">
        <v>1008</v>
      </c>
      <c r="AF1159" s="0" t="s">
        <v>3362</v>
      </c>
      <c r="AH1159" s="0" t="s">
        <v>2751</v>
      </c>
      <c r="AL1159" s="0" t="s">
        <v>384</v>
      </c>
    </row>
    <row r="1160" customFormat="false" ht="15" hidden="false" customHeight="false" outlineLevel="0" collapsed="false">
      <c r="A1160" s="0" t="s">
        <v>396</v>
      </c>
      <c r="B1160" s="0" t="s">
        <v>86</v>
      </c>
      <c r="C1160" s="0" t="s">
        <v>3224</v>
      </c>
      <c r="D1160" s="0" t="n">
        <v>2014</v>
      </c>
      <c r="E1160" s="0" t="s">
        <v>69</v>
      </c>
      <c r="F1160" s="0" t="s">
        <v>3392</v>
      </c>
      <c r="G1160" s="0" t="s">
        <v>1723</v>
      </c>
      <c r="I1160" s="0" t="n">
        <v>24.21</v>
      </c>
      <c r="J1160" s="0" t="s">
        <v>3225</v>
      </c>
      <c r="K1160" s="0" t="s">
        <v>3354</v>
      </c>
      <c r="L1160" s="0" t="n">
        <v>2014</v>
      </c>
      <c r="M1160" s="0" t="s">
        <v>1061</v>
      </c>
      <c r="N1160" s="0" t="s">
        <v>88</v>
      </c>
      <c r="O1160" s="0" t="s">
        <v>1256</v>
      </c>
      <c r="P1160" s="0" t="s">
        <v>3355</v>
      </c>
      <c r="Q1160" s="0" t="n">
        <v>154</v>
      </c>
      <c r="R1160" s="0" t="n">
        <v>154</v>
      </c>
      <c r="S1160" s="0" t="n">
        <v>4</v>
      </c>
      <c r="T1160" s="0" t="n">
        <v>2014</v>
      </c>
      <c r="U1160" s="0" t="s">
        <v>3357</v>
      </c>
      <c r="V1160" s="0" t="s">
        <v>89</v>
      </c>
      <c r="W1160" s="0" t="s">
        <v>3393</v>
      </c>
      <c r="X1160" s="0" t="s">
        <v>3389</v>
      </c>
      <c r="Y1160" s="0" t="s">
        <v>2744</v>
      </c>
      <c r="Z1160" s="0" t="s">
        <v>2745</v>
      </c>
      <c r="AA1160" s="0" t="s">
        <v>3392</v>
      </c>
      <c r="AB1160" s="0" t="s">
        <v>3361</v>
      </c>
      <c r="AC1160" s="0" t="s">
        <v>2747</v>
      </c>
      <c r="AD1160" s="0" t="s">
        <v>3228</v>
      </c>
      <c r="AE1160" s="0" t="s">
        <v>1008</v>
      </c>
      <c r="AF1160" s="0" t="s">
        <v>3362</v>
      </c>
      <c r="AH1160" s="0" t="s">
        <v>2751</v>
      </c>
      <c r="AL1160" s="0" t="s">
        <v>384</v>
      </c>
    </row>
    <row r="1161" customFormat="false" ht="15" hidden="false" customHeight="false" outlineLevel="0" collapsed="false">
      <c r="A1161" s="0" t="s">
        <v>397</v>
      </c>
      <c r="B1161" s="0" t="s">
        <v>86</v>
      </c>
      <c r="C1161" s="0" t="s">
        <v>3224</v>
      </c>
      <c r="D1161" s="0" t="n">
        <v>2014</v>
      </c>
      <c r="E1161" s="0" t="s">
        <v>70</v>
      </c>
      <c r="F1161" s="0" t="s">
        <v>3394</v>
      </c>
      <c r="G1161" s="0" t="s">
        <v>1723</v>
      </c>
      <c r="I1161" s="0" t="n">
        <v>15</v>
      </c>
      <c r="J1161" s="0" t="s">
        <v>3225</v>
      </c>
      <c r="K1161" s="0" t="s">
        <v>3354</v>
      </c>
      <c r="L1161" s="0" t="n">
        <v>2014</v>
      </c>
      <c r="M1161" s="0" t="s">
        <v>1061</v>
      </c>
      <c r="N1161" s="0" t="s">
        <v>88</v>
      </c>
      <c r="O1161" s="0" t="s">
        <v>1256</v>
      </c>
      <c r="P1161" s="0" t="s">
        <v>3355</v>
      </c>
      <c r="Q1161" s="0" t="n">
        <v>154</v>
      </c>
      <c r="R1161" s="0" t="n">
        <v>154</v>
      </c>
      <c r="S1161" s="0" t="n">
        <v>4</v>
      </c>
      <c r="T1161" s="0" t="n">
        <v>2014</v>
      </c>
      <c r="U1161" s="0" t="s">
        <v>3357</v>
      </c>
      <c r="V1161" s="0" t="s">
        <v>89</v>
      </c>
      <c r="W1161" s="0" t="s">
        <v>3395</v>
      </c>
      <c r="X1161" s="0" t="s">
        <v>3389</v>
      </c>
      <c r="Y1161" s="0" t="s">
        <v>2744</v>
      </c>
      <c r="Z1161" s="0" t="s">
        <v>2745</v>
      </c>
      <c r="AA1161" s="0" t="s">
        <v>3394</v>
      </c>
      <c r="AB1161" s="0" t="s">
        <v>3361</v>
      </c>
      <c r="AC1161" s="0" t="s">
        <v>2747</v>
      </c>
      <c r="AD1161" s="0" t="s">
        <v>3228</v>
      </c>
      <c r="AE1161" s="0" t="s">
        <v>1008</v>
      </c>
      <c r="AF1161" s="0" t="s">
        <v>3362</v>
      </c>
      <c r="AH1161" s="0" t="s">
        <v>2751</v>
      </c>
      <c r="AL1161" s="0" t="s">
        <v>384</v>
      </c>
    </row>
    <row r="1162" customFormat="false" ht="15" hidden="false" customHeight="false" outlineLevel="0" collapsed="false">
      <c r="A1162" s="0" t="s">
        <v>401</v>
      </c>
      <c r="B1162" s="0" t="s">
        <v>86</v>
      </c>
      <c r="C1162" s="0" t="s">
        <v>3224</v>
      </c>
      <c r="D1162" s="0" t="n">
        <v>2014</v>
      </c>
      <c r="E1162" s="0" t="s">
        <v>73</v>
      </c>
      <c r="F1162" s="0" t="n">
        <v>0</v>
      </c>
      <c r="G1162" s="0" t="s">
        <v>2844</v>
      </c>
      <c r="I1162" s="0" t="n">
        <v>0</v>
      </c>
      <c r="J1162" s="0" t="s">
        <v>3278</v>
      </c>
      <c r="K1162" s="0" t="s">
        <v>3354</v>
      </c>
      <c r="L1162" s="0" t="n">
        <v>2014</v>
      </c>
      <c r="M1162" s="0" t="s">
        <v>1061</v>
      </c>
      <c r="N1162" s="0" t="s">
        <v>88</v>
      </c>
      <c r="O1162" s="0" t="s">
        <v>1256</v>
      </c>
      <c r="P1162" s="0" t="s">
        <v>3355</v>
      </c>
      <c r="Q1162" s="0" t="n">
        <v>92</v>
      </c>
      <c r="R1162" s="0" t="n">
        <v>92</v>
      </c>
      <c r="T1162" s="0" t="s">
        <v>3396</v>
      </c>
      <c r="U1162" s="0" t="s">
        <v>3357</v>
      </c>
      <c r="V1162" s="0" t="s">
        <v>89</v>
      </c>
      <c r="W1162" s="0" t="s">
        <v>3397</v>
      </c>
      <c r="X1162" s="0" t="s">
        <v>3398</v>
      </c>
      <c r="Y1162" s="0" t="s">
        <v>2799</v>
      </c>
      <c r="Z1162" s="0" t="s">
        <v>2745</v>
      </c>
      <c r="AA1162" s="0" t="s">
        <v>3399</v>
      </c>
      <c r="AB1162" s="0" t="s">
        <v>3361</v>
      </c>
      <c r="AC1162" s="0" t="s">
        <v>2747</v>
      </c>
      <c r="AD1162" s="0" t="s">
        <v>3228</v>
      </c>
      <c r="AE1162" s="0" t="s">
        <v>1008</v>
      </c>
      <c r="AF1162" s="0" t="s">
        <v>3362</v>
      </c>
      <c r="AG1162" s="0" t="s">
        <v>1008</v>
      </c>
      <c r="AH1162" s="0" t="s">
        <v>2751</v>
      </c>
      <c r="AL1162" s="0" t="s">
        <v>400</v>
      </c>
    </row>
    <row r="1163" customFormat="false" ht="15" hidden="false" customHeight="false" outlineLevel="0" collapsed="false">
      <c r="A1163" s="0" t="s">
        <v>409</v>
      </c>
      <c r="B1163" s="0" t="s">
        <v>86</v>
      </c>
      <c r="C1163" s="0" t="s">
        <v>3224</v>
      </c>
      <c r="D1163" s="0" t="n">
        <v>2015</v>
      </c>
      <c r="E1163" s="0" t="s">
        <v>55</v>
      </c>
      <c r="F1163" s="0" t="n">
        <v>1231722</v>
      </c>
      <c r="G1163" s="0" t="s">
        <v>1681</v>
      </c>
      <c r="H1163" s="0" t="s">
        <v>1648</v>
      </c>
      <c r="I1163" s="0" t="n">
        <v>1231722</v>
      </c>
      <c r="J1163" s="0" t="s">
        <v>3225</v>
      </c>
      <c r="K1163" s="0" t="s">
        <v>3400</v>
      </c>
      <c r="L1163" s="0" t="n">
        <v>2015</v>
      </c>
      <c r="M1163" s="0" t="s">
        <v>1072</v>
      </c>
      <c r="N1163" s="0" t="s">
        <v>91</v>
      </c>
      <c r="O1163" s="0" t="s">
        <v>1260</v>
      </c>
      <c r="P1163" s="0" t="s">
        <v>3401</v>
      </c>
      <c r="Q1163" s="0" t="n">
        <v>50</v>
      </c>
      <c r="R1163" s="0" t="n">
        <v>99</v>
      </c>
      <c r="T1163" s="0" t="s">
        <v>3402</v>
      </c>
      <c r="U1163" s="0" t="s">
        <v>3403</v>
      </c>
      <c r="V1163" s="0" t="s">
        <v>92</v>
      </c>
      <c r="W1163" s="0" t="s">
        <v>3404</v>
      </c>
      <c r="X1163" s="0" t="s">
        <v>3405</v>
      </c>
      <c r="Y1163" s="0" t="s">
        <v>2744</v>
      </c>
      <c r="Z1163" s="0" t="s">
        <v>2745</v>
      </c>
      <c r="AA1163" s="0" t="s">
        <v>3406</v>
      </c>
      <c r="AB1163" s="0" t="s">
        <v>3407</v>
      </c>
      <c r="AC1163" s="0" t="s">
        <v>2747</v>
      </c>
      <c r="AD1163" s="0" t="s">
        <v>3228</v>
      </c>
      <c r="AE1163" s="0" t="s">
        <v>1008</v>
      </c>
      <c r="AF1163" s="0" t="s">
        <v>3408</v>
      </c>
      <c r="AH1163" s="0" t="s">
        <v>2751</v>
      </c>
      <c r="AL1163" s="0" t="s">
        <v>384</v>
      </c>
    </row>
    <row r="1164" customFormat="false" ht="15" hidden="false" customHeight="false" outlineLevel="0" collapsed="false">
      <c r="A1164" s="0" t="s">
        <v>410</v>
      </c>
      <c r="B1164" s="0" t="s">
        <v>86</v>
      </c>
      <c r="C1164" s="0" t="s">
        <v>3224</v>
      </c>
      <c r="D1164" s="0" t="n">
        <v>2015</v>
      </c>
      <c r="E1164" s="0" t="s">
        <v>56</v>
      </c>
      <c r="F1164" s="0" t="n">
        <v>1048206</v>
      </c>
      <c r="G1164" s="0" t="s">
        <v>1681</v>
      </c>
      <c r="H1164" s="0" t="s">
        <v>1648</v>
      </c>
      <c r="I1164" s="0" t="n">
        <v>1048206</v>
      </c>
      <c r="J1164" s="0" t="s">
        <v>3225</v>
      </c>
      <c r="K1164" s="0" t="s">
        <v>3400</v>
      </c>
      <c r="L1164" s="0" t="n">
        <v>2015</v>
      </c>
      <c r="M1164" s="0" t="s">
        <v>1072</v>
      </c>
      <c r="N1164" s="0" t="s">
        <v>91</v>
      </c>
      <c r="O1164" s="0" t="s">
        <v>1260</v>
      </c>
      <c r="P1164" s="0" t="s">
        <v>3401</v>
      </c>
      <c r="Q1164" s="0" t="n">
        <v>50</v>
      </c>
      <c r="R1164" s="0" t="n">
        <v>99</v>
      </c>
      <c r="T1164" s="0" t="s">
        <v>3402</v>
      </c>
      <c r="U1164" s="0" t="s">
        <v>3403</v>
      </c>
      <c r="V1164" s="0" t="s">
        <v>92</v>
      </c>
      <c r="W1164" s="0" t="s">
        <v>3409</v>
      </c>
      <c r="X1164" s="0" t="s">
        <v>3405</v>
      </c>
      <c r="Y1164" s="0" t="s">
        <v>2744</v>
      </c>
      <c r="Z1164" s="0" t="s">
        <v>2745</v>
      </c>
      <c r="AA1164" s="0" t="s">
        <v>3410</v>
      </c>
      <c r="AB1164" s="0" t="s">
        <v>3407</v>
      </c>
      <c r="AC1164" s="0" t="s">
        <v>2747</v>
      </c>
      <c r="AD1164" s="0" t="s">
        <v>3228</v>
      </c>
      <c r="AE1164" s="0" t="s">
        <v>1008</v>
      </c>
      <c r="AF1164" s="0" t="s">
        <v>3408</v>
      </c>
      <c r="AH1164" s="0" t="s">
        <v>2751</v>
      </c>
      <c r="AL1164" s="0" t="s">
        <v>384</v>
      </c>
    </row>
    <row r="1165" customFormat="false" ht="15" hidden="false" customHeight="false" outlineLevel="0" collapsed="false">
      <c r="A1165" s="0" t="s">
        <v>411</v>
      </c>
      <c r="B1165" s="0" t="s">
        <v>86</v>
      </c>
      <c r="C1165" s="0" t="s">
        <v>3224</v>
      </c>
      <c r="D1165" s="0" t="n">
        <v>2015</v>
      </c>
      <c r="E1165" s="0" t="s">
        <v>57</v>
      </c>
      <c r="F1165" s="0" t="n">
        <v>183516</v>
      </c>
      <c r="G1165" s="0" t="s">
        <v>1681</v>
      </c>
      <c r="H1165" s="0" t="s">
        <v>1648</v>
      </c>
      <c r="I1165" s="0" t="n">
        <v>183516</v>
      </c>
      <c r="J1165" s="0" t="s">
        <v>3225</v>
      </c>
      <c r="K1165" s="0" t="s">
        <v>3400</v>
      </c>
      <c r="L1165" s="0" t="n">
        <v>2015</v>
      </c>
      <c r="M1165" s="0" t="s">
        <v>1072</v>
      </c>
      <c r="N1165" s="0" t="s">
        <v>91</v>
      </c>
      <c r="O1165" s="0" t="s">
        <v>1260</v>
      </c>
      <c r="P1165" s="0" t="s">
        <v>3401</v>
      </c>
      <c r="Q1165" s="0" t="n">
        <v>50</v>
      </c>
      <c r="R1165" s="0" t="n">
        <v>99</v>
      </c>
      <c r="S1165" s="0" t="n">
        <v>32</v>
      </c>
      <c r="T1165" s="0" t="s">
        <v>3402</v>
      </c>
      <c r="U1165" s="0" t="s">
        <v>3403</v>
      </c>
      <c r="V1165" s="0" t="s">
        <v>92</v>
      </c>
      <c r="W1165" s="0" t="s">
        <v>3411</v>
      </c>
      <c r="X1165" s="0" t="s">
        <v>3405</v>
      </c>
      <c r="Y1165" s="0" t="s">
        <v>2744</v>
      </c>
      <c r="Z1165" s="0" t="s">
        <v>2745</v>
      </c>
      <c r="AA1165" s="0" t="s">
        <v>3412</v>
      </c>
      <c r="AB1165" s="0" t="s">
        <v>3407</v>
      </c>
      <c r="AC1165" s="0" t="s">
        <v>2747</v>
      </c>
      <c r="AD1165" s="0" t="s">
        <v>3228</v>
      </c>
      <c r="AE1165" s="0" t="s">
        <v>1008</v>
      </c>
      <c r="AF1165" s="0" t="s">
        <v>3408</v>
      </c>
      <c r="AH1165" s="0" t="s">
        <v>2751</v>
      </c>
      <c r="AL1165" s="0" t="s">
        <v>384</v>
      </c>
    </row>
    <row r="1166" customFormat="false" ht="15" hidden="false" customHeight="false" outlineLevel="0" collapsed="false">
      <c r="A1166" s="0" t="s">
        <v>408</v>
      </c>
      <c r="B1166" s="0" t="s">
        <v>86</v>
      </c>
      <c r="C1166" s="0" t="s">
        <v>3224</v>
      </c>
      <c r="D1166" s="0" t="n">
        <v>2015</v>
      </c>
      <c r="E1166" s="0" t="s">
        <v>54</v>
      </c>
      <c r="F1166" s="0" t="n">
        <v>13904</v>
      </c>
      <c r="G1166" s="0" t="s">
        <v>1681</v>
      </c>
      <c r="H1166" s="0" t="s">
        <v>1648</v>
      </c>
      <c r="I1166" s="0" t="n">
        <v>13904</v>
      </c>
      <c r="J1166" s="0" t="s">
        <v>3225</v>
      </c>
      <c r="K1166" s="0" t="s">
        <v>3400</v>
      </c>
      <c r="L1166" s="0" t="n">
        <v>2015</v>
      </c>
      <c r="M1166" s="0" t="s">
        <v>1072</v>
      </c>
      <c r="N1166" s="0" t="s">
        <v>91</v>
      </c>
      <c r="O1166" s="0" t="s">
        <v>1260</v>
      </c>
      <c r="P1166" s="0" t="s">
        <v>3401</v>
      </c>
      <c r="Q1166" s="0" t="n">
        <v>50</v>
      </c>
      <c r="R1166" s="0" t="n">
        <v>98</v>
      </c>
      <c r="T1166" s="0" t="n">
        <v>2015</v>
      </c>
      <c r="U1166" s="0" t="s">
        <v>3403</v>
      </c>
      <c r="V1166" s="0" t="s">
        <v>92</v>
      </c>
      <c r="W1166" s="0" t="s">
        <v>3409</v>
      </c>
      <c r="X1166" s="0" t="s">
        <v>3405</v>
      </c>
      <c r="Y1166" s="0" t="s">
        <v>2744</v>
      </c>
      <c r="Z1166" s="0" t="s">
        <v>2745</v>
      </c>
      <c r="AA1166" s="0" t="s">
        <v>3413</v>
      </c>
      <c r="AB1166" s="0" t="s">
        <v>3407</v>
      </c>
      <c r="AC1166" s="0" t="s">
        <v>2747</v>
      </c>
      <c r="AD1166" s="0" t="s">
        <v>3228</v>
      </c>
      <c r="AE1166" s="0" t="s">
        <v>1008</v>
      </c>
      <c r="AF1166" s="0" t="s">
        <v>3414</v>
      </c>
      <c r="AH1166" s="0" t="s">
        <v>2751</v>
      </c>
      <c r="AL1166" s="0" t="s">
        <v>384</v>
      </c>
    </row>
    <row r="1167" customFormat="false" ht="15" hidden="false" customHeight="false" outlineLevel="0" collapsed="false">
      <c r="A1167" s="0" t="s">
        <v>423</v>
      </c>
      <c r="B1167" s="0" t="s">
        <v>86</v>
      </c>
      <c r="C1167" s="0" t="s">
        <v>3224</v>
      </c>
      <c r="D1167" s="0" t="n">
        <v>2015</v>
      </c>
      <c r="E1167" s="0" t="s">
        <v>402</v>
      </c>
      <c r="F1167" s="0" t="n">
        <v>14024</v>
      </c>
      <c r="G1167" s="0" t="s">
        <v>1681</v>
      </c>
      <c r="H1167" s="0" t="s">
        <v>1648</v>
      </c>
      <c r="I1167" s="0" t="n">
        <v>14024</v>
      </c>
      <c r="J1167" s="0" t="s">
        <v>3225</v>
      </c>
      <c r="K1167" s="0" t="s">
        <v>3400</v>
      </c>
      <c r="L1167" s="0" t="n">
        <v>2015</v>
      </c>
      <c r="M1167" s="0" t="s">
        <v>1072</v>
      </c>
      <c r="N1167" s="0" t="s">
        <v>91</v>
      </c>
      <c r="O1167" s="0" t="s">
        <v>1260</v>
      </c>
      <c r="P1167" s="0" t="s">
        <v>3401</v>
      </c>
      <c r="Q1167" s="0" t="n">
        <v>50</v>
      </c>
      <c r="R1167" s="0" t="n">
        <v>98</v>
      </c>
      <c r="T1167" s="0" t="n">
        <v>2015</v>
      </c>
      <c r="U1167" s="0" t="s">
        <v>3403</v>
      </c>
      <c r="V1167" s="0" t="s">
        <v>92</v>
      </c>
      <c r="W1167" s="0" t="s">
        <v>3415</v>
      </c>
      <c r="X1167" s="0" t="s">
        <v>3405</v>
      </c>
      <c r="Y1167" s="0" t="s">
        <v>2744</v>
      </c>
      <c r="Z1167" s="0" t="s">
        <v>2745</v>
      </c>
      <c r="AA1167" s="0" t="s">
        <v>3416</v>
      </c>
      <c r="AB1167" s="0" t="s">
        <v>3407</v>
      </c>
      <c r="AC1167" s="0" t="s">
        <v>2747</v>
      </c>
      <c r="AD1167" s="0" t="s">
        <v>3228</v>
      </c>
      <c r="AE1167" s="0" t="s">
        <v>1008</v>
      </c>
      <c r="AF1167" s="0" t="s">
        <v>3414</v>
      </c>
      <c r="AH1167" s="0" t="s">
        <v>2751</v>
      </c>
      <c r="AL1167" s="0" t="s">
        <v>384</v>
      </c>
    </row>
    <row r="1168" customFormat="false" ht="15" hidden="false" customHeight="false" outlineLevel="0" collapsed="false">
      <c r="A1168" s="0" t="s">
        <v>412</v>
      </c>
      <c r="B1168" s="0" t="s">
        <v>86</v>
      </c>
      <c r="C1168" s="0" t="s">
        <v>3224</v>
      </c>
      <c r="D1168" s="0" t="n">
        <v>2015</v>
      </c>
      <c r="E1168" s="0" t="s">
        <v>58</v>
      </c>
      <c r="F1168" s="0" t="n">
        <v>107132</v>
      </c>
      <c r="G1168" s="0" t="s">
        <v>1681</v>
      </c>
      <c r="H1168" s="0" t="s">
        <v>1648</v>
      </c>
      <c r="I1168" s="0" t="n">
        <v>107132</v>
      </c>
      <c r="J1168" s="0" t="s">
        <v>3225</v>
      </c>
      <c r="K1168" s="0" t="s">
        <v>3400</v>
      </c>
      <c r="L1168" s="0" t="n">
        <v>2015</v>
      </c>
      <c r="M1168" s="0" t="s">
        <v>1072</v>
      </c>
      <c r="N1168" s="0" t="s">
        <v>91</v>
      </c>
      <c r="O1168" s="0" t="s">
        <v>1260</v>
      </c>
      <c r="P1168" s="0" t="s">
        <v>3401</v>
      </c>
      <c r="Q1168" s="0" t="n">
        <v>51</v>
      </c>
      <c r="R1168" s="0" t="n">
        <v>101</v>
      </c>
      <c r="T1168" s="0" t="n">
        <v>2015</v>
      </c>
      <c r="U1168" s="0" t="s">
        <v>3403</v>
      </c>
      <c r="V1168" s="0" t="s">
        <v>92</v>
      </c>
      <c r="W1168" s="0" t="s">
        <v>3417</v>
      </c>
      <c r="X1168" s="0" t="s">
        <v>3418</v>
      </c>
      <c r="Y1168" s="0" t="s">
        <v>2744</v>
      </c>
      <c r="Z1168" s="0" t="s">
        <v>2745</v>
      </c>
      <c r="AA1168" s="0" t="s">
        <v>3419</v>
      </c>
      <c r="AB1168" s="0" t="s">
        <v>3407</v>
      </c>
      <c r="AC1168" s="0" t="s">
        <v>2747</v>
      </c>
      <c r="AD1168" s="0" t="s">
        <v>3228</v>
      </c>
      <c r="AE1168" s="0" t="s">
        <v>1008</v>
      </c>
      <c r="AF1168" s="0" t="s">
        <v>3414</v>
      </c>
      <c r="AH1168" s="0" t="s">
        <v>2751</v>
      </c>
      <c r="AL1168" s="0" t="s">
        <v>384</v>
      </c>
    </row>
    <row r="1169" customFormat="false" ht="15" hidden="false" customHeight="false" outlineLevel="0" collapsed="false">
      <c r="A1169" s="0" t="s">
        <v>413</v>
      </c>
      <c r="B1169" s="0" t="s">
        <v>86</v>
      </c>
      <c r="C1169" s="0" t="s">
        <v>3224</v>
      </c>
      <c r="D1169" s="0" t="n">
        <v>2015</v>
      </c>
      <c r="E1169" s="0" t="s">
        <v>59</v>
      </c>
      <c r="F1169" s="0" t="n">
        <v>1187025</v>
      </c>
      <c r="G1169" s="0" t="s">
        <v>1681</v>
      </c>
      <c r="H1169" s="0" t="s">
        <v>1648</v>
      </c>
      <c r="I1169" s="0" t="n">
        <v>1187025</v>
      </c>
      <c r="J1169" s="0" t="s">
        <v>3225</v>
      </c>
      <c r="K1169" s="0" t="s">
        <v>3400</v>
      </c>
      <c r="L1169" s="0" t="n">
        <v>2015</v>
      </c>
      <c r="M1169" s="0" t="s">
        <v>1072</v>
      </c>
      <c r="N1169" s="0" t="s">
        <v>91</v>
      </c>
      <c r="O1169" s="0" t="s">
        <v>1260</v>
      </c>
      <c r="P1169" s="0" t="s">
        <v>3401</v>
      </c>
      <c r="Q1169" s="0" t="n">
        <v>50</v>
      </c>
      <c r="R1169" s="0" t="n">
        <v>99</v>
      </c>
      <c r="T1169" s="0" t="s">
        <v>3420</v>
      </c>
      <c r="U1169" s="0" t="s">
        <v>3403</v>
      </c>
      <c r="V1169" s="0" t="s">
        <v>92</v>
      </c>
      <c r="W1169" s="0" t="s">
        <v>3404</v>
      </c>
      <c r="X1169" s="0" t="s">
        <v>3405</v>
      </c>
      <c r="Y1169" s="0" t="s">
        <v>2744</v>
      </c>
      <c r="Z1169" s="0" t="s">
        <v>2745</v>
      </c>
      <c r="AA1169" s="0" t="s">
        <v>3421</v>
      </c>
      <c r="AB1169" s="0" t="s">
        <v>3407</v>
      </c>
      <c r="AC1169" s="0" t="s">
        <v>2747</v>
      </c>
      <c r="AD1169" s="0" t="s">
        <v>3228</v>
      </c>
      <c r="AE1169" s="0" t="s">
        <v>1008</v>
      </c>
      <c r="AF1169" s="0" t="s">
        <v>3408</v>
      </c>
      <c r="AH1169" s="0" t="s">
        <v>2751</v>
      </c>
      <c r="AL1169" s="0" t="s">
        <v>384</v>
      </c>
    </row>
    <row r="1170" customFormat="false" ht="15" hidden="false" customHeight="false" outlineLevel="0" collapsed="false">
      <c r="A1170" s="0" t="s">
        <v>417</v>
      </c>
      <c r="B1170" s="0" t="s">
        <v>86</v>
      </c>
      <c r="C1170" s="0" t="s">
        <v>3224</v>
      </c>
      <c r="D1170" s="0" t="n">
        <v>2015</v>
      </c>
      <c r="E1170" s="0" t="s">
        <v>63</v>
      </c>
      <c r="F1170" s="0" t="n">
        <v>-5764</v>
      </c>
      <c r="G1170" s="0" t="s">
        <v>1681</v>
      </c>
      <c r="H1170" s="0" t="s">
        <v>1648</v>
      </c>
      <c r="I1170" s="0" t="n">
        <v>5764</v>
      </c>
      <c r="J1170" s="0" t="s">
        <v>3225</v>
      </c>
      <c r="K1170" s="0" t="s">
        <v>3400</v>
      </c>
      <c r="L1170" s="0" t="n">
        <v>2015</v>
      </c>
      <c r="M1170" s="0" t="s">
        <v>1072</v>
      </c>
      <c r="N1170" s="0" t="s">
        <v>91</v>
      </c>
      <c r="O1170" s="0" t="s">
        <v>1260</v>
      </c>
      <c r="P1170" s="0" t="s">
        <v>3401</v>
      </c>
      <c r="Q1170" s="0" t="n">
        <v>50</v>
      </c>
      <c r="R1170" s="0" t="n">
        <v>98</v>
      </c>
      <c r="S1170" s="0" t="n">
        <v>8</v>
      </c>
      <c r="T1170" s="0" t="n">
        <v>2015</v>
      </c>
      <c r="U1170" s="0" t="s">
        <v>3403</v>
      </c>
      <c r="V1170" s="0" t="s">
        <v>92</v>
      </c>
      <c r="W1170" s="0" t="s">
        <v>3422</v>
      </c>
      <c r="X1170" s="0" t="s">
        <v>3405</v>
      </c>
      <c r="Y1170" s="0" t="s">
        <v>2744</v>
      </c>
      <c r="Z1170" s="0" t="s">
        <v>2745</v>
      </c>
      <c r="AA1170" s="0" t="s">
        <v>3423</v>
      </c>
      <c r="AB1170" s="0" t="s">
        <v>3407</v>
      </c>
      <c r="AC1170" s="0" t="s">
        <v>2747</v>
      </c>
      <c r="AD1170" s="0" t="s">
        <v>3228</v>
      </c>
      <c r="AE1170" s="0" t="s">
        <v>1008</v>
      </c>
      <c r="AF1170" s="0" t="s">
        <v>3414</v>
      </c>
      <c r="AH1170" s="0" t="s">
        <v>2760</v>
      </c>
      <c r="AI1170" s="0" t="s">
        <v>3424</v>
      </c>
      <c r="AL1170" s="0" t="s">
        <v>384</v>
      </c>
    </row>
    <row r="1171" customFormat="false" ht="15" hidden="false" customHeight="false" outlineLevel="0" collapsed="false">
      <c r="A1171" s="0" t="s">
        <v>414</v>
      </c>
      <c r="B1171" s="0" t="s">
        <v>86</v>
      </c>
      <c r="C1171" s="0" t="s">
        <v>3224</v>
      </c>
      <c r="D1171" s="0" t="n">
        <v>2015</v>
      </c>
      <c r="E1171" s="0" t="s">
        <v>60</v>
      </c>
      <c r="F1171" s="0" t="n">
        <v>598978</v>
      </c>
      <c r="G1171" s="0" t="s">
        <v>1681</v>
      </c>
      <c r="H1171" s="0" t="s">
        <v>1648</v>
      </c>
      <c r="I1171" s="0" t="n">
        <v>598978</v>
      </c>
      <c r="J1171" s="0" t="s">
        <v>3225</v>
      </c>
      <c r="K1171" s="0" t="s">
        <v>3400</v>
      </c>
      <c r="L1171" s="0" t="n">
        <v>2015</v>
      </c>
      <c r="M1171" s="0" t="s">
        <v>1072</v>
      </c>
      <c r="N1171" s="0" t="s">
        <v>91</v>
      </c>
      <c r="O1171" s="0" t="s">
        <v>1260</v>
      </c>
      <c r="P1171" s="0" t="s">
        <v>3401</v>
      </c>
      <c r="Q1171" s="0" t="n">
        <v>84</v>
      </c>
      <c r="R1171" s="0" t="n">
        <v>166</v>
      </c>
      <c r="S1171" s="0" t="n">
        <v>21.3</v>
      </c>
      <c r="T1171" s="0" t="n">
        <v>2015</v>
      </c>
      <c r="U1171" s="0" t="s">
        <v>3403</v>
      </c>
      <c r="V1171" s="0" t="s">
        <v>92</v>
      </c>
      <c r="W1171" s="0" t="s">
        <v>3425</v>
      </c>
      <c r="X1171" s="0" t="s">
        <v>3426</v>
      </c>
      <c r="Y1171" s="0" t="s">
        <v>2744</v>
      </c>
      <c r="Z1171" s="0" t="s">
        <v>2745</v>
      </c>
      <c r="AA1171" s="0" t="s">
        <v>3427</v>
      </c>
      <c r="AB1171" s="0" t="s">
        <v>3407</v>
      </c>
      <c r="AC1171" s="0" t="s">
        <v>2747</v>
      </c>
      <c r="AD1171" s="0" t="s">
        <v>3228</v>
      </c>
      <c r="AE1171" s="0" t="s">
        <v>1008</v>
      </c>
      <c r="AF1171" s="0" t="s">
        <v>3414</v>
      </c>
      <c r="AH1171" s="0" t="s">
        <v>2751</v>
      </c>
      <c r="AL1171" s="0" t="s">
        <v>384</v>
      </c>
    </row>
    <row r="1172" customFormat="false" ht="15" hidden="false" customHeight="false" outlineLevel="0" collapsed="false">
      <c r="A1172" s="0" t="s">
        <v>415</v>
      </c>
      <c r="B1172" s="0" t="s">
        <v>86</v>
      </c>
      <c r="C1172" s="0" t="s">
        <v>3224</v>
      </c>
      <c r="D1172" s="0" t="n">
        <v>2015</v>
      </c>
      <c r="E1172" s="0" t="s">
        <v>61</v>
      </c>
      <c r="F1172" s="0" t="n">
        <v>-20776</v>
      </c>
      <c r="G1172" s="0" t="s">
        <v>1681</v>
      </c>
      <c r="H1172" s="0" t="s">
        <v>1648</v>
      </c>
      <c r="I1172" s="0" t="n">
        <v>20776</v>
      </c>
      <c r="J1172" s="0" t="s">
        <v>3225</v>
      </c>
      <c r="K1172" s="0" t="s">
        <v>3400</v>
      </c>
      <c r="L1172" s="0" t="n">
        <v>2015</v>
      </c>
      <c r="M1172" s="0" t="s">
        <v>1072</v>
      </c>
      <c r="N1172" s="0" t="s">
        <v>91</v>
      </c>
      <c r="O1172" s="0" t="s">
        <v>1260</v>
      </c>
      <c r="P1172" s="0" t="s">
        <v>3401</v>
      </c>
      <c r="Q1172" s="0" t="n">
        <v>83</v>
      </c>
      <c r="R1172" s="0" t="n">
        <v>164</v>
      </c>
      <c r="S1172" s="0" t="n">
        <v>21</v>
      </c>
      <c r="T1172" s="0" t="s">
        <v>3428</v>
      </c>
      <c r="U1172" s="0" t="s">
        <v>3403</v>
      </c>
      <c r="V1172" s="0" t="s">
        <v>92</v>
      </c>
      <c r="W1172" s="0" t="s">
        <v>3429</v>
      </c>
      <c r="X1172" s="0" t="s">
        <v>3430</v>
      </c>
      <c r="Y1172" s="0" t="s">
        <v>2744</v>
      </c>
      <c r="Z1172" s="0" t="s">
        <v>2745</v>
      </c>
      <c r="AA1172" s="0" t="s">
        <v>3431</v>
      </c>
      <c r="AB1172" s="0" t="s">
        <v>3407</v>
      </c>
      <c r="AC1172" s="0" t="s">
        <v>2747</v>
      </c>
      <c r="AD1172" s="0" t="s">
        <v>3228</v>
      </c>
      <c r="AE1172" s="0" t="s">
        <v>1008</v>
      </c>
      <c r="AF1172" s="0" t="s">
        <v>3414</v>
      </c>
      <c r="AH1172" s="0" t="s">
        <v>2760</v>
      </c>
      <c r="AI1172" s="0" t="s">
        <v>3432</v>
      </c>
      <c r="AL1172" s="0" t="s">
        <v>384</v>
      </c>
    </row>
    <row r="1173" customFormat="false" ht="15" hidden="false" customHeight="false" outlineLevel="0" collapsed="false">
      <c r="A1173" s="0" t="s">
        <v>424</v>
      </c>
      <c r="B1173" s="0" t="s">
        <v>86</v>
      </c>
      <c r="C1173" s="0" t="s">
        <v>3224</v>
      </c>
      <c r="D1173" s="0" t="n">
        <v>2015</v>
      </c>
      <c r="E1173" s="0" t="s">
        <v>404</v>
      </c>
      <c r="F1173" s="0" t="n">
        <v>-13440</v>
      </c>
      <c r="G1173" s="0" t="s">
        <v>1681</v>
      </c>
      <c r="H1173" s="0" t="s">
        <v>1648</v>
      </c>
      <c r="I1173" s="0" t="n">
        <v>13440</v>
      </c>
      <c r="J1173" s="0" t="s">
        <v>3225</v>
      </c>
      <c r="K1173" s="0" t="s">
        <v>3400</v>
      </c>
      <c r="L1173" s="0" t="n">
        <v>2015</v>
      </c>
      <c r="M1173" s="0" t="s">
        <v>1072</v>
      </c>
      <c r="N1173" s="0" t="s">
        <v>91</v>
      </c>
      <c r="O1173" s="0" t="s">
        <v>1260</v>
      </c>
      <c r="P1173" s="0" t="s">
        <v>3401</v>
      </c>
      <c r="Q1173" s="0" t="n">
        <v>83</v>
      </c>
      <c r="R1173" s="0" t="n">
        <v>164</v>
      </c>
      <c r="S1173" s="0" t="n">
        <v>21</v>
      </c>
      <c r="T1173" s="0" t="s">
        <v>3433</v>
      </c>
      <c r="U1173" s="0" t="s">
        <v>3403</v>
      </c>
      <c r="V1173" s="0" t="s">
        <v>92</v>
      </c>
      <c r="W1173" s="0" t="s">
        <v>3429</v>
      </c>
      <c r="X1173" s="0" t="s">
        <v>3430</v>
      </c>
      <c r="Y1173" s="0" t="s">
        <v>2744</v>
      </c>
      <c r="Z1173" s="0" t="s">
        <v>2745</v>
      </c>
      <c r="AA1173" s="0" t="s">
        <v>3434</v>
      </c>
      <c r="AB1173" s="0" t="s">
        <v>3407</v>
      </c>
      <c r="AC1173" s="0" t="s">
        <v>2747</v>
      </c>
      <c r="AD1173" s="0" t="s">
        <v>3228</v>
      </c>
      <c r="AE1173" s="0" t="s">
        <v>1008</v>
      </c>
      <c r="AF1173" s="0" t="s">
        <v>3414</v>
      </c>
      <c r="AH1173" s="0" t="s">
        <v>2760</v>
      </c>
      <c r="AI1173" s="0" t="s">
        <v>3432</v>
      </c>
      <c r="AL1173" s="0" t="s">
        <v>384</v>
      </c>
    </row>
    <row r="1174" customFormat="false" ht="15" hidden="false" customHeight="false" outlineLevel="0" collapsed="false">
      <c r="A1174" s="0" t="s">
        <v>425</v>
      </c>
      <c r="B1174" s="0" t="s">
        <v>86</v>
      </c>
      <c r="C1174" s="0" t="s">
        <v>3224</v>
      </c>
      <c r="D1174" s="0" t="n">
        <v>2015</v>
      </c>
      <c r="E1174" s="0" t="s">
        <v>406</v>
      </c>
      <c r="F1174" s="0" t="n">
        <v>-7336</v>
      </c>
      <c r="G1174" s="0" t="s">
        <v>1681</v>
      </c>
      <c r="H1174" s="0" t="s">
        <v>1648</v>
      </c>
      <c r="I1174" s="0" t="n">
        <v>7336</v>
      </c>
      <c r="J1174" s="0" t="s">
        <v>3225</v>
      </c>
      <c r="K1174" s="0" t="s">
        <v>3400</v>
      </c>
      <c r="L1174" s="0" t="n">
        <v>2015</v>
      </c>
      <c r="M1174" s="0" t="s">
        <v>1072</v>
      </c>
      <c r="N1174" s="0" t="s">
        <v>91</v>
      </c>
      <c r="O1174" s="0" t="s">
        <v>1260</v>
      </c>
      <c r="P1174" s="0" t="s">
        <v>3401</v>
      </c>
      <c r="Q1174" s="0" t="n">
        <v>83</v>
      </c>
      <c r="R1174" s="0" t="n">
        <v>164</v>
      </c>
      <c r="S1174" s="0" t="n">
        <v>21</v>
      </c>
      <c r="T1174" s="0" t="s">
        <v>3435</v>
      </c>
      <c r="U1174" s="0" t="s">
        <v>3403</v>
      </c>
      <c r="V1174" s="0" t="s">
        <v>92</v>
      </c>
      <c r="W1174" s="0" t="s">
        <v>3429</v>
      </c>
      <c r="X1174" s="0" t="s">
        <v>3430</v>
      </c>
      <c r="Y1174" s="0" t="s">
        <v>2744</v>
      </c>
      <c r="Z1174" s="0" t="s">
        <v>2745</v>
      </c>
      <c r="AA1174" s="0" t="s">
        <v>3436</v>
      </c>
      <c r="AB1174" s="0" t="s">
        <v>3407</v>
      </c>
      <c r="AC1174" s="0" t="s">
        <v>2747</v>
      </c>
      <c r="AD1174" s="0" t="s">
        <v>3228</v>
      </c>
      <c r="AE1174" s="0" t="s">
        <v>1008</v>
      </c>
      <c r="AF1174" s="0" t="s">
        <v>3414</v>
      </c>
      <c r="AH1174" s="0" t="s">
        <v>2760</v>
      </c>
      <c r="AI1174" s="0" t="s">
        <v>3432</v>
      </c>
      <c r="AL1174" s="0" t="s">
        <v>384</v>
      </c>
    </row>
    <row r="1175" customFormat="false" ht="15" hidden="false" customHeight="false" outlineLevel="0" collapsed="false">
      <c r="A1175" s="0" t="s">
        <v>416</v>
      </c>
      <c r="B1175" s="0" t="s">
        <v>86</v>
      </c>
      <c r="C1175" s="0" t="s">
        <v>3224</v>
      </c>
      <c r="D1175" s="0" t="n">
        <v>2015</v>
      </c>
      <c r="E1175" s="0" t="s">
        <v>62</v>
      </c>
      <c r="F1175" s="0" t="n">
        <v>578203</v>
      </c>
      <c r="G1175" s="0" t="s">
        <v>1681</v>
      </c>
      <c r="H1175" s="0" t="s">
        <v>1648</v>
      </c>
      <c r="I1175" s="0" t="n">
        <v>578203</v>
      </c>
      <c r="J1175" s="0" t="s">
        <v>3225</v>
      </c>
      <c r="K1175" s="0" t="s">
        <v>3400</v>
      </c>
      <c r="L1175" s="0" t="n">
        <v>2015</v>
      </c>
      <c r="M1175" s="0" t="s">
        <v>1072</v>
      </c>
      <c r="N1175" s="0" t="s">
        <v>91</v>
      </c>
      <c r="O1175" s="0" t="s">
        <v>1260</v>
      </c>
      <c r="P1175" s="0" t="s">
        <v>3401</v>
      </c>
      <c r="Q1175" s="0" t="n">
        <v>50</v>
      </c>
      <c r="R1175" s="0" t="n">
        <v>99</v>
      </c>
      <c r="S1175" s="0" t="n">
        <v>21</v>
      </c>
      <c r="T1175" s="0" t="s">
        <v>3402</v>
      </c>
      <c r="U1175" s="0" t="s">
        <v>3403</v>
      </c>
      <c r="V1175" s="0" t="s">
        <v>92</v>
      </c>
      <c r="W1175" s="0" t="s">
        <v>3437</v>
      </c>
      <c r="X1175" s="0" t="s">
        <v>3405</v>
      </c>
      <c r="Y1175" s="0" t="s">
        <v>2744</v>
      </c>
      <c r="Z1175" s="0" t="s">
        <v>2745</v>
      </c>
      <c r="AA1175" s="0" t="s">
        <v>3438</v>
      </c>
      <c r="AB1175" s="0" t="s">
        <v>3407</v>
      </c>
      <c r="AC1175" s="0" t="s">
        <v>2747</v>
      </c>
      <c r="AD1175" s="0" t="s">
        <v>3228</v>
      </c>
      <c r="AE1175" s="0" t="s">
        <v>1008</v>
      </c>
      <c r="AF1175" s="0" t="s">
        <v>3408</v>
      </c>
      <c r="AH1175" s="0" t="s">
        <v>2751</v>
      </c>
      <c r="AL1175" s="0" t="s">
        <v>384</v>
      </c>
    </row>
    <row r="1176" customFormat="false" ht="15" hidden="false" customHeight="false" outlineLevel="0" collapsed="false">
      <c r="A1176" s="0" t="s">
        <v>420</v>
      </c>
      <c r="B1176" s="0" t="s">
        <v>86</v>
      </c>
      <c r="C1176" s="0" t="s">
        <v>3224</v>
      </c>
      <c r="D1176" s="0" t="n">
        <v>2015</v>
      </c>
      <c r="E1176" s="0" t="s">
        <v>65</v>
      </c>
      <c r="F1176" s="0" t="n">
        <v>191595</v>
      </c>
      <c r="G1176" s="0" t="s">
        <v>1681</v>
      </c>
      <c r="H1176" s="0" t="s">
        <v>1648</v>
      </c>
      <c r="I1176" s="0" t="n">
        <v>191595</v>
      </c>
      <c r="J1176" s="0" t="s">
        <v>3225</v>
      </c>
      <c r="K1176" s="0" t="s">
        <v>3400</v>
      </c>
      <c r="L1176" s="0" t="n">
        <v>2015</v>
      </c>
      <c r="M1176" s="0" t="s">
        <v>1072</v>
      </c>
      <c r="N1176" s="0" t="s">
        <v>91</v>
      </c>
      <c r="O1176" s="0" t="s">
        <v>1260</v>
      </c>
      <c r="P1176" s="0" t="s">
        <v>3401</v>
      </c>
      <c r="Q1176" s="0" t="n">
        <v>79</v>
      </c>
      <c r="R1176" s="0" t="n">
        <v>156</v>
      </c>
      <c r="S1176" s="0" t="n">
        <v>3</v>
      </c>
      <c r="T1176" s="0" t="n">
        <v>2015</v>
      </c>
      <c r="U1176" s="0" t="s">
        <v>3403</v>
      </c>
      <c r="V1176" s="0" t="s">
        <v>92</v>
      </c>
      <c r="W1176" s="0" t="s">
        <v>3439</v>
      </c>
      <c r="X1176" s="0" t="s">
        <v>3440</v>
      </c>
      <c r="Y1176" s="0" t="s">
        <v>2744</v>
      </c>
      <c r="Z1176" s="0" t="s">
        <v>2745</v>
      </c>
      <c r="AA1176" s="0" t="s">
        <v>3441</v>
      </c>
      <c r="AB1176" s="0" t="s">
        <v>3407</v>
      </c>
      <c r="AC1176" s="0" t="s">
        <v>2747</v>
      </c>
      <c r="AD1176" s="0" t="s">
        <v>3228</v>
      </c>
      <c r="AE1176" s="0" t="s">
        <v>1008</v>
      </c>
      <c r="AF1176" s="0" t="s">
        <v>3414</v>
      </c>
      <c r="AH1176" s="0" t="s">
        <v>2751</v>
      </c>
      <c r="AL1176" s="0" t="s">
        <v>384</v>
      </c>
    </row>
    <row r="1177" customFormat="false" ht="15" hidden="false" customHeight="false" outlineLevel="0" collapsed="false">
      <c r="A1177" s="0" t="s">
        <v>421</v>
      </c>
      <c r="B1177" s="0" t="s">
        <v>86</v>
      </c>
      <c r="C1177" s="0" t="s">
        <v>3224</v>
      </c>
      <c r="D1177" s="0" t="n">
        <v>2015</v>
      </c>
      <c r="E1177" s="0" t="s">
        <v>66</v>
      </c>
      <c r="F1177" s="0" t="n">
        <v>1012062</v>
      </c>
      <c r="G1177" s="0" t="s">
        <v>1681</v>
      </c>
      <c r="H1177" s="0" t="s">
        <v>1648</v>
      </c>
      <c r="I1177" s="0" t="n">
        <v>1012062</v>
      </c>
      <c r="J1177" s="0" t="s">
        <v>3225</v>
      </c>
      <c r="K1177" s="0" t="s">
        <v>3400</v>
      </c>
      <c r="L1177" s="0" t="n">
        <v>2015</v>
      </c>
      <c r="M1177" s="0" t="s">
        <v>1072</v>
      </c>
      <c r="N1177" s="0" t="s">
        <v>91</v>
      </c>
      <c r="O1177" s="0" t="s">
        <v>1260</v>
      </c>
      <c r="P1177" s="0" t="s">
        <v>3401</v>
      </c>
      <c r="Q1177" s="0" t="n">
        <v>79</v>
      </c>
      <c r="R1177" s="0" t="n">
        <v>156</v>
      </c>
      <c r="S1177" s="0" t="n">
        <v>3</v>
      </c>
      <c r="T1177" s="0" t="n">
        <v>2015</v>
      </c>
      <c r="U1177" s="0" t="s">
        <v>3403</v>
      </c>
      <c r="V1177" s="0" t="s">
        <v>92</v>
      </c>
      <c r="W1177" s="0" t="s">
        <v>3442</v>
      </c>
      <c r="X1177" s="0" t="s">
        <v>3440</v>
      </c>
      <c r="Y1177" s="0" t="s">
        <v>2744</v>
      </c>
      <c r="Z1177" s="0" t="s">
        <v>2745</v>
      </c>
      <c r="AA1177" s="0" t="s">
        <v>3443</v>
      </c>
      <c r="AB1177" s="0" t="s">
        <v>3407</v>
      </c>
      <c r="AC1177" s="0" t="s">
        <v>2747</v>
      </c>
      <c r="AD1177" s="0" t="s">
        <v>3228</v>
      </c>
      <c r="AE1177" s="0" t="s">
        <v>1008</v>
      </c>
      <c r="AF1177" s="0" t="s">
        <v>3414</v>
      </c>
      <c r="AH1177" s="0" t="s">
        <v>2751</v>
      </c>
      <c r="AL1177" s="0" t="s">
        <v>384</v>
      </c>
    </row>
    <row r="1178" customFormat="false" ht="15" hidden="false" customHeight="false" outlineLevel="0" collapsed="false">
      <c r="A1178" s="0" t="s">
        <v>418</v>
      </c>
      <c r="B1178" s="0" t="s">
        <v>86</v>
      </c>
      <c r="C1178" s="0" t="s">
        <v>3224</v>
      </c>
      <c r="D1178" s="0" t="n">
        <v>2015</v>
      </c>
      <c r="E1178" s="0" t="s">
        <v>69</v>
      </c>
      <c r="F1178" s="0" t="s">
        <v>3444</v>
      </c>
      <c r="G1178" s="0" t="s">
        <v>1723</v>
      </c>
      <c r="I1178" s="0" t="n">
        <v>19</v>
      </c>
      <c r="J1178" s="0" t="s">
        <v>3225</v>
      </c>
      <c r="K1178" s="0" t="s">
        <v>3400</v>
      </c>
      <c r="L1178" s="0" t="n">
        <v>2015</v>
      </c>
      <c r="M1178" s="0" t="s">
        <v>1072</v>
      </c>
      <c r="N1178" s="0" t="s">
        <v>91</v>
      </c>
      <c r="O1178" s="0" t="s">
        <v>1260</v>
      </c>
      <c r="P1178" s="0" t="s">
        <v>3401</v>
      </c>
      <c r="Q1178" s="0" t="n">
        <v>79</v>
      </c>
      <c r="R1178" s="0" t="n">
        <v>156</v>
      </c>
      <c r="S1178" s="0" t="n">
        <v>3</v>
      </c>
      <c r="T1178" s="0" t="n">
        <v>2015</v>
      </c>
      <c r="U1178" s="0" t="s">
        <v>3403</v>
      </c>
      <c r="V1178" s="0" t="s">
        <v>92</v>
      </c>
      <c r="W1178" s="0" t="s">
        <v>3445</v>
      </c>
      <c r="X1178" s="0" t="s">
        <v>3440</v>
      </c>
      <c r="Y1178" s="0" t="s">
        <v>2744</v>
      </c>
      <c r="Z1178" s="0" t="s">
        <v>2745</v>
      </c>
      <c r="AA1178" s="0" t="s">
        <v>3446</v>
      </c>
      <c r="AB1178" s="0" t="s">
        <v>3407</v>
      </c>
      <c r="AC1178" s="0" t="s">
        <v>2747</v>
      </c>
      <c r="AD1178" s="0" t="s">
        <v>3228</v>
      </c>
      <c r="AE1178" s="0" t="s">
        <v>1008</v>
      </c>
      <c r="AF1178" s="0" t="s">
        <v>3414</v>
      </c>
      <c r="AH1178" s="0" t="s">
        <v>2751</v>
      </c>
      <c r="AL1178" s="0" t="s">
        <v>384</v>
      </c>
    </row>
    <row r="1179" customFormat="false" ht="15" hidden="false" customHeight="false" outlineLevel="0" collapsed="false">
      <c r="A1179" s="0" t="s">
        <v>419</v>
      </c>
      <c r="B1179" s="0" t="s">
        <v>86</v>
      </c>
      <c r="C1179" s="0" t="s">
        <v>3224</v>
      </c>
      <c r="D1179" s="0" t="n">
        <v>2015</v>
      </c>
      <c r="E1179" s="0" t="s">
        <v>70</v>
      </c>
      <c r="F1179" s="0" t="s">
        <v>2840</v>
      </c>
      <c r="G1179" s="0" t="s">
        <v>1723</v>
      </c>
      <c r="I1179" s="0" t="n">
        <v>15</v>
      </c>
      <c r="J1179" s="0" t="s">
        <v>3225</v>
      </c>
      <c r="K1179" s="0" t="s">
        <v>3400</v>
      </c>
      <c r="L1179" s="0" t="n">
        <v>2015</v>
      </c>
      <c r="M1179" s="0" t="s">
        <v>1072</v>
      </c>
      <c r="N1179" s="0" t="s">
        <v>91</v>
      </c>
      <c r="O1179" s="0" t="s">
        <v>1260</v>
      </c>
      <c r="P1179" s="0" t="s">
        <v>3401</v>
      </c>
      <c r="Q1179" s="0" t="n">
        <v>79</v>
      </c>
      <c r="R1179" s="0" t="n">
        <v>156</v>
      </c>
      <c r="S1179" s="0" t="n">
        <v>3</v>
      </c>
      <c r="T1179" s="0" t="n">
        <v>2015</v>
      </c>
      <c r="U1179" s="0" t="s">
        <v>3403</v>
      </c>
      <c r="V1179" s="0" t="s">
        <v>92</v>
      </c>
      <c r="W1179" s="0" t="s">
        <v>3447</v>
      </c>
      <c r="X1179" s="0" t="s">
        <v>3440</v>
      </c>
      <c r="Y1179" s="0" t="s">
        <v>2744</v>
      </c>
      <c r="Z1179" s="0" t="s">
        <v>2745</v>
      </c>
      <c r="AA1179" s="0" t="s">
        <v>3448</v>
      </c>
      <c r="AB1179" s="0" t="s">
        <v>3407</v>
      </c>
      <c r="AC1179" s="0" t="s">
        <v>2747</v>
      </c>
      <c r="AD1179" s="0" t="s">
        <v>3228</v>
      </c>
      <c r="AE1179" s="0" t="s">
        <v>1008</v>
      </c>
      <c r="AF1179" s="0" t="s">
        <v>3414</v>
      </c>
      <c r="AH1179" s="0" t="s">
        <v>2751</v>
      </c>
      <c r="AL1179" s="0" t="s">
        <v>384</v>
      </c>
    </row>
    <row r="1180" customFormat="false" ht="15" hidden="false" customHeight="false" outlineLevel="0" collapsed="false">
      <c r="A1180" s="0" t="s">
        <v>422</v>
      </c>
      <c r="B1180" s="0" t="s">
        <v>86</v>
      </c>
      <c r="C1180" s="0" t="s">
        <v>3224</v>
      </c>
      <c r="D1180" s="0" t="n">
        <v>2015</v>
      </c>
      <c r="E1180" s="0" t="s">
        <v>73</v>
      </c>
      <c r="F1180" s="0" t="n">
        <v>0</v>
      </c>
      <c r="G1180" s="0" t="s">
        <v>2844</v>
      </c>
      <c r="I1180" s="0" t="n">
        <v>0</v>
      </c>
      <c r="J1180" s="0" t="s">
        <v>3278</v>
      </c>
      <c r="K1180" s="0" t="s">
        <v>3400</v>
      </c>
      <c r="L1180" s="0" t="n">
        <v>2015</v>
      </c>
      <c r="M1180" s="0" t="s">
        <v>1072</v>
      </c>
      <c r="N1180" s="0" t="s">
        <v>91</v>
      </c>
      <c r="O1180" s="0" t="s">
        <v>1260</v>
      </c>
      <c r="P1180" s="0" t="s">
        <v>3401</v>
      </c>
      <c r="Q1180" s="0" t="n">
        <v>48</v>
      </c>
      <c r="R1180" s="0" t="n">
        <v>94</v>
      </c>
      <c r="T1180" s="0" t="s">
        <v>3449</v>
      </c>
      <c r="U1180" s="0" t="s">
        <v>3403</v>
      </c>
      <c r="V1180" s="0" t="s">
        <v>92</v>
      </c>
      <c r="W1180" s="0" t="s">
        <v>3397</v>
      </c>
      <c r="X1180" s="0" t="s">
        <v>3450</v>
      </c>
      <c r="Y1180" s="0" t="s">
        <v>2799</v>
      </c>
      <c r="Z1180" s="0" t="s">
        <v>2745</v>
      </c>
      <c r="AA1180" s="0" t="s">
        <v>3451</v>
      </c>
      <c r="AB1180" s="0" t="s">
        <v>3407</v>
      </c>
      <c r="AC1180" s="0" t="s">
        <v>2747</v>
      </c>
      <c r="AD1180" s="0" t="s">
        <v>3228</v>
      </c>
      <c r="AE1180" s="0" t="s">
        <v>1008</v>
      </c>
      <c r="AF1180" s="0" t="s">
        <v>3452</v>
      </c>
      <c r="AG1180" s="0" t="s">
        <v>1008</v>
      </c>
      <c r="AH1180" s="0" t="s">
        <v>2751</v>
      </c>
      <c r="AL1180" s="0" t="s">
        <v>400</v>
      </c>
    </row>
    <row r="1181" customFormat="false" ht="15" hidden="false" customHeight="false" outlineLevel="0" collapsed="false">
      <c r="A1181" s="0" t="s">
        <v>427</v>
      </c>
      <c r="B1181" s="0" t="s">
        <v>86</v>
      </c>
      <c r="C1181" s="0" t="s">
        <v>3224</v>
      </c>
      <c r="D1181" s="0" t="n">
        <v>2016</v>
      </c>
      <c r="E1181" s="0" t="s">
        <v>55</v>
      </c>
      <c r="F1181" s="0" t="n">
        <v>1298141</v>
      </c>
      <c r="G1181" s="0" t="s">
        <v>1681</v>
      </c>
      <c r="H1181" s="0" t="s">
        <v>1648</v>
      </c>
      <c r="I1181" s="0" t="n">
        <v>1298141</v>
      </c>
      <c r="J1181" s="0" t="s">
        <v>3225</v>
      </c>
      <c r="K1181" s="0" t="s">
        <v>3453</v>
      </c>
      <c r="L1181" s="0" t="n">
        <v>2016</v>
      </c>
      <c r="M1181" s="0" t="s">
        <v>1083</v>
      </c>
      <c r="N1181" s="0" t="s">
        <v>93</v>
      </c>
      <c r="O1181" s="0" t="s">
        <v>1263</v>
      </c>
      <c r="P1181" s="0" t="s">
        <v>3454</v>
      </c>
      <c r="Q1181" s="0" t="n">
        <v>26</v>
      </c>
      <c r="R1181" s="0" t="n">
        <v>25</v>
      </c>
      <c r="T1181" s="0" t="s">
        <v>3455</v>
      </c>
      <c r="U1181" s="0" t="s">
        <v>2796</v>
      </c>
      <c r="V1181" s="0" t="s">
        <v>94</v>
      </c>
      <c r="W1181" s="0" t="s">
        <v>2797</v>
      </c>
      <c r="X1181" s="0" t="s">
        <v>3456</v>
      </c>
      <c r="Y1181" s="0" t="s">
        <v>2799</v>
      </c>
      <c r="Z1181" s="0" t="s">
        <v>2745</v>
      </c>
      <c r="AA1181" s="0" t="s">
        <v>3457</v>
      </c>
      <c r="AB1181" s="0" t="s">
        <v>3407</v>
      </c>
      <c r="AC1181" s="0" t="s">
        <v>2747</v>
      </c>
      <c r="AD1181" s="0" t="s">
        <v>3228</v>
      </c>
      <c r="AE1181" s="0" t="s">
        <v>1008</v>
      </c>
      <c r="AF1181" s="0" t="s">
        <v>3458</v>
      </c>
      <c r="AH1181" s="0" t="s">
        <v>2751</v>
      </c>
      <c r="AL1181" s="0" t="s">
        <v>400</v>
      </c>
    </row>
    <row r="1182" customFormat="false" ht="15" hidden="false" customHeight="false" outlineLevel="0" collapsed="false">
      <c r="A1182" s="0" t="s">
        <v>428</v>
      </c>
      <c r="B1182" s="0" t="s">
        <v>86</v>
      </c>
      <c r="C1182" s="0" t="s">
        <v>3224</v>
      </c>
      <c r="D1182" s="0" t="n">
        <v>2016</v>
      </c>
      <c r="E1182" s="0" t="s">
        <v>56</v>
      </c>
      <c r="F1182" s="0" t="n">
        <v>1112739</v>
      </c>
      <c r="G1182" s="0" t="s">
        <v>1681</v>
      </c>
      <c r="H1182" s="0" t="s">
        <v>1648</v>
      </c>
      <c r="I1182" s="0" t="n">
        <v>1112739</v>
      </c>
      <c r="J1182" s="0" t="s">
        <v>3225</v>
      </c>
      <c r="K1182" s="0" t="s">
        <v>3453</v>
      </c>
      <c r="L1182" s="0" t="n">
        <v>2016</v>
      </c>
      <c r="M1182" s="0" t="s">
        <v>1083</v>
      </c>
      <c r="N1182" s="0" t="s">
        <v>93</v>
      </c>
      <c r="O1182" s="0" t="s">
        <v>1263</v>
      </c>
      <c r="P1182" s="0" t="s">
        <v>3454</v>
      </c>
      <c r="Q1182" s="0" t="n">
        <v>26</v>
      </c>
      <c r="R1182" s="0" t="n">
        <v>25</v>
      </c>
      <c r="T1182" s="0" t="s">
        <v>3455</v>
      </c>
      <c r="U1182" s="0" t="s">
        <v>2796</v>
      </c>
      <c r="V1182" s="0" t="s">
        <v>94</v>
      </c>
      <c r="W1182" s="0" t="s">
        <v>2803</v>
      </c>
      <c r="X1182" s="0" t="s">
        <v>3456</v>
      </c>
      <c r="Y1182" s="0" t="s">
        <v>2799</v>
      </c>
      <c r="Z1182" s="0" t="s">
        <v>2745</v>
      </c>
      <c r="AA1182" s="0" t="s">
        <v>3459</v>
      </c>
      <c r="AB1182" s="0" t="s">
        <v>3407</v>
      </c>
      <c r="AC1182" s="0" t="s">
        <v>2747</v>
      </c>
      <c r="AD1182" s="0" t="s">
        <v>3228</v>
      </c>
      <c r="AE1182" s="0" t="s">
        <v>1008</v>
      </c>
      <c r="AF1182" s="0" t="s">
        <v>3458</v>
      </c>
      <c r="AH1182" s="0" t="s">
        <v>2751</v>
      </c>
      <c r="AL1182" s="0" t="s">
        <v>400</v>
      </c>
    </row>
    <row r="1183" customFormat="false" ht="15" hidden="false" customHeight="false" outlineLevel="0" collapsed="false">
      <c r="A1183" s="0" t="s">
        <v>429</v>
      </c>
      <c r="B1183" s="0" t="s">
        <v>86</v>
      </c>
      <c r="C1183" s="0" t="s">
        <v>3224</v>
      </c>
      <c r="D1183" s="0" t="n">
        <v>2016</v>
      </c>
      <c r="E1183" s="0" t="s">
        <v>57</v>
      </c>
      <c r="F1183" s="0" t="n">
        <v>185402</v>
      </c>
      <c r="G1183" s="0" t="s">
        <v>1681</v>
      </c>
      <c r="H1183" s="0" t="s">
        <v>1648</v>
      </c>
      <c r="I1183" s="0" t="n">
        <v>185402</v>
      </c>
      <c r="J1183" s="0" t="s">
        <v>3225</v>
      </c>
      <c r="K1183" s="0" t="s">
        <v>3453</v>
      </c>
      <c r="L1183" s="0" t="n">
        <v>2016</v>
      </c>
      <c r="M1183" s="0" t="s">
        <v>1083</v>
      </c>
      <c r="N1183" s="0" t="s">
        <v>93</v>
      </c>
      <c r="O1183" s="0" t="s">
        <v>1263</v>
      </c>
      <c r="P1183" s="0" t="s">
        <v>3454</v>
      </c>
      <c r="Q1183" s="0" t="n">
        <v>26</v>
      </c>
      <c r="R1183" s="0" t="n">
        <v>25</v>
      </c>
      <c r="T1183" s="0" t="s">
        <v>3455</v>
      </c>
      <c r="U1183" s="0" t="s">
        <v>2796</v>
      </c>
      <c r="V1183" s="0" t="s">
        <v>94</v>
      </c>
      <c r="W1183" s="0" t="s">
        <v>3460</v>
      </c>
      <c r="X1183" s="0" t="s">
        <v>3456</v>
      </c>
      <c r="Y1183" s="0" t="s">
        <v>2799</v>
      </c>
      <c r="Z1183" s="0" t="s">
        <v>2745</v>
      </c>
      <c r="AA1183" s="0" t="s">
        <v>3461</v>
      </c>
      <c r="AB1183" s="0" t="s">
        <v>3407</v>
      </c>
      <c r="AC1183" s="0" t="s">
        <v>2747</v>
      </c>
      <c r="AD1183" s="0" t="s">
        <v>3228</v>
      </c>
      <c r="AE1183" s="0" t="s">
        <v>1008</v>
      </c>
      <c r="AF1183" s="0" t="s">
        <v>3458</v>
      </c>
      <c r="AH1183" s="0" t="s">
        <v>2751</v>
      </c>
      <c r="AL1183" s="0" t="s">
        <v>400</v>
      </c>
    </row>
    <row r="1184" customFormat="false" ht="15" hidden="false" customHeight="false" outlineLevel="0" collapsed="false">
      <c r="A1184" s="0" t="s">
        <v>431</v>
      </c>
      <c r="B1184" s="0" t="s">
        <v>86</v>
      </c>
      <c r="C1184" s="0" t="s">
        <v>3224</v>
      </c>
      <c r="D1184" s="0" t="n">
        <v>2016</v>
      </c>
      <c r="E1184" s="0" t="s">
        <v>59</v>
      </c>
      <c r="F1184" s="0" t="n">
        <v>1231722</v>
      </c>
      <c r="G1184" s="0" t="s">
        <v>1681</v>
      </c>
      <c r="H1184" s="0" t="s">
        <v>1648</v>
      </c>
      <c r="I1184" s="0" t="n">
        <v>1231722</v>
      </c>
      <c r="J1184" s="0" t="s">
        <v>3225</v>
      </c>
      <c r="K1184" s="0" t="s">
        <v>3453</v>
      </c>
      <c r="L1184" s="0" t="n">
        <v>2016</v>
      </c>
      <c r="M1184" s="0" t="s">
        <v>1083</v>
      </c>
      <c r="N1184" s="0" t="s">
        <v>93</v>
      </c>
      <c r="O1184" s="0" t="s">
        <v>1263</v>
      </c>
      <c r="P1184" s="0" t="s">
        <v>3454</v>
      </c>
      <c r="Q1184" s="0" t="n">
        <v>26</v>
      </c>
      <c r="R1184" s="0" t="n">
        <v>25</v>
      </c>
      <c r="T1184" s="0" t="s">
        <v>3462</v>
      </c>
      <c r="U1184" s="0" t="s">
        <v>2796</v>
      </c>
      <c r="V1184" s="0" t="s">
        <v>94</v>
      </c>
      <c r="W1184" s="0" t="s">
        <v>2797</v>
      </c>
      <c r="X1184" s="0" t="s">
        <v>3456</v>
      </c>
      <c r="Y1184" s="0" t="s">
        <v>2799</v>
      </c>
      <c r="Z1184" s="0" t="s">
        <v>2745</v>
      </c>
      <c r="AA1184" s="0" t="s">
        <v>3463</v>
      </c>
      <c r="AB1184" s="0" t="s">
        <v>3407</v>
      </c>
      <c r="AC1184" s="0" t="s">
        <v>2747</v>
      </c>
      <c r="AD1184" s="0" t="s">
        <v>3228</v>
      </c>
      <c r="AE1184" s="0" t="s">
        <v>1008</v>
      </c>
      <c r="AF1184" s="0" t="s">
        <v>3458</v>
      </c>
      <c r="AH1184" s="0" t="s">
        <v>2751</v>
      </c>
      <c r="AL1184" s="0" t="s">
        <v>400</v>
      </c>
    </row>
    <row r="1185" customFormat="false" ht="15" hidden="false" customHeight="false" outlineLevel="0" collapsed="false">
      <c r="A1185" s="0" t="s">
        <v>426</v>
      </c>
      <c r="B1185" s="0" t="s">
        <v>86</v>
      </c>
      <c r="C1185" s="0" t="s">
        <v>3224</v>
      </c>
      <c r="D1185" s="0" t="n">
        <v>2016</v>
      </c>
      <c r="E1185" s="0" t="s">
        <v>54</v>
      </c>
      <c r="F1185" s="0" t="n">
        <v>9734</v>
      </c>
      <c r="G1185" s="0" t="s">
        <v>1681</v>
      </c>
      <c r="H1185" s="0" t="s">
        <v>1648</v>
      </c>
      <c r="I1185" s="0" t="n">
        <v>9734</v>
      </c>
      <c r="J1185" s="0" t="s">
        <v>3225</v>
      </c>
      <c r="K1185" s="0" t="s">
        <v>3453</v>
      </c>
      <c r="L1185" s="0" t="n">
        <v>2016</v>
      </c>
      <c r="M1185" s="0" t="s">
        <v>1083</v>
      </c>
      <c r="N1185" s="0" t="s">
        <v>93</v>
      </c>
      <c r="O1185" s="0" t="s">
        <v>1263</v>
      </c>
      <c r="P1185" s="0" t="s">
        <v>3454</v>
      </c>
      <c r="Q1185" s="0" t="n">
        <v>25</v>
      </c>
      <c r="R1185" s="0" t="n">
        <v>24</v>
      </c>
      <c r="T1185" s="0" t="n">
        <v>2016</v>
      </c>
      <c r="U1185" s="0" t="s">
        <v>2796</v>
      </c>
      <c r="V1185" s="0" t="s">
        <v>94</v>
      </c>
      <c r="W1185" s="0" t="s">
        <v>3464</v>
      </c>
      <c r="X1185" s="0" t="s">
        <v>3465</v>
      </c>
      <c r="Y1185" s="0" t="s">
        <v>2744</v>
      </c>
      <c r="Z1185" s="0" t="s">
        <v>2745</v>
      </c>
      <c r="AA1185" s="0" t="s">
        <v>3466</v>
      </c>
      <c r="AB1185" s="0" t="s">
        <v>3407</v>
      </c>
      <c r="AC1185" s="0" t="s">
        <v>2747</v>
      </c>
      <c r="AD1185" s="0" t="s">
        <v>3228</v>
      </c>
      <c r="AE1185" s="0" t="s">
        <v>1008</v>
      </c>
      <c r="AF1185" s="0" t="s">
        <v>3458</v>
      </c>
      <c r="AH1185" s="0" t="s">
        <v>2751</v>
      </c>
      <c r="AL1185" s="0" t="s">
        <v>384</v>
      </c>
    </row>
    <row r="1186" customFormat="false" ht="15" hidden="false" customHeight="false" outlineLevel="0" collapsed="false">
      <c r="A1186" s="0" t="s">
        <v>442</v>
      </c>
      <c r="B1186" s="0" t="s">
        <v>86</v>
      </c>
      <c r="C1186" s="0" t="s">
        <v>3224</v>
      </c>
      <c r="D1186" s="0" t="n">
        <v>2016</v>
      </c>
      <c r="E1186" s="0" t="s">
        <v>402</v>
      </c>
      <c r="F1186" s="0" t="n">
        <v>11061</v>
      </c>
      <c r="G1186" s="0" t="s">
        <v>1681</v>
      </c>
      <c r="H1186" s="0" t="s">
        <v>1648</v>
      </c>
      <c r="I1186" s="0" t="n">
        <v>11061</v>
      </c>
      <c r="J1186" s="0" t="s">
        <v>3225</v>
      </c>
      <c r="K1186" s="0" t="s">
        <v>3453</v>
      </c>
      <c r="L1186" s="0" t="n">
        <v>2016</v>
      </c>
      <c r="M1186" s="0" t="s">
        <v>1083</v>
      </c>
      <c r="N1186" s="0" t="s">
        <v>93</v>
      </c>
      <c r="O1186" s="0" t="s">
        <v>1263</v>
      </c>
      <c r="P1186" s="0" t="s">
        <v>3454</v>
      </c>
      <c r="Q1186" s="0" t="n">
        <v>25</v>
      </c>
      <c r="R1186" s="0" t="n">
        <v>24</v>
      </c>
      <c r="T1186" s="0" t="n">
        <v>2016</v>
      </c>
      <c r="U1186" s="0" t="s">
        <v>2796</v>
      </c>
      <c r="V1186" s="0" t="s">
        <v>94</v>
      </c>
      <c r="W1186" s="0" t="s">
        <v>3467</v>
      </c>
      <c r="X1186" s="0" t="s">
        <v>3465</v>
      </c>
      <c r="Y1186" s="0" t="s">
        <v>2744</v>
      </c>
      <c r="Z1186" s="0" t="s">
        <v>2745</v>
      </c>
      <c r="AA1186" s="0" t="n">
        <v>11061</v>
      </c>
      <c r="AB1186" s="0" t="s">
        <v>3407</v>
      </c>
      <c r="AC1186" s="0" t="s">
        <v>2747</v>
      </c>
      <c r="AD1186" s="0" t="s">
        <v>3228</v>
      </c>
      <c r="AE1186" s="0" t="s">
        <v>1008</v>
      </c>
      <c r="AF1186" s="0" t="s">
        <v>3458</v>
      </c>
      <c r="AH1186" s="0" t="s">
        <v>2751</v>
      </c>
      <c r="AL1186" s="0" t="s">
        <v>384</v>
      </c>
    </row>
    <row r="1187" customFormat="false" ht="15" hidden="false" customHeight="false" outlineLevel="0" collapsed="false">
      <c r="A1187" s="0" t="s">
        <v>435</v>
      </c>
      <c r="B1187" s="0" t="s">
        <v>86</v>
      </c>
      <c r="C1187" s="0" t="s">
        <v>3224</v>
      </c>
      <c r="D1187" s="0" t="n">
        <v>2016</v>
      </c>
      <c r="E1187" s="0" t="s">
        <v>63</v>
      </c>
      <c r="F1187" s="0" t="n">
        <v>-8671</v>
      </c>
      <c r="G1187" s="0" t="s">
        <v>1681</v>
      </c>
      <c r="H1187" s="0" t="s">
        <v>1648</v>
      </c>
      <c r="I1187" s="0" t="n">
        <v>8671</v>
      </c>
      <c r="J1187" s="0" t="s">
        <v>3225</v>
      </c>
      <c r="K1187" s="0" t="s">
        <v>3453</v>
      </c>
      <c r="L1187" s="0" t="n">
        <v>2016</v>
      </c>
      <c r="M1187" s="0" t="s">
        <v>1083</v>
      </c>
      <c r="N1187" s="0" t="s">
        <v>93</v>
      </c>
      <c r="O1187" s="0" t="s">
        <v>1263</v>
      </c>
      <c r="P1187" s="0" t="s">
        <v>3454</v>
      </c>
      <c r="Q1187" s="0" t="n">
        <v>25</v>
      </c>
      <c r="R1187" s="0" t="n">
        <v>24</v>
      </c>
      <c r="S1187" s="0" t="n">
        <v>8</v>
      </c>
      <c r="T1187" s="0" t="n">
        <v>2016</v>
      </c>
      <c r="U1187" s="0" t="s">
        <v>2796</v>
      </c>
      <c r="V1187" s="0" t="s">
        <v>94</v>
      </c>
      <c r="W1187" s="0" t="s">
        <v>3468</v>
      </c>
      <c r="X1187" s="0" t="s">
        <v>3465</v>
      </c>
      <c r="Y1187" s="0" t="s">
        <v>2744</v>
      </c>
      <c r="Z1187" s="0" t="s">
        <v>2745</v>
      </c>
      <c r="AA1187" s="0" t="s">
        <v>3469</v>
      </c>
      <c r="AB1187" s="0" t="s">
        <v>3407</v>
      </c>
      <c r="AC1187" s="0" t="s">
        <v>2747</v>
      </c>
      <c r="AD1187" s="0" t="s">
        <v>3228</v>
      </c>
      <c r="AE1187" s="0" t="s">
        <v>1008</v>
      </c>
      <c r="AF1187" s="0" t="s">
        <v>3458</v>
      </c>
      <c r="AH1187" s="0" t="s">
        <v>2760</v>
      </c>
      <c r="AI1187" s="0" t="s">
        <v>3470</v>
      </c>
      <c r="AL1187" s="0" t="s">
        <v>384</v>
      </c>
    </row>
    <row r="1188" customFormat="false" ht="15" hidden="false" customHeight="false" outlineLevel="0" collapsed="false">
      <c r="A1188" s="0" t="s">
        <v>430</v>
      </c>
      <c r="B1188" s="0" t="s">
        <v>86</v>
      </c>
      <c r="C1188" s="0" t="s">
        <v>3224</v>
      </c>
      <c r="D1188" s="0" t="n">
        <v>2016</v>
      </c>
      <c r="E1188" s="0" t="s">
        <v>58</v>
      </c>
      <c r="F1188" s="0" t="n">
        <v>-56907</v>
      </c>
      <c r="G1188" s="0" t="s">
        <v>1681</v>
      </c>
      <c r="H1188" s="0" t="s">
        <v>1648</v>
      </c>
      <c r="I1188" s="0" t="n">
        <v>-56907</v>
      </c>
      <c r="J1188" s="0" t="s">
        <v>3225</v>
      </c>
      <c r="K1188" s="0" t="s">
        <v>3453</v>
      </c>
      <c r="L1188" s="0" t="n">
        <v>2016</v>
      </c>
      <c r="M1188" s="0" t="s">
        <v>1083</v>
      </c>
      <c r="N1188" s="0" t="s">
        <v>93</v>
      </c>
      <c r="O1188" s="0" t="s">
        <v>1263</v>
      </c>
      <c r="P1188" s="0" t="s">
        <v>3454</v>
      </c>
      <c r="Q1188" s="0" t="n">
        <v>28</v>
      </c>
      <c r="R1188" s="0" t="n">
        <v>27</v>
      </c>
      <c r="T1188" s="0" t="n">
        <v>2016</v>
      </c>
      <c r="U1188" s="0" t="s">
        <v>2796</v>
      </c>
      <c r="V1188" s="0" t="s">
        <v>94</v>
      </c>
      <c r="W1188" s="0" t="s">
        <v>3471</v>
      </c>
      <c r="X1188" s="0" t="s">
        <v>3472</v>
      </c>
      <c r="Y1188" s="0" t="s">
        <v>2744</v>
      </c>
      <c r="Z1188" s="0" t="s">
        <v>2745</v>
      </c>
      <c r="AA1188" s="0" t="s">
        <v>3473</v>
      </c>
      <c r="AB1188" s="0" t="s">
        <v>3407</v>
      </c>
      <c r="AC1188" s="0" t="s">
        <v>2747</v>
      </c>
      <c r="AD1188" s="0" t="s">
        <v>3228</v>
      </c>
      <c r="AE1188" s="0" t="s">
        <v>1008</v>
      </c>
      <c r="AF1188" s="0" t="s">
        <v>3458</v>
      </c>
      <c r="AH1188" s="0" t="s">
        <v>2751</v>
      </c>
      <c r="AL1188" s="0" t="s">
        <v>384</v>
      </c>
    </row>
    <row r="1189" customFormat="false" ht="15" hidden="false" customHeight="false" outlineLevel="0" collapsed="false">
      <c r="A1189" s="0" t="s">
        <v>432</v>
      </c>
      <c r="B1189" s="0" t="s">
        <v>86</v>
      </c>
      <c r="C1189" s="0" t="s">
        <v>3224</v>
      </c>
      <c r="D1189" s="0" t="n">
        <v>2016</v>
      </c>
      <c r="E1189" s="0" t="s">
        <v>60</v>
      </c>
      <c r="F1189" s="0" t="n">
        <v>743120</v>
      </c>
      <c r="G1189" s="0" t="s">
        <v>1681</v>
      </c>
      <c r="H1189" s="0" t="s">
        <v>1648</v>
      </c>
      <c r="I1189" s="0" t="n">
        <v>743120</v>
      </c>
      <c r="J1189" s="0" t="s">
        <v>3225</v>
      </c>
      <c r="K1189" s="0" t="s">
        <v>3453</v>
      </c>
      <c r="L1189" s="0" t="n">
        <v>2016</v>
      </c>
      <c r="M1189" s="0" t="s">
        <v>1083</v>
      </c>
      <c r="N1189" s="0" t="s">
        <v>93</v>
      </c>
      <c r="O1189" s="0" t="s">
        <v>1263</v>
      </c>
      <c r="P1189" s="0" t="s">
        <v>3454</v>
      </c>
      <c r="Q1189" s="0" t="n">
        <v>87</v>
      </c>
      <c r="R1189" s="0" t="n">
        <v>86</v>
      </c>
      <c r="S1189" s="0" t="n">
        <v>21</v>
      </c>
      <c r="T1189" s="0" t="s">
        <v>3474</v>
      </c>
      <c r="U1189" s="0" t="s">
        <v>2796</v>
      </c>
      <c r="V1189" s="0" t="s">
        <v>94</v>
      </c>
      <c r="W1189" s="0" t="s">
        <v>3475</v>
      </c>
      <c r="X1189" s="0" t="s">
        <v>3476</v>
      </c>
      <c r="Y1189" s="0" t="s">
        <v>2744</v>
      </c>
      <c r="Z1189" s="0" t="s">
        <v>2745</v>
      </c>
      <c r="AA1189" s="0" t="s">
        <v>3477</v>
      </c>
      <c r="AB1189" s="0" t="s">
        <v>3407</v>
      </c>
      <c r="AC1189" s="0" t="s">
        <v>2747</v>
      </c>
      <c r="AD1189" s="0" t="s">
        <v>3228</v>
      </c>
      <c r="AE1189" s="0" t="s">
        <v>1008</v>
      </c>
      <c r="AF1189" s="0" t="s">
        <v>3458</v>
      </c>
      <c r="AH1189" s="0" t="s">
        <v>2751</v>
      </c>
      <c r="AL1189" s="0" t="s">
        <v>384</v>
      </c>
    </row>
    <row r="1190" customFormat="false" ht="15" hidden="false" customHeight="false" outlineLevel="0" collapsed="false">
      <c r="A1190" s="0" t="s">
        <v>433</v>
      </c>
      <c r="B1190" s="0" t="s">
        <v>86</v>
      </c>
      <c r="C1190" s="0" t="s">
        <v>3224</v>
      </c>
      <c r="D1190" s="0" t="n">
        <v>2016</v>
      </c>
      <c r="E1190" s="0" t="s">
        <v>61</v>
      </c>
      <c r="F1190" s="0" t="n">
        <v>-24719</v>
      </c>
      <c r="G1190" s="0" t="s">
        <v>1681</v>
      </c>
      <c r="H1190" s="0" t="s">
        <v>1648</v>
      </c>
      <c r="I1190" s="0" t="n">
        <v>24719</v>
      </c>
      <c r="J1190" s="0" t="s">
        <v>3225</v>
      </c>
      <c r="K1190" s="0" t="s">
        <v>3453</v>
      </c>
      <c r="L1190" s="0" t="n">
        <v>2016</v>
      </c>
      <c r="M1190" s="0" t="s">
        <v>1083</v>
      </c>
      <c r="N1190" s="0" t="s">
        <v>93</v>
      </c>
      <c r="O1190" s="0" t="s">
        <v>1263</v>
      </c>
      <c r="P1190" s="0" t="s">
        <v>3454</v>
      </c>
      <c r="Q1190" s="0" t="n">
        <v>87</v>
      </c>
      <c r="R1190" s="0" t="n">
        <v>86</v>
      </c>
      <c r="S1190" s="0" t="n">
        <v>21</v>
      </c>
      <c r="T1190" s="0" t="s">
        <v>3478</v>
      </c>
      <c r="U1190" s="0" t="s">
        <v>2796</v>
      </c>
      <c r="V1190" s="0" t="s">
        <v>94</v>
      </c>
      <c r="W1190" s="0" t="s">
        <v>3475</v>
      </c>
      <c r="X1190" s="0" t="s">
        <v>3476</v>
      </c>
      <c r="Y1190" s="0" t="s">
        <v>2744</v>
      </c>
      <c r="Z1190" s="0" t="s">
        <v>2745</v>
      </c>
      <c r="AA1190" s="0" t="s">
        <v>3479</v>
      </c>
      <c r="AB1190" s="0" t="s">
        <v>3407</v>
      </c>
      <c r="AC1190" s="0" t="s">
        <v>2747</v>
      </c>
      <c r="AD1190" s="0" t="s">
        <v>3228</v>
      </c>
      <c r="AE1190" s="0" t="s">
        <v>1008</v>
      </c>
      <c r="AF1190" s="0" t="s">
        <v>3458</v>
      </c>
      <c r="AH1190" s="0" t="s">
        <v>2760</v>
      </c>
      <c r="AI1190" s="0" t="s">
        <v>3480</v>
      </c>
      <c r="AL1190" s="0" t="s">
        <v>384</v>
      </c>
    </row>
    <row r="1191" customFormat="false" ht="15" hidden="false" customHeight="false" outlineLevel="0" collapsed="false">
      <c r="A1191" s="0" t="s">
        <v>443</v>
      </c>
      <c r="B1191" s="0" t="s">
        <v>86</v>
      </c>
      <c r="C1191" s="0" t="s">
        <v>3224</v>
      </c>
      <c r="D1191" s="0" t="n">
        <v>2016</v>
      </c>
      <c r="E1191" s="0" t="s">
        <v>404</v>
      </c>
      <c r="F1191" s="0" t="n">
        <v>-15027</v>
      </c>
      <c r="G1191" s="0" t="s">
        <v>1681</v>
      </c>
      <c r="H1191" s="0" t="s">
        <v>1648</v>
      </c>
      <c r="I1191" s="0" t="n">
        <v>15027</v>
      </c>
      <c r="J1191" s="0" t="s">
        <v>3225</v>
      </c>
      <c r="K1191" s="0" t="s">
        <v>3453</v>
      </c>
      <c r="L1191" s="0" t="n">
        <v>2016</v>
      </c>
      <c r="M1191" s="0" t="s">
        <v>1083</v>
      </c>
      <c r="N1191" s="0" t="s">
        <v>93</v>
      </c>
      <c r="O1191" s="0" t="s">
        <v>1263</v>
      </c>
      <c r="P1191" s="0" t="s">
        <v>3454</v>
      </c>
      <c r="Q1191" s="0" t="n">
        <v>87</v>
      </c>
      <c r="R1191" s="0" t="n">
        <v>86</v>
      </c>
      <c r="S1191" s="0" t="n">
        <v>21</v>
      </c>
      <c r="T1191" s="0" t="s">
        <v>3481</v>
      </c>
      <c r="U1191" s="0" t="s">
        <v>2796</v>
      </c>
      <c r="V1191" s="0" t="s">
        <v>94</v>
      </c>
      <c r="W1191" s="0" t="s">
        <v>3475</v>
      </c>
      <c r="X1191" s="0" t="s">
        <v>3476</v>
      </c>
      <c r="Y1191" s="0" t="s">
        <v>2744</v>
      </c>
      <c r="Z1191" s="0" t="s">
        <v>2745</v>
      </c>
      <c r="AA1191" s="0" t="s">
        <v>3482</v>
      </c>
      <c r="AB1191" s="0" t="s">
        <v>3407</v>
      </c>
      <c r="AC1191" s="0" t="s">
        <v>2747</v>
      </c>
      <c r="AD1191" s="0" t="s">
        <v>3228</v>
      </c>
      <c r="AE1191" s="0" t="s">
        <v>1008</v>
      </c>
      <c r="AF1191" s="0" t="s">
        <v>3458</v>
      </c>
      <c r="AH1191" s="0" t="s">
        <v>2760</v>
      </c>
      <c r="AI1191" s="0" t="s">
        <v>3480</v>
      </c>
      <c r="AL1191" s="0" t="s">
        <v>384</v>
      </c>
    </row>
    <row r="1192" customFormat="false" ht="15" hidden="false" customHeight="false" outlineLevel="0" collapsed="false">
      <c r="A1192" s="0" t="s">
        <v>444</v>
      </c>
      <c r="B1192" s="0" t="s">
        <v>86</v>
      </c>
      <c r="C1192" s="0" t="s">
        <v>3224</v>
      </c>
      <c r="D1192" s="0" t="n">
        <v>2016</v>
      </c>
      <c r="E1192" s="0" t="s">
        <v>406</v>
      </c>
      <c r="F1192" s="0" t="n">
        <v>-9692</v>
      </c>
      <c r="G1192" s="0" t="s">
        <v>1681</v>
      </c>
      <c r="H1192" s="0" t="s">
        <v>1648</v>
      </c>
      <c r="I1192" s="0" t="n">
        <v>9692</v>
      </c>
      <c r="J1192" s="0" t="s">
        <v>3225</v>
      </c>
      <c r="K1192" s="0" t="s">
        <v>3453</v>
      </c>
      <c r="L1192" s="0" t="n">
        <v>2016</v>
      </c>
      <c r="M1192" s="0" t="s">
        <v>1083</v>
      </c>
      <c r="N1192" s="0" t="s">
        <v>93</v>
      </c>
      <c r="O1192" s="0" t="s">
        <v>1263</v>
      </c>
      <c r="P1192" s="0" t="s">
        <v>3454</v>
      </c>
      <c r="Q1192" s="0" t="n">
        <v>87</v>
      </c>
      <c r="R1192" s="0" t="n">
        <v>86</v>
      </c>
      <c r="S1192" s="0" t="n">
        <v>21</v>
      </c>
      <c r="T1192" s="0" t="s">
        <v>3483</v>
      </c>
      <c r="U1192" s="0" t="s">
        <v>2796</v>
      </c>
      <c r="V1192" s="0" t="s">
        <v>94</v>
      </c>
      <c r="W1192" s="0" t="s">
        <v>3475</v>
      </c>
      <c r="X1192" s="0" t="s">
        <v>3476</v>
      </c>
      <c r="Y1192" s="0" t="s">
        <v>2744</v>
      </c>
      <c r="Z1192" s="0" t="s">
        <v>2745</v>
      </c>
      <c r="AA1192" s="0" t="s">
        <v>3484</v>
      </c>
      <c r="AB1192" s="0" t="s">
        <v>3407</v>
      </c>
      <c r="AC1192" s="0" t="s">
        <v>2747</v>
      </c>
      <c r="AD1192" s="0" t="s">
        <v>3228</v>
      </c>
      <c r="AE1192" s="0" t="s">
        <v>1008</v>
      </c>
      <c r="AF1192" s="0" t="s">
        <v>3458</v>
      </c>
      <c r="AH1192" s="0" t="s">
        <v>2760</v>
      </c>
      <c r="AI1192" s="0" t="s">
        <v>3480</v>
      </c>
      <c r="AL1192" s="0" t="s">
        <v>384</v>
      </c>
    </row>
    <row r="1193" customFormat="false" ht="15" hidden="false" customHeight="false" outlineLevel="0" collapsed="false">
      <c r="A1193" s="0" t="s">
        <v>434</v>
      </c>
      <c r="B1193" s="0" t="s">
        <v>86</v>
      </c>
      <c r="C1193" s="0" t="s">
        <v>3224</v>
      </c>
      <c r="D1193" s="0" t="n">
        <v>2016</v>
      </c>
      <c r="E1193" s="0" t="s">
        <v>62</v>
      </c>
      <c r="F1193" s="0" t="n">
        <v>718401</v>
      </c>
      <c r="G1193" s="0" t="s">
        <v>1681</v>
      </c>
      <c r="H1193" s="0" t="s">
        <v>1648</v>
      </c>
      <c r="I1193" s="0" t="n">
        <v>718401</v>
      </c>
      <c r="J1193" s="0" t="s">
        <v>3225</v>
      </c>
      <c r="K1193" s="0" t="s">
        <v>3453</v>
      </c>
      <c r="L1193" s="0" t="n">
        <v>2016</v>
      </c>
      <c r="M1193" s="0" t="s">
        <v>1083</v>
      </c>
      <c r="N1193" s="0" t="s">
        <v>93</v>
      </c>
      <c r="O1193" s="0" t="s">
        <v>1263</v>
      </c>
      <c r="P1193" s="0" t="s">
        <v>3454</v>
      </c>
      <c r="Q1193" s="0" t="n">
        <v>87</v>
      </c>
      <c r="R1193" s="0" t="n">
        <v>86</v>
      </c>
      <c r="S1193" s="0" t="n">
        <v>21</v>
      </c>
      <c r="T1193" s="0" t="s">
        <v>3485</v>
      </c>
      <c r="U1193" s="0" t="s">
        <v>2796</v>
      </c>
      <c r="V1193" s="0" t="s">
        <v>94</v>
      </c>
      <c r="W1193" s="0" t="s">
        <v>3475</v>
      </c>
      <c r="X1193" s="0" t="s">
        <v>3476</v>
      </c>
      <c r="Y1193" s="0" t="s">
        <v>2744</v>
      </c>
      <c r="Z1193" s="0" t="s">
        <v>2745</v>
      </c>
      <c r="AA1193" s="0" t="s">
        <v>3486</v>
      </c>
      <c r="AB1193" s="0" t="s">
        <v>3407</v>
      </c>
      <c r="AC1193" s="0" t="s">
        <v>2747</v>
      </c>
      <c r="AD1193" s="0" t="s">
        <v>3228</v>
      </c>
      <c r="AE1193" s="0" t="s">
        <v>1008</v>
      </c>
      <c r="AF1193" s="0" t="s">
        <v>3458</v>
      </c>
      <c r="AH1193" s="0" t="s">
        <v>2751</v>
      </c>
      <c r="AL1193" s="0" t="s">
        <v>384</v>
      </c>
    </row>
    <row r="1194" customFormat="false" ht="15" hidden="false" customHeight="false" outlineLevel="0" collapsed="false">
      <c r="A1194" s="0" t="s">
        <v>439</v>
      </c>
      <c r="B1194" s="0" t="s">
        <v>86</v>
      </c>
      <c r="C1194" s="0" t="s">
        <v>3224</v>
      </c>
      <c r="D1194" s="0" t="n">
        <v>2016</v>
      </c>
      <c r="E1194" s="0" t="s">
        <v>65</v>
      </c>
      <c r="F1194" s="0" t="n">
        <v>196913</v>
      </c>
      <c r="G1194" s="0" t="s">
        <v>1681</v>
      </c>
      <c r="H1194" s="0" t="s">
        <v>1648</v>
      </c>
      <c r="I1194" s="0" t="n">
        <v>196913</v>
      </c>
      <c r="J1194" s="0" t="s">
        <v>3225</v>
      </c>
      <c r="K1194" s="0" t="s">
        <v>3453</v>
      </c>
      <c r="L1194" s="0" t="n">
        <v>2016</v>
      </c>
      <c r="M1194" s="0" t="s">
        <v>1083</v>
      </c>
      <c r="N1194" s="0" t="s">
        <v>93</v>
      </c>
      <c r="O1194" s="0" t="s">
        <v>1263</v>
      </c>
      <c r="P1194" s="0" t="s">
        <v>3454</v>
      </c>
      <c r="Q1194" s="0" t="n">
        <v>80</v>
      </c>
      <c r="R1194" s="0" t="n">
        <v>79</v>
      </c>
      <c r="S1194" s="0" t="n">
        <v>4</v>
      </c>
      <c r="T1194" s="0" t="n">
        <v>2016</v>
      </c>
      <c r="U1194" s="0" t="s">
        <v>2796</v>
      </c>
      <c r="V1194" s="0" t="s">
        <v>94</v>
      </c>
      <c r="W1194" s="0" t="s">
        <v>3487</v>
      </c>
      <c r="X1194" s="0" t="s">
        <v>3488</v>
      </c>
      <c r="Y1194" s="0" t="s">
        <v>2744</v>
      </c>
      <c r="Z1194" s="0" t="s">
        <v>2745</v>
      </c>
      <c r="AA1194" s="0" t="s">
        <v>3489</v>
      </c>
      <c r="AB1194" s="0" t="s">
        <v>3407</v>
      </c>
      <c r="AC1194" s="0" t="s">
        <v>2747</v>
      </c>
      <c r="AD1194" s="0" t="s">
        <v>3228</v>
      </c>
      <c r="AE1194" s="0" t="s">
        <v>1008</v>
      </c>
      <c r="AF1194" s="0" t="s">
        <v>3458</v>
      </c>
      <c r="AH1194" s="0" t="s">
        <v>2751</v>
      </c>
      <c r="AL1194" s="0" t="s">
        <v>384</v>
      </c>
    </row>
    <row r="1195" customFormat="false" ht="15" hidden="false" customHeight="false" outlineLevel="0" collapsed="false">
      <c r="A1195" s="0" t="s">
        <v>440</v>
      </c>
      <c r="B1195" s="0" t="s">
        <v>86</v>
      </c>
      <c r="C1195" s="0" t="s">
        <v>3224</v>
      </c>
      <c r="D1195" s="0" t="n">
        <v>2016</v>
      </c>
      <c r="E1195" s="0" t="s">
        <v>66</v>
      </c>
      <c r="F1195" s="0" t="n">
        <v>1138258</v>
      </c>
      <c r="G1195" s="0" t="s">
        <v>1681</v>
      </c>
      <c r="H1195" s="0" t="s">
        <v>1648</v>
      </c>
      <c r="I1195" s="0" t="n">
        <v>1138258</v>
      </c>
      <c r="J1195" s="0" t="s">
        <v>3225</v>
      </c>
      <c r="K1195" s="0" t="s">
        <v>3453</v>
      </c>
      <c r="L1195" s="0" t="n">
        <v>2016</v>
      </c>
      <c r="M1195" s="0" t="s">
        <v>1083</v>
      </c>
      <c r="N1195" s="0" t="s">
        <v>93</v>
      </c>
      <c r="O1195" s="0" t="s">
        <v>1263</v>
      </c>
      <c r="P1195" s="0" t="s">
        <v>3454</v>
      </c>
      <c r="Q1195" s="0" t="n">
        <v>80</v>
      </c>
      <c r="R1195" s="0" t="n">
        <v>79</v>
      </c>
      <c r="S1195" s="0" t="n">
        <v>4</v>
      </c>
      <c r="T1195" s="0" t="n">
        <v>2016</v>
      </c>
      <c r="U1195" s="0" t="s">
        <v>2796</v>
      </c>
      <c r="V1195" s="0" t="s">
        <v>94</v>
      </c>
      <c r="W1195" s="0" t="s">
        <v>3490</v>
      </c>
      <c r="X1195" s="0" t="s">
        <v>3488</v>
      </c>
      <c r="Y1195" s="0" t="s">
        <v>2744</v>
      </c>
      <c r="Z1195" s="0" t="s">
        <v>2745</v>
      </c>
      <c r="AA1195" s="0" t="s">
        <v>3491</v>
      </c>
      <c r="AB1195" s="0" t="s">
        <v>3407</v>
      </c>
      <c r="AC1195" s="0" t="s">
        <v>2747</v>
      </c>
      <c r="AD1195" s="0" t="s">
        <v>3228</v>
      </c>
      <c r="AE1195" s="0" t="s">
        <v>1008</v>
      </c>
      <c r="AF1195" s="0" t="s">
        <v>3458</v>
      </c>
      <c r="AH1195" s="0" t="s">
        <v>2751</v>
      </c>
      <c r="AL1195" s="0" t="s">
        <v>384</v>
      </c>
    </row>
    <row r="1196" customFormat="false" ht="15" hidden="false" customHeight="false" outlineLevel="0" collapsed="false">
      <c r="A1196" s="0" t="s">
        <v>436</v>
      </c>
      <c r="B1196" s="0" t="s">
        <v>86</v>
      </c>
      <c r="C1196" s="0" t="s">
        <v>3224</v>
      </c>
      <c r="D1196" s="0" t="n">
        <v>2016</v>
      </c>
      <c r="E1196" s="0" t="s">
        <v>69</v>
      </c>
      <c r="F1196" s="0" t="s">
        <v>3492</v>
      </c>
      <c r="G1196" s="0" t="s">
        <v>1723</v>
      </c>
      <c r="I1196" s="0" t="n">
        <v>17.22</v>
      </c>
      <c r="J1196" s="0" t="s">
        <v>3225</v>
      </c>
      <c r="K1196" s="0" t="s">
        <v>3453</v>
      </c>
      <c r="L1196" s="0" t="n">
        <v>2016</v>
      </c>
      <c r="M1196" s="0" t="s">
        <v>1083</v>
      </c>
      <c r="N1196" s="0" t="s">
        <v>93</v>
      </c>
      <c r="O1196" s="0" t="s">
        <v>1263</v>
      </c>
      <c r="P1196" s="0" t="s">
        <v>3454</v>
      </c>
      <c r="Q1196" s="0" t="n">
        <v>80</v>
      </c>
      <c r="R1196" s="0" t="n">
        <v>79</v>
      </c>
      <c r="S1196" s="0" t="n">
        <v>4</v>
      </c>
      <c r="T1196" s="0" t="n">
        <v>2016</v>
      </c>
      <c r="U1196" s="0" t="s">
        <v>2796</v>
      </c>
      <c r="V1196" s="0" t="s">
        <v>94</v>
      </c>
      <c r="W1196" s="0" t="s">
        <v>3493</v>
      </c>
      <c r="X1196" s="0" t="s">
        <v>3488</v>
      </c>
      <c r="Y1196" s="0" t="s">
        <v>2744</v>
      </c>
      <c r="Z1196" s="0" t="s">
        <v>2745</v>
      </c>
      <c r="AA1196" s="0" t="s">
        <v>3494</v>
      </c>
      <c r="AB1196" s="0" t="s">
        <v>3407</v>
      </c>
      <c r="AC1196" s="0" t="s">
        <v>2747</v>
      </c>
      <c r="AD1196" s="0" t="s">
        <v>3228</v>
      </c>
      <c r="AE1196" s="0" t="s">
        <v>1008</v>
      </c>
      <c r="AF1196" s="0" t="s">
        <v>3458</v>
      </c>
      <c r="AH1196" s="0" t="s">
        <v>2751</v>
      </c>
      <c r="AL1196" s="0" t="s">
        <v>384</v>
      </c>
    </row>
    <row r="1197" customFormat="false" ht="15" hidden="false" customHeight="false" outlineLevel="0" collapsed="false">
      <c r="A1197" s="0" t="s">
        <v>438</v>
      </c>
      <c r="B1197" s="0" t="s">
        <v>86</v>
      </c>
      <c r="C1197" s="0" t="s">
        <v>3224</v>
      </c>
      <c r="D1197" s="0" t="n">
        <v>2016</v>
      </c>
      <c r="E1197" s="0" t="s">
        <v>70</v>
      </c>
      <c r="F1197" s="0" t="s">
        <v>2840</v>
      </c>
      <c r="G1197" s="0" t="s">
        <v>1723</v>
      </c>
      <c r="I1197" s="0" t="n">
        <v>15</v>
      </c>
      <c r="J1197" s="0" t="s">
        <v>3225</v>
      </c>
      <c r="K1197" s="0" t="s">
        <v>3453</v>
      </c>
      <c r="L1197" s="0" t="n">
        <v>2016</v>
      </c>
      <c r="M1197" s="0" t="s">
        <v>1083</v>
      </c>
      <c r="N1197" s="0" t="s">
        <v>93</v>
      </c>
      <c r="O1197" s="0" t="s">
        <v>1263</v>
      </c>
      <c r="P1197" s="0" t="s">
        <v>3454</v>
      </c>
      <c r="Q1197" s="0" t="n">
        <v>80</v>
      </c>
      <c r="R1197" s="0" t="n">
        <v>79</v>
      </c>
      <c r="S1197" s="0" t="n">
        <v>4</v>
      </c>
      <c r="T1197" s="0" t="n">
        <v>2016</v>
      </c>
      <c r="U1197" s="0" t="s">
        <v>2796</v>
      </c>
      <c r="V1197" s="0" t="s">
        <v>94</v>
      </c>
      <c r="W1197" s="0" t="s">
        <v>3250</v>
      </c>
      <c r="X1197" s="0" t="s">
        <v>3488</v>
      </c>
      <c r="Y1197" s="0" t="s">
        <v>2744</v>
      </c>
      <c r="Z1197" s="0" t="s">
        <v>2745</v>
      </c>
      <c r="AA1197" s="0" t="s">
        <v>3495</v>
      </c>
      <c r="AB1197" s="0" t="s">
        <v>3407</v>
      </c>
      <c r="AC1197" s="0" t="s">
        <v>2747</v>
      </c>
      <c r="AD1197" s="0" t="s">
        <v>3228</v>
      </c>
      <c r="AE1197" s="0" t="s">
        <v>1008</v>
      </c>
      <c r="AF1197" s="0" t="s">
        <v>3458</v>
      </c>
      <c r="AH1197" s="0" t="s">
        <v>2751</v>
      </c>
      <c r="AL1197" s="0" t="s">
        <v>384</v>
      </c>
    </row>
    <row r="1198" customFormat="false" ht="15" hidden="false" customHeight="false" outlineLevel="0" collapsed="false">
      <c r="A1198" s="0" t="s">
        <v>441</v>
      </c>
      <c r="B1198" s="0" t="s">
        <v>86</v>
      </c>
      <c r="C1198" s="0" t="s">
        <v>3224</v>
      </c>
      <c r="D1198" s="0" t="n">
        <v>2016</v>
      </c>
      <c r="E1198" s="0" t="s">
        <v>73</v>
      </c>
      <c r="F1198" s="0" t="n">
        <v>0</v>
      </c>
      <c r="G1198" s="0" t="s">
        <v>2844</v>
      </c>
      <c r="I1198" s="0" t="n">
        <v>0</v>
      </c>
      <c r="J1198" s="0" t="s">
        <v>3278</v>
      </c>
      <c r="K1198" s="0" t="s">
        <v>3453</v>
      </c>
      <c r="L1198" s="0" t="n">
        <v>2016</v>
      </c>
      <c r="M1198" s="0" t="s">
        <v>1083</v>
      </c>
      <c r="N1198" s="0" t="s">
        <v>93</v>
      </c>
      <c r="O1198" s="0" t="s">
        <v>1263</v>
      </c>
      <c r="P1198" s="0" t="s">
        <v>3454</v>
      </c>
      <c r="Q1198" s="0" t="n">
        <v>20</v>
      </c>
      <c r="R1198" s="0" t="n">
        <v>19</v>
      </c>
      <c r="T1198" s="0" t="s">
        <v>3496</v>
      </c>
      <c r="U1198" s="0" t="s">
        <v>2796</v>
      </c>
      <c r="V1198" s="0" t="s">
        <v>94</v>
      </c>
      <c r="W1198" s="0" t="s">
        <v>3397</v>
      </c>
      <c r="X1198" s="0" t="s">
        <v>3497</v>
      </c>
      <c r="Y1198" s="0" t="s">
        <v>2799</v>
      </c>
      <c r="Z1198" s="0" t="s">
        <v>2745</v>
      </c>
      <c r="AA1198" s="0" t="s">
        <v>3498</v>
      </c>
      <c r="AB1198" s="0" t="s">
        <v>3407</v>
      </c>
      <c r="AC1198" s="0" t="s">
        <v>2747</v>
      </c>
      <c r="AD1198" s="0" t="s">
        <v>3228</v>
      </c>
      <c r="AE1198" s="0" t="s">
        <v>1008</v>
      </c>
      <c r="AF1198" s="0" t="s">
        <v>3458</v>
      </c>
      <c r="AG1198" s="0" t="s">
        <v>1008</v>
      </c>
      <c r="AH1198" s="0" t="s">
        <v>2751</v>
      </c>
      <c r="AL1198" s="0" t="s">
        <v>400</v>
      </c>
    </row>
    <row r="1199" customFormat="false" ht="15" hidden="false" customHeight="false" outlineLevel="0" collapsed="false">
      <c r="A1199" s="0" t="s">
        <v>446</v>
      </c>
      <c r="B1199" s="0" t="s">
        <v>86</v>
      </c>
      <c r="C1199" s="0" t="s">
        <v>3224</v>
      </c>
      <c r="D1199" s="0" t="n">
        <v>2017</v>
      </c>
      <c r="E1199" s="0" t="s">
        <v>55</v>
      </c>
      <c r="F1199" s="0" t="n">
        <v>1379214</v>
      </c>
      <c r="G1199" s="0" t="s">
        <v>1681</v>
      </c>
      <c r="H1199" s="0" t="s">
        <v>1648</v>
      </c>
      <c r="I1199" s="0" t="n">
        <v>1379214</v>
      </c>
      <c r="J1199" s="0" t="s">
        <v>3225</v>
      </c>
      <c r="K1199" s="0" t="s">
        <v>3499</v>
      </c>
      <c r="L1199" s="0" t="n">
        <v>2017</v>
      </c>
      <c r="M1199" s="0" t="s">
        <v>1094</v>
      </c>
      <c r="N1199" s="0" t="s">
        <v>95</v>
      </c>
      <c r="O1199" s="0" t="s">
        <v>1266</v>
      </c>
      <c r="P1199" s="0" t="s">
        <v>3500</v>
      </c>
      <c r="Q1199" s="0" t="n">
        <v>52</v>
      </c>
      <c r="R1199" s="0" t="n">
        <v>103</v>
      </c>
      <c r="T1199" s="0" t="s">
        <v>3501</v>
      </c>
      <c r="U1199" s="0" t="s">
        <v>2985</v>
      </c>
      <c r="V1199" s="0" t="s">
        <v>96</v>
      </c>
      <c r="W1199" s="0" t="s">
        <v>3502</v>
      </c>
      <c r="X1199" s="0" t="s">
        <v>3503</v>
      </c>
      <c r="Y1199" s="0" t="s">
        <v>2744</v>
      </c>
      <c r="Z1199" s="0" t="s">
        <v>2745</v>
      </c>
      <c r="AA1199" s="0" t="s">
        <v>3504</v>
      </c>
      <c r="AB1199" s="0" t="s">
        <v>3505</v>
      </c>
      <c r="AC1199" s="0" t="s">
        <v>2747</v>
      </c>
      <c r="AD1199" s="0" t="s">
        <v>3228</v>
      </c>
      <c r="AE1199" s="0" t="s">
        <v>1008</v>
      </c>
      <c r="AF1199" s="0" t="s">
        <v>3506</v>
      </c>
      <c r="AH1199" s="0" t="s">
        <v>2751</v>
      </c>
      <c r="AL1199" s="0" t="s">
        <v>384</v>
      </c>
    </row>
    <row r="1200" customFormat="false" ht="15" hidden="false" customHeight="false" outlineLevel="0" collapsed="false">
      <c r="A1200" s="0" t="s">
        <v>447</v>
      </c>
      <c r="B1200" s="0" t="s">
        <v>86</v>
      </c>
      <c r="C1200" s="0" t="s">
        <v>3224</v>
      </c>
      <c r="D1200" s="0" t="n">
        <v>2017</v>
      </c>
      <c r="E1200" s="0" t="s">
        <v>56</v>
      </c>
      <c r="F1200" s="0" t="n">
        <v>1175899</v>
      </c>
      <c r="G1200" s="0" t="s">
        <v>1681</v>
      </c>
      <c r="H1200" s="0" t="s">
        <v>1648</v>
      </c>
      <c r="I1200" s="0" t="n">
        <v>1175899</v>
      </c>
      <c r="J1200" s="0" t="s">
        <v>3225</v>
      </c>
      <c r="K1200" s="0" t="s">
        <v>3499</v>
      </c>
      <c r="L1200" s="0" t="n">
        <v>2017</v>
      </c>
      <c r="M1200" s="0" t="s">
        <v>1094</v>
      </c>
      <c r="N1200" s="0" t="s">
        <v>95</v>
      </c>
      <c r="O1200" s="0" t="s">
        <v>1266</v>
      </c>
      <c r="P1200" s="0" t="s">
        <v>3500</v>
      </c>
      <c r="Q1200" s="0" t="n">
        <v>52</v>
      </c>
      <c r="R1200" s="0" t="n">
        <v>103</v>
      </c>
      <c r="T1200" s="0" t="s">
        <v>3501</v>
      </c>
      <c r="U1200" s="0" t="s">
        <v>2985</v>
      </c>
      <c r="V1200" s="0" t="s">
        <v>96</v>
      </c>
      <c r="W1200" s="0" t="s">
        <v>3507</v>
      </c>
      <c r="X1200" s="0" t="s">
        <v>3503</v>
      </c>
      <c r="Y1200" s="0" t="s">
        <v>2744</v>
      </c>
      <c r="Z1200" s="0" t="s">
        <v>2745</v>
      </c>
      <c r="AA1200" s="0" t="s">
        <v>3508</v>
      </c>
      <c r="AB1200" s="0" t="s">
        <v>3505</v>
      </c>
      <c r="AC1200" s="0" t="s">
        <v>2747</v>
      </c>
      <c r="AD1200" s="0" t="s">
        <v>3228</v>
      </c>
      <c r="AE1200" s="0" t="s">
        <v>1008</v>
      </c>
      <c r="AF1200" s="0" t="s">
        <v>3506</v>
      </c>
      <c r="AH1200" s="0" t="s">
        <v>2751</v>
      </c>
      <c r="AL1200" s="0" t="s">
        <v>384</v>
      </c>
    </row>
    <row r="1201" customFormat="false" ht="15" hidden="false" customHeight="false" outlineLevel="0" collapsed="false">
      <c r="A1201" s="0" t="s">
        <v>448</v>
      </c>
      <c r="B1201" s="0" t="s">
        <v>86</v>
      </c>
      <c r="C1201" s="0" t="s">
        <v>3224</v>
      </c>
      <c r="D1201" s="0" t="n">
        <v>2017</v>
      </c>
      <c r="E1201" s="0" t="s">
        <v>57</v>
      </c>
      <c r="F1201" s="0" t="n">
        <v>203315</v>
      </c>
      <c r="G1201" s="0" t="s">
        <v>1681</v>
      </c>
      <c r="H1201" s="0" t="s">
        <v>1648</v>
      </c>
      <c r="I1201" s="0" t="n">
        <v>203315</v>
      </c>
      <c r="J1201" s="0" t="s">
        <v>3225</v>
      </c>
      <c r="K1201" s="0" t="s">
        <v>3499</v>
      </c>
      <c r="L1201" s="0" t="n">
        <v>2017</v>
      </c>
      <c r="M1201" s="0" t="s">
        <v>1094</v>
      </c>
      <c r="N1201" s="0" t="s">
        <v>95</v>
      </c>
      <c r="O1201" s="0" t="s">
        <v>1266</v>
      </c>
      <c r="P1201" s="0" t="s">
        <v>3500</v>
      </c>
      <c r="Q1201" s="0" t="n">
        <v>52</v>
      </c>
      <c r="R1201" s="0" t="n">
        <v>103</v>
      </c>
      <c r="T1201" s="0" t="s">
        <v>3501</v>
      </c>
      <c r="U1201" s="0" t="s">
        <v>2985</v>
      </c>
      <c r="V1201" s="0" t="s">
        <v>96</v>
      </c>
      <c r="W1201" s="0" t="s">
        <v>3509</v>
      </c>
      <c r="X1201" s="0" t="s">
        <v>3503</v>
      </c>
      <c r="Y1201" s="0" t="s">
        <v>2744</v>
      </c>
      <c r="Z1201" s="0" t="s">
        <v>2745</v>
      </c>
      <c r="AA1201" s="0" t="s">
        <v>3510</v>
      </c>
      <c r="AB1201" s="0" t="s">
        <v>3505</v>
      </c>
      <c r="AC1201" s="0" t="s">
        <v>2747</v>
      </c>
      <c r="AD1201" s="0" t="s">
        <v>3228</v>
      </c>
      <c r="AE1201" s="0" t="s">
        <v>1008</v>
      </c>
      <c r="AF1201" s="0" t="s">
        <v>3506</v>
      </c>
      <c r="AH1201" s="0" t="s">
        <v>2751</v>
      </c>
      <c r="AL1201" s="0" t="s">
        <v>384</v>
      </c>
    </row>
    <row r="1202" customFormat="false" ht="15" hidden="false" customHeight="false" outlineLevel="0" collapsed="false">
      <c r="A1202" s="0" t="s">
        <v>445</v>
      </c>
      <c r="B1202" s="0" t="s">
        <v>86</v>
      </c>
      <c r="C1202" s="0" t="s">
        <v>3224</v>
      </c>
      <c r="D1202" s="0" t="n">
        <v>2017</v>
      </c>
      <c r="E1202" s="0" t="s">
        <v>54</v>
      </c>
      <c r="F1202" s="0" t="n">
        <v>18857</v>
      </c>
      <c r="G1202" s="0" t="s">
        <v>1681</v>
      </c>
      <c r="H1202" s="0" t="s">
        <v>1648</v>
      </c>
      <c r="I1202" s="0" t="n">
        <v>18857</v>
      </c>
      <c r="J1202" s="0" t="s">
        <v>3225</v>
      </c>
      <c r="K1202" s="0" t="s">
        <v>3499</v>
      </c>
      <c r="L1202" s="0" t="n">
        <v>2017</v>
      </c>
      <c r="M1202" s="0" t="s">
        <v>1094</v>
      </c>
      <c r="N1202" s="0" t="s">
        <v>95</v>
      </c>
      <c r="O1202" s="0" t="s">
        <v>1266</v>
      </c>
      <c r="P1202" s="0" t="s">
        <v>3500</v>
      </c>
      <c r="Q1202" s="0" t="n">
        <v>52</v>
      </c>
      <c r="R1202" s="0" t="n">
        <v>102</v>
      </c>
      <c r="T1202" s="0" t="n">
        <v>2017</v>
      </c>
      <c r="U1202" s="0" t="s">
        <v>2985</v>
      </c>
      <c r="V1202" s="0" t="s">
        <v>96</v>
      </c>
      <c r="W1202" s="0" t="s">
        <v>3511</v>
      </c>
      <c r="X1202" s="0" t="s">
        <v>3503</v>
      </c>
      <c r="Y1202" s="0" t="s">
        <v>2744</v>
      </c>
      <c r="Z1202" s="0" t="s">
        <v>2745</v>
      </c>
      <c r="AA1202" s="0" t="s">
        <v>3512</v>
      </c>
      <c r="AB1202" s="0" t="s">
        <v>3505</v>
      </c>
      <c r="AC1202" s="0" t="s">
        <v>2747</v>
      </c>
      <c r="AD1202" s="0" t="s">
        <v>3228</v>
      </c>
      <c r="AE1202" s="0" t="s">
        <v>1008</v>
      </c>
      <c r="AF1202" s="0" t="s">
        <v>3506</v>
      </c>
      <c r="AH1202" s="0" t="s">
        <v>2751</v>
      </c>
      <c r="AL1202" s="0" t="s">
        <v>384</v>
      </c>
    </row>
    <row r="1203" customFormat="false" ht="15" hidden="false" customHeight="false" outlineLevel="0" collapsed="false">
      <c r="A1203" s="0" t="s">
        <v>460</v>
      </c>
      <c r="B1203" s="0" t="s">
        <v>86</v>
      </c>
      <c r="C1203" s="0" t="s">
        <v>3224</v>
      </c>
      <c r="D1203" s="0" t="n">
        <v>2017</v>
      </c>
      <c r="E1203" s="0" t="s">
        <v>402</v>
      </c>
      <c r="F1203" s="0" t="n">
        <v>20302</v>
      </c>
      <c r="G1203" s="0" t="s">
        <v>1681</v>
      </c>
      <c r="H1203" s="0" t="s">
        <v>1648</v>
      </c>
      <c r="I1203" s="0" t="n">
        <v>20302</v>
      </c>
      <c r="J1203" s="0" t="s">
        <v>3225</v>
      </c>
      <c r="K1203" s="0" t="s">
        <v>3499</v>
      </c>
      <c r="L1203" s="0" t="n">
        <v>2017</v>
      </c>
      <c r="M1203" s="0" t="s">
        <v>1094</v>
      </c>
      <c r="N1203" s="0" t="s">
        <v>95</v>
      </c>
      <c r="O1203" s="0" t="s">
        <v>1266</v>
      </c>
      <c r="P1203" s="0" t="s">
        <v>3500</v>
      </c>
      <c r="Q1203" s="0" t="n">
        <v>52</v>
      </c>
      <c r="R1203" s="0" t="n">
        <v>102</v>
      </c>
      <c r="T1203" s="0" t="n">
        <v>2017</v>
      </c>
      <c r="U1203" s="0" t="s">
        <v>2985</v>
      </c>
      <c r="V1203" s="0" t="s">
        <v>96</v>
      </c>
      <c r="W1203" s="0" t="s">
        <v>3513</v>
      </c>
      <c r="X1203" s="0" t="s">
        <v>3503</v>
      </c>
      <c r="Y1203" s="0" t="s">
        <v>2744</v>
      </c>
      <c r="Z1203" s="0" t="s">
        <v>2745</v>
      </c>
      <c r="AA1203" s="0" t="s">
        <v>3514</v>
      </c>
      <c r="AB1203" s="0" t="s">
        <v>3505</v>
      </c>
      <c r="AC1203" s="0" t="s">
        <v>2747</v>
      </c>
      <c r="AD1203" s="0" t="s">
        <v>3228</v>
      </c>
      <c r="AE1203" s="0" t="s">
        <v>1008</v>
      </c>
      <c r="AF1203" s="0" t="s">
        <v>3506</v>
      </c>
      <c r="AH1203" s="0" t="s">
        <v>2751</v>
      </c>
      <c r="AL1203" s="0" t="s">
        <v>384</v>
      </c>
    </row>
    <row r="1204" customFormat="false" ht="15" hidden="false" customHeight="false" outlineLevel="0" collapsed="false">
      <c r="A1204" s="0" t="s">
        <v>449</v>
      </c>
      <c r="B1204" s="0" t="s">
        <v>86</v>
      </c>
      <c r="C1204" s="0" t="s">
        <v>3224</v>
      </c>
      <c r="D1204" s="0" t="n">
        <v>2017</v>
      </c>
      <c r="E1204" s="0" t="s">
        <v>58</v>
      </c>
      <c r="F1204" s="0" t="n">
        <v>-38026</v>
      </c>
      <c r="G1204" s="0" t="s">
        <v>1681</v>
      </c>
      <c r="H1204" s="0" t="s">
        <v>1648</v>
      </c>
      <c r="I1204" s="0" t="n">
        <v>-38026</v>
      </c>
      <c r="J1204" s="0" t="s">
        <v>3225</v>
      </c>
      <c r="K1204" s="0" t="s">
        <v>3499</v>
      </c>
      <c r="L1204" s="0" t="n">
        <v>2017</v>
      </c>
      <c r="M1204" s="0" t="s">
        <v>1094</v>
      </c>
      <c r="N1204" s="0" t="s">
        <v>95</v>
      </c>
      <c r="O1204" s="0" t="s">
        <v>1266</v>
      </c>
      <c r="P1204" s="0" t="s">
        <v>3500</v>
      </c>
      <c r="Q1204" s="0" t="n">
        <v>53</v>
      </c>
      <c r="R1204" s="0" t="n">
        <v>105</v>
      </c>
      <c r="T1204" s="0" t="n">
        <v>2017</v>
      </c>
      <c r="U1204" s="0" t="s">
        <v>2985</v>
      </c>
      <c r="V1204" s="0" t="s">
        <v>96</v>
      </c>
      <c r="W1204" s="0" t="s">
        <v>3515</v>
      </c>
      <c r="X1204" s="0" t="s">
        <v>3516</v>
      </c>
      <c r="Y1204" s="0" t="s">
        <v>2744</v>
      </c>
      <c r="Z1204" s="0" t="s">
        <v>2745</v>
      </c>
      <c r="AA1204" s="0" t="s">
        <v>3517</v>
      </c>
      <c r="AB1204" s="0" t="s">
        <v>3505</v>
      </c>
      <c r="AC1204" s="0" t="s">
        <v>2747</v>
      </c>
      <c r="AD1204" s="0" t="s">
        <v>3228</v>
      </c>
      <c r="AE1204" s="0" t="s">
        <v>1008</v>
      </c>
      <c r="AF1204" s="0" t="s">
        <v>3506</v>
      </c>
      <c r="AH1204" s="0" t="s">
        <v>2751</v>
      </c>
      <c r="AL1204" s="0" t="s">
        <v>384</v>
      </c>
    </row>
    <row r="1205" customFormat="false" ht="15" hidden="false" customHeight="false" outlineLevel="0" collapsed="false">
      <c r="A1205" s="0" t="s">
        <v>450</v>
      </c>
      <c r="B1205" s="0" t="s">
        <v>86</v>
      </c>
      <c r="C1205" s="0" t="s">
        <v>3224</v>
      </c>
      <c r="D1205" s="0" t="n">
        <v>2017</v>
      </c>
      <c r="E1205" s="0" t="s">
        <v>59</v>
      </c>
      <c r="F1205" s="0" t="n">
        <v>1298141</v>
      </c>
      <c r="G1205" s="0" t="s">
        <v>1681</v>
      </c>
      <c r="H1205" s="0" t="s">
        <v>1648</v>
      </c>
      <c r="I1205" s="0" t="n">
        <v>1298141</v>
      </c>
      <c r="J1205" s="0" t="s">
        <v>3225</v>
      </c>
      <c r="K1205" s="0" t="s">
        <v>3499</v>
      </c>
      <c r="L1205" s="0" t="n">
        <v>2017</v>
      </c>
      <c r="M1205" s="0" t="s">
        <v>1094</v>
      </c>
      <c r="N1205" s="0" t="s">
        <v>95</v>
      </c>
      <c r="O1205" s="0" t="s">
        <v>1266</v>
      </c>
      <c r="P1205" s="0" t="s">
        <v>3500</v>
      </c>
      <c r="Q1205" s="0" t="n">
        <v>52</v>
      </c>
      <c r="R1205" s="0" t="n">
        <v>103</v>
      </c>
      <c r="T1205" s="0" t="s">
        <v>3518</v>
      </c>
      <c r="U1205" s="0" t="s">
        <v>2985</v>
      </c>
      <c r="V1205" s="0" t="s">
        <v>96</v>
      </c>
      <c r="W1205" s="0" t="s">
        <v>3502</v>
      </c>
      <c r="X1205" s="0" t="s">
        <v>3503</v>
      </c>
      <c r="Y1205" s="0" t="s">
        <v>2744</v>
      </c>
      <c r="Z1205" s="0" t="s">
        <v>2745</v>
      </c>
      <c r="AA1205" s="0" t="s">
        <v>3519</v>
      </c>
      <c r="AB1205" s="0" t="s">
        <v>3505</v>
      </c>
      <c r="AC1205" s="0" t="s">
        <v>2747</v>
      </c>
      <c r="AD1205" s="0" t="s">
        <v>3228</v>
      </c>
      <c r="AE1205" s="0" t="s">
        <v>1008</v>
      </c>
      <c r="AF1205" s="0" t="s">
        <v>3506</v>
      </c>
      <c r="AH1205" s="0" t="s">
        <v>2751</v>
      </c>
      <c r="AL1205" s="0" t="s">
        <v>384</v>
      </c>
    </row>
    <row r="1206" customFormat="false" ht="15" hidden="false" customHeight="false" outlineLevel="0" collapsed="false">
      <c r="A1206" s="0" t="s">
        <v>454</v>
      </c>
      <c r="B1206" s="0" t="s">
        <v>86</v>
      </c>
      <c r="C1206" s="0" t="s">
        <v>3224</v>
      </c>
      <c r="D1206" s="0" t="n">
        <v>2017</v>
      </c>
      <c r="E1206" s="0" t="s">
        <v>63</v>
      </c>
      <c r="F1206" s="0" t="n">
        <v>-11315</v>
      </c>
      <c r="G1206" s="0" t="s">
        <v>1681</v>
      </c>
      <c r="H1206" s="0" t="s">
        <v>1648</v>
      </c>
      <c r="I1206" s="0" t="n">
        <v>11315</v>
      </c>
      <c r="J1206" s="0" t="s">
        <v>3225</v>
      </c>
      <c r="K1206" s="0" t="s">
        <v>3499</v>
      </c>
      <c r="L1206" s="0" t="n">
        <v>2017</v>
      </c>
      <c r="M1206" s="0" t="s">
        <v>1094</v>
      </c>
      <c r="N1206" s="0" t="s">
        <v>95</v>
      </c>
      <c r="O1206" s="0" t="s">
        <v>1266</v>
      </c>
      <c r="P1206" s="0" t="s">
        <v>3500</v>
      </c>
      <c r="Q1206" s="0" t="n">
        <v>52</v>
      </c>
      <c r="R1206" s="0" t="n">
        <v>102</v>
      </c>
      <c r="S1206" s="0" t="n">
        <v>8</v>
      </c>
      <c r="T1206" s="0" t="n">
        <v>2017</v>
      </c>
      <c r="U1206" s="0" t="s">
        <v>2985</v>
      </c>
      <c r="V1206" s="0" t="s">
        <v>96</v>
      </c>
      <c r="W1206" s="0" t="s">
        <v>3520</v>
      </c>
      <c r="X1206" s="0" t="s">
        <v>3503</v>
      </c>
      <c r="Y1206" s="0" t="s">
        <v>2744</v>
      </c>
      <c r="Z1206" s="0" t="s">
        <v>2745</v>
      </c>
      <c r="AA1206" s="0" t="s">
        <v>3521</v>
      </c>
      <c r="AB1206" s="0" t="s">
        <v>3505</v>
      </c>
      <c r="AC1206" s="0" t="s">
        <v>2747</v>
      </c>
      <c r="AD1206" s="0" t="s">
        <v>3228</v>
      </c>
      <c r="AE1206" s="0" t="s">
        <v>1008</v>
      </c>
      <c r="AF1206" s="0" t="s">
        <v>3506</v>
      </c>
      <c r="AH1206" s="0" t="s">
        <v>2760</v>
      </c>
      <c r="AI1206" s="0" t="s">
        <v>3522</v>
      </c>
      <c r="AL1206" s="0" t="s">
        <v>384</v>
      </c>
    </row>
    <row r="1207" customFormat="false" ht="15" hidden="false" customHeight="false" outlineLevel="0" collapsed="false">
      <c r="A1207" s="0" t="s">
        <v>451</v>
      </c>
      <c r="B1207" s="0" t="s">
        <v>86</v>
      </c>
      <c r="C1207" s="0" t="s">
        <v>3224</v>
      </c>
      <c r="D1207" s="0" t="n">
        <v>2017</v>
      </c>
      <c r="E1207" s="0" t="s">
        <v>60</v>
      </c>
      <c r="F1207" s="0" t="n">
        <v>795315</v>
      </c>
      <c r="G1207" s="0" t="s">
        <v>1681</v>
      </c>
      <c r="H1207" s="0" t="s">
        <v>1648</v>
      </c>
      <c r="I1207" s="0" t="n">
        <v>795315</v>
      </c>
      <c r="J1207" s="0" t="s">
        <v>3225</v>
      </c>
      <c r="K1207" s="0" t="s">
        <v>3499</v>
      </c>
      <c r="L1207" s="0" t="n">
        <v>2017</v>
      </c>
      <c r="M1207" s="0" t="s">
        <v>1094</v>
      </c>
      <c r="N1207" s="0" t="s">
        <v>95</v>
      </c>
      <c r="O1207" s="0" t="s">
        <v>1266</v>
      </c>
      <c r="P1207" s="0" t="s">
        <v>3500</v>
      </c>
      <c r="Q1207" s="0" t="n">
        <v>87</v>
      </c>
      <c r="R1207" s="0" t="n">
        <v>172</v>
      </c>
      <c r="S1207" s="0" t="n">
        <v>21.3</v>
      </c>
      <c r="T1207" s="0" t="n">
        <v>2017</v>
      </c>
      <c r="U1207" s="0" t="s">
        <v>2985</v>
      </c>
      <c r="V1207" s="0" t="s">
        <v>96</v>
      </c>
      <c r="W1207" s="0" t="s">
        <v>3523</v>
      </c>
      <c r="X1207" s="0" t="s">
        <v>3524</v>
      </c>
      <c r="Y1207" s="0" t="s">
        <v>2744</v>
      </c>
      <c r="Z1207" s="0" t="s">
        <v>2745</v>
      </c>
      <c r="AA1207" s="0" t="s">
        <v>3525</v>
      </c>
      <c r="AB1207" s="0" t="s">
        <v>3505</v>
      </c>
      <c r="AC1207" s="0" t="s">
        <v>2747</v>
      </c>
      <c r="AD1207" s="0" t="s">
        <v>3228</v>
      </c>
      <c r="AE1207" s="0" t="s">
        <v>1008</v>
      </c>
      <c r="AF1207" s="0" t="s">
        <v>3506</v>
      </c>
      <c r="AH1207" s="0" t="s">
        <v>2751</v>
      </c>
      <c r="AL1207" s="0" t="s">
        <v>384</v>
      </c>
    </row>
    <row r="1208" customFormat="false" ht="15" hidden="false" customHeight="false" outlineLevel="0" collapsed="false">
      <c r="A1208" s="0" t="s">
        <v>452</v>
      </c>
      <c r="B1208" s="0" t="s">
        <v>86</v>
      </c>
      <c r="C1208" s="0" t="s">
        <v>3224</v>
      </c>
      <c r="D1208" s="0" t="n">
        <v>2017</v>
      </c>
      <c r="E1208" s="0" t="s">
        <v>61</v>
      </c>
      <c r="F1208" s="0" t="n">
        <v>26578</v>
      </c>
      <c r="G1208" s="0" t="s">
        <v>1681</v>
      </c>
      <c r="H1208" s="0" t="s">
        <v>1648</v>
      </c>
      <c r="I1208" s="0" t="n">
        <v>26578</v>
      </c>
      <c r="J1208" s="0" t="s">
        <v>3225</v>
      </c>
      <c r="K1208" s="0" t="s">
        <v>3499</v>
      </c>
      <c r="L1208" s="0" t="n">
        <v>2017</v>
      </c>
      <c r="M1208" s="0" t="s">
        <v>1094</v>
      </c>
      <c r="N1208" s="0" t="s">
        <v>95</v>
      </c>
      <c r="O1208" s="0" t="s">
        <v>1266</v>
      </c>
      <c r="P1208" s="0" t="s">
        <v>3500</v>
      </c>
      <c r="Q1208" s="0" t="n">
        <v>86</v>
      </c>
      <c r="R1208" s="0" t="n">
        <v>171</v>
      </c>
      <c r="S1208" s="0" t="n">
        <v>21.1</v>
      </c>
      <c r="T1208" s="0" t="s">
        <v>3526</v>
      </c>
      <c r="U1208" s="0" t="s">
        <v>2985</v>
      </c>
      <c r="V1208" s="0" t="s">
        <v>96</v>
      </c>
      <c r="W1208" s="0" t="s">
        <v>3527</v>
      </c>
      <c r="X1208" s="0" t="s">
        <v>3528</v>
      </c>
      <c r="Y1208" s="0" t="s">
        <v>2744</v>
      </c>
      <c r="Z1208" s="0" t="s">
        <v>2745</v>
      </c>
      <c r="AA1208" s="0" t="s">
        <v>3529</v>
      </c>
      <c r="AB1208" s="0" t="s">
        <v>3505</v>
      </c>
      <c r="AC1208" s="0" t="s">
        <v>2747</v>
      </c>
      <c r="AD1208" s="0" t="s">
        <v>3228</v>
      </c>
      <c r="AE1208" s="0" t="s">
        <v>1008</v>
      </c>
      <c r="AF1208" s="0" t="s">
        <v>3506</v>
      </c>
      <c r="AH1208" s="0" t="s">
        <v>2751</v>
      </c>
      <c r="AL1208" s="0" t="s">
        <v>384</v>
      </c>
    </row>
    <row r="1209" customFormat="false" ht="15" hidden="false" customHeight="false" outlineLevel="0" collapsed="false">
      <c r="A1209" s="0" t="s">
        <v>461</v>
      </c>
      <c r="B1209" s="0" t="s">
        <v>86</v>
      </c>
      <c r="C1209" s="0" t="s">
        <v>3224</v>
      </c>
      <c r="D1209" s="0" t="n">
        <v>2017</v>
      </c>
      <c r="E1209" s="0" t="s">
        <v>404</v>
      </c>
      <c r="F1209" s="0" t="n">
        <v>16077</v>
      </c>
      <c r="G1209" s="0" t="s">
        <v>1681</v>
      </c>
      <c r="H1209" s="0" t="s">
        <v>1648</v>
      </c>
      <c r="I1209" s="0" t="n">
        <v>16077</v>
      </c>
      <c r="J1209" s="0" t="s">
        <v>3225</v>
      </c>
      <c r="K1209" s="0" t="s">
        <v>3499</v>
      </c>
      <c r="L1209" s="0" t="n">
        <v>2017</v>
      </c>
      <c r="M1209" s="0" t="s">
        <v>1094</v>
      </c>
      <c r="N1209" s="0" t="s">
        <v>95</v>
      </c>
      <c r="O1209" s="0" t="s">
        <v>1266</v>
      </c>
      <c r="P1209" s="0" t="s">
        <v>3500</v>
      </c>
      <c r="Q1209" s="0" t="n">
        <v>86</v>
      </c>
      <c r="R1209" s="0" t="n">
        <v>171</v>
      </c>
      <c r="S1209" s="0" t="n">
        <v>21.1</v>
      </c>
      <c r="T1209" s="0" t="s">
        <v>3526</v>
      </c>
      <c r="U1209" s="0" t="s">
        <v>2985</v>
      </c>
      <c r="V1209" s="0" t="s">
        <v>96</v>
      </c>
      <c r="W1209" s="0" t="s">
        <v>3530</v>
      </c>
      <c r="X1209" s="0" t="s">
        <v>3528</v>
      </c>
      <c r="Y1209" s="0" t="s">
        <v>2744</v>
      </c>
      <c r="Z1209" s="0" t="s">
        <v>2745</v>
      </c>
      <c r="AA1209" s="0" t="s">
        <v>3531</v>
      </c>
      <c r="AB1209" s="0" t="s">
        <v>3505</v>
      </c>
      <c r="AC1209" s="0" t="s">
        <v>2747</v>
      </c>
      <c r="AD1209" s="0" t="s">
        <v>3228</v>
      </c>
      <c r="AE1209" s="0" t="s">
        <v>1008</v>
      </c>
      <c r="AF1209" s="0" t="s">
        <v>3506</v>
      </c>
      <c r="AH1209" s="0" t="s">
        <v>2751</v>
      </c>
      <c r="AL1209" s="0" t="s">
        <v>384</v>
      </c>
    </row>
    <row r="1210" customFormat="false" ht="15" hidden="false" customHeight="false" outlineLevel="0" collapsed="false">
      <c r="A1210" s="0" t="s">
        <v>462</v>
      </c>
      <c r="B1210" s="0" t="s">
        <v>86</v>
      </c>
      <c r="C1210" s="0" t="s">
        <v>3224</v>
      </c>
      <c r="D1210" s="0" t="n">
        <v>2017</v>
      </c>
      <c r="E1210" s="0" t="s">
        <v>406</v>
      </c>
      <c r="F1210" s="0" t="n">
        <v>10501</v>
      </c>
      <c r="G1210" s="0" t="s">
        <v>1681</v>
      </c>
      <c r="H1210" s="0" t="s">
        <v>1648</v>
      </c>
      <c r="I1210" s="0" t="n">
        <v>10501</v>
      </c>
      <c r="J1210" s="0" t="s">
        <v>3225</v>
      </c>
      <c r="K1210" s="0" t="s">
        <v>3499</v>
      </c>
      <c r="L1210" s="0" t="n">
        <v>2017</v>
      </c>
      <c r="M1210" s="0" t="s">
        <v>1094</v>
      </c>
      <c r="N1210" s="0" t="s">
        <v>95</v>
      </c>
      <c r="O1210" s="0" t="s">
        <v>1266</v>
      </c>
      <c r="P1210" s="0" t="s">
        <v>3500</v>
      </c>
      <c r="Q1210" s="0" t="n">
        <v>86</v>
      </c>
      <c r="R1210" s="0" t="n">
        <v>171</v>
      </c>
      <c r="S1210" s="0" t="n">
        <v>21.1</v>
      </c>
      <c r="T1210" s="0" t="s">
        <v>3526</v>
      </c>
      <c r="U1210" s="0" t="s">
        <v>2985</v>
      </c>
      <c r="V1210" s="0" t="s">
        <v>96</v>
      </c>
      <c r="W1210" s="0" t="s">
        <v>3532</v>
      </c>
      <c r="X1210" s="0" t="s">
        <v>3528</v>
      </c>
      <c r="Y1210" s="0" t="s">
        <v>2744</v>
      </c>
      <c r="Z1210" s="0" t="s">
        <v>2745</v>
      </c>
      <c r="AA1210" s="0" t="s">
        <v>3533</v>
      </c>
      <c r="AB1210" s="0" t="s">
        <v>3505</v>
      </c>
      <c r="AC1210" s="0" t="s">
        <v>2747</v>
      </c>
      <c r="AD1210" s="0" t="s">
        <v>3228</v>
      </c>
      <c r="AE1210" s="0" t="s">
        <v>1008</v>
      </c>
      <c r="AF1210" s="0" t="s">
        <v>3506</v>
      </c>
      <c r="AH1210" s="0" t="s">
        <v>2751</v>
      </c>
      <c r="AL1210" s="0" t="s">
        <v>384</v>
      </c>
    </row>
    <row r="1211" customFormat="false" ht="15" hidden="false" customHeight="false" outlineLevel="0" collapsed="false">
      <c r="A1211" s="0" t="s">
        <v>453</v>
      </c>
      <c r="B1211" s="0" t="s">
        <v>86</v>
      </c>
      <c r="C1211" s="0" t="s">
        <v>3224</v>
      </c>
      <c r="D1211" s="0" t="n">
        <v>2017</v>
      </c>
      <c r="E1211" s="0" t="s">
        <v>62</v>
      </c>
      <c r="F1211" s="0" t="n">
        <v>768737</v>
      </c>
      <c r="G1211" s="0" t="s">
        <v>1681</v>
      </c>
      <c r="H1211" s="0" t="s">
        <v>1648</v>
      </c>
      <c r="I1211" s="0" t="n">
        <v>768737</v>
      </c>
      <c r="J1211" s="0" t="s">
        <v>3225</v>
      </c>
      <c r="K1211" s="0" t="s">
        <v>3499</v>
      </c>
      <c r="L1211" s="0" t="n">
        <v>2017</v>
      </c>
      <c r="M1211" s="0" t="s">
        <v>1094</v>
      </c>
      <c r="N1211" s="0" t="s">
        <v>95</v>
      </c>
      <c r="O1211" s="0" t="s">
        <v>1266</v>
      </c>
      <c r="P1211" s="0" t="s">
        <v>3500</v>
      </c>
      <c r="Q1211" s="0" t="n">
        <v>52</v>
      </c>
      <c r="R1211" s="0" t="n">
        <v>103</v>
      </c>
      <c r="S1211" s="0" t="n">
        <v>21</v>
      </c>
      <c r="T1211" s="0" t="s">
        <v>3501</v>
      </c>
      <c r="U1211" s="0" t="s">
        <v>2985</v>
      </c>
      <c r="V1211" s="0" t="s">
        <v>96</v>
      </c>
      <c r="W1211" s="0" t="s">
        <v>3534</v>
      </c>
      <c r="X1211" s="0" t="s">
        <v>3503</v>
      </c>
      <c r="Y1211" s="0" t="s">
        <v>2744</v>
      </c>
      <c r="Z1211" s="0" t="s">
        <v>2745</v>
      </c>
      <c r="AA1211" s="0" t="s">
        <v>3535</v>
      </c>
      <c r="AB1211" s="0" t="s">
        <v>3505</v>
      </c>
      <c r="AC1211" s="0" t="s">
        <v>2747</v>
      </c>
      <c r="AD1211" s="0" t="s">
        <v>3228</v>
      </c>
      <c r="AE1211" s="0" t="s">
        <v>1008</v>
      </c>
      <c r="AF1211" s="0" t="s">
        <v>3506</v>
      </c>
      <c r="AH1211" s="0" t="s">
        <v>2751</v>
      </c>
      <c r="AL1211" s="0" t="s">
        <v>384</v>
      </c>
    </row>
    <row r="1212" customFormat="false" ht="15" hidden="false" customHeight="false" outlineLevel="0" collapsed="false">
      <c r="A1212" s="0" t="s">
        <v>457</v>
      </c>
      <c r="B1212" s="0" t="s">
        <v>86</v>
      </c>
      <c r="C1212" s="0" t="s">
        <v>3224</v>
      </c>
      <c r="D1212" s="0" t="n">
        <v>2017</v>
      </c>
      <c r="E1212" s="0" t="s">
        <v>65</v>
      </c>
      <c r="F1212" s="0" t="n">
        <v>179341</v>
      </c>
      <c r="G1212" s="0" t="s">
        <v>1681</v>
      </c>
      <c r="H1212" s="0" t="s">
        <v>1648</v>
      </c>
      <c r="I1212" s="0" t="n">
        <v>179341</v>
      </c>
      <c r="J1212" s="0" t="s">
        <v>3225</v>
      </c>
      <c r="K1212" s="0" t="s">
        <v>3499</v>
      </c>
      <c r="L1212" s="0" t="n">
        <v>2017</v>
      </c>
      <c r="M1212" s="0" t="s">
        <v>1094</v>
      </c>
      <c r="N1212" s="0" t="s">
        <v>95</v>
      </c>
      <c r="O1212" s="0" t="s">
        <v>1266</v>
      </c>
      <c r="P1212" s="0" t="s">
        <v>3500</v>
      </c>
      <c r="Q1212" s="0" t="n">
        <v>82</v>
      </c>
      <c r="R1212" s="0" t="n">
        <v>162</v>
      </c>
      <c r="S1212" s="0" t="n">
        <v>4</v>
      </c>
      <c r="T1212" s="0" t="s">
        <v>3536</v>
      </c>
      <c r="U1212" s="0" t="s">
        <v>2985</v>
      </c>
      <c r="V1212" s="0" t="s">
        <v>96</v>
      </c>
      <c r="W1212" s="0" t="s">
        <v>3537</v>
      </c>
      <c r="X1212" s="0" t="s">
        <v>3538</v>
      </c>
      <c r="Y1212" s="0" t="s">
        <v>2744</v>
      </c>
      <c r="Z1212" s="0" t="s">
        <v>2745</v>
      </c>
      <c r="AA1212" s="0" t="s">
        <v>3539</v>
      </c>
      <c r="AB1212" s="0" t="s">
        <v>3505</v>
      </c>
      <c r="AC1212" s="0" t="s">
        <v>2747</v>
      </c>
      <c r="AD1212" s="0" t="s">
        <v>3228</v>
      </c>
      <c r="AE1212" s="0" t="s">
        <v>1008</v>
      </c>
      <c r="AF1212" s="0" t="s">
        <v>3506</v>
      </c>
      <c r="AH1212" s="0" t="s">
        <v>2751</v>
      </c>
      <c r="AL1212" s="0" t="s">
        <v>384</v>
      </c>
    </row>
    <row r="1213" customFormat="false" ht="15" hidden="false" customHeight="false" outlineLevel="0" collapsed="false">
      <c r="A1213" s="0" t="s">
        <v>458</v>
      </c>
      <c r="B1213" s="0" t="s">
        <v>86</v>
      </c>
      <c r="C1213" s="0" t="s">
        <v>3224</v>
      </c>
      <c r="D1213" s="0" t="n">
        <v>2017</v>
      </c>
      <c r="E1213" s="0" t="s">
        <v>66</v>
      </c>
      <c r="F1213" s="0" t="n">
        <v>1118786</v>
      </c>
      <c r="G1213" s="0" t="s">
        <v>1681</v>
      </c>
      <c r="H1213" s="0" t="s">
        <v>1648</v>
      </c>
      <c r="I1213" s="0" t="n">
        <v>1118786</v>
      </c>
      <c r="J1213" s="0" t="s">
        <v>3225</v>
      </c>
      <c r="K1213" s="0" t="s">
        <v>3499</v>
      </c>
      <c r="L1213" s="0" t="n">
        <v>2017</v>
      </c>
      <c r="M1213" s="0" t="s">
        <v>1094</v>
      </c>
      <c r="N1213" s="0" t="s">
        <v>95</v>
      </c>
      <c r="O1213" s="0" t="s">
        <v>1266</v>
      </c>
      <c r="P1213" s="0" t="s">
        <v>3500</v>
      </c>
      <c r="Q1213" s="0" t="n">
        <v>82</v>
      </c>
      <c r="R1213" s="0" t="n">
        <v>162</v>
      </c>
      <c r="S1213" s="0" t="n">
        <v>4</v>
      </c>
      <c r="T1213" s="0" t="s">
        <v>3536</v>
      </c>
      <c r="U1213" s="0" t="s">
        <v>2985</v>
      </c>
      <c r="V1213" s="0" t="s">
        <v>96</v>
      </c>
      <c r="W1213" s="0" t="s">
        <v>3540</v>
      </c>
      <c r="X1213" s="0" t="s">
        <v>3538</v>
      </c>
      <c r="Y1213" s="0" t="s">
        <v>2744</v>
      </c>
      <c r="Z1213" s="0" t="s">
        <v>2745</v>
      </c>
      <c r="AA1213" s="0" t="s">
        <v>3541</v>
      </c>
      <c r="AB1213" s="0" t="s">
        <v>3505</v>
      </c>
      <c r="AC1213" s="0" t="s">
        <v>2747</v>
      </c>
      <c r="AD1213" s="0" t="s">
        <v>3228</v>
      </c>
      <c r="AE1213" s="0" t="s">
        <v>1008</v>
      </c>
      <c r="AF1213" s="0" t="s">
        <v>3506</v>
      </c>
      <c r="AH1213" s="0" t="s">
        <v>2751</v>
      </c>
      <c r="AL1213" s="0" t="s">
        <v>384</v>
      </c>
    </row>
    <row r="1214" customFormat="false" ht="15" hidden="false" customHeight="false" outlineLevel="0" collapsed="false">
      <c r="A1214" s="0" t="s">
        <v>455</v>
      </c>
      <c r="B1214" s="0" t="s">
        <v>86</v>
      </c>
      <c r="C1214" s="0" t="s">
        <v>3224</v>
      </c>
      <c r="D1214" s="0" t="n">
        <v>2017</v>
      </c>
      <c r="E1214" s="0" t="s">
        <v>69</v>
      </c>
      <c r="F1214" s="0" t="s">
        <v>3542</v>
      </c>
      <c r="G1214" s="0" t="s">
        <v>1723</v>
      </c>
      <c r="I1214" s="0" t="n">
        <v>16.03</v>
      </c>
      <c r="J1214" s="0" t="s">
        <v>3225</v>
      </c>
      <c r="K1214" s="0" t="s">
        <v>3499</v>
      </c>
      <c r="L1214" s="0" t="n">
        <v>2017</v>
      </c>
      <c r="M1214" s="0" t="s">
        <v>1094</v>
      </c>
      <c r="N1214" s="0" t="s">
        <v>95</v>
      </c>
      <c r="O1214" s="0" t="s">
        <v>1266</v>
      </c>
      <c r="P1214" s="0" t="s">
        <v>3500</v>
      </c>
      <c r="Q1214" s="0" t="n">
        <v>82</v>
      </c>
      <c r="R1214" s="0" t="n">
        <v>162</v>
      </c>
      <c r="S1214" s="0" t="n">
        <v>4</v>
      </c>
      <c r="T1214" s="0" t="s">
        <v>3536</v>
      </c>
      <c r="U1214" s="0" t="s">
        <v>2985</v>
      </c>
      <c r="V1214" s="0" t="s">
        <v>96</v>
      </c>
      <c r="W1214" s="0" t="s">
        <v>3543</v>
      </c>
      <c r="X1214" s="0" t="s">
        <v>3538</v>
      </c>
      <c r="Y1214" s="0" t="s">
        <v>2744</v>
      </c>
      <c r="Z1214" s="0" t="s">
        <v>2745</v>
      </c>
      <c r="AA1214" s="0" t="s">
        <v>3544</v>
      </c>
      <c r="AB1214" s="0" t="s">
        <v>3505</v>
      </c>
      <c r="AC1214" s="0" t="s">
        <v>2747</v>
      </c>
      <c r="AD1214" s="0" t="s">
        <v>3228</v>
      </c>
      <c r="AE1214" s="0" t="s">
        <v>1008</v>
      </c>
      <c r="AF1214" s="0" t="s">
        <v>3506</v>
      </c>
      <c r="AH1214" s="0" t="s">
        <v>2751</v>
      </c>
      <c r="AL1214" s="0" t="s">
        <v>384</v>
      </c>
    </row>
    <row r="1215" customFormat="false" ht="15" hidden="false" customHeight="false" outlineLevel="0" collapsed="false">
      <c r="A1215" s="0" t="s">
        <v>456</v>
      </c>
      <c r="B1215" s="0" t="s">
        <v>86</v>
      </c>
      <c r="C1215" s="0" t="s">
        <v>3224</v>
      </c>
      <c r="D1215" s="0" t="n">
        <v>2017</v>
      </c>
      <c r="E1215" s="0" t="s">
        <v>70</v>
      </c>
      <c r="F1215" s="0" t="s">
        <v>3394</v>
      </c>
      <c r="G1215" s="0" t="s">
        <v>1723</v>
      </c>
      <c r="I1215" s="0" t="n">
        <v>15</v>
      </c>
      <c r="J1215" s="0" t="s">
        <v>3225</v>
      </c>
      <c r="K1215" s="0" t="s">
        <v>3499</v>
      </c>
      <c r="L1215" s="0" t="n">
        <v>2017</v>
      </c>
      <c r="M1215" s="0" t="s">
        <v>1094</v>
      </c>
      <c r="N1215" s="0" t="s">
        <v>95</v>
      </c>
      <c r="O1215" s="0" t="s">
        <v>1266</v>
      </c>
      <c r="P1215" s="0" t="s">
        <v>3500</v>
      </c>
      <c r="Q1215" s="0" t="n">
        <v>82</v>
      </c>
      <c r="R1215" s="0" t="n">
        <v>162</v>
      </c>
      <c r="S1215" s="0" t="n">
        <v>4</v>
      </c>
      <c r="T1215" s="0" t="s">
        <v>3536</v>
      </c>
      <c r="U1215" s="0" t="s">
        <v>2985</v>
      </c>
      <c r="V1215" s="0" t="s">
        <v>96</v>
      </c>
      <c r="W1215" s="0" t="s">
        <v>3545</v>
      </c>
      <c r="X1215" s="0" t="s">
        <v>3538</v>
      </c>
      <c r="Y1215" s="0" t="s">
        <v>2744</v>
      </c>
      <c r="Z1215" s="0" t="s">
        <v>2745</v>
      </c>
      <c r="AA1215" s="0" t="s">
        <v>3546</v>
      </c>
      <c r="AB1215" s="0" t="s">
        <v>3505</v>
      </c>
      <c r="AC1215" s="0" t="s">
        <v>2747</v>
      </c>
      <c r="AD1215" s="0" t="s">
        <v>3228</v>
      </c>
      <c r="AE1215" s="0" t="s">
        <v>1008</v>
      </c>
      <c r="AF1215" s="0" t="s">
        <v>3506</v>
      </c>
      <c r="AH1215" s="0" t="s">
        <v>2751</v>
      </c>
      <c r="AL1215" s="0" t="s">
        <v>384</v>
      </c>
    </row>
    <row r="1216" customFormat="false" ht="15" hidden="false" customHeight="false" outlineLevel="0" collapsed="false">
      <c r="A1216" s="0" t="s">
        <v>459</v>
      </c>
      <c r="B1216" s="0" t="s">
        <v>86</v>
      </c>
      <c r="C1216" s="0" t="s">
        <v>3224</v>
      </c>
      <c r="D1216" s="0" t="n">
        <v>2017</v>
      </c>
      <c r="E1216" s="0" t="s">
        <v>73</v>
      </c>
      <c r="F1216" s="0" t="n">
        <v>0</v>
      </c>
      <c r="G1216" s="0" t="s">
        <v>2844</v>
      </c>
      <c r="I1216" s="0" t="n">
        <v>0</v>
      </c>
      <c r="J1216" s="0" t="s">
        <v>3278</v>
      </c>
      <c r="K1216" s="0" t="s">
        <v>3499</v>
      </c>
      <c r="L1216" s="0" t="n">
        <v>2017</v>
      </c>
      <c r="M1216" s="0" t="s">
        <v>1094</v>
      </c>
      <c r="N1216" s="0" t="s">
        <v>95</v>
      </c>
      <c r="O1216" s="0" t="s">
        <v>1266</v>
      </c>
      <c r="P1216" s="0" t="s">
        <v>3500</v>
      </c>
      <c r="Q1216" s="0" t="n">
        <v>48</v>
      </c>
      <c r="R1216" s="0" t="n">
        <v>95</v>
      </c>
      <c r="T1216" s="0" t="s">
        <v>3547</v>
      </c>
      <c r="U1216" s="0" t="s">
        <v>2985</v>
      </c>
      <c r="V1216" s="0" t="s">
        <v>96</v>
      </c>
      <c r="W1216" s="0" t="s">
        <v>3397</v>
      </c>
      <c r="X1216" s="0" t="s">
        <v>3548</v>
      </c>
      <c r="Y1216" s="0" t="s">
        <v>2799</v>
      </c>
      <c r="Z1216" s="0" t="s">
        <v>2745</v>
      </c>
      <c r="AA1216" s="0" t="s">
        <v>3549</v>
      </c>
      <c r="AB1216" s="0" t="s">
        <v>3505</v>
      </c>
      <c r="AC1216" s="0" t="s">
        <v>2747</v>
      </c>
      <c r="AD1216" s="0" t="s">
        <v>3228</v>
      </c>
      <c r="AE1216" s="0" t="s">
        <v>1008</v>
      </c>
      <c r="AF1216" s="0" t="s">
        <v>3506</v>
      </c>
      <c r="AG1216" s="0" t="s">
        <v>1008</v>
      </c>
      <c r="AH1216" s="0" t="s">
        <v>2751</v>
      </c>
      <c r="AL1216" s="0" t="s">
        <v>400</v>
      </c>
    </row>
    <row r="1217" customFormat="false" ht="15" hidden="false" customHeight="false" outlineLevel="0" collapsed="false">
      <c r="A1217" s="0" t="s">
        <v>465</v>
      </c>
      <c r="B1217" s="0" t="s">
        <v>86</v>
      </c>
      <c r="C1217" s="0" t="s">
        <v>3224</v>
      </c>
      <c r="D1217" s="0" t="n">
        <v>2020</v>
      </c>
      <c r="E1217" s="0" t="s">
        <v>55</v>
      </c>
      <c r="F1217" s="0" t="n">
        <v>2758148</v>
      </c>
      <c r="G1217" s="0" t="s">
        <v>1681</v>
      </c>
      <c r="H1217" s="0" t="s">
        <v>1648</v>
      </c>
      <c r="I1217" s="0" t="n">
        <v>2758148</v>
      </c>
      <c r="J1217" s="0" t="s">
        <v>3225</v>
      </c>
      <c r="K1217" s="0" t="s">
        <v>3550</v>
      </c>
      <c r="L1217" s="0" t="n">
        <v>2020</v>
      </c>
      <c r="M1217" s="0" t="s">
        <v>1105</v>
      </c>
      <c r="N1217" s="0" t="s">
        <v>99</v>
      </c>
      <c r="O1217" s="0" t="s">
        <v>1269</v>
      </c>
      <c r="P1217" s="0" t="s">
        <v>3551</v>
      </c>
      <c r="Q1217" s="0" t="n">
        <v>137</v>
      </c>
      <c r="R1217" s="0" t="n">
        <v>137</v>
      </c>
      <c r="T1217" s="0" t="n">
        <v>2020</v>
      </c>
      <c r="U1217" s="0" t="s">
        <v>2787</v>
      </c>
      <c r="V1217" s="0" t="s">
        <v>100</v>
      </c>
      <c r="W1217" s="0" t="s">
        <v>3552</v>
      </c>
      <c r="X1217" s="0" t="s">
        <v>3553</v>
      </c>
      <c r="Y1217" s="0" t="s">
        <v>2744</v>
      </c>
      <c r="Z1217" s="0" t="s">
        <v>2745</v>
      </c>
      <c r="AA1217" s="0" t="s">
        <v>3554</v>
      </c>
      <c r="AB1217" s="0" t="s">
        <v>3555</v>
      </c>
      <c r="AC1217" s="0" t="s">
        <v>2747</v>
      </c>
      <c r="AD1217" s="0" t="s">
        <v>3228</v>
      </c>
      <c r="AE1217" s="0" t="s">
        <v>1008</v>
      </c>
      <c r="AF1217" s="0" t="s">
        <v>3556</v>
      </c>
      <c r="AH1217" s="0" t="s">
        <v>2751</v>
      </c>
      <c r="AL1217" s="0" t="s">
        <v>384</v>
      </c>
    </row>
    <row r="1218" customFormat="false" ht="15" hidden="false" customHeight="false" outlineLevel="0" collapsed="false">
      <c r="A1218" s="0" t="s">
        <v>466</v>
      </c>
      <c r="B1218" s="0" t="s">
        <v>86</v>
      </c>
      <c r="C1218" s="0" t="s">
        <v>3224</v>
      </c>
      <c r="D1218" s="0" t="n">
        <v>2020</v>
      </c>
      <c r="E1218" s="0" t="s">
        <v>56</v>
      </c>
      <c r="F1218" s="0" t="n">
        <v>2484615</v>
      </c>
      <c r="G1218" s="0" t="s">
        <v>1681</v>
      </c>
      <c r="H1218" s="0" t="s">
        <v>1648</v>
      </c>
      <c r="I1218" s="0" t="n">
        <v>2484615</v>
      </c>
      <c r="J1218" s="0" t="s">
        <v>3225</v>
      </c>
      <c r="K1218" s="0" t="s">
        <v>3550</v>
      </c>
      <c r="L1218" s="0" t="n">
        <v>2020</v>
      </c>
      <c r="M1218" s="0" t="s">
        <v>1105</v>
      </c>
      <c r="N1218" s="0" t="s">
        <v>99</v>
      </c>
      <c r="O1218" s="0" t="s">
        <v>1269</v>
      </c>
      <c r="P1218" s="0" t="s">
        <v>3551</v>
      </c>
      <c r="Q1218" s="0" t="n">
        <v>137</v>
      </c>
      <c r="R1218" s="0" t="n">
        <v>137</v>
      </c>
      <c r="T1218" s="0" t="n">
        <v>2020</v>
      </c>
      <c r="U1218" s="0" t="s">
        <v>2787</v>
      </c>
      <c r="V1218" s="0" t="s">
        <v>100</v>
      </c>
      <c r="W1218" s="0" t="s">
        <v>3557</v>
      </c>
      <c r="X1218" s="0" t="s">
        <v>3553</v>
      </c>
      <c r="Y1218" s="0" t="s">
        <v>2744</v>
      </c>
      <c r="Z1218" s="0" t="s">
        <v>2745</v>
      </c>
      <c r="AA1218" s="0" t="s">
        <v>3558</v>
      </c>
      <c r="AB1218" s="0" t="s">
        <v>3555</v>
      </c>
      <c r="AC1218" s="0" t="s">
        <v>2747</v>
      </c>
      <c r="AD1218" s="0" t="s">
        <v>3228</v>
      </c>
      <c r="AE1218" s="0" t="s">
        <v>1008</v>
      </c>
      <c r="AF1218" s="0" t="s">
        <v>3556</v>
      </c>
      <c r="AH1218" s="0" t="s">
        <v>2751</v>
      </c>
      <c r="AL1218" s="0" t="s">
        <v>384</v>
      </c>
    </row>
    <row r="1219" customFormat="false" ht="15" hidden="false" customHeight="false" outlineLevel="0" collapsed="false">
      <c r="A1219" s="0" t="s">
        <v>467</v>
      </c>
      <c r="B1219" s="0" t="s">
        <v>86</v>
      </c>
      <c r="C1219" s="0" t="s">
        <v>3224</v>
      </c>
      <c r="D1219" s="0" t="n">
        <v>2020</v>
      </c>
      <c r="E1219" s="0" t="s">
        <v>57</v>
      </c>
      <c r="F1219" s="0" t="n">
        <v>273533</v>
      </c>
      <c r="G1219" s="0" t="s">
        <v>1681</v>
      </c>
      <c r="H1219" s="0" t="s">
        <v>1648</v>
      </c>
      <c r="I1219" s="0" t="n">
        <v>273533</v>
      </c>
      <c r="J1219" s="0" t="s">
        <v>3225</v>
      </c>
      <c r="K1219" s="0" t="s">
        <v>3550</v>
      </c>
      <c r="L1219" s="0" t="n">
        <v>2020</v>
      </c>
      <c r="M1219" s="0" t="s">
        <v>1105</v>
      </c>
      <c r="N1219" s="0" t="s">
        <v>99</v>
      </c>
      <c r="O1219" s="0" t="s">
        <v>1269</v>
      </c>
      <c r="P1219" s="0" t="s">
        <v>3551</v>
      </c>
      <c r="Q1219" s="0" t="n">
        <v>137</v>
      </c>
      <c r="R1219" s="0" t="n">
        <v>137</v>
      </c>
      <c r="T1219" s="0" t="n">
        <v>2020</v>
      </c>
      <c r="U1219" s="0" t="s">
        <v>2787</v>
      </c>
      <c r="V1219" s="0" t="s">
        <v>100</v>
      </c>
      <c r="W1219" s="0" t="s">
        <v>3559</v>
      </c>
      <c r="X1219" s="0" t="s">
        <v>3553</v>
      </c>
      <c r="Y1219" s="0" t="s">
        <v>2744</v>
      </c>
      <c r="Z1219" s="0" t="s">
        <v>2745</v>
      </c>
      <c r="AA1219" s="0" t="s">
        <v>3560</v>
      </c>
      <c r="AB1219" s="0" t="s">
        <v>3555</v>
      </c>
      <c r="AC1219" s="0" t="s">
        <v>2747</v>
      </c>
      <c r="AD1219" s="0" t="s">
        <v>3228</v>
      </c>
      <c r="AE1219" s="0" t="s">
        <v>1008</v>
      </c>
      <c r="AF1219" s="0" t="s">
        <v>3556</v>
      </c>
      <c r="AH1219" s="0" t="s">
        <v>2751</v>
      </c>
      <c r="AL1219" s="0" t="s">
        <v>384</v>
      </c>
    </row>
    <row r="1220" customFormat="false" ht="15" hidden="false" customHeight="false" outlineLevel="0" collapsed="false">
      <c r="A1220" s="0" t="s">
        <v>464</v>
      </c>
      <c r="B1220" s="0" t="s">
        <v>86</v>
      </c>
      <c r="C1220" s="0" t="s">
        <v>3224</v>
      </c>
      <c r="D1220" s="0" t="n">
        <v>2020</v>
      </c>
      <c r="E1220" s="0" t="s">
        <v>54</v>
      </c>
      <c r="F1220" s="0" t="n">
        <v>26650</v>
      </c>
      <c r="G1220" s="0" t="s">
        <v>1681</v>
      </c>
      <c r="H1220" s="0" t="s">
        <v>1648</v>
      </c>
      <c r="I1220" s="0" t="n">
        <v>26650</v>
      </c>
      <c r="J1220" s="0" t="s">
        <v>3225</v>
      </c>
      <c r="K1220" s="0" t="s">
        <v>3550</v>
      </c>
      <c r="L1220" s="0" t="n">
        <v>2020</v>
      </c>
      <c r="M1220" s="0" t="s">
        <v>1105</v>
      </c>
      <c r="N1220" s="0" t="s">
        <v>99</v>
      </c>
      <c r="O1220" s="0" t="s">
        <v>1269</v>
      </c>
      <c r="P1220" s="0" t="s">
        <v>3551</v>
      </c>
      <c r="Q1220" s="0" t="n">
        <v>136</v>
      </c>
      <c r="R1220" s="0" t="n">
        <v>136</v>
      </c>
      <c r="T1220" s="0" t="n">
        <v>2020</v>
      </c>
      <c r="U1220" s="0" t="s">
        <v>2787</v>
      </c>
      <c r="V1220" s="0" t="s">
        <v>100</v>
      </c>
      <c r="W1220" s="0" t="s">
        <v>3561</v>
      </c>
      <c r="X1220" s="0" t="s">
        <v>3562</v>
      </c>
      <c r="Y1220" s="0" t="s">
        <v>2744</v>
      </c>
      <c r="Z1220" s="0" t="s">
        <v>2745</v>
      </c>
      <c r="AA1220" s="0" t="s">
        <v>3563</v>
      </c>
      <c r="AB1220" s="0" t="s">
        <v>3555</v>
      </c>
      <c r="AC1220" s="0" t="s">
        <v>2747</v>
      </c>
      <c r="AD1220" s="0" t="s">
        <v>3228</v>
      </c>
      <c r="AE1220" s="0" t="s">
        <v>1008</v>
      </c>
      <c r="AF1220" s="0" t="s">
        <v>3556</v>
      </c>
      <c r="AH1220" s="0" t="s">
        <v>2751</v>
      </c>
      <c r="AL1220" s="0" t="s">
        <v>384</v>
      </c>
    </row>
    <row r="1221" customFormat="false" ht="15" hidden="false" customHeight="false" outlineLevel="0" collapsed="false">
      <c r="A1221" s="0" t="s">
        <v>479</v>
      </c>
      <c r="B1221" s="0" t="s">
        <v>86</v>
      </c>
      <c r="C1221" s="0" t="s">
        <v>3224</v>
      </c>
      <c r="D1221" s="0" t="n">
        <v>2020</v>
      </c>
      <c r="E1221" s="0" t="s">
        <v>402</v>
      </c>
      <c r="F1221" s="0" t="n">
        <v>28054</v>
      </c>
      <c r="G1221" s="0" t="s">
        <v>1681</v>
      </c>
      <c r="H1221" s="0" t="s">
        <v>1648</v>
      </c>
      <c r="I1221" s="0" t="n">
        <v>28054</v>
      </c>
      <c r="J1221" s="0" t="s">
        <v>3225</v>
      </c>
      <c r="K1221" s="0" t="s">
        <v>3550</v>
      </c>
      <c r="L1221" s="0" t="n">
        <v>2020</v>
      </c>
      <c r="M1221" s="0" t="s">
        <v>1105</v>
      </c>
      <c r="N1221" s="0" t="s">
        <v>99</v>
      </c>
      <c r="O1221" s="0" t="s">
        <v>1269</v>
      </c>
      <c r="P1221" s="0" t="s">
        <v>3551</v>
      </c>
      <c r="Q1221" s="0" t="n">
        <v>136</v>
      </c>
      <c r="R1221" s="0" t="n">
        <v>136</v>
      </c>
      <c r="T1221" s="0" t="n">
        <v>2020</v>
      </c>
      <c r="U1221" s="0" t="s">
        <v>2787</v>
      </c>
      <c r="V1221" s="0" t="s">
        <v>100</v>
      </c>
      <c r="W1221" s="0" t="s">
        <v>3564</v>
      </c>
      <c r="X1221" s="0" t="s">
        <v>3562</v>
      </c>
      <c r="Y1221" s="0" t="s">
        <v>2744</v>
      </c>
      <c r="Z1221" s="0" t="s">
        <v>2745</v>
      </c>
      <c r="AA1221" s="0" t="s">
        <v>3565</v>
      </c>
      <c r="AB1221" s="0" t="s">
        <v>3555</v>
      </c>
      <c r="AC1221" s="0" t="s">
        <v>2747</v>
      </c>
      <c r="AD1221" s="0" t="s">
        <v>3228</v>
      </c>
      <c r="AE1221" s="0" t="s">
        <v>1008</v>
      </c>
      <c r="AF1221" s="0" t="s">
        <v>3556</v>
      </c>
      <c r="AH1221" s="0" t="s">
        <v>2751</v>
      </c>
      <c r="AL1221" s="0" t="s">
        <v>384</v>
      </c>
    </row>
    <row r="1222" customFormat="false" ht="15" hidden="false" customHeight="false" outlineLevel="0" collapsed="false">
      <c r="A1222" s="0" t="s">
        <v>468</v>
      </c>
      <c r="B1222" s="0" t="s">
        <v>86</v>
      </c>
      <c r="C1222" s="0" t="s">
        <v>3224</v>
      </c>
      <c r="D1222" s="0" t="n">
        <v>2020</v>
      </c>
      <c r="E1222" s="0" t="s">
        <v>58</v>
      </c>
      <c r="F1222" s="0" t="n">
        <v>242619</v>
      </c>
      <c r="G1222" s="0" t="s">
        <v>1681</v>
      </c>
      <c r="H1222" s="0" t="s">
        <v>1648</v>
      </c>
      <c r="I1222" s="0" t="n">
        <v>242619</v>
      </c>
      <c r="J1222" s="0" t="s">
        <v>3225</v>
      </c>
      <c r="K1222" s="0" t="s">
        <v>3550</v>
      </c>
      <c r="L1222" s="0" t="n">
        <v>2020</v>
      </c>
      <c r="M1222" s="0" t="s">
        <v>1105</v>
      </c>
      <c r="N1222" s="0" t="s">
        <v>99</v>
      </c>
      <c r="O1222" s="0" t="s">
        <v>1269</v>
      </c>
      <c r="P1222" s="0" t="s">
        <v>3551</v>
      </c>
      <c r="Q1222" s="0" t="n">
        <v>139</v>
      </c>
      <c r="R1222" s="0" t="n">
        <v>139</v>
      </c>
      <c r="T1222" s="0" t="n">
        <v>2020</v>
      </c>
      <c r="U1222" s="0" t="s">
        <v>2787</v>
      </c>
      <c r="V1222" s="0" t="s">
        <v>100</v>
      </c>
      <c r="W1222" s="0" t="s">
        <v>3566</v>
      </c>
      <c r="X1222" s="0" t="s">
        <v>3567</v>
      </c>
      <c r="Y1222" s="0" t="s">
        <v>2744</v>
      </c>
      <c r="Z1222" s="0" t="s">
        <v>2745</v>
      </c>
      <c r="AA1222" s="0" t="s">
        <v>3568</v>
      </c>
      <c r="AB1222" s="0" t="s">
        <v>3555</v>
      </c>
      <c r="AC1222" s="0" t="s">
        <v>2747</v>
      </c>
      <c r="AD1222" s="0" t="s">
        <v>3228</v>
      </c>
      <c r="AE1222" s="0" t="s">
        <v>1008</v>
      </c>
      <c r="AF1222" s="0" t="s">
        <v>3556</v>
      </c>
      <c r="AH1222" s="0" t="s">
        <v>2751</v>
      </c>
      <c r="AL1222" s="0" t="s">
        <v>384</v>
      </c>
    </row>
    <row r="1223" customFormat="false" ht="15" hidden="false" customHeight="false" outlineLevel="0" collapsed="false">
      <c r="A1223" s="0" t="s">
        <v>469</v>
      </c>
      <c r="B1223" s="0" t="s">
        <v>86</v>
      </c>
      <c r="C1223" s="0" t="s">
        <v>3224</v>
      </c>
      <c r="D1223" s="0" t="n">
        <v>2020</v>
      </c>
      <c r="E1223" s="0" t="s">
        <v>59</v>
      </c>
      <c r="F1223" s="0" t="n">
        <v>2114037</v>
      </c>
      <c r="G1223" s="0" t="s">
        <v>1681</v>
      </c>
      <c r="H1223" s="0" t="s">
        <v>1648</v>
      </c>
      <c r="I1223" s="0" t="n">
        <v>2114037</v>
      </c>
      <c r="J1223" s="0" t="s">
        <v>3225</v>
      </c>
      <c r="K1223" s="0" t="s">
        <v>3550</v>
      </c>
      <c r="L1223" s="0" t="n">
        <v>2020</v>
      </c>
      <c r="M1223" s="0" t="s">
        <v>1105</v>
      </c>
      <c r="N1223" s="0" t="s">
        <v>99</v>
      </c>
      <c r="O1223" s="0" t="s">
        <v>1269</v>
      </c>
      <c r="P1223" s="0" t="s">
        <v>3551</v>
      </c>
      <c r="Q1223" s="0" t="n">
        <v>137</v>
      </c>
      <c r="R1223" s="0" t="n">
        <v>137</v>
      </c>
      <c r="T1223" s="0" t="n">
        <v>2019</v>
      </c>
      <c r="U1223" s="0" t="s">
        <v>2787</v>
      </c>
      <c r="V1223" s="0" t="s">
        <v>100</v>
      </c>
      <c r="W1223" s="0" t="s">
        <v>3552</v>
      </c>
      <c r="X1223" s="0" t="s">
        <v>3553</v>
      </c>
      <c r="Y1223" s="0" t="s">
        <v>2744</v>
      </c>
      <c r="Z1223" s="0" t="s">
        <v>2745</v>
      </c>
      <c r="AA1223" s="0" t="s">
        <v>3569</v>
      </c>
      <c r="AB1223" s="0" t="s">
        <v>3555</v>
      </c>
      <c r="AC1223" s="0" t="s">
        <v>2747</v>
      </c>
      <c r="AD1223" s="0" t="s">
        <v>3228</v>
      </c>
      <c r="AE1223" s="0" t="s">
        <v>1008</v>
      </c>
      <c r="AF1223" s="0" t="s">
        <v>3556</v>
      </c>
      <c r="AH1223" s="0" t="s">
        <v>2751</v>
      </c>
      <c r="AL1223" s="0" t="s">
        <v>384</v>
      </c>
    </row>
    <row r="1224" customFormat="false" ht="15" hidden="false" customHeight="false" outlineLevel="0" collapsed="false">
      <c r="A1224" s="0" t="s">
        <v>473</v>
      </c>
      <c r="B1224" s="0" t="s">
        <v>86</v>
      </c>
      <c r="C1224" s="0" t="s">
        <v>3224</v>
      </c>
      <c r="D1224" s="0" t="n">
        <v>2020</v>
      </c>
      <c r="E1224" s="0" t="s">
        <v>63</v>
      </c>
      <c r="F1224" s="0" t="n">
        <v>-16858</v>
      </c>
      <c r="G1224" s="0" t="s">
        <v>1681</v>
      </c>
      <c r="H1224" s="0" t="s">
        <v>1648</v>
      </c>
      <c r="I1224" s="0" t="n">
        <v>16858</v>
      </c>
      <c r="J1224" s="0" t="s">
        <v>3225</v>
      </c>
      <c r="K1224" s="0" t="s">
        <v>3550</v>
      </c>
      <c r="L1224" s="0" t="n">
        <v>2020</v>
      </c>
      <c r="M1224" s="0" t="s">
        <v>1105</v>
      </c>
      <c r="N1224" s="0" t="s">
        <v>99</v>
      </c>
      <c r="O1224" s="0" t="s">
        <v>1269</v>
      </c>
      <c r="P1224" s="0" t="s">
        <v>3551</v>
      </c>
      <c r="Q1224" s="0" t="n">
        <v>136</v>
      </c>
      <c r="R1224" s="0" t="n">
        <v>136</v>
      </c>
      <c r="S1224" s="0" t="n">
        <v>8</v>
      </c>
      <c r="T1224" s="0" t="n">
        <v>2020</v>
      </c>
      <c r="U1224" s="0" t="s">
        <v>2787</v>
      </c>
      <c r="V1224" s="0" t="s">
        <v>100</v>
      </c>
      <c r="W1224" s="0" t="s">
        <v>3570</v>
      </c>
      <c r="X1224" s="0" t="s">
        <v>3562</v>
      </c>
      <c r="Y1224" s="0" t="s">
        <v>2744</v>
      </c>
      <c r="Z1224" s="0" t="s">
        <v>2745</v>
      </c>
      <c r="AA1224" s="0" t="s">
        <v>3571</v>
      </c>
      <c r="AB1224" s="0" t="s">
        <v>3555</v>
      </c>
      <c r="AC1224" s="0" t="s">
        <v>2747</v>
      </c>
      <c r="AD1224" s="0" t="s">
        <v>3228</v>
      </c>
      <c r="AE1224" s="0" t="s">
        <v>1008</v>
      </c>
      <c r="AF1224" s="0" t="s">
        <v>3556</v>
      </c>
      <c r="AH1224" s="0" t="s">
        <v>2760</v>
      </c>
      <c r="AI1224" s="0" t="s">
        <v>3572</v>
      </c>
      <c r="AL1224" s="0" t="s">
        <v>384</v>
      </c>
    </row>
    <row r="1225" customFormat="false" ht="15" hidden="false" customHeight="false" outlineLevel="0" collapsed="false">
      <c r="A1225" s="0" t="s">
        <v>470</v>
      </c>
      <c r="B1225" s="0" t="s">
        <v>86</v>
      </c>
      <c r="C1225" s="0" t="s">
        <v>3224</v>
      </c>
      <c r="D1225" s="0" t="n">
        <v>2020</v>
      </c>
      <c r="E1225" s="0" t="s">
        <v>60</v>
      </c>
      <c r="F1225" s="0" t="n">
        <v>1393624</v>
      </c>
      <c r="G1225" s="0" t="s">
        <v>1681</v>
      </c>
      <c r="H1225" s="0" t="s">
        <v>1648</v>
      </c>
      <c r="I1225" s="0" t="n">
        <v>1393624</v>
      </c>
      <c r="J1225" s="0" t="s">
        <v>3225</v>
      </c>
      <c r="K1225" s="0" t="s">
        <v>3550</v>
      </c>
      <c r="L1225" s="0" t="n">
        <v>2020</v>
      </c>
      <c r="M1225" s="0" t="s">
        <v>1105</v>
      </c>
      <c r="N1225" s="0" t="s">
        <v>99</v>
      </c>
      <c r="O1225" s="0" t="s">
        <v>1269</v>
      </c>
      <c r="P1225" s="0" t="s">
        <v>3551</v>
      </c>
      <c r="Q1225" s="0" t="n">
        <v>216</v>
      </c>
      <c r="R1225" s="0" t="n">
        <v>216</v>
      </c>
      <c r="S1225" s="0" t="n">
        <v>22</v>
      </c>
      <c r="T1225" s="0" t="s">
        <v>3573</v>
      </c>
      <c r="U1225" s="0" t="s">
        <v>2787</v>
      </c>
      <c r="V1225" s="0" t="s">
        <v>100</v>
      </c>
      <c r="W1225" s="0" t="s">
        <v>3574</v>
      </c>
      <c r="X1225" s="0" t="s">
        <v>3575</v>
      </c>
      <c r="Y1225" s="0" t="s">
        <v>2744</v>
      </c>
      <c r="Z1225" s="0" t="s">
        <v>2745</v>
      </c>
      <c r="AA1225" s="0" t="s">
        <v>3576</v>
      </c>
      <c r="AB1225" s="0" t="s">
        <v>3555</v>
      </c>
      <c r="AC1225" s="0" t="s">
        <v>2747</v>
      </c>
      <c r="AD1225" s="0" t="s">
        <v>3228</v>
      </c>
      <c r="AE1225" s="0" t="s">
        <v>1008</v>
      </c>
      <c r="AF1225" s="0" t="s">
        <v>3556</v>
      </c>
      <c r="AH1225" s="0" t="s">
        <v>2751</v>
      </c>
      <c r="AL1225" s="0" t="s">
        <v>384</v>
      </c>
    </row>
    <row r="1226" customFormat="false" ht="15" hidden="false" customHeight="false" outlineLevel="0" collapsed="false">
      <c r="A1226" s="0" t="s">
        <v>471</v>
      </c>
      <c r="B1226" s="0" t="s">
        <v>86</v>
      </c>
      <c r="C1226" s="0" t="s">
        <v>3224</v>
      </c>
      <c r="D1226" s="0" t="n">
        <v>2020</v>
      </c>
      <c r="E1226" s="0" t="s">
        <v>61</v>
      </c>
      <c r="F1226" s="0" t="n">
        <v>-67518</v>
      </c>
      <c r="G1226" s="0" t="s">
        <v>1681</v>
      </c>
      <c r="H1226" s="0" t="s">
        <v>1648</v>
      </c>
      <c r="I1226" s="0" t="n">
        <v>67518</v>
      </c>
      <c r="J1226" s="0" t="s">
        <v>3225</v>
      </c>
      <c r="K1226" s="0" t="s">
        <v>3550</v>
      </c>
      <c r="L1226" s="0" t="n">
        <v>2020</v>
      </c>
      <c r="M1226" s="0" t="s">
        <v>1105</v>
      </c>
      <c r="N1226" s="0" t="s">
        <v>99</v>
      </c>
      <c r="O1226" s="0" t="s">
        <v>1269</v>
      </c>
      <c r="P1226" s="0" t="s">
        <v>3551</v>
      </c>
      <c r="Q1226" s="0" t="n">
        <v>216</v>
      </c>
      <c r="R1226" s="0" t="n">
        <v>216</v>
      </c>
      <c r="S1226" s="0" t="n">
        <v>22</v>
      </c>
      <c r="T1226" s="0" t="s">
        <v>3573</v>
      </c>
      <c r="U1226" s="0" t="s">
        <v>2787</v>
      </c>
      <c r="V1226" s="0" t="s">
        <v>100</v>
      </c>
      <c r="W1226" s="0" t="s">
        <v>3577</v>
      </c>
      <c r="X1226" s="0" t="s">
        <v>3575</v>
      </c>
      <c r="Y1226" s="0" t="s">
        <v>2744</v>
      </c>
      <c r="Z1226" s="0" t="s">
        <v>2745</v>
      </c>
      <c r="AA1226" s="0" t="s">
        <v>3578</v>
      </c>
      <c r="AB1226" s="0" t="s">
        <v>3555</v>
      </c>
      <c r="AC1226" s="0" t="s">
        <v>2747</v>
      </c>
      <c r="AD1226" s="0" t="s">
        <v>3228</v>
      </c>
      <c r="AE1226" s="0" t="s">
        <v>1008</v>
      </c>
      <c r="AF1226" s="0" t="s">
        <v>3556</v>
      </c>
      <c r="AH1226" s="0" t="s">
        <v>2760</v>
      </c>
      <c r="AI1226" s="0" t="s">
        <v>3375</v>
      </c>
      <c r="AL1226" s="0" t="s">
        <v>384</v>
      </c>
    </row>
    <row r="1227" customFormat="false" ht="15" hidden="false" customHeight="false" outlineLevel="0" collapsed="false">
      <c r="A1227" s="0" t="s">
        <v>472</v>
      </c>
      <c r="B1227" s="0" t="s">
        <v>86</v>
      </c>
      <c r="C1227" s="0" t="s">
        <v>3224</v>
      </c>
      <c r="D1227" s="0" t="n">
        <v>2020</v>
      </c>
      <c r="E1227" s="0" t="s">
        <v>62</v>
      </c>
      <c r="F1227" s="0" t="n">
        <v>1326106</v>
      </c>
      <c r="G1227" s="0" t="s">
        <v>1681</v>
      </c>
      <c r="H1227" s="0" t="s">
        <v>1648</v>
      </c>
      <c r="I1227" s="0" t="n">
        <v>1326106</v>
      </c>
      <c r="J1227" s="0" t="s">
        <v>3225</v>
      </c>
      <c r="K1227" s="0" t="s">
        <v>3550</v>
      </c>
      <c r="L1227" s="0" t="n">
        <v>2020</v>
      </c>
      <c r="M1227" s="0" t="s">
        <v>1105</v>
      </c>
      <c r="N1227" s="0" t="s">
        <v>99</v>
      </c>
      <c r="O1227" s="0" t="s">
        <v>1269</v>
      </c>
      <c r="P1227" s="0" t="s">
        <v>3551</v>
      </c>
      <c r="Q1227" s="0" t="n">
        <v>137</v>
      </c>
      <c r="R1227" s="0" t="n">
        <v>137</v>
      </c>
      <c r="S1227" s="0" t="n">
        <v>22</v>
      </c>
      <c r="T1227" s="0" t="n">
        <v>2020</v>
      </c>
      <c r="U1227" s="0" t="s">
        <v>2787</v>
      </c>
      <c r="V1227" s="0" t="s">
        <v>100</v>
      </c>
      <c r="W1227" s="0" t="s">
        <v>3579</v>
      </c>
      <c r="X1227" s="0" t="s">
        <v>3553</v>
      </c>
      <c r="Y1227" s="0" t="s">
        <v>2744</v>
      </c>
      <c r="Z1227" s="0" t="s">
        <v>2745</v>
      </c>
      <c r="AA1227" s="0" t="s">
        <v>3580</v>
      </c>
      <c r="AB1227" s="0" t="s">
        <v>3555</v>
      </c>
      <c r="AC1227" s="0" t="s">
        <v>2747</v>
      </c>
      <c r="AD1227" s="0" t="s">
        <v>3228</v>
      </c>
      <c r="AE1227" s="0" t="s">
        <v>1008</v>
      </c>
      <c r="AF1227" s="0" t="s">
        <v>3556</v>
      </c>
      <c r="AH1227" s="0" t="s">
        <v>2751</v>
      </c>
      <c r="AL1227" s="0" t="s">
        <v>384</v>
      </c>
    </row>
    <row r="1228" customFormat="false" ht="15" hidden="false" customHeight="false" outlineLevel="0" collapsed="false">
      <c r="A1228" s="0" t="s">
        <v>476</v>
      </c>
      <c r="B1228" s="0" t="s">
        <v>86</v>
      </c>
      <c r="C1228" s="0" t="s">
        <v>3224</v>
      </c>
      <c r="D1228" s="0" t="n">
        <v>2020</v>
      </c>
      <c r="E1228" s="0" t="s">
        <v>65</v>
      </c>
      <c r="F1228" s="0" t="n">
        <v>243690</v>
      </c>
      <c r="G1228" s="0" t="s">
        <v>1681</v>
      </c>
      <c r="H1228" s="0" t="s">
        <v>1648</v>
      </c>
      <c r="I1228" s="0" t="n">
        <v>243690</v>
      </c>
      <c r="J1228" s="0" t="s">
        <v>3225</v>
      </c>
      <c r="K1228" s="0" t="s">
        <v>3550</v>
      </c>
      <c r="L1228" s="0" t="n">
        <v>2020</v>
      </c>
      <c r="M1228" s="0" t="s">
        <v>1105</v>
      </c>
      <c r="N1228" s="0" t="s">
        <v>99</v>
      </c>
      <c r="O1228" s="0" t="s">
        <v>1269</v>
      </c>
      <c r="P1228" s="0" t="s">
        <v>3551</v>
      </c>
      <c r="Q1228" s="0" t="n">
        <v>203</v>
      </c>
      <c r="R1228" s="0" t="n">
        <v>203</v>
      </c>
      <c r="S1228" s="0" t="n">
        <v>4</v>
      </c>
      <c r="T1228" s="0" t="s">
        <v>3581</v>
      </c>
      <c r="U1228" s="0" t="s">
        <v>2787</v>
      </c>
      <c r="V1228" s="0" t="s">
        <v>100</v>
      </c>
      <c r="W1228" s="0" t="s">
        <v>3582</v>
      </c>
      <c r="X1228" s="0" t="s">
        <v>3583</v>
      </c>
      <c r="Y1228" s="0" t="s">
        <v>2744</v>
      </c>
      <c r="Z1228" s="0" t="s">
        <v>2745</v>
      </c>
      <c r="AA1228" s="0" t="s">
        <v>3584</v>
      </c>
      <c r="AB1228" s="0" t="s">
        <v>3555</v>
      </c>
      <c r="AC1228" s="0" t="s">
        <v>2747</v>
      </c>
      <c r="AD1228" s="0" t="s">
        <v>3228</v>
      </c>
      <c r="AE1228" s="0" t="s">
        <v>1008</v>
      </c>
      <c r="AF1228" s="0" t="s">
        <v>3556</v>
      </c>
      <c r="AH1228" s="0" t="s">
        <v>2751</v>
      </c>
      <c r="AL1228" s="0" t="s">
        <v>384</v>
      </c>
    </row>
    <row r="1229" customFormat="false" ht="15" hidden="false" customHeight="false" outlineLevel="0" collapsed="false">
      <c r="A1229" s="0" t="s">
        <v>477</v>
      </c>
      <c r="B1229" s="0" t="s">
        <v>86</v>
      </c>
      <c r="C1229" s="0" t="s">
        <v>3224</v>
      </c>
      <c r="D1229" s="0" t="n">
        <v>2020</v>
      </c>
      <c r="E1229" s="0" t="s">
        <v>66</v>
      </c>
      <c r="F1229" s="0" t="n">
        <v>1340211</v>
      </c>
      <c r="G1229" s="0" t="s">
        <v>1681</v>
      </c>
      <c r="H1229" s="0" t="s">
        <v>1648</v>
      </c>
      <c r="I1229" s="0" t="n">
        <v>1340211</v>
      </c>
      <c r="J1229" s="0" t="s">
        <v>3225</v>
      </c>
      <c r="K1229" s="0" t="s">
        <v>3550</v>
      </c>
      <c r="L1229" s="0" t="n">
        <v>2020</v>
      </c>
      <c r="M1229" s="0" t="s">
        <v>1105</v>
      </c>
      <c r="N1229" s="0" t="s">
        <v>99</v>
      </c>
      <c r="O1229" s="0" t="s">
        <v>1269</v>
      </c>
      <c r="P1229" s="0" t="s">
        <v>3551</v>
      </c>
      <c r="Q1229" s="0" t="n">
        <v>203</v>
      </c>
      <c r="R1229" s="0" t="n">
        <v>203</v>
      </c>
      <c r="S1229" s="0" t="n">
        <v>4</v>
      </c>
      <c r="T1229" s="0" t="s">
        <v>3581</v>
      </c>
      <c r="U1229" s="0" t="s">
        <v>2787</v>
      </c>
      <c r="V1229" s="0" t="s">
        <v>100</v>
      </c>
      <c r="W1229" s="0" t="s">
        <v>3585</v>
      </c>
      <c r="X1229" s="0" t="s">
        <v>3583</v>
      </c>
      <c r="Y1229" s="0" t="s">
        <v>2744</v>
      </c>
      <c r="Z1229" s="0" t="s">
        <v>2745</v>
      </c>
      <c r="AA1229" s="0" t="s">
        <v>3586</v>
      </c>
      <c r="AB1229" s="0" t="s">
        <v>3555</v>
      </c>
      <c r="AC1229" s="0" t="s">
        <v>2747</v>
      </c>
      <c r="AD1229" s="0" t="s">
        <v>3228</v>
      </c>
      <c r="AE1229" s="0" t="s">
        <v>1008</v>
      </c>
      <c r="AF1229" s="0" t="s">
        <v>3556</v>
      </c>
      <c r="AH1229" s="0" t="s">
        <v>2751</v>
      </c>
      <c r="AL1229" s="0" t="s">
        <v>384</v>
      </c>
    </row>
    <row r="1230" customFormat="false" ht="15" hidden="false" customHeight="false" outlineLevel="0" collapsed="false">
      <c r="A1230" s="0" t="s">
        <v>474</v>
      </c>
      <c r="B1230" s="0" t="s">
        <v>86</v>
      </c>
      <c r="C1230" s="0" t="s">
        <v>3224</v>
      </c>
      <c r="D1230" s="0" t="n">
        <v>2020</v>
      </c>
      <c r="E1230" s="0" t="s">
        <v>69</v>
      </c>
      <c r="F1230" s="0" t="s">
        <v>3587</v>
      </c>
      <c r="G1230" s="0" t="s">
        <v>1723</v>
      </c>
      <c r="I1230" s="0" t="n">
        <v>18.18</v>
      </c>
      <c r="J1230" s="0" t="s">
        <v>3225</v>
      </c>
      <c r="K1230" s="0" t="s">
        <v>3550</v>
      </c>
      <c r="L1230" s="0" t="n">
        <v>2020</v>
      </c>
      <c r="M1230" s="0" t="s">
        <v>1105</v>
      </c>
      <c r="N1230" s="0" t="s">
        <v>99</v>
      </c>
      <c r="O1230" s="0" t="s">
        <v>1269</v>
      </c>
      <c r="P1230" s="0" t="s">
        <v>3551</v>
      </c>
      <c r="Q1230" s="0" t="n">
        <v>203</v>
      </c>
      <c r="R1230" s="0" t="n">
        <v>203</v>
      </c>
      <c r="S1230" s="0" t="n">
        <v>4</v>
      </c>
      <c r="T1230" s="0" t="s">
        <v>3581</v>
      </c>
      <c r="U1230" s="0" t="s">
        <v>2787</v>
      </c>
      <c r="V1230" s="0" t="s">
        <v>100</v>
      </c>
      <c r="W1230" s="0" t="s">
        <v>3588</v>
      </c>
      <c r="X1230" s="0" t="s">
        <v>3583</v>
      </c>
      <c r="Y1230" s="0" t="s">
        <v>2744</v>
      </c>
      <c r="Z1230" s="0" t="s">
        <v>2745</v>
      </c>
      <c r="AA1230" s="0" t="s">
        <v>3589</v>
      </c>
      <c r="AB1230" s="0" t="s">
        <v>3555</v>
      </c>
      <c r="AC1230" s="0" t="s">
        <v>2747</v>
      </c>
      <c r="AD1230" s="0" t="s">
        <v>3228</v>
      </c>
      <c r="AE1230" s="0" t="s">
        <v>1008</v>
      </c>
      <c r="AF1230" s="0" t="s">
        <v>3556</v>
      </c>
      <c r="AH1230" s="0" t="s">
        <v>2751</v>
      </c>
      <c r="AL1230" s="0" t="s">
        <v>384</v>
      </c>
    </row>
    <row r="1231" customFormat="false" ht="15" hidden="false" customHeight="false" outlineLevel="0" collapsed="false">
      <c r="A1231" s="0" t="s">
        <v>475</v>
      </c>
      <c r="B1231" s="0" t="s">
        <v>86</v>
      </c>
      <c r="C1231" s="0" t="s">
        <v>3224</v>
      </c>
      <c r="D1231" s="0" t="n">
        <v>2020</v>
      </c>
      <c r="E1231" s="0" t="s">
        <v>70</v>
      </c>
      <c r="F1231" s="0" t="s">
        <v>2840</v>
      </c>
      <c r="G1231" s="0" t="s">
        <v>1723</v>
      </c>
      <c r="I1231" s="0" t="n">
        <v>15</v>
      </c>
      <c r="J1231" s="0" t="s">
        <v>3225</v>
      </c>
      <c r="K1231" s="0" t="s">
        <v>3550</v>
      </c>
      <c r="L1231" s="0" t="n">
        <v>2020</v>
      </c>
      <c r="M1231" s="0" t="s">
        <v>1105</v>
      </c>
      <c r="N1231" s="0" t="s">
        <v>99</v>
      </c>
      <c r="O1231" s="0" t="s">
        <v>1269</v>
      </c>
      <c r="P1231" s="0" t="s">
        <v>3551</v>
      </c>
      <c r="Q1231" s="0" t="n">
        <v>203</v>
      </c>
      <c r="R1231" s="0" t="n">
        <v>203</v>
      </c>
      <c r="S1231" s="0" t="n">
        <v>4</v>
      </c>
      <c r="T1231" s="0" t="s">
        <v>3581</v>
      </c>
      <c r="U1231" s="0" t="s">
        <v>2787</v>
      </c>
      <c r="V1231" s="0" t="s">
        <v>100</v>
      </c>
      <c r="W1231" s="0" t="s">
        <v>3250</v>
      </c>
      <c r="X1231" s="0" t="s">
        <v>3583</v>
      </c>
      <c r="Y1231" s="0" t="s">
        <v>2744</v>
      </c>
      <c r="Z1231" s="0" t="s">
        <v>2745</v>
      </c>
      <c r="AA1231" s="0" t="s">
        <v>3590</v>
      </c>
      <c r="AB1231" s="0" t="s">
        <v>3555</v>
      </c>
      <c r="AC1231" s="0" t="s">
        <v>2747</v>
      </c>
      <c r="AD1231" s="0" t="s">
        <v>3228</v>
      </c>
      <c r="AE1231" s="0" t="s">
        <v>1008</v>
      </c>
      <c r="AF1231" s="0" t="s">
        <v>3556</v>
      </c>
      <c r="AH1231" s="0" t="s">
        <v>2751</v>
      </c>
      <c r="AL1231" s="0" t="s">
        <v>384</v>
      </c>
    </row>
    <row r="1232" customFormat="false" ht="15" hidden="false" customHeight="false" outlineLevel="0" collapsed="false">
      <c r="A1232" s="0" t="s">
        <v>478</v>
      </c>
      <c r="B1232" s="0" t="s">
        <v>86</v>
      </c>
      <c r="C1232" s="0" t="s">
        <v>3224</v>
      </c>
      <c r="D1232" s="0" t="n">
        <v>2020</v>
      </c>
      <c r="E1232" s="0" t="s">
        <v>73</v>
      </c>
      <c r="F1232" s="0" t="n">
        <v>0</v>
      </c>
      <c r="G1232" s="0" t="s">
        <v>2844</v>
      </c>
      <c r="I1232" s="0" t="n">
        <v>0</v>
      </c>
      <c r="J1232" s="0" t="s">
        <v>3278</v>
      </c>
      <c r="K1232" s="0" t="s">
        <v>3550</v>
      </c>
      <c r="L1232" s="0" t="n">
        <v>2020</v>
      </c>
      <c r="M1232" s="0" t="s">
        <v>1105</v>
      </c>
      <c r="N1232" s="0" t="s">
        <v>99</v>
      </c>
      <c r="O1232" s="0" t="s">
        <v>1269</v>
      </c>
      <c r="P1232" s="0" t="s">
        <v>3551</v>
      </c>
      <c r="Q1232" s="0" t="n">
        <v>128</v>
      </c>
      <c r="R1232" s="0" t="n">
        <v>128</v>
      </c>
      <c r="T1232" s="0" t="s">
        <v>3591</v>
      </c>
      <c r="U1232" s="0" t="s">
        <v>2787</v>
      </c>
      <c r="V1232" s="0" t="s">
        <v>100</v>
      </c>
      <c r="W1232" s="0" t="s">
        <v>3397</v>
      </c>
      <c r="X1232" s="0" t="s">
        <v>3592</v>
      </c>
      <c r="Y1232" s="0" t="s">
        <v>2799</v>
      </c>
      <c r="Z1232" s="0" t="s">
        <v>2745</v>
      </c>
      <c r="AA1232" s="0" t="s">
        <v>3593</v>
      </c>
      <c r="AB1232" s="0" t="s">
        <v>3555</v>
      </c>
      <c r="AC1232" s="0" t="s">
        <v>2747</v>
      </c>
      <c r="AD1232" s="0" t="s">
        <v>3228</v>
      </c>
      <c r="AE1232" s="0" t="s">
        <v>1008</v>
      </c>
      <c r="AF1232" s="0" t="s">
        <v>3556</v>
      </c>
      <c r="AG1232" s="0" t="s">
        <v>1008</v>
      </c>
      <c r="AH1232" s="0" t="s">
        <v>2751</v>
      </c>
      <c r="AL1232" s="0" t="s">
        <v>400</v>
      </c>
    </row>
    <row r="1233" customFormat="false" ht="15" hidden="false" customHeight="false" outlineLevel="0" collapsed="false">
      <c r="A1233" s="0" t="s">
        <v>699</v>
      </c>
      <c r="B1233" s="0" t="s">
        <v>138</v>
      </c>
      <c r="C1233" s="0" t="s">
        <v>2792</v>
      </c>
      <c r="D1233" s="0" t="n">
        <v>2016</v>
      </c>
      <c r="E1233" s="0" t="s">
        <v>63</v>
      </c>
      <c r="F1233" s="0" t="s">
        <v>3594</v>
      </c>
      <c r="G1233" s="0" t="s">
        <v>1681</v>
      </c>
      <c r="H1233" s="0" t="s">
        <v>1648</v>
      </c>
      <c r="I1233" s="0" t="n">
        <v>15769</v>
      </c>
      <c r="J1233" s="0" t="s">
        <v>2739</v>
      </c>
      <c r="K1233" s="0" t="s">
        <v>2793</v>
      </c>
      <c r="L1233" s="0" t="n">
        <v>2016</v>
      </c>
      <c r="M1233" s="0" t="s">
        <v>938</v>
      </c>
      <c r="N1233" s="0" t="s">
        <v>140</v>
      </c>
      <c r="O1233" s="0" t="s">
        <v>1222</v>
      </c>
      <c r="P1233" s="0" t="s">
        <v>2794</v>
      </c>
      <c r="Q1233" s="0" t="n">
        <v>40</v>
      </c>
      <c r="R1233" s="0" t="n">
        <v>39</v>
      </c>
      <c r="T1233" s="0" t="s">
        <v>2795</v>
      </c>
      <c r="U1233" s="0" t="s">
        <v>2796</v>
      </c>
      <c r="V1233" s="0" t="s">
        <v>94</v>
      </c>
      <c r="W1233" s="0" t="s">
        <v>3595</v>
      </c>
      <c r="X1233" s="0" t="s">
        <v>2810</v>
      </c>
      <c r="Y1233" s="0" t="s">
        <v>3596</v>
      </c>
      <c r="Z1233" s="0" t="s">
        <v>567</v>
      </c>
      <c r="AA1233" s="0" t="s">
        <v>3597</v>
      </c>
      <c r="AB1233" s="0" t="s">
        <v>2801</v>
      </c>
      <c r="AC1233" s="0" t="s">
        <v>2747</v>
      </c>
      <c r="AD1233" s="0" t="s">
        <v>2748</v>
      </c>
      <c r="AE1233" s="0" t="s">
        <v>2749</v>
      </c>
      <c r="AF1233" s="0" t="s">
        <v>2802</v>
      </c>
      <c r="AH1233" s="0" t="s">
        <v>2751</v>
      </c>
      <c r="AJ1233" s="0" t="s">
        <v>3598</v>
      </c>
      <c r="AK1233" s="0" t="s">
        <v>3599</v>
      </c>
      <c r="AL1233" s="0" t="s">
        <v>567</v>
      </c>
    </row>
    <row r="1234" customFormat="false" ht="15" hidden="false" customHeight="false" outlineLevel="0" collapsed="false">
      <c r="A1234" s="0" t="s">
        <v>681</v>
      </c>
      <c r="B1234" s="0" t="s">
        <v>138</v>
      </c>
      <c r="C1234" s="0" t="s">
        <v>2792</v>
      </c>
      <c r="D1234" s="0" t="n">
        <v>2015</v>
      </c>
      <c r="E1234" s="0" t="s">
        <v>63</v>
      </c>
      <c r="F1234" s="0" t="s">
        <v>3594</v>
      </c>
      <c r="G1234" s="0" t="s">
        <v>1681</v>
      </c>
      <c r="H1234" s="0" t="s">
        <v>1648</v>
      </c>
      <c r="I1234" s="0" t="n">
        <v>9177</v>
      </c>
      <c r="J1234" s="0" t="s">
        <v>2739</v>
      </c>
      <c r="K1234" s="0" t="s">
        <v>2793</v>
      </c>
      <c r="L1234" s="0" t="n">
        <v>2016</v>
      </c>
      <c r="M1234" s="0" t="s">
        <v>938</v>
      </c>
      <c r="N1234" s="0" t="s">
        <v>140</v>
      </c>
      <c r="O1234" s="0" t="s">
        <v>1222</v>
      </c>
      <c r="P1234" s="0" t="s">
        <v>2794</v>
      </c>
      <c r="Q1234" s="0" t="n">
        <v>40</v>
      </c>
      <c r="R1234" s="0" t="n">
        <v>39</v>
      </c>
      <c r="T1234" s="0" t="s">
        <v>2805</v>
      </c>
      <c r="U1234" s="0" t="s">
        <v>2807</v>
      </c>
      <c r="V1234" s="0" t="s">
        <v>141</v>
      </c>
      <c r="W1234" s="0" t="s">
        <v>3600</v>
      </c>
      <c r="X1234" s="0" t="s">
        <v>2810</v>
      </c>
      <c r="Y1234" s="0" t="s">
        <v>3596</v>
      </c>
      <c r="Z1234" s="0" t="s">
        <v>567</v>
      </c>
      <c r="AA1234" s="0" t="s">
        <v>3597</v>
      </c>
      <c r="AB1234" s="0" t="s">
        <v>2801</v>
      </c>
      <c r="AC1234" s="0" t="s">
        <v>2747</v>
      </c>
      <c r="AD1234" s="0" t="s">
        <v>2748</v>
      </c>
      <c r="AE1234" s="0" t="s">
        <v>2749</v>
      </c>
      <c r="AF1234" s="0" t="s">
        <v>2802</v>
      </c>
      <c r="AH1234" s="0" t="s">
        <v>2751</v>
      </c>
      <c r="AJ1234" s="0" t="s">
        <v>3598</v>
      </c>
      <c r="AK1234" s="0" t="s">
        <v>3601</v>
      </c>
      <c r="AL1234" s="0" t="s">
        <v>567</v>
      </c>
    </row>
    <row r="1235" customFormat="false" ht="15" hidden="false" customHeight="false" outlineLevel="0" collapsed="false">
      <c r="A1235" s="0" t="s">
        <v>629</v>
      </c>
      <c r="B1235" s="0" t="s">
        <v>116</v>
      </c>
      <c r="C1235" s="0" t="s">
        <v>2850</v>
      </c>
      <c r="D1235" s="0" t="n">
        <v>2020</v>
      </c>
      <c r="E1235" s="0" t="s">
        <v>65</v>
      </c>
      <c r="F1235" s="0" t="s">
        <v>3594</v>
      </c>
      <c r="G1235" s="0" t="s">
        <v>1681</v>
      </c>
      <c r="H1235" s="0" t="s">
        <v>1648</v>
      </c>
      <c r="I1235" s="0" t="n">
        <v>221408</v>
      </c>
      <c r="J1235" s="0" t="s">
        <v>2739</v>
      </c>
      <c r="K1235" s="0" t="s">
        <v>952</v>
      </c>
      <c r="L1235" s="0" t="n">
        <v>2021</v>
      </c>
      <c r="M1235" s="0" t="s">
        <v>953</v>
      </c>
      <c r="N1235" s="0" t="s">
        <v>121</v>
      </c>
      <c r="O1235" s="0" t="s">
        <v>1165</v>
      </c>
      <c r="P1235" s="0" t="s">
        <v>1593</v>
      </c>
      <c r="Q1235" s="0" t="n">
        <v>144</v>
      </c>
      <c r="R1235" s="0" t="n">
        <v>113</v>
      </c>
      <c r="T1235" s="0" t="s">
        <v>2920</v>
      </c>
      <c r="U1235" s="0" t="s">
        <v>2741</v>
      </c>
      <c r="V1235" s="0" t="s">
        <v>122</v>
      </c>
      <c r="W1235" s="0" t="s">
        <v>3602</v>
      </c>
      <c r="X1235" s="0" t="s">
        <v>2911</v>
      </c>
      <c r="Y1235" s="0" t="s">
        <v>3596</v>
      </c>
      <c r="Z1235" s="0" t="s">
        <v>567</v>
      </c>
      <c r="AA1235" s="0" t="s">
        <v>3603</v>
      </c>
      <c r="AB1235" s="0" t="s">
        <v>1594</v>
      </c>
      <c r="AC1235" s="0" t="s">
        <v>2747</v>
      </c>
      <c r="AD1235" s="0" t="s">
        <v>2748</v>
      </c>
      <c r="AE1235" s="0" t="s">
        <v>2749</v>
      </c>
      <c r="AF1235" s="0" t="s">
        <v>2856</v>
      </c>
      <c r="AH1235" s="0" t="s">
        <v>2751</v>
      </c>
      <c r="AJ1235" s="0" t="s">
        <v>3598</v>
      </c>
      <c r="AK1235" s="0" t="s">
        <v>3604</v>
      </c>
      <c r="AL1235" s="0" t="s">
        <v>567</v>
      </c>
    </row>
    <row r="1236" customFormat="false" ht="15" hidden="false" customHeight="false" outlineLevel="0" collapsed="false">
      <c r="A1236" s="0" t="s">
        <v>631</v>
      </c>
      <c r="B1236" s="0" t="s">
        <v>116</v>
      </c>
      <c r="C1236" s="0" t="s">
        <v>2850</v>
      </c>
      <c r="D1236" s="0" t="n">
        <v>2020</v>
      </c>
      <c r="E1236" s="0" t="s">
        <v>595</v>
      </c>
      <c r="F1236" s="0" t="s">
        <v>3594</v>
      </c>
      <c r="G1236" s="0" t="s">
        <v>1681</v>
      </c>
      <c r="H1236" s="0" t="s">
        <v>1648</v>
      </c>
      <c r="I1236" s="0" t="n">
        <v>223468</v>
      </c>
      <c r="J1236" s="0" t="s">
        <v>2739</v>
      </c>
      <c r="K1236" s="0" t="s">
        <v>952</v>
      </c>
      <c r="L1236" s="0" t="n">
        <v>2021</v>
      </c>
      <c r="M1236" s="0" t="s">
        <v>953</v>
      </c>
      <c r="N1236" s="0" t="s">
        <v>121</v>
      </c>
      <c r="O1236" s="0" t="s">
        <v>1165</v>
      </c>
      <c r="P1236" s="0" t="s">
        <v>1593</v>
      </c>
      <c r="Q1236" s="0" t="n">
        <v>144</v>
      </c>
      <c r="R1236" s="0" t="n">
        <v>113</v>
      </c>
      <c r="T1236" s="0" t="s">
        <v>2929</v>
      </c>
      <c r="U1236" s="0" t="s">
        <v>2741</v>
      </c>
      <c r="V1236" s="0" t="s">
        <v>122</v>
      </c>
      <c r="W1236" s="0" t="s">
        <v>3605</v>
      </c>
      <c r="X1236" s="0" t="s">
        <v>2911</v>
      </c>
      <c r="Y1236" s="0" t="s">
        <v>3596</v>
      </c>
      <c r="Z1236" s="0" t="s">
        <v>567</v>
      </c>
      <c r="AA1236" s="0" t="s">
        <v>3603</v>
      </c>
      <c r="AB1236" s="0" t="s">
        <v>1594</v>
      </c>
      <c r="AC1236" s="0" t="s">
        <v>2747</v>
      </c>
      <c r="AD1236" s="0" t="s">
        <v>2748</v>
      </c>
      <c r="AE1236" s="0" t="s">
        <v>2749</v>
      </c>
      <c r="AF1236" s="0" t="s">
        <v>2856</v>
      </c>
      <c r="AH1236" s="0" t="s">
        <v>2751</v>
      </c>
      <c r="AJ1236" s="0" t="s">
        <v>3598</v>
      </c>
      <c r="AK1236" s="0" t="s">
        <v>3606</v>
      </c>
      <c r="AL1236" s="0" t="s">
        <v>567</v>
      </c>
    </row>
    <row r="1237" customFormat="false" ht="15" hidden="false" customHeight="false" outlineLevel="0" collapsed="false">
      <c r="A1237" s="0" t="s">
        <v>740</v>
      </c>
      <c r="B1237" s="0" t="s">
        <v>163</v>
      </c>
      <c r="C1237" s="0" t="s">
        <v>2944</v>
      </c>
      <c r="D1237" s="0" t="n">
        <v>2016</v>
      </c>
      <c r="E1237" s="0" t="s">
        <v>61</v>
      </c>
      <c r="F1237" s="0" t="s">
        <v>3594</v>
      </c>
      <c r="G1237" s="0" t="s">
        <v>1681</v>
      </c>
      <c r="H1237" s="0" t="s">
        <v>1648</v>
      </c>
      <c r="I1237" s="0" t="n">
        <v>55092</v>
      </c>
      <c r="J1237" s="0" t="s">
        <v>2739</v>
      </c>
      <c r="K1237" s="0" t="s">
        <v>2945</v>
      </c>
      <c r="L1237" s="0" t="n">
        <v>2016</v>
      </c>
      <c r="M1237" s="0" t="s">
        <v>1228</v>
      </c>
      <c r="N1237" s="0" t="s">
        <v>165</v>
      </c>
      <c r="O1237" s="0" t="s">
        <v>1229</v>
      </c>
      <c r="P1237" s="0" t="s">
        <v>2946</v>
      </c>
      <c r="Q1237" s="0" t="n">
        <v>65</v>
      </c>
      <c r="R1237" s="0" t="n">
        <v>64</v>
      </c>
      <c r="S1237" s="0" t="s">
        <v>2966</v>
      </c>
      <c r="T1237" s="0" t="s">
        <v>3607</v>
      </c>
      <c r="U1237" s="0" t="s">
        <v>2796</v>
      </c>
      <c r="V1237" s="0" t="s">
        <v>166</v>
      </c>
      <c r="W1237" s="0" t="s">
        <v>3608</v>
      </c>
      <c r="X1237" s="0" t="s">
        <v>2969</v>
      </c>
      <c r="Y1237" s="0" t="s">
        <v>3596</v>
      </c>
      <c r="Z1237" s="0" t="s">
        <v>567</v>
      </c>
      <c r="AA1237" s="0" t="s">
        <v>3609</v>
      </c>
      <c r="AB1237" s="0" t="s">
        <v>2950</v>
      </c>
      <c r="AC1237" s="0" t="s">
        <v>2747</v>
      </c>
      <c r="AD1237" s="0" t="s">
        <v>2748</v>
      </c>
      <c r="AE1237" s="0" t="s">
        <v>2749</v>
      </c>
      <c r="AF1237" s="0" t="s">
        <v>2951</v>
      </c>
      <c r="AH1237" s="0" t="s">
        <v>2751</v>
      </c>
      <c r="AJ1237" s="0" t="s">
        <v>3598</v>
      </c>
      <c r="AK1237" s="0" t="s">
        <v>3610</v>
      </c>
      <c r="AL1237" s="0" t="s">
        <v>567</v>
      </c>
    </row>
    <row r="1238" customFormat="false" ht="15" hidden="false" customHeight="false" outlineLevel="0" collapsed="false">
      <c r="A1238" s="0" t="s">
        <v>757</v>
      </c>
      <c r="B1238" s="0" t="s">
        <v>163</v>
      </c>
      <c r="C1238" s="0" t="s">
        <v>2944</v>
      </c>
      <c r="D1238" s="0" t="n">
        <v>2017</v>
      </c>
      <c r="E1238" s="0" t="s">
        <v>61</v>
      </c>
      <c r="F1238" s="0" t="s">
        <v>3594</v>
      </c>
      <c r="G1238" s="0" t="s">
        <v>1681</v>
      </c>
      <c r="H1238" s="0" t="s">
        <v>1648</v>
      </c>
      <c r="I1238" s="0" t="n">
        <v>136605</v>
      </c>
      <c r="J1238" s="0" t="s">
        <v>2739</v>
      </c>
      <c r="K1238" s="0" t="s">
        <v>2982</v>
      </c>
      <c r="L1238" s="0" t="n">
        <v>2017</v>
      </c>
      <c r="M1238" s="0" t="s">
        <v>1224</v>
      </c>
      <c r="N1238" s="0" t="s">
        <v>167</v>
      </c>
      <c r="O1238" s="0" t="s">
        <v>1225</v>
      </c>
      <c r="P1238" s="0" t="s">
        <v>2983</v>
      </c>
      <c r="Q1238" s="0" t="n">
        <v>67</v>
      </c>
      <c r="R1238" s="0" t="n">
        <v>66</v>
      </c>
      <c r="S1238" s="0" t="s">
        <v>2966</v>
      </c>
      <c r="T1238" s="0" t="s">
        <v>3607</v>
      </c>
      <c r="U1238" s="0" t="s">
        <v>2985</v>
      </c>
      <c r="V1238" s="0" t="s">
        <v>168</v>
      </c>
      <c r="W1238" s="0" t="s">
        <v>3611</v>
      </c>
      <c r="X1238" s="0" t="s">
        <v>3005</v>
      </c>
      <c r="Y1238" s="0" t="s">
        <v>3596</v>
      </c>
      <c r="Z1238" s="0" t="s">
        <v>567</v>
      </c>
      <c r="AA1238" s="0" t="s">
        <v>3612</v>
      </c>
      <c r="AB1238" s="0" t="s">
        <v>2988</v>
      </c>
      <c r="AC1238" s="0" t="s">
        <v>2747</v>
      </c>
      <c r="AD1238" s="0" t="s">
        <v>2748</v>
      </c>
      <c r="AE1238" s="0" t="s">
        <v>2749</v>
      </c>
      <c r="AF1238" s="0" t="s">
        <v>2951</v>
      </c>
      <c r="AH1238" s="0" t="s">
        <v>2751</v>
      </c>
      <c r="AJ1238" s="0" t="s">
        <v>3598</v>
      </c>
      <c r="AK1238" s="0" t="s">
        <v>3613</v>
      </c>
      <c r="AL1238" s="0" t="s">
        <v>567</v>
      </c>
    </row>
    <row r="1239" customFormat="false" ht="15" hidden="false" customHeight="false" outlineLevel="0" collapsed="false">
      <c r="A1239" s="0" t="s">
        <v>587</v>
      </c>
      <c r="B1239" s="0" t="s">
        <v>109</v>
      </c>
      <c r="C1239" s="0" t="s">
        <v>3097</v>
      </c>
      <c r="D1239" s="0" t="n">
        <v>2019</v>
      </c>
      <c r="E1239" s="0" t="s">
        <v>63</v>
      </c>
      <c r="F1239" s="0" t="s">
        <v>3594</v>
      </c>
      <c r="G1239" s="0" t="s">
        <v>1647</v>
      </c>
      <c r="H1239" s="0" t="s">
        <v>1648</v>
      </c>
      <c r="I1239" s="0" t="n">
        <v>1859.247</v>
      </c>
      <c r="J1239" s="0" t="s">
        <v>3098</v>
      </c>
      <c r="K1239" s="0" t="s">
        <v>1035</v>
      </c>
      <c r="L1239" s="0" t="n">
        <v>2019</v>
      </c>
      <c r="M1239" s="0" t="s">
        <v>1036</v>
      </c>
      <c r="N1239" s="0" t="s">
        <v>114</v>
      </c>
      <c r="O1239" s="0" t="s">
        <v>1244</v>
      </c>
      <c r="P1239" s="0" t="s">
        <v>3099</v>
      </c>
      <c r="Q1239" s="0" t="n">
        <v>81</v>
      </c>
      <c r="R1239" s="0" t="n">
        <v>79</v>
      </c>
      <c r="T1239" s="0" t="s">
        <v>3100</v>
      </c>
      <c r="U1239" s="0" t="s">
        <v>3051</v>
      </c>
      <c r="V1239" s="0" t="s">
        <v>115</v>
      </c>
      <c r="W1239" s="0" t="s">
        <v>3614</v>
      </c>
      <c r="X1239" s="0" t="s">
        <v>3111</v>
      </c>
      <c r="Y1239" s="0" t="s">
        <v>3596</v>
      </c>
      <c r="Z1239" s="0" t="s">
        <v>567</v>
      </c>
      <c r="AA1239" s="0" t="s">
        <v>3615</v>
      </c>
      <c r="AB1239" s="0" t="s">
        <v>3103</v>
      </c>
      <c r="AC1239" s="0" t="s">
        <v>2747</v>
      </c>
      <c r="AD1239" s="0" t="s">
        <v>2748</v>
      </c>
      <c r="AE1239" s="0" t="s">
        <v>2749</v>
      </c>
      <c r="AF1239" s="0" t="s">
        <v>3104</v>
      </c>
      <c r="AH1239" s="0" t="s">
        <v>2751</v>
      </c>
      <c r="AJ1239" s="0" t="s">
        <v>3598</v>
      </c>
      <c r="AK1239" s="0" t="s">
        <v>3616</v>
      </c>
      <c r="AL1239" s="0" t="s">
        <v>567</v>
      </c>
    </row>
    <row r="1240" customFormat="false" ht="15" hidden="false" customHeight="false" outlineLevel="0" collapsed="false">
      <c r="A1240" s="0" t="s">
        <v>584</v>
      </c>
      <c r="B1240" s="0" t="s">
        <v>109</v>
      </c>
      <c r="C1240" s="0" t="s">
        <v>3097</v>
      </c>
      <c r="D1240" s="0" t="n">
        <v>2019</v>
      </c>
      <c r="E1240" s="0" t="s">
        <v>60</v>
      </c>
      <c r="F1240" s="0" t="s">
        <v>3594</v>
      </c>
      <c r="G1240" s="0" t="s">
        <v>1647</v>
      </c>
      <c r="H1240" s="0" t="s">
        <v>1648</v>
      </c>
      <c r="I1240" s="0" t="n">
        <v>1357066.246</v>
      </c>
      <c r="J1240" s="0" t="s">
        <v>3098</v>
      </c>
      <c r="K1240" s="0" t="s">
        <v>1035</v>
      </c>
      <c r="L1240" s="0" t="n">
        <v>2019</v>
      </c>
      <c r="M1240" s="0" t="s">
        <v>1036</v>
      </c>
      <c r="N1240" s="0" t="s">
        <v>114</v>
      </c>
      <c r="O1240" s="0" t="s">
        <v>1244</v>
      </c>
      <c r="P1240" s="0" t="s">
        <v>3099</v>
      </c>
      <c r="Q1240" s="0" t="n">
        <v>256</v>
      </c>
      <c r="R1240" s="0" t="n">
        <v>254</v>
      </c>
      <c r="S1240" s="0" t="n">
        <v>29</v>
      </c>
      <c r="T1240" s="0" t="s">
        <v>3100</v>
      </c>
      <c r="U1240" s="0" t="s">
        <v>3051</v>
      </c>
      <c r="V1240" s="0" t="s">
        <v>115</v>
      </c>
      <c r="W1240" s="0" t="s">
        <v>3617</v>
      </c>
      <c r="X1240" s="0" t="s">
        <v>3122</v>
      </c>
      <c r="Y1240" s="0" t="s">
        <v>3596</v>
      </c>
      <c r="Z1240" s="0" t="s">
        <v>567</v>
      </c>
      <c r="AA1240" s="0" t="s">
        <v>3618</v>
      </c>
      <c r="AB1240" s="0" t="s">
        <v>3103</v>
      </c>
      <c r="AC1240" s="0" t="s">
        <v>2747</v>
      </c>
      <c r="AD1240" s="0" t="s">
        <v>2748</v>
      </c>
      <c r="AE1240" s="0" t="s">
        <v>2749</v>
      </c>
      <c r="AF1240" s="0" t="s">
        <v>3104</v>
      </c>
      <c r="AH1240" s="0" t="s">
        <v>2751</v>
      </c>
      <c r="AJ1240" s="0" t="s">
        <v>3598</v>
      </c>
      <c r="AK1240" s="0" t="s">
        <v>3619</v>
      </c>
      <c r="AL1240" s="0" t="s">
        <v>567</v>
      </c>
    </row>
    <row r="1241" customFormat="false" ht="15" hidden="false" customHeight="false" outlineLevel="0" collapsed="false">
      <c r="A1241" s="0" t="s">
        <v>585</v>
      </c>
      <c r="B1241" s="0" t="s">
        <v>109</v>
      </c>
      <c r="C1241" s="0" t="s">
        <v>3097</v>
      </c>
      <c r="D1241" s="0" t="n">
        <v>2019</v>
      </c>
      <c r="E1241" s="0" t="s">
        <v>61</v>
      </c>
      <c r="F1241" s="0" t="s">
        <v>3594</v>
      </c>
      <c r="G1241" s="0" t="s">
        <v>1647</v>
      </c>
      <c r="H1241" s="0" t="s">
        <v>1648</v>
      </c>
      <c r="I1241" s="0" t="n">
        <v>56245.599</v>
      </c>
      <c r="J1241" s="0" t="s">
        <v>3098</v>
      </c>
      <c r="K1241" s="0" t="s">
        <v>1035</v>
      </c>
      <c r="L1241" s="0" t="n">
        <v>2019</v>
      </c>
      <c r="M1241" s="0" t="s">
        <v>1036</v>
      </c>
      <c r="N1241" s="0" t="s">
        <v>114</v>
      </c>
      <c r="O1241" s="0" t="s">
        <v>1244</v>
      </c>
      <c r="P1241" s="0" t="s">
        <v>3099</v>
      </c>
      <c r="Q1241" s="0" t="n">
        <v>256</v>
      </c>
      <c r="R1241" s="0" t="n">
        <v>254</v>
      </c>
      <c r="S1241" s="0" t="n">
        <v>29</v>
      </c>
      <c r="T1241" s="0" t="s">
        <v>3100</v>
      </c>
      <c r="U1241" s="0" t="s">
        <v>3051</v>
      </c>
      <c r="V1241" s="0" t="s">
        <v>115</v>
      </c>
      <c r="W1241" s="0" t="s">
        <v>3620</v>
      </c>
      <c r="X1241" s="0" t="s">
        <v>3122</v>
      </c>
      <c r="Y1241" s="0" t="s">
        <v>3596</v>
      </c>
      <c r="Z1241" s="0" t="s">
        <v>567</v>
      </c>
      <c r="AA1241" s="0" t="s">
        <v>3621</v>
      </c>
      <c r="AB1241" s="0" t="s">
        <v>3103</v>
      </c>
      <c r="AC1241" s="0" t="s">
        <v>2747</v>
      </c>
      <c r="AD1241" s="0" t="s">
        <v>2748</v>
      </c>
      <c r="AE1241" s="0" t="s">
        <v>2749</v>
      </c>
      <c r="AF1241" s="0" t="s">
        <v>3104</v>
      </c>
      <c r="AH1241" s="0" t="s">
        <v>2751</v>
      </c>
      <c r="AJ1241" s="0" t="s">
        <v>3598</v>
      </c>
      <c r="AK1241" s="0" t="s">
        <v>3622</v>
      </c>
      <c r="AL1241" s="0" t="s">
        <v>567</v>
      </c>
    </row>
    <row r="1242" customFormat="false" ht="15" hidden="false" customHeight="false" outlineLevel="0" collapsed="false">
      <c r="A1242" s="0" t="s">
        <v>598</v>
      </c>
      <c r="B1242" s="0" t="s">
        <v>109</v>
      </c>
      <c r="C1242" s="0" t="s">
        <v>3097</v>
      </c>
      <c r="D1242" s="0" t="n">
        <v>2019</v>
      </c>
      <c r="E1242" s="0" t="s">
        <v>68</v>
      </c>
      <c r="F1242" s="0" t="s">
        <v>3594</v>
      </c>
      <c r="G1242" s="0" t="s">
        <v>1647</v>
      </c>
      <c r="H1242" s="0" t="s">
        <v>1648</v>
      </c>
      <c r="I1242" s="0" t="n">
        <v>45503.961</v>
      </c>
      <c r="J1242" s="0" t="s">
        <v>3098</v>
      </c>
      <c r="K1242" s="0" t="s">
        <v>1035</v>
      </c>
      <c r="L1242" s="0" t="n">
        <v>2019</v>
      </c>
      <c r="M1242" s="0" t="s">
        <v>1036</v>
      </c>
      <c r="N1242" s="0" t="s">
        <v>114</v>
      </c>
      <c r="O1242" s="0" t="s">
        <v>1244</v>
      </c>
      <c r="P1242" s="0" t="s">
        <v>3099</v>
      </c>
      <c r="Q1242" s="0" t="n">
        <v>256</v>
      </c>
      <c r="R1242" s="0" t="n">
        <v>254</v>
      </c>
      <c r="S1242" s="0" t="n">
        <v>29</v>
      </c>
      <c r="T1242" s="0" t="s">
        <v>3100</v>
      </c>
      <c r="U1242" s="0" t="s">
        <v>3051</v>
      </c>
      <c r="V1242" s="0" t="s">
        <v>115</v>
      </c>
      <c r="W1242" s="0" t="s">
        <v>3623</v>
      </c>
      <c r="X1242" s="0" t="s">
        <v>3122</v>
      </c>
      <c r="Y1242" s="0" t="s">
        <v>3596</v>
      </c>
      <c r="Z1242" s="0" t="s">
        <v>567</v>
      </c>
      <c r="AB1242" s="0" t="s">
        <v>3103</v>
      </c>
      <c r="AC1242" s="0" t="s">
        <v>2747</v>
      </c>
      <c r="AD1242" s="0" t="s">
        <v>2748</v>
      </c>
      <c r="AE1242" s="0" t="s">
        <v>2749</v>
      </c>
      <c r="AF1242" s="0" t="s">
        <v>3104</v>
      </c>
      <c r="AH1242" s="0" t="s">
        <v>2751</v>
      </c>
      <c r="AJ1242" s="0" t="s">
        <v>3598</v>
      </c>
      <c r="AK1242" s="0" t="s">
        <v>3624</v>
      </c>
      <c r="AL1242" s="0" t="s">
        <v>567</v>
      </c>
    </row>
    <row r="1243" customFormat="false" ht="15" hidden="false" customHeight="false" outlineLevel="0" collapsed="false">
      <c r="A1243" s="0" t="s">
        <v>571</v>
      </c>
      <c r="B1243" s="0" t="s">
        <v>109</v>
      </c>
      <c r="C1243" s="0" t="s">
        <v>3097</v>
      </c>
      <c r="D1243" s="0" t="n">
        <v>2018</v>
      </c>
      <c r="E1243" s="0" t="s">
        <v>63</v>
      </c>
      <c r="F1243" s="0" t="s">
        <v>3594</v>
      </c>
      <c r="G1243" s="0" t="s">
        <v>1647</v>
      </c>
      <c r="H1243" s="0" t="s">
        <v>1648</v>
      </c>
      <c r="I1243" s="0" t="n">
        <v>1384.004</v>
      </c>
      <c r="J1243" s="0" t="s">
        <v>3098</v>
      </c>
      <c r="K1243" s="0" t="s">
        <v>1030</v>
      </c>
      <c r="L1243" s="0" t="n">
        <v>2018</v>
      </c>
      <c r="M1243" s="0" t="s">
        <v>1031</v>
      </c>
      <c r="N1243" s="0" t="s">
        <v>111</v>
      </c>
      <c r="O1243" s="0" t="s">
        <v>1223</v>
      </c>
      <c r="P1243" s="0" t="s">
        <v>3139</v>
      </c>
      <c r="Q1243" s="0" t="n">
        <v>84</v>
      </c>
      <c r="R1243" s="0" t="n">
        <v>83</v>
      </c>
      <c r="T1243" s="0" t="s">
        <v>3108</v>
      </c>
      <c r="U1243" s="0" t="s">
        <v>3015</v>
      </c>
      <c r="V1243" s="0" t="s">
        <v>113</v>
      </c>
      <c r="W1243" s="0" t="s">
        <v>3625</v>
      </c>
      <c r="X1243" s="0" t="s">
        <v>3148</v>
      </c>
      <c r="Y1243" s="0" t="s">
        <v>3596</v>
      </c>
      <c r="Z1243" s="0" t="s">
        <v>567</v>
      </c>
      <c r="AA1243" s="0" t="s">
        <v>3615</v>
      </c>
      <c r="AB1243" s="0" t="s">
        <v>3103</v>
      </c>
      <c r="AC1243" s="0" t="s">
        <v>2747</v>
      </c>
      <c r="AD1243" s="0" t="s">
        <v>2748</v>
      </c>
      <c r="AE1243" s="0" t="s">
        <v>2749</v>
      </c>
      <c r="AF1243" s="0" t="s">
        <v>3142</v>
      </c>
      <c r="AH1243" s="0" t="s">
        <v>2751</v>
      </c>
      <c r="AJ1243" s="0" t="s">
        <v>3598</v>
      </c>
      <c r="AK1243" s="0" t="s">
        <v>3626</v>
      </c>
      <c r="AL1243" s="0" t="s">
        <v>567</v>
      </c>
    </row>
    <row r="1244" customFormat="false" ht="15" hidden="false" customHeight="false" outlineLevel="0" collapsed="false">
      <c r="A1244" s="0" t="s">
        <v>568</v>
      </c>
      <c r="B1244" s="0" t="s">
        <v>109</v>
      </c>
      <c r="C1244" s="0" t="s">
        <v>3097</v>
      </c>
      <c r="D1244" s="0" t="n">
        <v>2018</v>
      </c>
      <c r="E1244" s="0" t="s">
        <v>60</v>
      </c>
      <c r="F1244" s="0" t="s">
        <v>3594</v>
      </c>
      <c r="G1244" s="0" t="s">
        <v>1647</v>
      </c>
      <c r="H1244" s="0" t="s">
        <v>1648</v>
      </c>
      <c r="I1244" s="0" t="n">
        <v>1158980.803</v>
      </c>
      <c r="J1244" s="0" t="s">
        <v>3098</v>
      </c>
      <c r="K1244" s="0" t="s">
        <v>1030</v>
      </c>
      <c r="L1244" s="0" t="n">
        <v>2018</v>
      </c>
      <c r="M1244" s="0" t="s">
        <v>1031</v>
      </c>
      <c r="N1244" s="0" t="s">
        <v>111</v>
      </c>
      <c r="O1244" s="0" t="s">
        <v>1223</v>
      </c>
      <c r="P1244" s="0" t="s">
        <v>3139</v>
      </c>
      <c r="Q1244" s="0" t="n">
        <v>266</v>
      </c>
      <c r="R1244" s="0" t="n">
        <v>265</v>
      </c>
      <c r="S1244" s="0" t="n">
        <v>29</v>
      </c>
      <c r="T1244" s="0" t="s">
        <v>3108</v>
      </c>
      <c r="U1244" s="0" t="s">
        <v>3015</v>
      </c>
      <c r="V1244" s="0" t="s">
        <v>113</v>
      </c>
      <c r="W1244" s="0" t="s">
        <v>3627</v>
      </c>
      <c r="X1244" s="0" t="s">
        <v>3156</v>
      </c>
      <c r="Y1244" s="0" t="s">
        <v>3596</v>
      </c>
      <c r="Z1244" s="0" t="s">
        <v>567</v>
      </c>
      <c r="AA1244" s="0" t="s">
        <v>3618</v>
      </c>
      <c r="AB1244" s="0" t="s">
        <v>3103</v>
      </c>
      <c r="AC1244" s="0" t="s">
        <v>2747</v>
      </c>
      <c r="AD1244" s="0" t="s">
        <v>2748</v>
      </c>
      <c r="AE1244" s="0" t="s">
        <v>2749</v>
      </c>
      <c r="AF1244" s="0" t="s">
        <v>3142</v>
      </c>
      <c r="AH1244" s="0" t="s">
        <v>2751</v>
      </c>
      <c r="AJ1244" s="0" t="s">
        <v>3598</v>
      </c>
      <c r="AK1244" s="0" t="s">
        <v>3628</v>
      </c>
      <c r="AL1244" s="0" t="s">
        <v>567</v>
      </c>
    </row>
    <row r="1245" customFormat="false" ht="15" hidden="false" customHeight="false" outlineLevel="0" collapsed="false">
      <c r="A1245" s="0" t="s">
        <v>569</v>
      </c>
      <c r="B1245" s="0" t="s">
        <v>109</v>
      </c>
      <c r="C1245" s="0" t="s">
        <v>3097</v>
      </c>
      <c r="D1245" s="0" t="n">
        <v>2018</v>
      </c>
      <c r="E1245" s="0" t="s">
        <v>61</v>
      </c>
      <c r="F1245" s="0" t="s">
        <v>3594</v>
      </c>
      <c r="G1245" s="0" t="s">
        <v>1647</v>
      </c>
      <c r="H1245" s="0" t="s">
        <v>1648</v>
      </c>
      <c r="I1245" s="0" t="n">
        <v>90981.784</v>
      </c>
      <c r="J1245" s="0" t="s">
        <v>3098</v>
      </c>
      <c r="K1245" s="0" t="s">
        <v>1030</v>
      </c>
      <c r="L1245" s="0" t="n">
        <v>2018</v>
      </c>
      <c r="M1245" s="0" t="s">
        <v>1031</v>
      </c>
      <c r="N1245" s="0" t="s">
        <v>111</v>
      </c>
      <c r="O1245" s="0" t="s">
        <v>1223</v>
      </c>
      <c r="P1245" s="0" t="s">
        <v>3139</v>
      </c>
      <c r="Q1245" s="0" t="n">
        <v>266</v>
      </c>
      <c r="R1245" s="0" t="n">
        <v>265</v>
      </c>
      <c r="S1245" s="0" t="n">
        <v>29</v>
      </c>
      <c r="T1245" s="0" t="s">
        <v>3108</v>
      </c>
      <c r="U1245" s="0" t="s">
        <v>3015</v>
      </c>
      <c r="V1245" s="0" t="s">
        <v>113</v>
      </c>
      <c r="W1245" s="0" t="s">
        <v>3629</v>
      </c>
      <c r="X1245" s="0" t="s">
        <v>3156</v>
      </c>
      <c r="Y1245" s="0" t="s">
        <v>3596</v>
      </c>
      <c r="Z1245" s="0" t="s">
        <v>567</v>
      </c>
      <c r="AA1245" s="0" t="s">
        <v>3621</v>
      </c>
      <c r="AB1245" s="0" t="s">
        <v>3103</v>
      </c>
      <c r="AC1245" s="0" t="s">
        <v>2747</v>
      </c>
      <c r="AD1245" s="0" t="s">
        <v>2748</v>
      </c>
      <c r="AE1245" s="0" t="s">
        <v>2749</v>
      </c>
      <c r="AF1245" s="0" t="s">
        <v>3142</v>
      </c>
      <c r="AH1245" s="0" t="s">
        <v>2751</v>
      </c>
      <c r="AJ1245" s="0" t="s">
        <v>3598</v>
      </c>
      <c r="AK1245" s="0" t="s">
        <v>3630</v>
      </c>
      <c r="AL1245" s="0" t="s">
        <v>567</v>
      </c>
    </row>
    <row r="1246" customFormat="false" ht="15" hidden="false" customHeight="false" outlineLevel="0" collapsed="false">
      <c r="A1246" s="0" t="s">
        <v>576</v>
      </c>
      <c r="B1246" s="0" t="s">
        <v>109</v>
      </c>
      <c r="C1246" s="0" t="s">
        <v>3097</v>
      </c>
      <c r="D1246" s="0" t="n">
        <v>2018</v>
      </c>
      <c r="E1246" s="0" t="s">
        <v>68</v>
      </c>
      <c r="F1246" s="0" t="s">
        <v>3594</v>
      </c>
      <c r="G1246" s="0" t="s">
        <v>1647</v>
      </c>
      <c r="H1246" s="0" t="s">
        <v>1648</v>
      </c>
      <c r="I1246" s="0" t="n">
        <v>74667.995</v>
      </c>
      <c r="J1246" s="0" t="s">
        <v>3098</v>
      </c>
      <c r="K1246" s="0" t="s">
        <v>1030</v>
      </c>
      <c r="L1246" s="0" t="n">
        <v>2018</v>
      </c>
      <c r="M1246" s="0" t="s">
        <v>1031</v>
      </c>
      <c r="N1246" s="0" t="s">
        <v>111</v>
      </c>
      <c r="O1246" s="0" t="s">
        <v>1223</v>
      </c>
      <c r="P1246" s="0" t="s">
        <v>3139</v>
      </c>
      <c r="Q1246" s="0" t="n">
        <v>266</v>
      </c>
      <c r="R1246" s="0" t="n">
        <v>265</v>
      </c>
      <c r="S1246" s="0" t="n">
        <v>29</v>
      </c>
      <c r="T1246" s="0" t="s">
        <v>3108</v>
      </c>
      <c r="U1246" s="0" t="s">
        <v>3015</v>
      </c>
      <c r="V1246" s="0" t="s">
        <v>113</v>
      </c>
      <c r="W1246" s="0" t="s">
        <v>3631</v>
      </c>
      <c r="X1246" s="0" t="s">
        <v>3156</v>
      </c>
      <c r="Y1246" s="0" t="s">
        <v>3596</v>
      </c>
      <c r="Z1246" s="0" t="s">
        <v>567</v>
      </c>
      <c r="AB1246" s="0" t="s">
        <v>3103</v>
      </c>
      <c r="AC1246" s="0" t="s">
        <v>2747</v>
      </c>
      <c r="AD1246" s="0" t="s">
        <v>2748</v>
      </c>
      <c r="AE1246" s="0" t="s">
        <v>2749</v>
      </c>
      <c r="AF1246" s="0" t="s">
        <v>3142</v>
      </c>
      <c r="AH1246" s="0" t="s">
        <v>2751</v>
      </c>
      <c r="AJ1246" s="0" t="s">
        <v>3598</v>
      </c>
      <c r="AK1246" s="0" t="s">
        <v>3632</v>
      </c>
      <c r="AL1246" s="0" t="s">
        <v>567</v>
      </c>
    </row>
    <row r="1247" customFormat="false" ht="15" hidden="false" customHeight="false" outlineLevel="0" collapsed="false">
      <c r="A1247" s="0" t="s">
        <v>555</v>
      </c>
      <c r="B1247" s="0" t="s">
        <v>109</v>
      </c>
      <c r="C1247" s="0" t="s">
        <v>3097</v>
      </c>
      <c r="D1247" s="0" t="n">
        <v>2017</v>
      </c>
      <c r="E1247" s="0" t="s">
        <v>63</v>
      </c>
      <c r="F1247" s="0" t="s">
        <v>3594</v>
      </c>
      <c r="G1247" s="0" t="s">
        <v>1647</v>
      </c>
      <c r="H1247" s="0" t="s">
        <v>1648</v>
      </c>
      <c r="I1247" s="0" t="n">
        <v>11531.292</v>
      </c>
      <c r="J1247" s="0" t="s">
        <v>3098</v>
      </c>
      <c r="K1247" s="0" t="s">
        <v>1030</v>
      </c>
      <c r="L1247" s="0" t="n">
        <v>2018</v>
      </c>
      <c r="M1247" s="0" t="s">
        <v>1031</v>
      </c>
      <c r="N1247" s="0" t="s">
        <v>111</v>
      </c>
      <c r="O1247" s="0" t="s">
        <v>1223</v>
      </c>
      <c r="P1247" s="0" t="s">
        <v>3139</v>
      </c>
      <c r="Q1247" s="0" t="n">
        <v>84</v>
      </c>
      <c r="R1247" s="0" t="n">
        <v>83</v>
      </c>
      <c r="T1247" s="0" t="s">
        <v>3168</v>
      </c>
      <c r="U1247" s="0" t="s">
        <v>2807</v>
      </c>
      <c r="V1247" s="0" t="s">
        <v>112</v>
      </c>
      <c r="W1247" s="0" t="s">
        <v>3633</v>
      </c>
      <c r="X1247" s="0" t="s">
        <v>3148</v>
      </c>
      <c r="Y1247" s="0" t="s">
        <v>3596</v>
      </c>
      <c r="Z1247" s="0" t="s">
        <v>567</v>
      </c>
      <c r="AA1247" s="0" t="s">
        <v>3615</v>
      </c>
      <c r="AB1247" s="0" t="s">
        <v>3103</v>
      </c>
      <c r="AC1247" s="0" t="s">
        <v>2747</v>
      </c>
      <c r="AD1247" s="0" t="s">
        <v>2748</v>
      </c>
      <c r="AE1247" s="0" t="s">
        <v>2749</v>
      </c>
      <c r="AF1247" s="0" t="s">
        <v>3142</v>
      </c>
      <c r="AH1247" s="0" t="s">
        <v>2751</v>
      </c>
      <c r="AJ1247" s="0" t="s">
        <v>3598</v>
      </c>
      <c r="AK1247" s="0" t="s">
        <v>3634</v>
      </c>
      <c r="AL1247" s="0" t="s">
        <v>567</v>
      </c>
    </row>
    <row r="1248" customFormat="false" ht="15" hidden="false" customHeight="false" outlineLevel="0" collapsed="false">
      <c r="A1248" s="0" t="s">
        <v>552</v>
      </c>
      <c r="B1248" s="0" t="s">
        <v>109</v>
      </c>
      <c r="C1248" s="0" t="s">
        <v>3097</v>
      </c>
      <c r="D1248" s="0" t="n">
        <v>2017</v>
      </c>
      <c r="E1248" s="0" t="s">
        <v>60</v>
      </c>
      <c r="F1248" s="0" t="s">
        <v>3594</v>
      </c>
      <c r="G1248" s="0" t="s">
        <v>1647</v>
      </c>
      <c r="H1248" s="0" t="s">
        <v>1648</v>
      </c>
      <c r="I1248" s="0" t="n">
        <v>1326250.395</v>
      </c>
      <c r="J1248" s="0" t="s">
        <v>3098</v>
      </c>
      <c r="K1248" s="0" t="s">
        <v>1030</v>
      </c>
      <c r="L1248" s="0" t="n">
        <v>2018</v>
      </c>
      <c r="M1248" s="0" t="s">
        <v>1031</v>
      </c>
      <c r="N1248" s="0" t="s">
        <v>111</v>
      </c>
      <c r="O1248" s="0" t="s">
        <v>1223</v>
      </c>
      <c r="P1248" s="0" t="s">
        <v>3139</v>
      </c>
      <c r="Q1248" s="0" t="n">
        <v>267</v>
      </c>
      <c r="R1248" s="0" t="n">
        <v>266</v>
      </c>
      <c r="S1248" s="0" t="n">
        <v>29</v>
      </c>
      <c r="T1248" s="0" t="s">
        <v>3168</v>
      </c>
      <c r="U1248" s="0" t="s">
        <v>2807</v>
      </c>
      <c r="V1248" s="0" t="s">
        <v>112</v>
      </c>
      <c r="W1248" s="0" t="s">
        <v>3635</v>
      </c>
      <c r="X1248" s="0" t="s">
        <v>3172</v>
      </c>
      <c r="Y1248" s="0" t="s">
        <v>3596</v>
      </c>
      <c r="Z1248" s="0" t="s">
        <v>567</v>
      </c>
      <c r="AA1248" s="0" t="s">
        <v>3618</v>
      </c>
      <c r="AB1248" s="0" t="s">
        <v>3103</v>
      </c>
      <c r="AC1248" s="0" t="s">
        <v>2747</v>
      </c>
      <c r="AD1248" s="0" t="s">
        <v>2748</v>
      </c>
      <c r="AE1248" s="0" t="s">
        <v>2749</v>
      </c>
      <c r="AF1248" s="0" t="s">
        <v>3142</v>
      </c>
      <c r="AH1248" s="0" t="s">
        <v>2751</v>
      </c>
      <c r="AJ1248" s="0" t="s">
        <v>3598</v>
      </c>
      <c r="AK1248" s="0" t="s">
        <v>3636</v>
      </c>
      <c r="AL1248" s="0" t="s">
        <v>567</v>
      </c>
    </row>
    <row r="1249" customFormat="false" ht="15" hidden="false" customHeight="false" outlineLevel="0" collapsed="false">
      <c r="A1249" s="0" t="s">
        <v>553</v>
      </c>
      <c r="B1249" s="0" t="s">
        <v>109</v>
      </c>
      <c r="C1249" s="0" t="s">
        <v>3097</v>
      </c>
      <c r="D1249" s="0" t="n">
        <v>2017</v>
      </c>
      <c r="E1249" s="0" t="s">
        <v>61</v>
      </c>
      <c r="F1249" s="0" t="s">
        <v>3594</v>
      </c>
      <c r="G1249" s="0" t="s">
        <v>1647</v>
      </c>
      <c r="H1249" s="0" t="s">
        <v>1648</v>
      </c>
      <c r="I1249" s="0" t="n">
        <v>60278.707</v>
      </c>
      <c r="J1249" s="0" t="s">
        <v>3098</v>
      </c>
      <c r="K1249" s="0" t="s">
        <v>1030</v>
      </c>
      <c r="L1249" s="0" t="n">
        <v>2018</v>
      </c>
      <c r="M1249" s="0" t="s">
        <v>1031</v>
      </c>
      <c r="N1249" s="0" t="s">
        <v>111</v>
      </c>
      <c r="O1249" s="0" t="s">
        <v>1223</v>
      </c>
      <c r="P1249" s="0" t="s">
        <v>3139</v>
      </c>
      <c r="Q1249" s="0" t="n">
        <v>267</v>
      </c>
      <c r="R1249" s="0" t="n">
        <v>266</v>
      </c>
      <c r="S1249" s="0" t="n">
        <v>29</v>
      </c>
      <c r="T1249" s="0" t="s">
        <v>3168</v>
      </c>
      <c r="U1249" s="0" t="s">
        <v>2807</v>
      </c>
      <c r="V1249" s="0" t="s">
        <v>112</v>
      </c>
      <c r="W1249" s="0" t="s">
        <v>3637</v>
      </c>
      <c r="X1249" s="0" t="s">
        <v>3172</v>
      </c>
      <c r="Y1249" s="0" t="s">
        <v>3596</v>
      </c>
      <c r="Z1249" s="0" t="s">
        <v>567</v>
      </c>
      <c r="AA1249" s="0" t="s">
        <v>3621</v>
      </c>
      <c r="AB1249" s="0" t="s">
        <v>3103</v>
      </c>
      <c r="AC1249" s="0" t="s">
        <v>2747</v>
      </c>
      <c r="AD1249" s="0" t="s">
        <v>2748</v>
      </c>
      <c r="AE1249" s="0" t="s">
        <v>2749</v>
      </c>
      <c r="AF1249" s="0" t="s">
        <v>3142</v>
      </c>
      <c r="AH1249" s="0" t="s">
        <v>2751</v>
      </c>
      <c r="AJ1249" s="0" t="s">
        <v>3598</v>
      </c>
      <c r="AK1249" s="0" t="s">
        <v>3638</v>
      </c>
      <c r="AL1249" s="0" t="s">
        <v>567</v>
      </c>
    </row>
    <row r="1250" customFormat="false" ht="15" hidden="false" customHeight="false" outlineLevel="0" collapsed="false">
      <c r="A1250" s="0" t="s">
        <v>906</v>
      </c>
      <c r="B1250" s="0" t="s">
        <v>116</v>
      </c>
      <c r="D1250" s="0" t="n">
        <v>2020</v>
      </c>
      <c r="E1250" s="0" t="s">
        <v>65</v>
      </c>
      <c r="F1250" s="0" t="n">
        <v>176542</v>
      </c>
      <c r="G1250" s="0" t="s">
        <v>1681</v>
      </c>
      <c r="H1250" s="0" t="s">
        <v>1648</v>
      </c>
      <c r="I1250" s="0" t="n">
        <v>176542</v>
      </c>
      <c r="M1250" s="0" t="s">
        <v>953</v>
      </c>
      <c r="N1250" s="0" t="s">
        <v>121</v>
      </c>
      <c r="O1250" s="0" t="s">
        <v>1165</v>
      </c>
      <c r="P1250" s="0" t="s">
        <v>1593</v>
      </c>
      <c r="Q1250" s="0" t="n">
        <v>144</v>
      </c>
      <c r="R1250" s="0" t="n">
        <v>113</v>
      </c>
      <c r="T1250" s="0" t="s">
        <v>2920</v>
      </c>
      <c r="U1250" s="0" t="s">
        <v>2741</v>
      </c>
      <c r="V1250" s="0" t="s">
        <v>3639</v>
      </c>
      <c r="Y1250" s="0" t="s">
        <v>3640</v>
      </c>
      <c r="Z1250" s="0" t="s">
        <v>907</v>
      </c>
      <c r="AA1250" s="0" t="s">
        <v>908</v>
      </c>
      <c r="AB1250" s="0" t="s">
        <v>1594</v>
      </c>
      <c r="AC1250" s="0" t="s">
        <v>3641</v>
      </c>
      <c r="AL1250" s="0" t="s">
        <v>384</v>
      </c>
    </row>
    <row r="1251" customFormat="false" ht="15" hidden="false" customHeight="false" outlineLevel="0" collapsed="false">
      <c r="A1251" s="0" t="s">
        <v>909</v>
      </c>
      <c r="B1251" s="0" t="s">
        <v>116</v>
      </c>
      <c r="D1251" s="0" t="n">
        <v>2020</v>
      </c>
      <c r="E1251" s="0" t="s">
        <v>595</v>
      </c>
      <c r="F1251" s="0" t="n">
        <v>182720</v>
      </c>
      <c r="G1251" s="0" t="s">
        <v>1681</v>
      </c>
      <c r="H1251" s="0" t="s">
        <v>1648</v>
      </c>
      <c r="I1251" s="0" t="n">
        <v>182720</v>
      </c>
      <c r="M1251" s="0" t="s">
        <v>953</v>
      </c>
      <c r="N1251" s="0" t="s">
        <v>121</v>
      </c>
      <c r="O1251" s="0" t="s">
        <v>1165</v>
      </c>
      <c r="P1251" s="0" t="s">
        <v>1593</v>
      </c>
      <c r="Q1251" s="0" t="n">
        <v>144</v>
      </c>
      <c r="R1251" s="0" t="n">
        <v>113</v>
      </c>
      <c r="T1251" s="0" t="s">
        <v>2929</v>
      </c>
      <c r="U1251" s="0" t="s">
        <v>2741</v>
      </c>
      <c r="V1251" s="0" t="s">
        <v>3639</v>
      </c>
      <c r="Y1251" s="0" t="s">
        <v>3640</v>
      </c>
      <c r="Z1251" s="0" t="s">
        <v>907</v>
      </c>
      <c r="AA1251" s="0" t="s">
        <v>910</v>
      </c>
      <c r="AB1251" s="0" t="s">
        <v>1594</v>
      </c>
      <c r="AC1251" s="0" t="s">
        <v>3641</v>
      </c>
      <c r="AL1251" s="0" t="s">
        <v>384</v>
      </c>
    </row>
    <row r="1252" customFormat="false" ht="15" hidden="false" customHeight="false" outlineLevel="0" collapsed="false">
      <c r="A1252" s="0" t="s">
        <v>911</v>
      </c>
      <c r="B1252" s="0" t="s">
        <v>116</v>
      </c>
      <c r="D1252" s="0" t="n">
        <v>2021</v>
      </c>
      <c r="E1252" s="0" t="s">
        <v>65</v>
      </c>
      <c r="F1252" s="0" t="n">
        <v>228300</v>
      </c>
      <c r="G1252" s="0" t="s">
        <v>1681</v>
      </c>
      <c r="H1252" s="0" t="s">
        <v>1648</v>
      </c>
      <c r="I1252" s="0" t="n">
        <v>228300</v>
      </c>
      <c r="M1252" s="0" t="s">
        <v>962</v>
      </c>
      <c r="N1252" s="0" t="s">
        <v>124</v>
      </c>
      <c r="O1252" s="0" t="s">
        <v>1215</v>
      </c>
      <c r="P1252" s="0" t="s">
        <v>1589</v>
      </c>
      <c r="Q1252" s="0" t="n">
        <v>143</v>
      </c>
      <c r="R1252" s="0" t="n">
        <v>113</v>
      </c>
      <c r="T1252" s="0" t="s">
        <v>2909</v>
      </c>
      <c r="U1252" s="0" t="s">
        <v>2741</v>
      </c>
      <c r="V1252" s="0" t="s">
        <v>3642</v>
      </c>
      <c r="Y1252" s="0" t="s">
        <v>3640</v>
      </c>
      <c r="Z1252" s="0" t="s">
        <v>912</v>
      </c>
      <c r="AA1252" s="0" t="s">
        <v>913</v>
      </c>
      <c r="AB1252" s="0" t="s">
        <v>1590</v>
      </c>
      <c r="AC1252" s="0" t="s">
        <v>3641</v>
      </c>
      <c r="AL1252" s="0" t="s">
        <v>384</v>
      </c>
    </row>
    <row r="1253" customFormat="false" ht="15" hidden="false" customHeight="false" outlineLevel="0" collapsed="false">
      <c r="A1253" s="0" t="s">
        <v>914</v>
      </c>
      <c r="B1253" s="0" t="s">
        <v>154</v>
      </c>
      <c r="D1253" s="0" t="n">
        <v>2022</v>
      </c>
      <c r="E1253" s="0" t="s">
        <v>63</v>
      </c>
      <c r="F1253" s="0" t="n">
        <v>-4808387</v>
      </c>
      <c r="G1253" s="0" t="s">
        <v>1647</v>
      </c>
      <c r="H1253" s="0" t="s">
        <v>1648</v>
      </c>
      <c r="I1253" s="0" t="n">
        <v>4808.387</v>
      </c>
      <c r="M1253" s="0" t="s">
        <v>1000</v>
      </c>
      <c r="N1253" s="0" t="s">
        <v>160</v>
      </c>
      <c r="O1253" s="0" t="s">
        <v>1158</v>
      </c>
      <c r="P1253" s="0" t="s">
        <v>1608</v>
      </c>
      <c r="Q1253" s="0" t="n">
        <v>114</v>
      </c>
      <c r="R1253" s="0" t="n">
        <v>109</v>
      </c>
      <c r="T1253" s="0" t="s">
        <v>2862</v>
      </c>
      <c r="U1253" s="0" t="s">
        <v>3643</v>
      </c>
      <c r="V1253" s="0" t="s">
        <v>103</v>
      </c>
      <c r="Y1253" s="0" t="s">
        <v>3640</v>
      </c>
      <c r="Z1253" s="0" t="s">
        <v>915</v>
      </c>
      <c r="AA1253" s="0" t="s">
        <v>916</v>
      </c>
      <c r="AB1253" s="0" t="s">
        <v>1609</v>
      </c>
      <c r="AC1253" s="0" t="s">
        <v>3641</v>
      </c>
      <c r="AL1253" s="0" t="s">
        <v>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3644</v>
      </c>
    </row>
    <row r="3" customFormat="false" ht="15" hidden="false" customHeight="false" outlineLevel="0" collapsed="false">
      <c r="A3" s="3" t="s">
        <v>50</v>
      </c>
      <c r="B3" s="3" t="s">
        <v>51</v>
      </c>
      <c r="C3" s="3" t="s">
        <v>241</v>
      </c>
      <c r="D3" s="3" t="s">
        <v>216</v>
      </c>
      <c r="E3" s="3" t="s">
        <v>3645</v>
      </c>
      <c r="F3" s="3" t="s">
        <v>3646</v>
      </c>
      <c r="G3" s="3" t="s">
        <v>3647</v>
      </c>
      <c r="H3" s="3" t="s">
        <v>3648</v>
      </c>
      <c r="I3" s="3" t="s">
        <v>3649</v>
      </c>
    </row>
    <row r="4" customFormat="false" ht="15" hidden="false" customHeight="false" outlineLevel="0" collapsed="false">
      <c r="A4" s="0" t="s">
        <v>77</v>
      </c>
      <c r="B4" s="0" t="n">
        <v>2013</v>
      </c>
      <c r="C4" s="0" t="s">
        <v>54</v>
      </c>
      <c r="D4" s="0" t="n">
        <v>26211.844</v>
      </c>
      <c r="E4" s="0" t="n">
        <v>1</v>
      </c>
      <c r="F4" s="0" t="s">
        <v>329</v>
      </c>
      <c r="G4" s="0" t="s">
        <v>3650</v>
      </c>
      <c r="I4" s="0" t="s">
        <v>1662</v>
      </c>
    </row>
    <row r="5" customFormat="false" ht="15" hidden="false" customHeight="false" outlineLevel="0" collapsed="false">
      <c r="A5" s="0" t="s">
        <v>77</v>
      </c>
      <c r="B5" s="0" t="n">
        <v>2013</v>
      </c>
      <c r="C5" s="0" t="s">
        <v>55</v>
      </c>
      <c r="D5" s="0" t="n">
        <v>1704094.012</v>
      </c>
      <c r="E5" s="0" t="n">
        <v>1</v>
      </c>
      <c r="F5" s="0" t="s">
        <v>329</v>
      </c>
      <c r="G5" s="0" t="s">
        <v>3650</v>
      </c>
      <c r="I5" s="0" t="s">
        <v>1663</v>
      </c>
    </row>
    <row r="6" customFormat="false" ht="15" hidden="false" customHeight="false" outlineLevel="0" collapsed="false">
      <c r="A6" s="0" t="s">
        <v>77</v>
      </c>
      <c r="B6" s="0" t="n">
        <v>2013</v>
      </c>
      <c r="C6" s="0" t="s">
        <v>56</v>
      </c>
      <c r="D6" s="0" t="n">
        <v>1458912.014</v>
      </c>
      <c r="E6" s="0" t="n">
        <v>1</v>
      </c>
      <c r="F6" s="0" t="s">
        <v>329</v>
      </c>
      <c r="G6" s="0" t="s">
        <v>3650</v>
      </c>
      <c r="I6" s="0" t="s">
        <v>1665</v>
      </c>
    </row>
    <row r="7" customFormat="false" ht="15" hidden="false" customHeight="false" outlineLevel="0" collapsed="false">
      <c r="A7" s="0" t="s">
        <v>77</v>
      </c>
      <c r="B7" s="0" t="n">
        <v>2013</v>
      </c>
      <c r="C7" s="0" t="s">
        <v>57</v>
      </c>
      <c r="D7" s="0" t="n">
        <v>245181.998</v>
      </c>
      <c r="E7" s="0" t="n">
        <v>1</v>
      </c>
      <c r="F7" s="0" t="s">
        <v>329</v>
      </c>
      <c r="G7" s="0" t="s">
        <v>3650</v>
      </c>
      <c r="I7" s="0" t="s">
        <v>1664</v>
      </c>
    </row>
    <row r="8" customFormat="false" ht="15" hidden="false" customHeight="false" outlineLevel="0" collapsed="false">
      <c r="A8" s="0" t="s">
        <v>77</v>
      </c>
      <c r="B8" s="0" t="n">
        <v>2013</v>
      </c>
      <c r="C8" s="0" t="s">
        <v>63</v>
      </c>
      <c r="D8" s="0" t="n">
        <v>-7508.216</v>
      </c>
      <c r="E8" s="0" t="n">
        <v>1</v>
      </c>
      <c r="F8" s="0" t="s">
        <v>329</v>
      </c>
      <c r="G8" s="0" t="s">
        <v>3650</v>
      </c>
      <c r="I8" s="0" t="s">
        <v>1656</v>
      </c>
    </row>
    <row r="9" customFormat="false" ht="15" hidden="false" customHeight="false" outlineLevel="0" collapsed="false">
      <c r="A9" s="0" t="s">
        <v>77</v>
      </c>
      <c r="B9" s="0" t="n">
        <v>2013</v>
      </c>
      <c r="C9" s="0" t="s">
        <v>64</v>
      </c>
      <c r="D9" s="0" t="n">
        <v>17924.178</v>
      </c>
      <c r="E9" s="0" t="n">
        <v>1</v>
      </c>
      <c r="F9" s="0" t="s">
        <v>329</v>
      </c>
      <c r="G9" s="0" t="s">
        <v>3650</v>
      </c>
      <c r="I9" s="0" t="s">
        <v>1657</v>
      </c>
    </row>
    <row r="10" customFormat="false" ht="15" hidden="false" customHeight="false" outlineLevel="0" collapsed="false">
      <c r="A10" s="0" t="s">
        <v>77</v>
      </c>
      <c r="B10" s="0" t="n">
        <v>2013</v>
      </c>
      <c r="C10" s="0" t="s">
        <v>266</v>
      </c>
      <c r="D10" s="0" t="n">
        <v>2.35</v>
      </c>
      <c r="E10" s="0" t="n">
        <v>1</v>
      </c>
      <c r="F10" s="0" t="s">
        <v>329</v>
      </c>
      <c r="G10" s="0" t="s">
        <v>3650</v>
      </c>
      <c r="I10" s="0" t="s">
        <v>1658</v>
      </c>
    </row>
    <row r="11" customFormat="false" ht="15" hidden="false" customHeight="false" outlineLevel="0" collapsed="false">
      <c r="A11" s="0" t="s">
        <v>77</v>
      </c>
      <c r="B11" s="0" t="n">
        <v>2014</v>
      </c>
      <c r="C11" s="0" t="s">
        <v>54</v>
      </c>
      <c r="D11" s="0" t="n">
        <v>39941.126</v>
      </c>
      <c r="E11" s="0" t="n">
        <v>1</v>
      </c>
      <c r="F11" s="0" t="s">
        <v>329</v>
      </c>
      <c r="G11" s="0" t="s">
        <v>3650</v>
      </c>
      <c r="I11" s="0" t="s">
        <v>1673</v>
      </c>
    </row>
    <row r="12" customFormat="false" ht="15" hidden="false" customHeight="false" outlineLevel="0" collapsed="false">
      <c r="A12" s="0" t="s">
        <v>77</v>
      </c>
      <c r="B12" s="0" t="n">
        <v>2014</v>
      </c>
      <c r="C12" s="0" t="s">
        <v>55</v>
      </c>
      <c r="D12" s="0" t="n">
        <v>1981955.73</v>
      </c>
      <c r="E12" s="0" t="n">
        <v>1</v>
      </c>
      <c r="F12" s="0" t="s">
        <v>329</v>
      </c>
      <c r="G12" s="0" t="s">
        <v>3650</v>
      </c>
      <c r="I12" s="0" t="s">
        <v>1674</v>
      </c>
    </row>
    <row r="13" customFormat="false" ht="15" hidden="false" customHeight="false" outlineLevel="0" collapsed="false">
      <c r="A13" s="0" t="s">
        <v>77</v>
      </c>
      <c r="B13" s="0" t="n">
        <v>2014</v>
      </c>
      <c r="C13" s="0" t="s">
        <v>56</v>
      </c>
      <c r="D13" s="0" t="n">
        <v>1707799.944</v>
      </c>
      <c r="E13" s="0" t="n">
        <v>1</v>
      </c>
      <c r="F13" s="0" t="s">
        <v>329</v>
      </c>
      <c r="G13" s="0" t="s">
        <v>3650</v>
      </c>
      <c r="I13" s="0" t="s">
        <v>1676</v>
      </c>
    </row>
    <row r="14" customFormat="false" ht="15" hidden="false" customHeight="false" outlineLevel="0" collapsed="false">
      <c r="A14" s="0" t="s">
        <v>77</v>
      </c>
      <c r="B14" s="0" t="n">
        <v>2014</v>
      </c>
      <c r="C14" s="0" t="s">
        <v>57</v>
      </c>
      <c r="D14" s="0" t="n">
        <v>274155.785</v>
      </c>
      <c r="E14" s="0" t="n">
        <v>1</v>
      </c>
      <c r="F14" s="0" t="s">
        <v>329</v>
      </c>
      <c r="G14" s="0" t="s">
        <v>3650</v>
      </c>
      <c r="I14" s="0" t="s">
        <v>1675</v>
      </c>
    </row>
    <row r="15" customFormat="false" ht="15" hidden="false" customHeight="false" outlineLevel="0" collapsed="false">
      <c r="A15" s="0" t="s">
        <v>77</v>
      </c>
      <c r="B15" s="0" t="n">
        <v>2014</v>
      </c>
      <c r="C15" s="0" t="s">
        <v>59</v>
      </c>
      <c r="D15" s="0" t="n">
        <v>1704094.012</v>
      </c>
      <c r="E15" s="0" t="n">
        <v>1</v>
      </c>
      <c r="F15" s="0" t="s">
        <v>329</v>
      </c>
      <c r="G15" s="0" t="s">
        <v>3651</v>
      </c>
      <c r="I15" s="0" t="s">
        <v>1663</v>
      </c>
    </row>
    <row r="16" customFormat="false" ht="15" hidden="false" customHeight="false" outlineLevel="0" collapsed="false">
      <c r="A16" s="0" t="s">
        <v>77</v>
      </c>
      <c r="B16" s="0" t="n">
        <v>2014</v>
      </c>
      <c r="C16" s="0" t="s">
        <v>63</v>
      </c>
      <c r="D16" s="0" t="n">
        <v>10609.3</v>
      </c>
      <c r="E16" s="0" t="n">
        <v>1</v>
      </c>
      <c r="F16" s="0" t="s">
        <v>329</v>
      </c>
      <c r="G16" s="0" t="s">
        <v>3650</v>
      </c>
      <c r="I16" s="0" t="s">
        <v>1669</v>
      </c>
    </row>
    <row r="17" customFormat="false" ht="15" hidden="false" customHeight="false" outlineLevel="0" collapsed="false">
      <c r="A17" s="0" t="s">
        <v>77</v>
      </c>
      <c r="B17" s="0" t="n">
        <v>2014</v>
      </c>
      <c r="C17" s="0" t="s">
        <v>64</v>
      </c>
      <c r="D17" s="0" t="n">
        <v>19966.521</v>
      </c>
      <c r="E17" s="0" t="n">
        <v>1</v>
      </c>
      <c r="F17" s="0" t="s">
        <v>329</v>
      </c>
      <c r="G17" s="0" t="s">
        <v>3650</v>
      </c>
      <c r="I17" s="0" t="s">
        <v>1670</v>
      </c>
    </row>
    <row r="18" customFormat="false" ht="15" hidden="false" customHeight="false" outlineLevel="0" collapsed="false">
      <c r="A18" s="0" t="s">
        <v>77</v>
      </c>
      <c r="B18" s="0" t="n">
        <v>2014</v>
      </c>
      <c r="C18" s="0" t="s">
        <v>266</v>
      </c>
      <c r="D18" s="0" t="n">
        <v>1.83</v>
      </c>
      <c r="E18" s="0" t="n">
        <v>1</v>
      </c>
      <c r="F18" s="0" t="s">
        <v>329</v>
      </c>
      <c r="G18" s="0" t="s">
        <v>3650</v>
      </c>
      <c r="I18" s="0" t="s">
        <v>1671</v>
      </c>
    </row>
    <row r="19" customFormat="false" ht="15" hidden="false" customHeight="false" outlineLevel="0" collapsed="false">
      <c r="A19" s="0" t="s">
        <v>83</v>
      </c>
      <c r="B19" s="0" t="n">
        <v>2016</v>
      </c>
      <c r="C19" s="0" t="s">
        <v>54</v>
      </c>
      <c r="D19" s="0" t="n">
        <v>5780</v>
      </c>
      <c r="E19" s="0" t="n">
        <v>1</v>
      </c>
      <c r="F19" s="0" t="s">
        <v>329</v>
      </c>
      <c r="G19" s="0" t="s">
        <v>3650</v>
      </c>
      <c r="I19" s="0" t="s">
        <v>2179</v>
      </c>
    </row>
    <row r="20" customFormat="false" ht="15" hidden="false" customHeight="false" outlineLevel="0" collapsed="false">
      <c r="A20" s="0" t="s">
        <v>83</v>
      </c>
      <c r="B20" s="0" t="n">
        <v>2016</v>
      </c>
      <c r="C20" s="0" t="s">
        <v>55</v>
      </c>
      <c r="D20" s="0" t="n">
        <v>1808503</v>
      </c>
      <c r="E20" s="0" t="n">
        <v>1</v>
      </c>
      <c r="F20" s="0" t="s">
        <v>329</v>
      </c>
      <c r="G20" s="0" t="s">
        <v>3650</v>
      </c>
      <c r="I20" s="0" t="s">
        <v>2182</v>
      </c>
    </row>
    <row r="21" customFormat="false" ht="15" hidden="false" customHeight="false" outlineLevel="0" collapsed="false">
      <c r="A21" s="0" t="s">
        <v>83</v>
      </c>
      <c r="B21" s="0" t="n">
        <v>2016</v>
      </c>
      <c r="C21" s="0" t="s">
        <v>56</v>
      </c>
      <c r="D21" s="0" t="n">
        <v>1587728</v>
      </c>
      <c r="E21" s="0" t="n">
        <v>1</v>
      </c>
      <c r="F21" s="0" t="s">
        <v>329</v>
      </c>
      <c r="G21" s="0" t="s">
        <v>3650</v>
      </c>
      <c r="I21" s="0" t="s">
        <v>2183</v>
      </c>
    </row>
    <row r="22" customFormat="false" ht="15" hidden="false" customHeight="false" outlineLevel="0" collapsed="false">
      <c r="A22" s="0" t="s">
        <v>83</v>
      </c>
      <c r="B22" s="0" t="n">
        <v>2016</v>
      </c>
      <c r="C22" s="0" t="s">
        <v>57</v>
      </c>
      <c r="D22" s="0" t="n">
        <v>220775</v>
      </c>
      <c r="E22" s="0" t="n">
        <v>1</v>
      </c>
      <c r="F22" s="0" t="s">
        <v>329</v>
      </c>
      <c r="G22" s="0" t="s">
        <v>3650</v>
      </c>
      <c r="I22" s="0" t="s">
        <v>2184</v>
      </c>
    </row>
    <row r="23" customFormat="false" ht="15" hidden="false" customHeight="false" outlineLevel="0" collapsed="false">
      <c r="A23" s="0" t="s">
        <v>83</v>
      </c>
      <c r="B23" s="0" t="n">
        <v>2016</v>
      </c>
      <c r="C23" s="0" t="s">
        <v>63</v>
      </c>
      <c r="D23" s="0" t="n">
        <v>82783</v>
      </c>
      <c r="E23" s="0" t="n">
        <v>1</v>
      </c>
      <c r="F23" s="0" t="s">
        <v>329</v>
      </c>
      <c r="G23" s="0" t="s">
        <v>3650</v>
      </c>
      <c r="I23" s="0" t="s">
        <v>2181</v>
      </c>
    </row>
    <row r="24" customFormat="false" ht="15" hidden="false" customHeight="false" outlineLevel="0" collapsed="false">
      <c r="A24" s="0" t="s">
        <v>83</v>
      </c>
      <c r="B24" s="0" t="n">
        <v>2016</v>
      </c>
      <c r="C24" s="0" t="s">
        <v>266</v>
      </c>
      <c r="D24" s="0" t="n">
        <v>9.1</v>
      </c>
      <c r="E24" s="0" t="n">
        <v>1</v>
      </c>
      <c r="F24" s="0" t="s">
        <v>329</v>
      </c>
      <c r="G24" s="0" t="s">
        <v>3650</v>
      </c>
      <c r="I24" s="0" t="s">
        <v>2187</v>
      </c>
    </row>
    <row r="25" customFormat="false" ht="15" hidden="false" customHeight="false" outlineLevel="0" collapsed="false">
      <c r="A25" s="0" t="s">
        <v>83</v>
      </c>
      <c r="B25" s="0" t="n">
        <v>2017</v>
      </c>
      <c r="C25" s="0" t="s">
        <v>54</v>
      </c>
      <c r="D25" s="0" t="n">
        <v>20204</v>
      </c>
      <c r="E25" s="0" t="n">
        <v>1</v>
      </c>
      <c r="F25" s="0" t="s">
        <v>329</v>
      </c>
      <c r="G25" s="0" t="s">
        <v>3650</v>
      </c>
      <c r="I25" s="0" t="s">
        <v>2167</v>
      </c>
    </row>
    <row r="26" customFormat="false" ht="15" hidden="false" customHeight="false" outlineLevel="0" collapsed="false">
      <c r="A26" s="0" t="s">
        <v>83</v>
      </c>
      <c r="B26" s="0" t="n">
        <v>2017</v>
      </c>
      <c r="C26" s="0" t="s">
        <v>55</v>
      </c>
      <c r="D26" s="0" t="n">
        <v>1829761</v>
      </c>
      <c r="E26" s="0" t="n">
        <v>1</v>
      </c>
      <c r="F26" s="0" t="s">
        <v>329</v>
      </c>
      <c r="G26" s="0" t="s">
        <v>3650</v>
      </c>
      <c r="I26" s="0" t="s">
        <v>2173</v>
      </c>
    </row>
    <row r="27" customFormat="false" ht="15" hidden="false" customHeight="false" outlineLevel="0" collapsed="false">
      <c r="A27" s="0" t="s">
        <v>83</v>
      </c>
      <c r="B27" s="0" t="n">
        <v>2017</v>
      </c>
      <c r="C27" s="0" t="s">
        <v>56</v>
      </c>
      <c r="D27" s="0" t="n">
        <v>1562432</v>
      </c>
      <c r="E27" s="0" t="n">
        <v>1</v>
      </c>
      <c r="F27" s="0" t="s">
        <v>329</v>
      </c>
      <c r="G27" s="0" t="s">
        <v>3650</v>
      </c>
      <c r="I27" s="0" t="s">
        <v>2174</v>
      </c>
    </row>
    <row r="28" customFormat="false" ht="15" hidden="false" customHeight="false" outlineLevel="0" collapsed="false">
      <c r="A28" s="0" t="s">
        <v>83</v>
      </c>
      <c r="B28" s="0" t="n">
        <v>2017</v>
      </c>
      <c r="C28" s="0" t="s">
        <v>57</v>
      </c>
      <c r="D28" s="0" t="n">
        <v>267329</v>
      </c>
      <c r="E28" s="0" t="n">
        <v>1</v>
      </c>
      <c r="F28" s="0" t="s">
        <v>329</v>
      </c>
      <c r="G28" s="0" t="s">
        <v>3650</v>
      </c>
      <c r="I28" s="0" t="s">
        <v>2175</v>
      </c>
    </row>
    <row r="29" customFormat="false" ht="15" hidden="false" customHeight="false" outlineLevel="0" collapsed="false">
      <c r="A29" s="0" t="s">
        <v>83</v>
      </c>
      <c r="B29" s="0" t="n">
        <v>2017</v>
      </c>
      <c r="C29" s="0" t="s">
        <v>59</v>
      </c>
      <c r="D29" s="0" t="n">
        <v>1808503</v>
      </c>
      <c r="E29" s="0" t="n">
        <v>1</v>
      </c>
      <c r="F29" s="0" t="s">
        <v>329</v>
      </c>
      <c r="G29" s="0" t="s">
        <v>3651</v>
      </c>
      <c r="I29" s="0" t="s">
        <v>2182</v>
      </c>
    </row>
    <row r="30" customFormat="false" ht="15" hidden="false" customHeight="false" outlineLevel="0" collapsed="false">
      <c r="A30" s="0" t="s">
        <v>83</v>
      </c>
      <c r="B30" s="0" t="n">
        <v>2017</v>
      </c>
      <c r="C30" s="0" t="s">
        <v>63</v>
      </c>
      <c r="D30" s="0" t="n">
        <v>59901</v>
      </c>
      <c r="E30" s="0" t="n">
        <v>1</v>
      </c>
      <c r="F30" s="0" t="s">
        <v>329</v>
      </c>
      <c r="G30" s="0" t="s">
        <v>3650</v>
      </c>
      <c r="I30" s="0" t="s">
        <v>2172</v>
      </c>
    </row>
    <row r="31" customFormat="false" ht="15" hidden="false" customHeight="false" outlineLevel="0" collapsed="false">
      <c r="A31" s="0" t="s">
        <v>83</v>
      </c>
      <c r="B31" s="0" t="n">
        <v>2017</v>
      </c>
      <c r="C31" s="0" t="s">
        <v>266</v>
      </c>
      <c r="D31" s="0" t="n">
        <v>14.5</v>
      </c>
      <c r="E31" s="0" t="n">
        <v>1</v>
      </c>
      <c r="F31" s="0" t="s">
        <v>329</v>
      </c>
      <c r="G31" s="0" t="s">
        <v>3650</v>
      </c>
      <c r="I31" s="0" t="s">
        <v>2178</v>
      </c>
    </row>
    <row r="32" customFormat="false" ht="15" hidden="false" customHeight="false" outlineLevel="0" collapsed="false">
      <c r="A32" s="0" t="s">
        <v>86</v>
      </c>
      <c r="B32" s="0" t="n">
        <v>2013</v>
      </c>
      <c r="C32" s="0" t="s">
        <v>54</v>
      </c>
      <c r="D32" s="0" t="n">
        <v>7721</v>
      </c>
      <c r="E32" s="0" t="n">
        <v>1</v>
      </c>
      <c r="F32" s="0" t="s">
        <v>329</v>
      </c>
      <c r="G32" s="0" t="s">
        <v>3650</v>
      </c>
      <c r="I32" s="0" t="s">
        <v>1759</v>
      </c>
    </row>
    <row r="33" customFormat="false" ht="15" hidden="false" customHeight="false" outlineLevel="0" collapsed="false">
      <c r="A33" s="0" t="s">
        <v>86</v>
      </c>
      <c r="B33" s="0" t="n">
        <v>2013</v>
      </c>
      <c r="C33" s="0" t="s">
        <v>55</v>
      </c>
      <c r="D33" s="0" t="n">
        <v>1081217</v>
      </c>
      <c r="E33" s="0" t="n">
        <v>1</v>
      </c>
      <c r="F33" s="0" t="s">
        <v>329</v>
      </c>
      <c r="G33" s="0" t="s">
        <v>3650</v>
      </c>
      <c r="I33" s="0" t="s">
        <v>1762</v>
      </c>
    </row>
    <row r="34" customFormat="false" ht="15" hidden="false" customHeight="false" outlineLevel="0" collapsed="false">
      <c r="A34" s="0" t="s">
        <v>86</v>
      </c>
      <c r="B34" s="0" t="n">
        <v>2013</v>
      </c>
      <c r="C34" s="0" t="s">
        <v>56</v>
      </c>
      <c r="D34" s="0" t="n">
        <v>917762</v>
      </c>
      <c r="E34" s="0" t="n">
        <v>1</v>
      </c>
      <c r="F34" s="0" t="s">
        <v>329</v>
      </c>
      <c r="G34" s="0" t="s">
        <v>3650</v>
      </c>
      <c r="I34" s="0" t="s">
        <v>1764</v>
      </c>
    </row>
    <row r="35" customFormat="false" ht="15" hidden="false" customHeight="false" outlineLevel="0" collapsed="false">
      <c r="A35" s="0" t="s">
        <v>86</v>
      </c>
      <c r="B35" s="0" t="n">
        <v>2013</v>
      </c>
      <c r="C35" s="0" t="s">
        <v>57</v>
      </c>
      <c r="D35" s="0" t="n">
        <v>163455</v>
      </c>
      <c r="E35" s="0" t="n">
        <v>1</v>
      </c>
      <c r="F35" s="0" t="s">
        <v>329</v>
      </c>
      <c r="G35" s="0" t="s">
        <v>3650</v>
      </c>
      <c r="I35" s="0" t="s">
        <v>1763</v>
      </c>
    </row>
    <row r="36" customFormat="false" ht="15" hidden="false" customHeight="false" outlineLevel="0" collapsed="false">
      <c r="A36" s="0" t="s">
        <v>86</v>
      </c>
      <c r="B36" s="0" t="n">
        <v>2013</v>
      </c>
      <c r="C36" s="0" t="s">
        <v>58</v>
      </c>
      <c r="D36" s="0" t="n">
        <v>15048</v>
      </c>
      <c r="E36" s="0" t="n">
        <v>1</v>
      </c>
      <c r="F36" s="0" t="s">
        <v>329</v>
      </c>
      <c r="G36" s="0" t="s">
        <v>3650</v>
      </c>
      <c r="I36" s="0" t="s">
        <v>1758</v>
      </c>
    </row>
    <row r="37" customFormat="false" ht="15" hidden="false" customHeight="false" outlineLevel="0" collapsed="false">
      <c r="A37" s="0" t="s">
        <v>86</v>
      </c>
      <c r="B37" s="0" t="n">
        <v>2013</v>
      </c>
      <c r="C37" s="0" t="s">
        <v>59</v>
      </c>
      <c r="D37" s="0" t="n">
        <v>914360</v>
      </c>
      <c r="E37" s="0" t="n">
        <v>1</v>
      </c>
      <c r="F37" s="0" t="s">
        <v>329</v>
      </c>
      <c r="G37" s="0" t="s">
        <v>3650</v>
      </c>
      <c r="I37" s="0" t="s">
        <v>1757</v>
      </c>
    </row>
    <row r="38" customFormat="false" ht="15" hidden="false" customHeight="false" outlineLevel="0" collapsed="false">
      <c r="A38" s="0" t="s">
        <v>86</v>
      </c>
      <c r="B38" s="0" t="n">
        <v>2013</v>
      </c>
      <c r="C38" s="0" t="s">
        <v>60</v>
      </c>
      <c r="D38" s="0" t="n">
        <v>442649</v>
      </c>
      <c r="E38" s="0" t="n">
        <v>1</v>
      </c>
      <c r="F38" s="0" t="s">
        <v>329</v>
      </c>
      <c r="G38" s="0" t="s">
        <v>3650</v>
      </c>
      <c r="I38" s="0" t="s">
        <v>1749</v>
      </c>
    </row>
    <row r="39" customFormat="false" ht="15" hidden="false" customHeight="false" outlineLevel="0" collapsed="false">
      <c r="A39" s="0" t="s">
        <v>86</v>
      </c>
      <c r="B39" s="0" t="n">
        <v>2013</v>
      </c>
      <c r="C39" s="0" t="s">
        <v>61</v>
      </c>
      <c r="D39" s="0" t="n">
        <v>16573</v>
      </c>
      <c r="E39" s="0" t="n">
        <v>1</v>
      </c>
      <c r="F39" s="0" t="s">
        <v>329</v>
      </c>
      <c r="G39" s="0" t="s">
        <v>3650</v>
      </c>
      <c r="I39" s="0" t="s">
        <v>1755</v>
      </c>
    </row>
    <row r="40" customFormat="false" ht="15" hidden="false" customHeight="false" outlineLevel="0" collapsed="false">
      <c r="A40" s="0" t="s">
        <v>86</v>
      </c>
      <c r="B40" s="0" t="n">
        <v>2013</v>
      </c>
      <c r="C40" s="0" t="s">
        <v>63</v>
      </c>
      <c r="D40" s="0" t="n">
        <v>7630</v>
      </c>
      <c r="E40" s="0" t="n">
        <v>1</v>
      </c>
      <c r="F40" s="0" t="s">
        <v>329</v>
      </c>
      <c r="G40" s="0" t="s">
        <v>3650</v>
      </c>
      <c r="I40" s="0" t="s">
        <v>1753</v>
      </c>
    </row>
    <row r="41" customFormat="false" ht="15" hidden="false" customHeight="false" outlineLevel="0" collapsed="false">
      <c r="A41" s="0" t="s">
        <v>86</v>
      </c>
      <c r="B41" s="0" t="n">
        <v>2013</v>
      </c>
      <c r="C41" s="0" t="s">
        <v>247</v>
      </c>
      <c r="D41" s="0" t="n">
        <v>3190</v>
      </c>
      <c r="E41" s="0" t="n">
        <v>1</v>
      </c>
      <c r="F41" s="0" t="s">
        <v>329</v>
      </c>
      <c r="G41" s="0" t="s">
        <v>3650</v>
      </c>
      <c r="I41" s="0" t="s">
        <v>1751</v>
      </c>
    </row>
    <row r="42" customFormat="false" ht="15" hidden="false" customHeight="false" outlineLevel="0" collapsed="false">
      <c r="A42" s="0" t="s">
        <v>86</v>
      </c>
      <c r="B42" s="0" t="n">
        <v>2013</v>
      </c>
      <c r="C42" s="0" t="s">
        <v>69</v>
      </c>
      <c r="D42" s="0" t="n">
        <v>26</v>
      </c>
      <c r="E42" s="0" t="n">
        <v>1</v>
      </c>
      <c r="F42" s="0" t="s">
        <v>329</v>
      </c>
      <c r="G42" s="0" t="s">
        <v>3650</v>
      </c>
      <c r="I42" s="0" t="s">
        <v>1741</v>
      </c>
    </row>
    <row r="43" customFormat="false" ht="15" hidden="false" customHeight="false" outlineLevel="0" collapsed="false">
      <c r="A43" s="0" t="s">
        <v>86</v>
      </c>
      <c r="B43" s="0" t="n">
        <v>2014</v>
      </c>
      <c r="C43" s="0" t="s">
        <v>54</v>
      </c>
      <c r="D43" s="0" t="n">
        <v>13796</v>
      </c>
      <c r="E43" s="0" t="n">
        <v>1</v>
      </c>
      <c r="F43" s="0" t="s">
        <v>329</v>
      </c>
      <c r="G43" s="0" t="s">
        <v>3650</v>
      </c>
      <c r="I43" s="0" t="s">
        <v>386</v>
      </c>
    </row>
    <row r="44" customFormat="false" ht="15" hidden="false" customHeight="false" outlineLevel="0" collapsed="false">
      <c r="A44" s="0" t="s">
        <v>86</v>
      </c>
      <c r="B44" s="0" t="n">
        <v>2014</v>
      </c>
      <c r="C44" s="0" t="s">
        <v>55</v>
      </c>
      <c r="D44" s="0" t="n">
        <v>1187025</v>
      </c>
      <c r="E44" s="0" t="n">
        <v>1</v>
      </c>
      <c r="F44" s="0" t="s">
        <v>329</v>
      </c>
      <c r="G44" s="0" t="s">
        <v>3650</v>
      </c>
      <c r="I44" s="0" t="s">
        <v>387</v>
      </c>
    </row>
    <row r="45" customFormat="false" ht="15" hidden="false" customHeight="false" outlineLevel="0" collapsed="false">
      <c r="A45" s="0" t="s">
        <v>86</v>
      </c>
      <c r="B45" s="0" t="n">
        <v>2014</v>
      </c>
      <c r="C45" s="0" t="s">
        <v>56</v>
      </c>
      <c r="D45" s="0" t="n">
        <v>1013914</v>
      </c>
      <c r="E45" s="0" t="n">
        <v>1</v>
      </c>
      <c r="F45" s="0" t="s">
        <v>329</v>
      </c>
      <c r="G45" s="0" t="s">
        <v>3650</v>
      </c>
      <c r="I45" s="0" t="s">
        <v>388</v>
      </c>
    </row>
    <row r="46" customFormat="false" ht="15" hidden="false" customHeight="false" outlineLevel="0" collapsed="false">
      <c r="A46" s="0" t="s">
        <v>86</v>
      </c>
      <c r="B46" s="0" t="n">
        <v>2014</v>
      </c>
      <c r="C46" s="0" t="s">
        <v>57</v>
      </c>
      <c r="D46" s="0" t="n">
        <v>173111</v>
      </c>
      <c r="E46" s="0" t="n">
        <v>1</v>
      </c>
      <c r="F46" s="0" t="s">
        <v>329</v>
      </c>
      <c r="G46" s="0" t="s">
        <v>3650</v>
      </c>
      <c r="I46" s="0" t="s">
        <v>389</v>
      </c>
    </row>
    <row r="47" customFormat="false" ht="15" hidden="false" customHeight="false" outlineLevel="0" collapsed="false">
      <c r="A47" s="0" t="s">
        <v>86</v>
      </c>
      <c r="B47" s="0" t="n">
        <v>2014</v>
      </c>
      <c r="C47" s="0" t="s">
        <v>58</v>
      </c>
      <c r="D47" s="0" t="n">
        <v>53565</v>
      </c>
      <c r="E47" s="0" t="n">
        <v>1</v>
      </c>
      <c r="F47" s="0" t="s">
        <v>329</v>
      </c>
      <c r="G47" s="0" t="s">
        <v>3650</v>
      </c>
      <c r="I47" s="0" t="s">
        <v>390</v>
      </c>
    </row>
    <row r="48" customFormat="false" ht="15" hidden="false" customHeight="false" outlineLevel="0" collapsed="false">
      <c r="A48" s="0" t="s">
        <v>86</v>
      </c>
      <c r="B48" s="0" t="n">
        <v>2014</v>
      </c>
      <c r="C48" s="0" t="s">
        <v>59</v>
      </c>
      <c r="D48" s="0" t="n">
        <v>1081217</v>
      </c>
      <c r="E48" s="0" t="n">
        <v>1</v>
      </c>
      <c r="F48" s="0" t="s">
        <v>329</v>
      </c>
      <c r="G48" s="0" t="s">
        <v>3650</v>
      </c>
      <c r="I48" s="0" t="s">
        <v>391</v>
      </c>
    </row>
    <row r="49" customFormat="false" ht="15" hidden="false" customHeight="false" outlineLevel="0" collapsed="false">
      <c r="A49" s="0" t="s">
        <v>86</v>
      </c>
      <c r="B49" s="0" t="n">
        <v>2014</v>
      </c>
      <c r="C49" s="0" t="s">
        <v>60</v>
      </c>
      <c r="D49" s="0" t="n">
        <v>559137</v>
      </c>
      <c r="E49" s="0" t="n">
        <v>1</v>
      </c>
      <c r="F49" s="0" t="s">
        <v>329</v>
      </c>
      <c r="G49" s="0" t="s">
        <v>3650</v>
      </c>
      <c r="I49" s="0" t="s">
        <v>392</v>
      </c>
    </row>
    <row r="50" customFormat="false" ht="15" hidden="false" customHeight="false" outlineLevel="0" collapsed="false">
      <c r="A50" s="0" t="s">
        <v>86</v>
      </c>
      <c r="B50" s="0" t="n">
        <v>2014</v>
      </c>
      <c r="C50" s="0" t="s">
        <v>61</v>
      </c>
      <c r="D50" s="0" t="n">
        <v>17451</v>
      </c>
      <c r="E50" s="0" t="n">
        <v>1</v>
      </c>
      <c r="F50" s="0" t="s">
        <v>329</v>
      </c>
      <c r="G50" s="0" t="s">
        <v>3650</v>
      </c>
      <c r="I50" s="0" t="s">
        <v>393</v>
      </c>
    </row>
    <row r="51" customFormat="false" ht="15" hidden="false" customHeight="false" outlineLevel="0" collapsed="false">
      <c r="A51" s="0" t="s">
        <v>86</v>
      </c>
      <c r="B51" s="0" t="n">
        <v>2014</v>
      </c>
      <c r="C51" s="0" t="s">
        <v>62</v>
      </c>
      <c r="D51" s="0" t="n">
        <v>541686</v>
      </c>
      <c r="E51" s="0" t="n">
        <v>1</v>
      </c>
      <c r="F51" s="0" t="s">
        <v>329</v>
      </c>
      <c r="G51" s="0" t="s">
        <v>3650</v>
      </c>
      <c r="I51" s="0" t="s">
        <v>394</v>
      </c>
    </row>
    <row r="52" customFormat="false" ht="15" hidden="false" customHeight="false" outlineLevel="0" collapsed="false">
      <c r="A52" s="0" t="s">
        <v>86</v>
      </c>
      <c r="B52" s="0" t="n">
        <v>2014</v>
      </c>
      <c r="C52" s="0" t="s">
        <v>63</v>
      </c>
      <c r="D52" s="0" t="n">
        <v>4306</v>
      </c>
      <c r="E52" s="0" t="n">
        <v>1</v>
      </c>
      <c r="F52" s="0" t="s">
        <v>329</v>
      </c>
      <c r="G52" s="0" t="s">
        <v>3650</v>
      </c>
      <c r="I52" s="0" t="s">
        <v>395</v>
      </c>
    </row>
    <row r="53" customFormat="false" ht="15" hidden="false" customHeight="false" outlineLevel="0" collapsed="false">
      <c r="A53" s="0" t="s">
        <v>86</v>
      </c>
      <c r="B53" s="0" t="n">
        <v>2014</v>
      </c>
      <c r="C53" s="0" t="s">
        <v>69</v>
      </c>
      <c r="D53" s="0" t="n">
        <v>24.21</v>
      </c>
      <c r="E53" s="0" t="n">
        <v>1</v>
      </c>
      <c r="F53" s="0" t="s">
        <v>329</v>
      </c>
      <c r="G53" s="0" t="s">
        <v>3650</v>
      </c>
      <c r="I53" s="0" t="s">
        <v>396</v>
      </c>
    </row>
    <row r="54" customFormat="false" ht="15" hidden="false" customHeight="false" outlineLevel="0" collapsed="false">
      <c r="A54" s="0" t="s">
        <v>86</v>
      </c>
      <c r="B54" s="0" t="n">
        <v>2014</v>
      </c>
      <c r="C54" s="0" t="s">
        <v>70</v>
      </c>
      <c r="D54" s="0" t="n">
        <v>15</v>
      </c>
      <c r="E54" s="0" t="n">
        <v>1</v>
      </c>
      <c r="F54" s="0" t="s">
        <v>329</v>
      </c>
      <c r="G54" s="0" t="s">
        <v>3650</v>
      </c>
      <c r="I54" s="0" t="s">
        <v>397</v>
      </c>
    </row>
    <row r="55" customFormat="false" ht="15" hidden="false" customHeight="false" outlineLevel="0" collapsed="false">
      <c r="A55" s="0" t="s">
        <v>86</v>
      </c>
      <c r="B55" s="0" t="n">
        <v>2014</v>
      </c>
      <c r="C55" s="0" t="s">
        <v>65</v>
      </c>
      <c r="D55" s="0" t="n">
        <v>198886</v>
      </c>
      <c r="E55" s="0" t="n">
        <v>1</v>
      </c>
      <c r="F55" s="0" t="s">
        <v>329</v>
      </c>
      <c r="G55" s="0" t="s">
        <v>3650</v>
      </c>
      <c r="I55" s="0" t="s">
        <v>398</v>
      </c>
    </row>
    <row r="56" customFormat="false" ht="15" hidden="false" customHeight="false" outlineLevel="0" collapsed="false">
      <c r="A56" s="0" t="s">
        <v>86</v>
      </c>
      <c r="B56" s="0" t="n">
        <v>2014</v>
      </c>
      <c r="C56" s="0" t="s">
        <v>66</v>
      </c>
      <c r="D56" s="0" t="n">
        <v>821527</v>
      </c>
      <c r="E56" s="0" t="n">
        <v>1</v>
      </c>
      <c r="F56" s="0" t="s">
        <v>329</v>
      </c>
      <c r="G56" s="0" t="s">
        <v>3650</v>
      </c>
      <c r="I56" s="0" t="s">
        <v>399</v>
      </c>
    </row>
    <row r="57" customFormat="false" ht="15" hidden="false" customHeight="false" outlineLevel="0" collapsed="false">
      <c r="A57" s="0" t="s">
        <v>86</v>
      </c>
      <c r="B57" s="0" t="n">
        <v>2014</v>
      </c>
      <c r="C57" s="0" t="s">
        <v>73</v>
      </c>
      <c r="D57" s="0" t="n">
        <v>0</v>
      </c>
      <c r="E57" s="0" t="n">
        <v>1</v>
      </c>
      <c r="F57" s="0" t="s">
        <v>329</v>
      </c>
      <c r="G57" s="0" t="s">
        <v>3650</v>
      </c>
      <c r="I57" s="0" t="s">
        <v>401</v>
      </c>
    </row>
    <row r="58" customFormat="false" ht="15" hidden="false" customHeight="false" outlineLevel="0" collapsed="false">
      <c r="A58" s="0" t="s">
        <v>86</v>
      </c>
      <c r="B58" s="0" t="n">
        <v>2014</v>
      </c>
      <c r="C58" s="0" t="s">
        <v>402</v>
      </c>
      <c r="D58" s="0" t="n">
        <v>15515</v>
      </c>
      <c r="E58" s="0" t="n">
        <v>1</v>
      </c>
      <c r="F58" s="0" t="s">
        <v>329</v>
      </c>
      <c r="G58" s="0" t="s">
        <v>3650</v>
      </c>
      <c r="I58" s="0" t="s">
        <v>403</v>
      </c>
    </row>
    <row r="59" customFormat="false" ht="15" hidden="false" customHeight="false" outlineLevel="0" collapsed="false">
      <c r="A59" s="0" t="s">
        <v>86</v>
      </c>
      <c r="B59" s="0" t="n">
        <v>2014</v>
      </c>
      <c r="C59" s="0" t="s">
        <v>404</v>
      </c>
      <c r="D59" s="0" t="n">
        <v>10848</v>
      </c>
      <c r="E59" s="0" t="n">
        <v>1</v>
      </c>
      <c r="F59" s="0" t="s">
        <v>329</v>
      </c>
      <c r="G59" s="0" t="s">
        <v>3650</v>
      </c>
      <c r="I59" s="0" t="s">
        <v>405</v>
      </c>
    </row>
    <row r="60" customFormat="false" ht="15" hidden="false" customHeight="false" outlineLevel="0" collapsed="false">
      <c r="A60" s="0" t="s">
        <v>86</v>
      </c>
      <c r="B60" s="0" t="n">
        <v>2014</v>
      </c>
      <c r="C60" s="0" t="s">
        <v>406</v>
      </c>
      <c r="D60" s="0" t="n">
        <v>6603</v>
      </c>
      <c r="E60" s="0" t="n">
        <v>1</v>
      </c>
      <c r="F60" s="0" t="s">
        <v>329</v>
      </c>
      <c r="G60" s="0" t="s">
        <v>3650</v>
      </c>
      <c r="I60" s="0" t="s">
        <v>407</v>
      </c>
    </row>
    <row r="61" customFormat="false" ht="15" hidden="false" customHeight="false" outlineLevel="0" collapsed="false">
      <c r="A61" s="0" t="s">
        <v>86</v>
      </c>
      <c r="B61" s="0" t="n">
        <v>2015</v>
      </c>
      <c r="C61" s="0" t="s">
        <v>54</v>
      </c>
      <c r="D61" s="0" t="n">
        <v>13904</v>
      </c>
      <c r="E61" s="0" t="n">
        <v>1</v>
      </c>
      <c r="F61" s="0" t="s">
        <v>329</v>
      </c>
      <c r="G61" s="0" t="s">
        <v>3650</v>
      </c>
      <c r="I61" s="0" t="s">
        <v>408</v>
      </c>
    </row>
    <row r="62" customFormat="false" ht="15" hidden="false" customHeight="false" outlineLevel="0" collapsed="false">
      <c r="A62" s="0" t="s">
        <v>86</v>
      </c>
      <c r="B62" s="0" t="n">
        <v>2015</v>
      </c>
      <c r="C62" s="0" t="s">
        <v>55</v>
      </c>
      <c r="D62" s="0" t="n">
        <v>1231722</v>
      </c>
      <c r="E62" s="0" t="n">
        <v>1</v>
      </c>
      <c r="F62" s="0" t="s">
        <v>329</v>
      </c>
      <c r="G62" s="0" t="s">
        <v>3650</v>
      </c>
      <c r="I62" s="0" t="s">
        <v>409</v>
      </c>
    </row>
    <row r="63" customFormat="false" ht="15" hidden="false" customHeight="false" outlineLevel="0" collapsed="false">
      <c r="A63" s="0" t="s">
        <v>86</v>
      </c>
      <c r="B63" s="0" t="n">
        <v>2015</v>
      </c>
      <c r="C63" s="0" t="s">
        <v>56</v>
      </c>
      <c r="D63" s="0" t="n">
        <v>1048206</v>
      </c>
      <c r="E63" s="0" t="n">
        <v>1</v>
      </c>
      <c r="F63" s="0" t="s">
        <v>329</v>
      </c>
      <c r="G63" s="0" t="s">
        <v>3650</v>
      </c>
      <c r="I63" s="0" t="s">
        <v>410</v>
      </c>
    </row>
    <row r="64" customFormat="false" ht="15" hidden="false" customHeight="false" outlineLevel="0" collapsed="false">
      <c r="A64" s="0" t="s">
        <v>86</v>
      </c>
      <c r="B64" s="0" t="n">
        <v>2015</v>
      </c>
      <c r="C64" s="0" t="s">
        <v>57</v>
      </c>
      <c r="D64" s="0" t="n">
        <v>183516</v>
      </c>
      <c r="E64" s="0" t="n">
        <v>1</v>
      </c>
      <c r="F64" s="0" t="s">
        <v>329</v>
      </c>
      <c r="G64" s="0" t="s">
        <v>3650</v>
      </c>
      <c r="I64" s="0" t="s">
        <v>411</v>
      </c>
    </row>
    <row r="65" customFormat="false" ht="15" hidden="false" customHeight="false" outlineLevel="0" collapsed="false">
      <c r="A65" s="0" t="s">
        <v>86</v>
      </c>
      <c r="B65" s="0" t="n">
        <v>2015</v>
      </c>
      <c r="C65" s="0" t="s">
        <v>58</v>
      </c>
      <c r="D65" s="0" t="n">
        <v>107132</v>
      </c>
      <c r="E65" s="0" t="n">
        <v>1</v>
      </c>
      <c r="F65" s="0" t="s">
        <v>329</v>
      </c>
      <c r="G65" s="0" t="s">
        <v>3650</v>
      </c>
      <c r="I65" s="0" t="s">
        <v>412</v>
      </c>
    </row>
    <row r="66" customFormat="false" ht="15" hidden="false" customHeight="false" outlineLevel="0" collapsed="false">
      <c r="A66" s="0" t="s">
        <v>86</v>
      </c>
      <c r="B66" s="0" t="n">
        <v>2015</v>
      </c>
      <c r="C66" s="0" t="s">
        <v>59</v>
      </c>
      <c r="D66" s="0" t="n">
        <v>1187025</v>
      </c>
      <c r="E66" s="0" t="n">
        <v>1</v>
      </c>
      <c r="F66" s="0" t="s">
        <v>329</v>
      </c>
      <c r="G66" s="0" t="s">
        <v>3650</v>
      </c>
      <c r="I66" s="0" t="s">
        <v>413</v>
      </c>
    </row>
    <row r="67" customFormat="false" ht="15" hidden="false" customHeight="false" outlineLevel="0" collapsed="false">
      <c r="A67" s="0" t="s">
        <v>86</v>
      </c>
      <c r="B67" s="0" t="n">
        <v>2015</v>
      </c>
      <c r="C67" s="0" t="s">
        <v>60</v>
      </c>
      <c r="D67" s="0" t="n">
        <v>598978</v>
      </c>
      <c r="E67" s="0" t="n">
        <v>1</v>
      </c>
      <c r="F67" s="0" t="s">
        <v>329</v>
      </c>
      <c r="G67" s="0" t="s">
        <v>3650</v>
      </c>
      <c r="I67" s="0" t="s">
        <v>414</v>
      </c>
    </row>
    <row r="68" customFormat="false" ht="15" hidden="false" customHeight="false" outlineLevel="0" collapsed="false">
      <c r="A68" s="0" t="s">
        <v>86</v>
      </c>
      <c r="B68" s="0" t="n">
        <v>2015</v>
      </c>
      <c r="C68" s="0" t="s">
        <v>61</v>
      </c>
      <c r="D68" s="0" t="n">
        <v>20776</v>
      </c>
      <c r="E68" s="0" t="n">
        <v>1</v>
      </c>
      <c r="F68" s="0" t="s">
        <v>329</v>
      </c>
      <c r="G68" s="0" t="s">
        <v>3650</v>
      </c>
      <c r="I68" s="0" t="s">
        <v>415</v>
      </c>
    </row>
    <row r="69" customFormat="false" ht="15" hidden="false" customHeight="false" outlineLevel="0" collapsed="false">
      <c r="A69" s="0" t="s">
        <v>86</v>
      </c>
      <c r="B69" s="0" t="n">
        <v>2015</v>
      </c>
      <c r="C69" s="0" t="s">
        <v>62</v>
      </c>
      <c r="D69" s="0" t="n">
        <v>578203</v>
      </c>
      <c r="E69" s="0" t="n">
        <v>1</v>
      </c>
      <c r="F69" s="0" t="s">
        <v>329</v>
      </c>
      <c r="G69" s="0" t="s">
        <v>3650</v>
      </c>
      <c r="I69" s="0" t="s">
        <v>416</v>
      </c>
    </row>
    <row r="70" customFormat="false" ht="15" hidden="false" customHeight="false" outlineLevel="0" collapsed="false">
      <c r="A70" s="0" t="s">
        <v>86</v>
      </c>
      <c r="B70" s="0" t="n">
        <v>2015</v>
      </c>
      <c r="C70" s="0" t="s">
        <v>63</v>
      </c>
      <c r="D70" s="0" t="n">
        <v>5764</v>
      </c>
      <c r="E70" s="0" t="n">
        <v>1</v>
      </c>
      <c r="F70" s="0" t="s">
        <v>329</v>
      </c>
      <c r="G70" s="0" t="s">
        <v>3650</v>
      </c>
      <c r="I70" s="0" t="s">
        <v>417</v>
      </c>
    </row>
    <row r="71" customFormat="false" ht="15" hidden="false" customHeight="false" outlineLevel="0" collapsed="false">
      <c r="A71" s="0" t="s">
        <v>86</v>
      </c>
      <c r="B71" s="0" t="n">
        <v>2015</v>
      </c>
      <c r="C71" s="0" t="s">
        <v>69</v>
      </c>
      <c r="D71" s="0" t="n">
        <v>19</v>
      </c>
      <c r="E71" s="0" t="n">
        <v>1</v>
      </c>
      <c r="F71" s="0" t="s">
        <v>329</v>
      </c>
      <c r="G71" s="0" t="s">
        <v>3650</v>
      </c>
      <c r="I71" s="0" t="s">
        <v>418</v>
      </c>
    </row>
    <row r="72" customFormat="false" ht="15" hidden="false" customHeight="false" outlineLevel="0" collapsed="false">
      <c r="A72" s="0" t="s">
        <v>86</v>
      </c>
      <c r="B72" s="0" t="n">
        <v>2015</v>
      </c>
      <c r="C72" s="0" t="s">
        <v>70</v>
      </c>
      <c r="D72" s="0" t="n">
        <v>15</v>
      </c>
      <c r="E72" s="0" t="n">
        <v>1</v>
      </c>
      <c r="F72" s="0" t="s">
        <v>329</v>
      </c>
      <c r="G72" s="0" t="s">
        <v>3650</v>
      </c>
      <c r="I72" s="0" t="s">
        <v>419</v>
      </c>
    </row>
    <row r="73" customFormat="false" ht="15" hidden="false" customHeight="false" outlineLevel="0" collapsed="false">
      <c r="A73" s="0" t="s">
        <v>86</v>
      </c>
      <c r="B73" s="0" t="n">
        <v>2015</v>
      </c>
      <c r="C73" s="0" t="s">
        <v>65</v>
      </c>
      <c r="D73" s="0" t="n">
        <v>191595</v>
      </c>
      <c r="E73" s="0" t="n">
        <v>1</v>
      </c>
      <c r="F73" s="0" t="s">
        <v>329</v>
      </c>
      <c r="G73" s="0" t="s">
        <v>3650</v>
      </c>
      <c r="I73" s="0" t="s">
        <v>420</v>
      </c>
    </row>
    <row r="74" customFormat="false" ht="15" hidden="false" customHeight="false" outlineLevel="0" collapsed="false">
      <c r="A74" s="0" t="s">
        <v>86</v>
      </c>
      <c r="B74" s="0" t="n">
        <v>2015</v>
      </c>
      <c r="C74" s="0" t="s">
        <v>66</v>
      </c>
      <c r="D74" s="0" t="n">
        <v>1012062</v>
      </c>
      <c r="E74" s="0" t="n">
        <v>1</v>
      </c>
      <c r="F74" s="0" t="s">
        <v>329</v>
      </c>
      <c r="G74" s="0" t="s">
        <v>3650</v>
      </c>
      <c r="I74" s="0" t="s">
        <v>421</v>
      </c>
    </row>
    <row r="75" customFormat="false" ht="15" hidden="false" customHeight="false" outlineLevel="0" collapsed="false">
      <c r="A75" s="0" t="s">
        <v>86</v>
      </c>
      <c r="B75" s="0" t="n">
        <v>2015</v>
      </c>
      <c r="C75" s="0" t="s">
        <v>73</v>
      </c>
      <c r="D75" s="0" t="n">
        <v>0</v>
      </c>
      <c r="E75" s="0" t="n">
        <v>1</v>
      </c>
      <c r="F75" s="0" t="s">
        <v>329</v>
      </c>
      <c r="G75" s="0" t="s">
        <v>3650</v>
      </c>
      <c r="I75" s="0" t="s">
        <v>422</v>
      </c>
    </row>
    <row r="76" customFormat="false" ht="15" hidden="false" customHeight="false" outlineLevel="0" collapsed="false">
      <c r="A76" s="0" t="s">
        <v>86</v>
      </c>
      <c r="B76" s="0" t="n">
        <v>2015</v>
      </c>
      <c r="C76" s="0" t="s">
        <v>402</v>
      </c>
      <c r="D76" s="0" t="n">
        <v>14024</v>
      </c>
      <c r="E76" s="0" t="n">
        <v>1</v>
      </c>
      <c r="F76" s="0" t="s">
        <v>329</v>
      </c>
      <c r="G76" s="0" t="s">
        <v>3650</v>
      </c>
      <c r="I76" s="0" t="s">
        <v>423</v>
      </c>
    </row>
    <row r="77" customFormat="false" ht="15" hidden="false" customHeight="false" outlineLevel="0" collapsed="false">
      <c r="A77" s="0" t="s">
        <v>86</v>
      </c>
      <c r="B77" s="0" t="n">
        <v>2015</v>
      </c>
      <c r="C77" s="0" t="s">
        <v>404</v>
      </c>
      <c r="D77" s="0" t="n">
        <v>13440</v>
      </c>
      <c r="E77" s="0" t="n">
        <v>1</v>
      </c>
      <c r="F77" s="0" t="s">
        <v>329</v>
      </c>
      <c r="G77" s="0" t="s">
        <v>3650</v>
      </c>
      <c r="I77" s="0" t="s">
        <v>424</v>
      </c>
    </row>
    <row r="78" customFormat="false" ht="15" hidden="false" customHeight="false" outlineLevel="0" collapsed="false">
      <c r="A78" s="0" t="s">
        <v>86</v>
      </c>
      <c r="B78" s="0" t="n">
        <v>2015</v>
      </c>
      <c r="C78" s="0" t="s">
        <v>406</v>
      </c>
      <c r="D78" s="0" t="n">
        <v>7336</v>
      </c>
      <c r="E78" s="0" t="n">
        <v>1</v>
      </c>
      <c r="F78" s="0" t="s">
        <v>329</v>
      </c>
      <c r="G78" s="0" t="s">
        <v>3650</v>
      </c>
      <c r="I78" s="0" t="s">
        <v>425</v>
      </c>
    </row>
    <row r="79" customFormat="false" ht="15" hidden="false" customHeight="false" outlineLevel="0" collapsed="false">
      <c r="A79" s="0" t="s">
        <v>86</v>
      </c>
      <c r="B79" s="0" t="n">
        <v>2016</v>
      </c>
      <c r="C79" s="0" t="s">
        <v>54</v>
      </c>
      <c r="D79" s="0" t="n">
        <v>9734</v>
      </c>
      <c r="E79" s="0" t="n">
        <v>1</v>
      </c>
      <c r="F79" s="0" t="s">
        <v>329</v>
      </c>
      <c r="G79" s="0" t="s">
        <v>3650</v>
      </c>
      <c r="I79" s="0" t="s">
        <v>426</v>
      </c>
    </row>
    <row r="80" customFormat="false" ht="15" hidden="false" customHeight="false" outlineLevel="0" collapsed="false">
      <c r="A80" s="0" t="s">
        <v>86</v>
      </c>
      <c r="B80" s="0" t="n">
        <v>2016</v>
      </c>
      <c r="C80" s="0" t="s">
        <v>55</v>
      </c>
      <c r="D80" s="0" t="n">
        <v>1298141</v>
      </c>
      <c r="E80" s="0" t="n">
        <v>1</v>
      </c>
      <c r="F80" s="0" t="s">
        <v>329</v>
      </c>
      <c r="G80" s="0" t="s">
        <v>3650</v>
      </c>
      <c r="I80" s="0" t="s">
        <v>427</v>
      </c>
    </row>
    <row r="81" customFormat="false" ht="15" hidden="false" customHeight="false" outlineLevel="0" collapsed="false">
      <c r="A81" s="0" t="s">
        <v>86</v>
      </c>
      <c r="B81" s="0" t="n">
        <v>2016</v>
      </c>
      <c r="C81" s="0" t="s">
        <v>56</v>
      </c>
      <c r="D81" s="0" t="n">
        <v>1112739</v>
      </c>
      <c r="E81" s="0" t="n">
        <v>1</v>
      </c>
      <c r="F81" s="0" t="s">
        <v>329</v>
      </c>
      <c r="G81" s="0" t="s">
        <v>3650</v>
      </c>
      <c r="I81" s="0" t="s">
        <v>428</v>
      </c>
    </row>
    <row r="82" customFormat="false" ht="15" hidden="false" customHeight="false" outlineLevel="0" collapsed="false">
      <c r="A82" s="0" t="s">
        <v>86</v>
      </c>
      <c r="B82" s="0" t="n">
        <v>2016</v>
      </c>
      <c r="C82" s="0" t="s">
        <v>57</v>
      </c>
      <c r="D82" s="0" t="n">
        <v>185402</v>
      </c>
      <c r="E82" s="0" t="n">
        <v>1</v>
      </c>
      <c r="F82" s="0" t="s">
        <v>329</v>
      </c>
      <c r="G82" s="0" t="s">
        <v>3650</v>
      </c>
      <c r="I82" s="0" t="s">
        <v>429</v>
      </c>
    </row>
    <row r="83" customFormat="false" ht="15" hidden="false" customHeight="false" outlineLevel="0" collapsed="false">
      <c r="A83" s="0" t="s">
        <v>86</v>
      </c>
      <c r="B83" s="0" t="n">
        <v>2016</v>
      </c>
      <c r="C83" s="0" t="s">
        <v>58</v>
      </c>
      <c r="D83" s="0" t="n">
        <v>-56907</v>
      </c>
      <c r="E83" s="0" t="n">
        <v>1</v>
      </c>
      <c r="F83" s="0" t="s">
        <v>329</v>
      </c>
      <c r="G83" s="0" t="s">
        <v>3650</v>
      </c>
      <c r="I83" s="0" t="s">
        <v>430</v>
      </c>
    </row>
    <row r="84" customFormat="false" ht="15" hidden="false" customHeight="false" outlineLevel="0" collapsed="false">
      <c r="A84" s="0" t="s">
        <v>86</v>
      </c>
      <c r="B84" s="0" t="n">
        <v>2016</v>
      </c>
      <c r="C84" s="0" t="s">
        <v>59</v>
      </c>
      <c r="D84" s="0" t="n">
        <v>1231722</v>
      </c>
      <c r="E84" s="0" t="n">
        <v>1</v>
      </c>
      <c r="F84" s="0" t="s">
        <v>329</v>
      </c>
      <c r="G84" s="0" t="s">
        <v>3650</v>
      </c>
      <c r="I84" s="0" t="s">
        <v>431</v>
      </c>
    </row>
    <row r="85" customFormat="false" ht="15" hidden="false" customHeight="false" outlineLevel="0" collapsed="false">
      <c r="A85" s="0" t="s">
        <v>86</v>
      </c>
      <c r="B85" s="0" t="n">
        <v>2016</v>
      </c>
      <c r="C85" s="0" t="s">
        <v>60</v>
      </c>
      <c r="D85" s="0" t="n">
        <v>743120</v>
      </c>
      <c r="E85" s="0" t="n">
        <v>1</v>
      </c>
      <c r="F85" s="0" t="s">
        <v>329</v>
      </c>
      <c r="G85" s="0" t="s">
        <v>3650</v>
      </c>
      <c r="I85" s="0" t="s">
        <v>432</v>
      </c>
    </row>
    <row r="86" customFormat="false" ht="15" hidden="false" customHeight="false" outlineLevel="0" collapsed="false">
      <c r="A86" s="0" t="s">
        <v>86</v>
      </c>
      <c r="B86" s="0" t="n">
        <v>2016</v>
      </c>
      <c r="C86" s="0" t="s">
        <v>61</v>
      </c>
      <c r="D86" s="0" t="n">
        <v>24719</v>
      </c>
      <c r="E86" s="0" t="n">
        <v>1</v>
      </c>
      <c r="F86" s="0" t="s">
        <v>329</v>
      </c>
      <c r="G86" s="0" t="s">
        <v>3650</v>
      </c>
      <c r="I86" s="0" t="s">
        <v>433</v>
      </c>
    </row>
    <row r="87" customFormat="false" ht="15" hidden="false" customHeight="false" outlineLevel="0" collapsed="false">
      <c r="A87" s="0" t="s">
        <v>86</v>
      </c>
      <c r="B87" s="0" t="n">
        <v>2016</v>
      </c>
      <c r="C87" s="0" t="s">
        <v>62</v>
      </c>
      <c r="D87" s="0" t="n">
        <v>718401</v>
      </c>
      <c r="E87" s="0" t="n">
        <v>1</v>
      </c>
      <c r="F87" s="0" t="s">
        <v>329</v>
      </c>
      <c r="G87" s="0" t="s">
        <v>3650</v>
      </c>
      <c r="I87" s="0" t="s">
        <v>434</v>
      </c>
    </row>
    <row r="88" customFormat="false" ht="15" hidden="false" customHeight="false" outlineLevel="0" collapsed="false">
      <c r="A88" s="0" t="s">
        <v>86</v>
      </c>
      <c r="B88" s="0" t="n">
        <v>2016</v>
      </c>
      <c r="C88" s="0" t="s">
        <v>63</v>
      </c>
      <c r="D88" s="0" t="n">
        <v>8671</v>
      </c>
      <c r="E88" s="0" t="n">
        <v>1</v>
      </c>
      <c r="F88" s="0" t="s">
        <v>329</v>
      </c>
      <c r="G88" s="0" t="s">
        <v>3650</v>
      </c>
      <c r="I88" s="0" t="s">
        <v>435</v>
      </c>
    </row>
    <row r="89" customFormat="false" ht="15" hidden="false" customHeight="false" outlineLevel="0" collapsed="false">
      <c r="A89" s="0" t="s">
        <v>86</v>
      </c>
      <c r="B89" s="0" t="n">
        <v>2016</v>
      </c>
      <c r="C89" s="0" t="s">
        <v>69</v>
      </c>
      <c r="D89" s="0" t="n">
        <v>17.22</v>
      </c>
      <c r="E89" s="0" t="n">
        <v>1</v>
      </c>
      <c r="F89" s="0" t="s">
        <v>329</v>
      </c>
      <c r="G89" s="0" t="s">
        <v>3650</v>
      </c>
      <c r="I89" s="0" t="s">
        <v>436</v>
      </c>
    </row>
    <row r="90" customFormat="false" ht="15" hidden="false" customHeight="false" outlineLevel="0" collapsed="false">
      <c r="A90" s="0" t="s">
        <v>86</v>
      </c>
      <c r="B90" s="0" t="n">
        <v>2016</v>
      </c>
      <c r="C90" s="0" t="s">
        <v>70</v>
      </c>
      <c r="D90" s="0" t="n">
        <v>15</v>
      </c>
      <c r="E90" s="0" t="n">
        <v>1</v>
      </c>
      <c r="F90" s="0" t="s">
        <v>329</v>
      </c>
      <c r="G90" s="0" t="s">
        <v>3650</v>
      </c>
      <c r="I90" s="0" t="s">
        <v>438</v>
      </c>
    </row>
    <row r="91" customFormat="false" ht="15" hidden="false" customHeight="false" outlineLevel="0" collapsed="false">
      <c r="A91" s="0" t="s">
        <v>86</v>
      </c>
      <c r="B91" s="0" t="n">
        <v>2016</v>
      </c>
      <c r="C91" s="0" t="s">
        <v>65</v>
      </c>
      <c r="D91" s="0" t="n">
        <v>196913</v>
      </c>
      <c r="E91" s="0" t="n">
        <v>1</v>
      </c>
      <c r="F91" s="0" t="s">
        <v>329</v>
      </c>
      <c r="G91" s="0" t="s">
        <v>3650</v>
      </c>
      <c r="I91" s="0" t="s">
        <v>439</v>
      </c>
    </row>
    <row r="92" customFormat="false" ht="15" hidden="false" customHeight="false" outlineLevel="0" collapsed="false">
      <c r="A92" s="0" t="s">
        <v>86</v>
      </c>
      <c r="B92" s="0" t="n">
        <v>2016</v>
      </c>
      <c r="C92" s="0" t="s">
        <v>66</v>
      </c>
      <c r="D92" s="0" t="n">
        <v>1138258</v>
      </c>
      <c r="E92" s="0" t="n">
        <v>1</v>
      </c>
      <c r="F92" s="0" t="s">
        <v>329</v>
      </c>
      <c r="G92" s="0" t="s">
        <v>3650</v>
      </c>
      <c r="I92" s="0" t="s">
        <v>440</v>
      </c>
    </row>
    <row r="93" customFormat="false" ht="15" hidden="false" customHeight="false" outlineLevel="0" collapsed="false">
      <c r="A93" s="0" t="s">
        <v>86</v>
      </c>
      <c r="B93" s="0" t="n">
        <v>2016</v>
      </c>
      <c r="C93" s="0" t="s">
        <v>73</v>
      </c>
      <c r="D93" s="0" t="n">
        <v>0</v>
      </c>
      <c r="E93" s="0" t="n">
        <v>1</v>
      </c>
      <c r="F93" s="0" t="s">
        <v>329</v>
      </c>
      <c r="G93" s="0" t="s">
        <v>3650</v>
      </c>
      <c r="I93" s="0" t="s">
        <v>441</v>
      </c>
    </row>
    <row r="94" customFormat="false" ht="15" hidden="false" customHeight="false" outlineLevel="0" collapsed="false">
      <c r="A94" s="0" t="s">
        <v>86</v>
      </c>
      <c r="B94" s="0" t="n">
        <v>2016</v>
      </c>
      <c r="C94" s="0" t="s">
        <v>402</v>
      </c>
      <c r="D94" s="0" t="n">
        <v>11061</v>
      </c>
      <c r="E94" s="0" t="n">
        <v>1</v>
      </c>
      <c r="F94" s="0" t="s">
        <v>329</v>
      </c>
      <c r="G94" s="0" t="s">
        <v>3650</v>
      </c>
      <c r="I94" s="0" t="s">
        <v>442</v>
      </c>
    </row>
    <row r="95" customFormat="false" ht="15" hidden="false" customHeight="false" outlineLevel="0" collapsed="false">
      <c r="A95" s="0" t="s">
        <v>86</v>
      </c>
      <c r="B95" s="0" t="n">
        <v>2016</v>
      </c>
      <c r="C95" s="0" t="s">
        <v>404</v>
      </c>
      <c r="D95" s="0" t="n">
        <v>15027</v>
      </c>
      <c r="E95" s="0" t="n">
        <v>1</v>
      </c>
      <c r="F95" s="0" t="s">
        <v>329</v>
      </c>
      <c r="G95" s="0" t="s">
        <v>3650</v>
      </c>
      <c r="I95" s="0" t="s">
        <v>443</v>
      </c>
    </row>
    <row r="96" customFormat="false" ht="15" hidden="false" customHeight="false" outlineLevel="0" collapsed="false">
      <c r="A96" s="0" t="s">
        <v>86</v>
      </c>
      <c r="B96" s="0" t="n">
        <v>2016</v>
      </c>
      <c r="C96" s="0" t="s">
        <v>406</v>
      </c>
      <c r="D96" s="0" t="n">
        <v>9692</v>
      </c>
      <c r="E96" s="0" t="n">
        <v>1</v>
      </c>
      <c r="F96" s="0" t="s">
        <v>329</v>
      </c>
      <c r="G96" s="0" t="s">
        <v>3650</v>
      </c>
      <c r="I96" s="0" t="s">
        <v>444</v>
      </c>
    </row>
    <row r="97" customFormat="false" ht="15" hidden="false" customHeight="false" outlineLevel="0" collapsed="false">
      <c r="A97" s="0" t="s">
        <v>86</v>
      </c>
      <c r="B97" s="0" t="n">
        <v>2017</v>
      </c>
      <c r="C97" s="0" t="s">
        <v>54</v>
      </c>
      <c r="D97" s="0" t="n">
        <v>18857</v>
      </c>
      <c r="E97" s="0" t="n">
        <v>1</v>
      </c>
      <c r="F97" s="0" t="s">
        <v>329</v>
      </c>
      <c r="G97" s="0" t="s">
        <v>3650</v>
      </c>
      <c r="I97" s="0" t="s">
        <v>445</v>
      </c>
    </row>
    <row r="98" customFormat="false" ht="15" hidden="false" customHeight="false" outlineLevel="0" collapsed="false">
      <c r="A98" s="0" t="s">
        <v>86</v>
      </c>
      <c r="B98" s="0" t="n">
        <v>2017</v>
      </c>
      <c r="C98" s="0" t="s">
        <v>55</v>
      </c>
      <c r="D98" s="0" t="n">
        <v>1379214</v>
      </c>
      <c r="E98" s="0" t="n">
        <v>1</v>
      </c>
      <c r="F98" s="0" t="s">
        <v>329</v>
      </c>
      <c r="G98" s="0" t="s">
        <v>3650</v>
      </c>
      <c r="I98" s="0" t="s">
        <v>446</v>
      </c>
    </row>
    <row r="99" customFormat="false" ht="15" hidden="false" customHeight="false" outlineLevel="0" collapsed="false">
      <c r="A99" s="0" t="s">
        <v>86</v>
      </c>
      <c r="B99" s="0" t="n">
        <v>2017</v>
      </c>
      <c r="C99" s="0" t="s">
        <v>56</v>
      </c>
      <c r="D99" s="0" t="n">
        <v>1175899</v>
      </c>
      <c r="E99" s="0" t="n">
        <v>1</v>
      </c>
      <c r="F99" s="0" t="s">
        <v>329</v>
      </c>
      <c r="G99" s="0" t="s">
        <v>3650</v>
      </c>
      <c r="I99" s="0" t="s">
        <v>447</v>
      </c>
    </row>
    <row r="100" customFormat="false" ht="15" hidden="false" customHeight="false" outlineLevel="0" collapsed="false">
      <c r="A100" s="0" t="s">
        <v>86</v>
      </c>
      <c r="B100" s="0" t="n">
        <v>2017</v>
      </c>
      <c r="C100" s="0" t="s">
        <v>57</v>
      </c>
      <c r="D100" s="0" t="n">
        <v>203315</v>
      </c>
      <c r="E100" s="0" t="n">
        <v>1</v>
      </c>
      <c r="F100" s="0" t="s">
        <v>329</v>
      </c>
      <c r="G100" s="0" t="s">
        <v>3650</v>
      </c>
      <c r="I100" s="0" t="s">
        <v>448</v>
      </c>
    </row>
    <row r="101" customFormat="false" ht="15" hidden="false" customHeight="false" outlineLevel="0" collapsed="false">
      <c r="A101" s="0" t="s">
        <v>86</v>
      </c>
      <c r="B101" s="0" t="n">
        <v>2017</v>
      </c>
      <c r="C101" s="0" t="s">
        <v>58</v>
      </c>
      <c r="D101" s="0" t="n">
        <v>-38026</v>
      </c>
      <c r="E101" s="0" t="n">
        <v>1</v>
      </c>
      <c r="F101" s="0" t="s">
        <v>329</v>
      </c>
      <c r="G101" s="0" t="s">
        <v>3650</v>
      </c>
      <c r="I101" s="0" t="s">
        <v>449</v>
      </c>
    </row>
    <row r="102" customFormat="false" ht="15" hidden="false" customHeight="false" outlineLevel="0" collapsed="false">
      <c r="A102" s="0" t="s">
        <v>86</v>
      </c>
      <c r="B102" s="0" t="n">
        <v>2017</v>
      </c>
      <c r="C102" s="0" t="s">
        <v>59</v>
      </c>
      <c r="D102" s="0" t="n">
        <v>1298141</v>
      </c>
      <c r="E102" s="0" t="n">
        <v>1</v>
      </c>
      <c r="F102" s="0" t="s">
        <v>329</v>
      </c>
      <c r="G102" s="0" t="s">
        <v>3650</v>
      </c>
      <c r="I102" s="0" t="s">
        <v>450</v>
      </c>
    </row>
    <row r="103" customFormat="false" ht="15" hidden="false" customHeight="false" outlineLevel="0" collapsed="false">
      <c r="A103" s="0" t="s">
        <v>86</v>
      </c>
      <c r="B103" s="0" t="n">
        <v>2017</v>
      </c>
      <c r="C103" s="0" t="s">
        <v>60</v>
      </c>
      <c r="D103" s="0" t="n">
        <v>795315</v>
      </c>
      <c r="E103" s="0" t="n">
        <v>1</v>
      </c>
      <c r="F103" s="0" t="s">
        <v>329</v>
      </c>
      <c r="G103" s="0" t="s">
        <v>3650</v>
      </c>
      <c r="I103" s="0" t="s">
        <v>451</v>
      </c>
    </row>
    <row r="104" customFormat="false" ht="15" hidden="false" customHeight="false" outlineLevel="0" collapsed="false">
      <c r="A104" s="0" t="s">
        <v>86</v>
      </c>
      <c r="B104" s="0" t="n">
        <v>2017</v>
      </c>
      <c r="C104" s="0" t="s">
        <v>61</v>
      </c>
      <c r="D104" s="0" t="n">
        <v>26578</v>
      </c>
      <c r="E104" s="0" t="n">
        <v>1</v>
      </c>
      <c r="F104" s="0" t="s">
        <v>329</v>
      </c>
      <c r="G104" s="0" t="s">
        <v>3650</v>
      </c>
      <c r="I104" s="0" t="s">
        <v>452</v>
      </c>
    </row>
    <row r="105" customFormat="false" ht="15" hidden="false" customHeight="false" outlineLevel="0" collapsed="false">
      <c r="A105" s="0" t="s">
        <v>86</v>
      </c>
      <c r="B105" s="0" t="n">
        <v>2017</v>
      </c>
      <c r="C105" s="0" t="s">
        <v>62</v>
      </c>
      <c r="D105" s="0" t="n">
        <v>768737</v>
      </c>
      <c r="E105" s="0" t="n">
        <v>1</v>
      </c>
      <c r="F105" s="0" t="s">
        <v>329</v>
      </c>
      <c r="G105" s="0" t="s">
        <v>3650</v>
      </c>
      <c r="I105" s="0" t="s">
        <v>453</v>
      </c>
    </row>
    <row r="106" customFormat="false" ht="15" hidden="false" customHeight="false" outlineLevel="0" collapsed="false">
      <c r="A106" s="0" t="s">
        <v>86</v>
      </c>
      <c r="B106" s="0" t="n">
        <v>2017</v>
      </c>
      <c r="C106" s="0" t="s">
        <v>63</v>
      </c>
      <c r="D106" s="0" t="n">
        <v>11315</v>
      </c>
      <c r="E106" s="0" t="n">
        <v>1</v>
      </c>
      <c r="F106" s="0" t="s">
        <v>329</v>
      </c>
      <c r="G106" s="0" t="s">
        <v>3650</v>
      </c>
      <c r="I106" s="0" t="s">
        <v>454</v>
      </c>
    </row>
    <row r="107" customFormat="false" ht="15" hidden="false" customHeight="false" outlineLevel="0" collapsed="false">
      <c r="A107" s="0" t="s">
        <v>86</v>
      </c>
      <c r="B107" s="0" t="n">
        <v>2017</v>
      </c>
      <c r="C107" s="0" t="s">
        <v>69</v>
      </c>
      <c r="D107" s="0" t="n">
        <v>16.03</v>
      </c>
      <c r="E107" s="0" t="n">
        <v>1</v>
      </c>
      <c r="F107" s="0" t="s">
        <v>329</v>
      </c>
      <c r="G107" s="0" t="s">
        <v>3650</v>
      </c>
      <c r="I107" s="0" t="s">
        <v>455</v>
      </c>
    </row>
    <row r="108" customFormat="false" ht="15" hidden="false" customHeight="false" outlineLevel="0" collapsed="false">
      <c r="A108" s="0" t="s">
        <v>86</v>
      </c>
      <c r="B108" s="0" t="n">
        <v>2017</v>
      </c>
      <c r="C108" s="0" t="s">
        <v>70</v>
      </c>
      <c r="D108" s="0" t="n">
        <v>15</v>
      </c>
      <c r="E108" s="0" t="n">
        <v>1</v>
      </c>
      <c r="F108" s="0" t="s">
        <v>329</v>
      </c>
      <c r="G108" s="0" t="s">
        <v>3650</v>
      </c>
      <c r="I108" s="0" t="s">
        <v>456</v>
      </c>
    </row>
    <row r="109" customFormat="false" ht="15" hidden="false" customHeight="false" outlineLevel="0" collapsed="false">
      <c r="A109" s="0" t="s">
        <v>86</v>
      </c>
      <c r="B109" s="0" t="n">
        <v>2017</v>
      </c>
      <c r="C109" s="0" t="s">
        <v>65</v>
      </c>
      <c r="D109" s="0" t="n">
        <v>179341</v>
      </c>
      <c r="E109" s="0" t="n">
        <v>1</v>
      </c>
      <c r="F109" s="0" t="s">
        <v>329</v>
      </c>
      <c r="G109" s="0" t="s">
        <v>3650</v>
      </c>
      <c r="I109" s="0" t="s">
        <v>457</v>
      </c>
    </row>
    <row r="110" customFormat="false" ht="15" hidden="false" customHeight="false" outlineLevel="0" collapsed="false">
      <c r="A110" s="0" t="s">
        <v>86</v>
      </c>
      <c r="B110" s="0" t="n">
        <v>2017</v>
      </c>
      <c r="C110" s="0" t="s">
        <v>66</v>
      </c>
      <c r="D110" s="0" t="n">
        <v>1118786</v>
      </c>
      <c r="E110" s="0" t="n">
        <v>1</v>
      </c>
      <c r="F110" s="0" t="s">
        <v>329</v>
      </c>
      <c r="G110" s="0" t="s">
        <v>3650</v>
      </c>
      <c r="I110" s="0" t="s">
        <v>458</v>
      </c>
    </row>
    <row r="111" customFormat="false" ht="15" hidden="false" customHeight="false" outlineLevel="0" collapsed="false">
      <c r="A111" s="0" t="s">
        <v>86</v>
      </c>
      <c r="B111" s="0" t="n">
        <v>2017</v>
      </c>
      <c r="C111" s="0" t="s">
        <v>73</v>
      </c>
      <c r="D111" s="0" t="n">
        <v>0</v>
      </c>
      <c r="E111" s="0" t="n">
        <v>1</v>
      </c>
      <c r="F111" s="0" t="s">
        <v>329</v>
      </c>
      <c r="G111" s="0" t="s">
        <v>3650</v>
      </c>
      <c r="I111" s="0" t="s">
        <v>459</v>
      </c>
    </row>
    <row r="112" customFormat="false" ht="15" hidden="false" customHeight="false" outlineLevel="0" collapsed="false">
      <c r="A112" s="0" t="s">
        <v>86</v>
      </c>
      <c r="B112" s="0" t="n">
        <v>2017</v>
      </c>
      <c r="C112" s="0" t="s">
        <v>402</v>
      </c>
      <c r="D112" s="0" t="n">
        <v>20302</v>
      </c>
      <c r="E112" s="0" t="n">
        <v>1</v>
      </c>
      <c r="F112" s="0" t="s">
        <v>329</v>
      </c>
      <c r="G112" s="0" t="s">
        <v>3650</v>
      </c>
      <c r="I112" s="0" t="s">
        <v>460</v>
      </c>
    </row>
    <row r="113" customFormat="false" ht="15" hidden="false" customHeight="false" outlineLevel="0" collapsed="false">
      <c r="A113" s="0" t="s">
        <v>86</v>
      </c>
      <c r="B113" s="0" t="n">
        <v>2017</v>
      </c>
      <c r="C113" s="0" t="s">
        <v>404</v>
      </c>
      <c r="D113" s="0" t="n">
        <v>16077</v>
      </c>
      <c r="E113" s="0" t="n">
        <v>1</v>
      </c>
      <c r="F113" s="0" t="s">
        <v>329</v>
      </c>
      <c r="G113" s="0" t="s">
        <v>3650</v>
      </c>
      <c r="I113" s="0" t="s">
        <v>461</v>
      </c>
    </row>
    <row r="114" customFormat="false" ht="15" hidden="false" customHeight="false" outlineLevel="0" collapsed="false">
      <c r="A114" s="0" t="s">
        <v>86</v>
      </c>
      <c r="B114" s="0" t="n">
        <v>2017</v>
      </c>
      <c r="C114" s="0" t="s">
        <v>406</v>
      </c>
      <c r="D114" s="0" t="n">
        <v>10501</v>
      </c>
      <c r="E114" s="0" t="n">
        <v>1</v>
      </c>
      <c r="F114" s="0" t="s">
        <v>329</v>
      </c>
      <c r="G114" s="0" t="s">
        <v>3650</v>
      </c>
      <c r="I114" s="0" t="s">
        <v>462</v>
      </c>
    </row>
    <row r="115" customFormat="false" ht="15" hidden="false" customHeight="false" outlineLevel="0" collapsed="false">
      <c r="A115" s="0" t="s">
        <v>86</v>
      </c>
      <c r="B115" s="0" t="n">
        <v>2018</v>
      </c>
      <c r="C115" s="0" t="s">
        <v>54</v>
      </c>
      <c r="D115" s="0" t="n">
        <v>22926</v>
      </c>
      <c r="E115" s="0" t="n">
        <v>1</v>
      </c>
      <c r="F115" s="0" t="s">
        <v>329</v>
      </c>
      <c r="G115" s="0" t="s">
        <v>3650</v>
      </c>
      <c r="I115" s="0" t="s">
        <v>1771</v>
      </c>
    </row>
    <row r="116" customFormat="false" ht="15" hidden="false" customHeight="false" outlineLevel="0" collapsed="false">
      <c r="A116" s="0" t="s">
        <v>86</v>
      </c>
      <c r="B116" s="0" t="n">
        <v>2018</v>
      </c>
      <c r="C116" s="0" t="s">
        <v>55</v>
      </c>
      <c r="D116" s="0" t="n">
        <v>1719883</v>
      </c>
      <c r="E116" s="0" t="n">
        <v>1</v>
      </c>
      <c r="F116" s="0" t="s">
        <v>329</v>
      </c>
      <c r="G116" s="0" t="s">
        <v>3650</v>
      </c>
      <c r="I116" s="0" t="s">
        <v>1772</v>
      </c>
    </row>
    <row r="117" customFormat="false" ht="15" hidden="false" customHeight="false" outlineLevel="0" collapsed="false">
      <c r="A117" s="0" t="s">
        <v>86</v>
      </c>
      <c r="B117" s="0" t="n">
        <v>2018</v>
      </c>
      <c r="C117" s="0" t="s">
        <v>56</v>
      </c>
      <c r="D117" s="0" t="n">
        <v>1525467</v>
      </c>
      <c r="E117" s="0" t="n">
        <v>1</v>
      </c>
      <c r="F117" s="0" t="s">
        <v>329</v>
      </c>
      <c r="G117" s="0" t="s">
        <v>3650</v>
      </c>
      <c r="I117" s="0" t="s">
        <v>1774</v>
      </c>
    </row>
    <row r="118" customFormat="false" ht="15" hidden="false" customHeight="false" outlineLevel="0" collapsed="false">
      <c r="A118" s="0" t="s">
        <v>86</v>
      </c>
      <c r="B118" s="0" t="n">
        <v>2018</v>
      </c>
      <c r="C118" s="0" t="s">
        <v>57</v>
      </c>
      <c r="D118" s="0" t="n">
        <v>194416</v>
      </c>
      <c r="E118" s="0" t="n">
        <v>1</v>
      </c>
      <c r="F118" s="0" t="s">
        <v>329</v>
      </c>
      <c r="G118" s="0" t="s">
        <v>3650</v>
      </c>
      <c r="I118" s="0" t="s">
        <v>1773</v>
      </c>
    </row>
    <row r="119" customFormat="false" ht="15" hidden="false" customHeight="false" outlineLevel="0" collapsed="false">
      <c r="A119" s="0" t="s">
        <v>86</v>
      </c>
      <c r="B119" s="0" t="n">
        <v>2018</v>
      </c>
      <c r="C119" s="0" t="s">
        <v>63</v>
      </c>
      <c r="D119" s="0" t="n">
        <v>4215</v>
      </c>
      <c r="E119" s="0" t="n">
        <v>1</v>
      </c>
      <c r="F119" s="0" t="s">
        <v>329</v>
      </c>
      <c r="G119" s="0" t="s">
        <v>3650</v>
      </c>
      <c r="I119" s="0" t="s">
        <v>1769</v>
      </c>
    </row>
    <row r="120" customFormat="false" ht="15" hidden="false" customHeight="false" outlineLevel="0" collapsed="false">
      <c r="A120" s="0" t="s">
        <v>86</v>
      </c>
      <c r="B120" s="0" t="n">
        <v>2019</v>
      </c>
      <c r="C120" s="0" t="s">
        <v>54</v>
      </c>
      <c r="D120" s="0" t="n">
        <v>28425</v>
      </c>
      <c r="E120" s="0" t="n">
        <v>1</v>
      </c>
      <c r="F120" s="0" t="s">
        <v>329</v>
      </c>
      <c r="G120" s="0" t="s">
        <v>3650</v>
      </c>
      <c r="I120" s="0" t="s">
        <v>1780</v>
      </c>
    </row>
    <row r="121" customFormat="false" ht="15" hidden="false" customHeight="false" outlineLevel="0" collapsed="false">
      <c r="A121" s="0" t="s">
        <v>86</v>
      </c>
      <c r="B121" s="0" t="n">
        <v>2019</v>
      </c>
      <c r="C121" s="0" t="s">
        <v>55</v>
      </c>
      <c r="D121" s="0" t="n">
        <v>2114037</v>
      </c>
      <c r="E121" s="0" t="n">
        <v>1</v>
      </c>
      <c r="F121" s="0" t="s">
        <v>329</v>
      </c>
      <c r="G121" s="0" t="s">
        <v>3650</v>
      </c>
      <c r="I121" s="0" t="s">
        <v>1781</v>
      </c>
    </row>
    <row r="122" customFormat="false" ht="15" hidden="false" customHeight="false" outlineLevel="0" collapsed="false">
      <c r="A122" s="0" t="s">
        <v>86</v>
      </c>
      <c r="B122" s="0" t="n">
        <v>2019</v>
      </c>
      <c r="C122" s="0" t="s">
        <v>56</v>
      </c>
      <c r="D122" s="0" t="n">
        <v>1880007</v>
      </c>
      <c r="E122" s="0" t="n">
        <v>1</v>
      </c>
      <c r="F122" s="0" t="s">
        <v>329</v>
      </c>
      <c r="G122" s="0" t="s">
        <v>3650</v>
      </c>
      <c r="I122" s="0" t="s">
        <v>1783</v>
      </c>
    </row>
    <row r="123" customFormat="false" ht="15" hidden="false" customHeight="false" outlineLevel="0" collapsed="false">
      <c r="A123" s="0" t="s">
        <v>86</v>
      </c>
      <c r="B123" s="0" t="n">
        <v>2019</v>
      </c>
      <c r="C123" s="0" t="s">
        <v>57</v>
      </c>
      <c r="D123" s="0" t="n">
        <v>234030</v>
      </c>
      <c r="E123" s="0" t="n">
        <v>1</v>
      </c>
      <c r="F123" s="0" t="s">
        <v>329</v>
      </c>
      <c r="G123" s="0" t="s">
        <v>3650</v>
      </c>
      <c r="I123" s="0" t="s">
        <v>1782</v>
      </c>
    </row>
    <row r="124" customFormat="false" ht="15" hidden="false" customHeight="false" outlineLevel="0" collapsed="false">
      <c r="A124" s="0" t="s">
        <v>86</v>
      </c>
      <c r="B124" s="0" t="n">
        <v>2019</v>
      </c>
      <c r="C124" s="0" t="s">
        <v>59</v>
      </c>
      <c r="D124" s="0" t="n">
        <v>1719883</v>
      </c>
      <c r="E124" s="0" t="n">
        <v>1</v>
      </c>
      <c r="F124" s="0" t="s">
        <v>329</v>
      </c>
      <c r="G124" s="0" t="s">
        <v>3651</v>
      </c>
      <c r="I124" s="0" t="s">
        <v>1772</v>
      </c>
    </row>
    <row r="125" customFormat="false" ht="15" hidden="false" customHeight="false" outlineLevel="0" collapsed="false">
      <c r="A125" s="0" t="s">
        <v>86</v>
      </c>
      <c r="B125" s="0" t="n">
        <v>2019</v>
      </c>
      <c r="C125" s="0" t="s">
        <v>63</v>
      </c>
      <c r="D125" s="0" t="n">
        <v>-5292</v>
      </c>
      <c r="E125" s="0" t="n">
        <v>1</v>
      </c>
      <c r="F125" s="0" t="s">
        <v>329</v>
      </c>
      <c r="G125" s="0" t="s">
        <v>3650</v>
      </c>
      <c r="I125" s="0" t="s">
        <v>1778</v>
      </c>
    </row>
    <row r="126" customFormat="false" ht="15" hidden="false" customHeight="false" outlineLevel="0" collapsed="false">
      <c r="A126" s="0" t="s">
        <v>86</v>
      </c>
      <c r="B126" s="0" t="n">
        <v>2019</v>
      </c>
      <c r="C126" s="0" t="s">
        <v>73</v>
      </c>
      <c r="D126" s="0" t="n">
        <v>0</v>
      </c>
      <c r="E126" s="0" t="n">
        <v>1</v>
      </c>
      <c r="F126" s="0" t="s">
        <v>329</v>
      </c>
      <c r="G126" s="0" t="s">
        <v>3650</v>
      </c>
      <c r="I126" s="0" t="s">
        <v>309</v>
      </c>
    </row>
    <row r="127" customFormat="false" ht="15" hidden="false" customHeight="false" outlineLevel="0" collapsed="false">
      <c r="A127" s="0" t="s">
        <v>86</v>
      </c>
      <c r="B127" s="0" t="n">
        <v>2020</v>
      </c>
      <c r="C127" s="0" t="s">
        <v>54</v>
      </c>
      <c r="D127" s="0" t="n">
        <v>26650</v>
      </c>
      <c r="E127" s="0" t="n">
        <v>1</v>
      </c>
      <c r="F127" s="0" t="s">
        <v>329</v>
      </c>
      <c r="G127" s="0" t="s">
        <v>3650</v>
      </c>
      <c r="I127" s="0" t="s">
        <v>464</v>
      </c>
    </row>
    <row r="128" customFormat="false" ht="15" hidden="false" customHeight="false" outlineLevel="0" collapsed="false">
      <c r="A128" s="0" t="s">
        <v>86</v>
      </c>
      <c r="B128" s="0" t="n">
        <v>2020</v>
      </c>
      <c r="C128" s="0" t="s">
        <v>55</v>
      </c>
      <c r="D128" s="0" t="n">
        <v>2758148</v>
      </c>
      <c r="E128" s="0" t="n">
        <v>1</v>
      </c>
      <c r="F128" s="0" t="s">
        <v>329</v>
      </c>
      <c r="G128" s="0" t="s">
        <v>3650</v>
      </c>
      <c r="I128" s="0" t="s">
        <v>465</v>
      </c>
    </row>
    <row r="129" customFormat="false" ht="15" hidden="false" customHeight="false" outlineLevel="0" collapsed="false">
      <c r="A129" s="0" t="s">
        <v>86</v>
      </c>
      <c r="B129" s="0" t="n">
        <v>2020</v>
      </c>
      <c r="C129" s="0" t="s">
        <v>56</v>
      </c>
      <c r="D129" s="0" t="n">
        <v>2484615</v>
      </c>
      <c r="E129" s="0" t="n">
        <v>1</v>
      </c>
      <c r="F129" s="0" t="s">
        <v>329</v>
      </c>
      <c r="G129" s="0" t="s">
        <v>3650</v>
      </c>
      <c r="I129" s="0" t="s">
        <v>466</v>
      </c>
    </row>
    <row r="130" customFormat="false" ht="15" hidden="false" customHeight="false" outlineLevel="0" collapsed="false">
      <c r="A130" s="0" t="s">
        <v>86</v>
      </c>
      <c r="B130" s="0" t="n">
        <v>2020</v>
      </c>
      <c r="C130" s="0" t="s">
        <v>57</v>
      </c>
      <c r="D130" s="0" t="n">
        <v>273533</v>
      </c>
      <c r="E130" s="0" t="n">
        <v>1</v>
      </c>
      <c r="F130" s="0" t="s">
        <v>329</v>
      </c>
      <c r="G130" s="0" t="s">
        <v>3650</v>
      </c>
      <c r="I130" s="0" t="s">
        <v>467</v>
      </c>
    </row>
    <row r="131" customFormat="false" ht="15" hidden="false" customHeight="false" outlineLevel="0" collapsed="false">
      <c r="A131" s="0" t="s">
        <v>86</v>
      </c>
      <c r="B131" s="0" t="n">
        <v>2020</v>
      </c>
      <c r="C131" s="0" t="s">
        <v>58</v>
      </c>
      <c r="D131" s="0" t="n">
        <v>242619</v>
      </c>
      <c r="E131" s="0" t="n">
        <v>1</v>
      </c>
      <c r="F131" s="0" t="s">
        <v>329</v>
      </c>
      <c r="G131" s="0" t="s">
        <v>3650</v>
      </c>
      <c r="I131" s="0" t="s">
        <v>468</v>
      </c>
    </row>
    <row r="132" customFormat="false" ht="15" hidden="false" customHeight="false" outlineLevel="0" collapsed="false">
      <c r="A132" s="0" t="s">
        <v>86</v>
      </c>
      <c r="B132" s="0" t="n">
        <v>2020</v>
      </c>
      <c r="C132" s="0" t="s">
        <v>59</v>
      </c>
      <c r="D132" s="0" t="n">
        <v>2114037</v>
      </c>
      <c r="E132" s="0" t="n">
        <v>1</v>
      </c>
      <c r="F132" s="0" t="s">
        <v>329</v>
      </c>
      <c r="G132" s="0" t="s">
        <v>3650</v>
      </c>
      <c r="I132" s="0" t="s">
        <v>469</v>
      </c>
    </row>
    <row r="133" customFormat="false" ht="15" hidden="false" customHeight="false" outlineLevel="0" collapsed="false">
      <c r="A133" s="0" t="s">
        <v>86</v>
      </c>
      <c r="B133" s="0" t="n">
        <v>2020</v>
      </c>
      <c r="C133" s="0" t="s">
        <v>60</v>
      </c>
      <c r="D133" s="0" t="n">
        <v>1393624</v>
      </c>
      <c r="E133" s="0" t="n">
        <v>1</v>
      </c>
      <c r="F133" s="0" t="s">
        <v>329</v>
      </c>
      <c r="G133" s="0" t="s">
        <v>3650</v>
      </c>
      <c r="I133" s="0" t="s">
        <v>470</v>
      </c>
    </row>
    <row r="134" customFormat="false" ht="15" hidden="false" customHeight="false" outlineLevel="0" collapsed="false">
      <c r="A134" s="0" t="s">
        <v>86</v>
      </c>
      <c r="B134" s="0" t="n">
        <v>2020</v>
      </c>
      <c r="C134" s="0" t="s">
        <v>61</v>
      </c>
      <c r="D134" s="0" t="n">
        <v>67518</v>
      </c>
      <c r="E134" s="0" t="n">
        <v>1</v>
      </c>
      <c r="F134" s="0" t="s">
        <v>329</v>
      </c>
      <c r="G134" s="0" t="s">
        <v>3650</v>
      </c>
      <c r="I134" s="0" t="s">
        <v>471</v>
      </c>
    </row>
    <row r="135" customFormat="false" ht="15" hidden="false" customHeight="false" outlineLevel="0" collapsed="false">
      <c r="A135" s="0" t="s">
        <v>86</v>
      </c>
      <c r="B135" s="0" t="n">
        <v>2020</v>
      </c>
      <c r="C135" s="0" t="s">
        <v>62</v>
      </c>
      <c r="D135" s="0" t="n">
        <v>1326106</v>
      </c>
      <c r="E135" s="0" t="n">
        <v>1</v>
      </c>
      <c r="F135" s="0" t="s">
        <v>329</v>
      </c>
      <c r="G135" s="0" t="s">
        <v>3650</v>
      </c>
      <c r="I135" s="0" t="s">
        <v>472</v>
      </c>
    </row>
    <row r="136" customFormat="false" ht="15" hidden="false" customHeight="false" outlineLevel="0" collapsed="false">
      <c r="A136" s="0" t="s">
        <v>86</v>
      </c>
      <c r="B136" s="0" t="n">
        <v>2020</v>
      </c>
      <c r="C136" s="0" t="s">
        <v>63</v>
      </c>
      <c r="D136" s="0" t="n">
        <v>16858</v>
      </c>
      <c r="E136" s="0" t="n">
        <v>1</v>
      </c>
      <c r="F136" s="0" t="s">
        <v>329</v>
      </c>
      <c r="G136" s="0" t="s">
        <v>3650</v>
      </c>
      <c r="I136" s="0" t="s">
        <v>473</v>
      </c>
    </row>
    <row r="137" customFormat="false" ht="15" hidden="false" customHeight="false" outlineLevel="0" collapsed="false">
      <c r="A137" s="0" t="s">
        <v>86</v>
      </c>
      <c r="B137" s="0" t="n">
        <v>2020</v>
      </c>
      <c r="C137" s="0" t="s">
        <v>69</v>
      </c>
      <c r="D137" s="0" t="n">
        <v>18.18</v>
      </c>
      <c r="E137" s="0" t="n">
        <v>1</v>
      </c>
      <c r="F137" s="0" t="s">
        <v>329</v>
      </c>
      <c r="G137" s="0" t="s">
        <v>3650</v>
      </c>
      <c r="I137" s="0" t="s">
        <v>474</v>
      </c>
    </row>
    <row r="138" customFormat="false" ht="15" hidden="false" customHeight="false" outlineLevel="0" collapsed="false">
      <c r="A138" s="0" t="s">
        <v>86</v>
      </c>
      <c r="B138" s="0" t="n">
        <v>2020</v>
      </c>
      <c r="C138" s="0" t="s">
        <v>70</v>
      </c>
      <c r="D138" s="0" t="n">
        <v>15</v>
      </c>
      <c r="E138" s="0" t="n">
        <v>1</v>
      </c>
      <c r="F138" s="0" t="s">
        <v>329</v>
      </c>
      <c r="G138" s="0" t="s">
        <v>3650</v>
      </c>
      <c r="I138" s="0" t="s">
        <v>475</v>
      </c>
    </row>
    <row r="139" customFormat="false" ht="15" hidden="false" customHeight="false" outlineLevel="0" collapsed="false">
      <c r="A139" s="0" t="s">
        <v>86</v>
      </c>
      <c r="B139" s="0" t="n">
        <v>2020</v>
      </c>
      <c r="C139" s="0" t="s">
        <v>65</v>
      </c>
      <c r="D139" s="0" t="n">
        <v>243690</v>
      </c>
      <c r="E139" s="0" t="n">
        <v>1</v>
      </c>
      <c r="F139" s="0" t="s">
        <v>329</v>
      </c>
      <c r="G139" s="0" t="s">
        <v>3650</v>
      </c>
      <c r="I139" s="0" t="s">
        <v>476</v>
      </c>
    </row>
    <row r="140" customFormat="false" ht="15" hidden="false" customHeight="false" outlineLevel="0" collapsed="false">
      <c r="A140" s="0" t="s">
        <v>86</v>
      </c>
      <c r="B140" s="0" t="n">
        <v>2020</v>
      </c>
      <c r="C140" s="0" t="s">
        <v>66</v>
      </c>
      <c r="D140" s="0" t="n">
        <v>1340211</v>
      </c>
      <c r="E140" s="0" t="n">
        <v>1</v>
      </c>
      <c r="F140" s="0" t="s">
        <v>329</v>
      </c>
      <c r="G140" s="0" t="s">
        <v>3650</v>
      </c>
      <c r="I140" s="0" t="s">
        <v>477</v>
      </c>
    </row>
    <row r="141" customFormat="false" ht="15" hidden="false" customHeight="false" outlineLevel="0" collapsed="false">
      <c r="A141" s="0" t="s">
        <v>86</v>
      </c>
      <c r="B141" s="0" t="n">
        <v>2020</v>
      </c>
      <c r="C141" s="0" t="s">
        <v>73</v>
      </c>
      <c r="D141" s="0" t="n">
        <v>0</v>
      </c>
      <c r="E141" s="0" t="n">
        <v>1</v>
      </c>
      <c r="F141" s="0" t="s">
        <v>329</v>
      </c>
      <c r="G141" s="0" t="s">
        <v>3650</v>
      </c>
      <c r="I141" s="0" t="s">
        <v>478</v>
      </c>
    </row>
    <row r="142" customFormat="false" ht="15" hidden="false" customHeight="false" outlineLevel="0" collapsed="false">
      <c r="A142" s="0" t="s">
        <v>86</v>
      </c>
      <c r="B142" s="0" t="n">
        <v>2020</v>
      </c>
      <c r="C142" s="0" t="s">
        <v>402</v>
      </c>
      <c r="D142" s="0" t="n">
        <v>28054</v>
      </c>
      <c r="E142" s="0" t="n">
        <v>1</v>
      </c>
      <c r="F142" s="0" t="s">
        <v>329</v>
      </c>
      <c r="G142" s="0" t="s">
        <v>3650</v>
      </c>
      <c r="I142" s="0" t="s">
        <v>479</v>
      </c>
    </row>
    <row r="143" customFormat="false" ht="15" hidden="false" customHeight="false" outlineLevel="0" collapsed="false">
      <c r="A143" s="0" t="s">
        <v>86</v>
      </c>
      <c r="B143" s="0" t="n">
        <v>2021</v>
      </c>
      <c r="C143" s="0" t="s">
        <v>54</v>
      </c>
      <c r="D143" s="0" t="n">
        <v>23104</v>
      </c>
      <c r="E143" s="0" t="n">
        <v>1</v>
      </c>
      <c r="F143" s="0" t="s">
        <v>329</v>
      </c>
      <c r="G143" s="0" t="s">
        <v>3650</v>
      </c>
      <c r="I143" s="0" t="s">
        <v>481</v>
      </c>
    </row>
    <row r="144" customFormat="false" ht="15" hidden="false" customHeight="false" outlineLevel="0" collapsed="false">
      <c r="A144" s="0" t="s">
        <v>86</v>
      </c>
      <c r="B144" s="0" t="n">
        <v>2021</v>
      </c>
      <c r="C144" s="0" t="s">
        <v>55</v>
      </c>
      <c r="D144" s="0" t="n">
        <v>3280454</v>
      </c>
      <c r="E144" s="0" t="n">
        <v>1</v>
      </c>
      <c r="F144" s="0" t="s">
        <v>329</v>
      </c>
      <c r="G144" s="0" t="s">
        <v>3650</v>
      </c>
      <c r="I144" s="0" t="s">
        <v>482</v>
      </c>
    </row>
    <row r="145" customFormat="false" ht="15" hidden="false" customHeight="false" outlineLevel="0" collapsed="false">
      <c r="A145" s="0" t="s">
        <v>86</v>
      </c>
      <c r="B145" s="0" t="n">
        <v>2021</v>
      </c>
      <c r="C145" s="0" t="s">
        <v>56</v>
      </c>
      <c r="D145" s="0" t="n">
        <v>2995160</v>
      </c>
      <c r="E145" s="0" t="n">
        <v>1</v>
      </c>
      <c r="F145" s="0" t="s">
        <v>329</v>
      </c>
      <c r="G145" s="0" t="s">
        <v>3650</v>
      </c>
      <c r="I145" s="0" t="s">
        <v>483</v>
      </c>
    </row>
    <row r="146" customFormat="false" ht="15" hidden="false" customHeight="false" outlineLevel="0" collapsed="false">
      <c r="A146" s="0" t="s">
        <v>86</v>
      </c>
      <c r="B146" s="0" t="n">
        <v>2021</v>
      </c>
      <c r="C146" s="0" t="s">
        <v>57</v>
      </c>
      <c r="D146" s="0" t="n">
        <v>285294</v>
      </c>
      <c r="E146" s="0" t="n">
        <v>1</v>
      </c>
      <c r="F146" s="0" t="s">
        <v>329</v>
      </c>
      <c r="G146" s="0" t="s">
        <v>3650</v>
      </c>
      <c r="I146" s="0" t="s">
        <v>484</v>
      </c>
    </row>
    <row r="147" customFormat="false" ht="15" hidden="false" customHeight="false" outlineLevel="0" collapsed="false">
      <c r="A147" s="0" t="s">
        <v>86</v>
      </c>
      <c r="B147" s="0" t="n">
        <v>2021</v>
      </c>
      <c r="C147" s="0" t="s">
        <v>58</v>
      </c>
      <c r="D147" s="0" t="n">
        <v>-107190</v>
      </c>
      <c r="E147" s="0" t="n">
        <v>1</v>
      </c>
      <c r="F147" s="0" t="s">
        <v>329</v>
      </c>
      <c r="G147" s="0" t="s">
        <v>3650</v>
      </c>
      <c r="I147" s="0" t="s">
        <v>485</v>
      </c>
    </row>
    <row r="148" customFormat="false" ht="15" hidden="false" customHeight="false" outlineLevel="0" collapsed="false">
      <c r="A148" s="0" t="s">
        <v>86</v>
      </c>
      <c r="B148" s="0" t="n">
        <v>2021</v>
      </c>
      <c r="C148" s="0" t="s">
        <v>60</v>
      </c>
      <c r="D148" s="0" t="n">
        <v>1732543</v>
      </c>
      <c r="E148" s="0" t="n">
        <v>1</v>
      </c>
      <c r="F148" s="0" t="s">
        <v>329</v>
      </c>
      <c r="G148" s="0" t="s">
        <v>3650</v>
      </c>
      <c r="I148" s="0" t="s">
        <v>486</v>
      </c>
    </row>
    <row r="149" customFormat="false" ht="15" hidden="false" customHeight="false" outlineLevel="0" collapsed="false">
      <c r="A149" s="0" t="s">
        <v>86</v>
      </c>
      <c r="B149" s="0" t="n">
        <v>2021</v>
      </c>
      <c r="C149" s="0" t="s">
        <v>61</v>
      </c>
      <c r="D149" s="0" t="n">
        <v>74131</v>
      </c>
      <c r="E149" s="0" t="n">
        <v>1</v>
      </c>
      <c r="F149" s="0" t="s">
        <v>329</v>
      </c>
      <c r="G149" s="0" t="s">
        <v>3650</v>
      </c>
      <c r="I149" s="0" t="s">
        <v>487</v>
      </c>
    </row>
    <row r="150" customFormat="false" ht="15" hidden="false" customHeight="false" outlineLevel="0" collapsed="false">
      <c r="A150" s="0" t="s">
        <v>86</v>
      </c>
      <c r="B150" s="0" t="n">
        <v>2021</v>
      </c>
      <c r="C150" s="0" t="s">
        <v>62</v>
      </c>
      <c r="D150" s="0" t="n">
        <v>1658412</v>
      </c>
      <c r="E150" s="0" t="n">
        <v>1</v>
      </c>
      <c r="F150" s="0" t="s">
        <v>329</v>
      </c>
      <c r="G150" s="0" t="s">
        <v>3650</v>
      </c>
      <c r="I150" s="0" t="s">
        <v>488</v>
      </c>
    </row>
    <row r="151" customFormat="false" ht="15" hidden="false" customHeight="false" outlineLevel="0" collapsed="false">
      <c r="A151" s="0" t="s">
        <v>86</v>
      </c>
      <c r="B151" s="0" t="n">
        <v>2021</v>
      </c>
      <c r="C151" s="0" t="s">
        <v>63</v>
      </c>
      <c r="D151" s="0" t="n">
        <v>7034</v>
      </c>
      <c r="E151" s="0" t="n">
        <v>1</v>
      </c>
      <c r="F151" s="0" t="s">
        <v>329</v>
      </c>
      <c r="G151" s="0" t="s">
        <v>3650</v>
      </c>
      <c r="I151" s="0" t="s">
        <v>489</v>
      </c>
    </row>
    <row r="152" customFormat="false" ht="15" hidden="false" customHeight="false" outlineLevel="0" collapsed="false">
      <c r="A152" s="0" t="s">
        <v>86</v>
      </c>
      <c r="B152" s="0" t="n">
        <v>2021</v>
      </c>
      <c r="C152" s="0" t="s">
        <v>69</v>
      </c>
      <c r="D152" s="0" t="n">
        <v>19.15</v>
      </c>
      <c r="E152" s="0" t="n">
        <v>1</v>
      </c>
      <c r="F152" s="0" t="s">
        <v>329</v>
      </c>
      <c r="G152" s="0" t="s">
        <v>3650</v>
      </c>
      <c r="I152" s="0" t="s">
        <v>490</v>
      </c>
    </row>
    <row r="153" customFormat="false" ht="15" hidden="false" customHeight="false" outlineLevel="0" collapsed="false">
      <c r="A153" s="0" t="s">
        <v>86</v>
      </c>
      <c r="B153" s="0" t="n">
        <v>2021</v>
      </c>
      <c r="C153" s="0" t="s">
        <v>70</v>
      </c>
      <c r="D153" s="0" t="n">
        <v>15</v>
      </c>
      <c r="E153" s="0" t="n">
        <v>1</v>
      </c>
      <c r="F153" s="0" t="s">
        <v>329</v>
      </c>
      <c r="G153" s="0" t="s">
        <v>3650</v>
      </c>
      <c r="I153" s="0" t="s">
        <v>491</v>
      </c>
    </row>
    <row r="154" customFormat="false" ht="15" hidden="false" customHeight="false" outlineLevel="0" collapsed="false">
      <c r="A154" s="0" t="s">
        <v>86</v>
      </c>
      <c r="B154" s="0" t="n">
        <v>2021</v>
      </c>
      <c r="C154" s="0" t="s">
        <v>65</v>
      </c>
      <c r="D154" s="0" t="n">
        <v>292323</v>
      </c>
      <c r="E154" s="0" t="n">
        <v>1</v>
      </c>
      <c r="F154" s="0" t="s">
        <v>329</v>
      </c>
      <c r="G154" s="0" t="s">
        <v>3650</v>
      </c>
      <c r="I154" s="0" t="s">
        <v>492</v>
      </c>
    </row>
    <row r="155" customFormat="false" ht="15" hidden="false" customHeight="false" outlineLevel="0" collapsed="false">
      <c r="A155" s="0" t="s">
        <v>86</v>
      </c>
      <c r="B155" s="0" t="n">
        <v>2021</v>
      </c>
      <c r="C155" s="0" t="s">
        <v>66</v>
      </c>
      <c r="D155" s="0" t="n">
        <v>1526722</v>
      </c>
      <c r="E155" s="0" t="n">
        <v>1</v>
      </c>
      <c r="F155" s="0" t="s">
        <v>329</v>
      </c>
      <c r="G155" s="0" t="s">
        <v>3650</v>
      </c>
      <c r="I155" s="0" t="s">
        <v>493</v>
      </c>
    </row>
    <row r="156" customFormat="false" ht="15" hidden="false" customHeight="false" outlineLevel="0" collapsed="false">
      <c r="A156" s="0" t="s">
        <v>86</v>
      </c>
      <c r="B156" s="0" t="n">
        <v>2021</v>
      </c>
      <c r="C156" s="0" t="s">
        <v>402</v>
      </c>
      <c r="D156" s="0" t="n">
        <v>25215</v>
      </c>
      <c r="E156" s="0" t="n">
        <v>1</v>
      </c>
      <c r="F156" s="0" t="s">
        <v>329</v>
      </c>
      <c r="G156" s="0" t="s">
        <v>3650</v>
      </c>
      <c r="I156" s="0" t="s">
        <v>494</v>
      </c>
    </row>
    <row r="157" customFormat="false" ht="15" hidden="false" customHeight="false" outlineLevel="0" collapsed="false">
      <c r="A157" s="0" t="s">
        <v>86</v>
      </c>
      <c r="B157" s="0" t="n">
        <v>2022</v>
      </c>
      <c r="C157" s="0" t="s">
        <v>54</v>
      </c>
      <c r="D157" s="0" t="n">
        <v>46724</v>
      </c>
      <c r="E157" s="0" t="n">
        <v>1</v>
      </c>
      <c r="F157" s="0" t="s">
        <v>329</v>
      </c>
      <c r="G157" s="0" t="s">
        <v>3650</v>
      </c>
      <c r="I157" s="0" t="s">
        <v>495</v>
      </c>
    </row>
    <row r="158" customFormat="false" ht="15" hidden="false" customHeight="false" outlineLevel="0" collapsed="false">
      <c r="A158" s="0" t="s">
        <v>86</v>
      </c>
      <c r="B158" s="0" t="n">
        <v>2022</v>
      </c>
      <c r="C158" s="0" t="s">
        <v>55</v>
      </c>
      <c r="D158" s="0" t="n">
        <v>3989009</v>
      </c>
      <c r="E158" s="0" t="n">
        <v>1</v>
      </c>
      <c r="F158" s="0" t="s">
        <v>329</v>
      </c>
      <c r="G158" s="0" t="s">
        <v>3650</v>
      </c>
      <c r="I158" s="0" t="s">
        <v>496</v>
      </c>
    </row>
    <row r="159" customFormat="false" ht="15" hidden="false" customHeight="false" outlineLevel="0" collapsed="false">
      <c r="A159" s="0" t="s">
        <v>86</v>
      </c>
      <c r="B159" s="0" t="n">
        <v>2022</v>
      </c>
      <c r="C159" s="0" t="s">
        <v>56</v>
      </c>
      <c r="D159" s="0" t="n">
        <v>3674649</v>
      </c>
      <c r="E159" s="0" t="n">
        <v>1</v>
      </c>
      <c r="F159" s="0" t="s">
        <v>329</v>
      </c>
      <c r="G159" s="0" t="s">
        <v>3650</v>
      </c>
      <c r="I159" s="0" t="s">
        <v>497</v>
      </c>
    </row>
    <row r="160" customFormat="false" ht="15" hidden="false" customHeight="false" outlineLevel="0" collapsed="false">
      <c r="A160" s="0" t="s">
        <v>86</v>
      </c>
      <c r="B160" s="0" t="n">
        <v>2022</v>
      </c>
      <c r="C160" s="0" t="s">
        <v>57</v>
      </c>
      <c r="D160" s="0" t="n">
        <v>314360</v>
      </c>
      <c r="E160" s="0" t="n">
        <v>1</v>
      </c>
      <c r="F160" s="0" t="s">
        <v>329</v>
      </c>
      <c r="G160" s="0" t="s">
        <v>3650</v>
      </c>
      <c r="I160" s="0" t="s">
        <v>498</v>
      </c>
    </row>
    <row r="161" customFormat="false" ht="15" hidden="false" customHeight="false" outlineLevel="0" collapsed="false">
      <c r="A161" s="0" t="s">
        <v>86</v>
      </c>
      <c r="B161" s="0" t="n">
        <v>2022</v>
      </c>
      <c r="C161" s="0" t="s">
        <v>58</v>
      </c>
      <c r="D161" s="0" t="n">
        <v>297592</v>
      </c>
      <c r="E161" s="0" t="n">
        <v>1</v>
      </c>
      <c r="F161" s="0" t="s">
        <v>329</v>
      </c>
      <c r="G161" s="0" t="s">
        <v>3650</v>
      </c>
      <c r="I161" s="0" t="s">
        <v>499</v>
      </c>
    </row>
    <row r="162" customFormat="false" ht="15" hidden="false" customHeight="false" outlineLevel="0" collapsed="false">
      <c r="A162" s="0" t="s">
        <v>86</v>
      </c>
      <c r="B162" s="0" t="n">
        <v>2022</v>
      </c>
      <c r="C162" s="0" t="s">
        <v>59</v>
      </c>
      <c r="D162" s="0" t="n">
        <v>3280454</v>
      </c>
      <c r="E162" s="0" t="n">
        <v>1</v>
      </c>
      <c r="F162" s="0" t="s">
        <v>329</v>
      </c>
      <c r="G162" s="0" t="s">
        <v>3650</v>
      </c>
      <c r="I162" s="0" t="s">
        <v>500</v>
      </c>
    </row>
    <row r="163" customFormat="false" ht="15" hidden="false" customHeight="false" outlineLevel="0" collapsed="false">
      <c r="A163" s="0" t="s">
        <v>86</v>
      </c>
      <c r="B163" s="0" t="n">
        <v>2022</v>
      </c>
      <c r="C163" s="0" t="s">
        <v>60</v>
      </c>
      <c r="D163" s="0" t="n">
        <v>2196760</v>
      </c>
      <c r="E163" s="0" t="n">
        <v>1</v>
      </c>
      <c r="F163" s="0" t="s">
        <v>329</v>
      </c>
      <c r="G163" s="0" t="s">
        <v>3650</v>
      </c>
      <c r="I163" s="0" t="s">
        <v>501</v>
      </c>
    </row>
    <row r="164" customFormat="false" ht="15" hidden="false" customHeight="false" outlineLevel="0" collapsed="false">
      <c r="A164" s="0" t="s">
        <v>86</v>
      </c>
      <c r="B164" s="0" t="n">
        <v>2022</v>
      </c>
      <c r="C164" s="0" t="s">
        <v>61</v>
      </c>
      <c r="D164" s="0" t="n">
        <v>80548</v>
      </c>
      <c r="E164" s="0" t="n">
        <v>1</v>
      </c>
      <c r="F164" s="0" t="s">
        <v>329</v>
      </c>
      <c r="G164" s="0" t="s">
        <v>3650</v>
      </c>
      <c r="I164" s="0" t="s">
        <v>502</v>
      </c>
    </row>
    <row r="165" customFormat="false" ht="15" hidden="false" customHeight="false" outlineLevel="0" collapsed="false">
      <c r="A165" s="0" t="s">
        <v>86</v>
      </c>
      <c r="B165" s="0" t="n">
        <v>2022</v>
      </c>
      <c r="C165" s="0" t="s">
        <v>62</v>
      </c>
      <c r="D165" s="0" t="n">
        <v>2116212</v>
      </c>
      <c r="E165" s="0" t="n">
        <v>1</v>
      </c>
      <c r="F165" s="0" t="s">
        <v>329</v>
      </c>
      <c r="G165" s="0" t="s">
        <v>3650</v>
      </c>
      <c r="I165" s="0" t="s">
        <v>503</v>
      </c>
    </row>
    <row r="166" customFormat="false" ht="15" hidden="false" customHeight="false" outlineLevel="0" collapsed="false">
      <c r="A166" s="0" t="s">
        <v>86</v>
      </c>
      <c r="B166" s="0" t="n">
        <v>2022</v>
      </c>
      <c r="C166" s="0" t="s">
        <v>63</v>
      </c>
      <c r="D166" s="0" t="n">
        <v>5443</v>
      </c>
      <c r="E166" s="0" t="n">
        <v>1</v>
      </c>
      <c r="F166" s="0" t="s">
        <v>329</v>
      </c>
      <c r="G166" s="0" t="s">
        <v>3650</v>
      </c>
      <c r="I166" s="0" t="s">
        <v>504</v>
      </c>
    </row>
    <row r="167" customFormat="false" ht="15" hidden="false" customHeight="false" outlineLevel="0" collapsed="false">
      <c r="A167" s="0" t="s">
        <v>86</v>
      </c>
      <c r="B167" s="0" t="n">
        <v>2022</v>
      </c>
      <c r="C167" s="0" t="s">
        <v>69</v>
      </c>
      <c r="D167" s="0" t="n">
        <v>18.14</v>
      </c>
      <c r="E167" s="0" t="n">
        <v>1</v>
      </c>
      <c r="F167" s="0" t="s">
        <v>329</v>
      </c>
      <c r="G167" s="0" t="s">
        <v>3650</v>
      </c>
      <c r="I167" s="0" t="s">
        <v>505</v>
      </c>
    </row>
    <row r="168" customFormat="false" ht="15" hidden="false" customHeight="false" outlineLevel="0" collapsed="false">
      <c r="A168" s="0" t="s">
        <v>86</v>
      </c>
      <c r="B168" s="0" t="n">
        <v>2022</v>
      </c>
      <c r="C168" s="0" t="s">
        <v>70</v>
      </c>
      <c r="D168" s="0" t="n">
        <v>15</v>
      </c>
      <c r="E168" s="0" t="n">
        <v>1</v>
      </c>
      <c r="F168" s="0" t="s">
        <v>329</v>
      </c>
      <c r="G168" s="0" t="s">
        <v>3650</v>
      </c>
      <c r="I168" s="0" t="s">
        <v>506</v>
      </c>
    </row>
    <row r="169" customFormat="false" ht="15" hidden="false" customHeight="false" outlineLevel="0" collapsed="false">
      <c r="A169" s="0" t="s">
        <v>86</v>
      </c>
      <c r="B169" s="0" t="n">
        <v>2022</v>
      </c>
      <c r="C169" s="0" t="s">
        <v>65</v>
      </c>
      <c r="D169" s="0" t="n">
        <v>289500</v>
      </c>
      <c r="E169" s="0" t="n">
        <v>1</v>
      </c>
      <c r="F169" s="0" t="s">
        <v>329</v>
      </c>
      <c r="G169" s="0" t="s">
        <v>3650</v>
      </c>
      <c r="I169" s="0" t="s">
        <v>507</v>
      </c>
    </row>
    <row r="170" customFormat="false" ht="15" hidden="false" customHeight="false" outlineLevel="0" collapsed="false">
      <c r="A170" s="0" t="s">
        <v>86</v>
      </c>
      <c r="B170" s="0" t="n">
        <v>2022</v>
      </c>
      <c r="C170" s="0" t="s">
        <v>66</v>
      </c>
      <c r="D170" s="0" t="n">
        <v>1595729</v>
      </c>
      <c r="E170" s="0" t="n">
        <v>1</v>
      </c>
      <c r="F170" s="0" t="s">
        <v>329</v>
      </c>
      <c r="G170" s="0" t="s">
        <v>3650</v>
      </c>
      <c r="I170" s="0" t="s">
        <v>508</v>
      </c>
    </row>
    <row r="171" customFormat="false" ht="15" hidden="false" customHeight="false" outlineLevel="0" collapsed="false">
      <c r="A171" s="0" t="s">
        <v>86</v>
      </c>
      <c r="B171" s="0" t="n">
        <v>2022</v>
      </c>
      <c r="C171" s="0" t="s">
        <v>73</v>
      </c>
      <c r="D171" s="0" t="n">
        <v>0</v>
      </c>
      <c r="E171" s="0" t="n">
        <v>1</v>
      </c>
      <c r="F171" s="0" t="s">
        <v>329</v>
      </c>
      <c r="G171" s="0" t="s">
        <v>3650</v>
      </c>
      <c r="I171" s="0" t="s">
        <v>510</v>
      </c>
    </row>
    <row r="172" customFormat="false" ht="15" hidden="false" customHeight="false" outlineLevel="0" collapsed="false">
      <c r="A172" s="0" t="s">
        <v>86</v>
      </c>
      <c r="B172" s="0" t="n">
        <v>2022</v>
      </c>
      <c r="C172" s="0" t="s">
        <v>402</v>
      </c>
      <c r="D172" s="0" t="n">
        <v>53677</v>
      </c>
      <c r="E172" s="0" t="n">
        <v>1</v>
      </c>
      <c r="F172" s="0" t="s">
        <v>329</v>
      </c>
      <c r="G172" s="0" t="s">
        <v>3650</v>
      </c>
      <c r="I172" s="0" t="s">
        <v>511</v>
      </c>
    </row>
    <row r="173" customFormat="false" ht="15" hidden="false" customHeight="false" outlineLevel="0" collapsed="false">
      <c r="A173" s="0" t="s">
        <v>104</v>
      </c>
      <c r="B173" s="0" t="n">
        <v>2013</v>
      </c>
      <c r="C173" s="0" t="s">
        <v>54</v>
      </c>
      <c r="D173" s="0" t="n">
        <v>59365</v>
      </c>
      <c r="E173" s="0" t="n">
        <v>1</v>
      </c>
      <c r="F173" s="0" t="s">
        <v>329</v>
      </c>
      <c r="G173" s="0" t="s">
        <v>3650</v>
      </c>
      <c r="I173" s="0" t="s">
        <v>2021</v>
      </c>
    </row>
    <row r="174" customFormat="false" ht="15" hidden="false" customHeight="false" outlineLevel="0" collapsed="false">
      <c r="A174" s="0" t="s">
        <v>104</v>
      </c>
      <c r="B174" s="0" t="n">
        <v>2013</v>
      </c>
      <c r="C174" s="0" t="s">
        <v>55</v>
      </c>
      <c r="D174" s="0" t="n">
        <v>3246579</v>
      </c>
      <c r="E174" s="0" t="n">
        <v>1</v>
      </c>
      <c r="F174" s="0" t="s">
        <v>329</v>
      </c>
      <c r="G174" s="0" t="s">
        <v>3650</v>
      </c>
      <c r="I174" s="0" t="s">
        <v>2025</v>
      </c>
    </row>
    <row r="175" customFormat="false" ht="15" hidden="false" customHeight="false" outlineLevel="0" collapsed="false">
      <c r="A175" s="0" t="s">
        <v>104</v>
      </c>
      <c r="B175" s="0" t="n">
        <v>2013</v>
      </c>
      <c r="C175" s="0" t="s">
        <v>56</v>
      </c>
      <c r="D175" s="0" t="n">
        <v>2895870</v>
      </c>
      <c r="E175" s="0" t="n">
        <v>1</v>
      </c>
      <c r="F175" s="0" t="s">
        <v>329</v>
      </c>
      <c r="G175" s="0" t="s">
        <v>3650</v>
      </c>
      <c r="I175" s="0" t="s">
        <v>2026</v>
      </c>
    </row>
    <row r="176" customFormat="false" ht="15" hidden="false" customHeight="false" outlineLevel="0" collapsed="false">
      <c r="A176" s="0" t="s">
        <v>104</v>
      </c>
      <c r="B176" s="0" t="n">
        <v>2013</v>
      </c>
      <c r="C176" s="0" t="s">
        <v>57</v>
      </c>
      <c r="D176" s="0" t="n">
        <v>350709</v>
      </c>
      <c r="E176" s="0" t="n">
        <v>1</v>
      </c>
      <c r="F176" s="0" t="s">
        <v>329</v>
      </c>
      <c r="G176" s="0" t="s">
        <v>3650</v>
      </c>
      <c r="I176" s="0" t="s">
        <v>2027</v>
      </c>
    </row>
    <row r="177" customFormat="false" ht="15" hidden="false" customHeight="false" outlineLevel="0" collapsed="false">
      <c r="A177" s="0" t="s">
        <v>104</v>
      </c>
      <c r="B177" s="0" t="n">
        <v>2013</v>
      </c>
      <c r="C177" s="0" t="s">
        <v>58</v>
      </c>
      <c r="D177" s="0" t="n">
        <v>179950</v>
      </c>
      <c r="E177" s="0" t="n">
        <v>1</v>
      </c>
      <c r="F177" s="0" t="s">
        <v>329</v>
      </c>
      <c r="G177" s="0" t="s">
        <v>3650</v>
      </c>
      <c r="I177" s="0" t="s">
        <v>2029</v>
      </c>
    </row>
    <row r="178" customFormat="false" ht="15" hidden="false" customHeight="false" outlineLevel="0" collapsed="false">
      <c r="A178" s="0" t="s">
        <v>104</v>
      </c>
      <c r="B178" s="0" t="n">
        <v>2013</v>
      </c>
      <c r="C178" s="0" t="s">
        <v>60</v>
      </c>
      <c r="D178" s="0" t="n">
        <v>1515288</v>
      </c>
      <c r="E178" s="0" t="n">
        <v>1</v>
      </c>
      <c r="F178" s="0" t="s">
        <v>329</v>
      </c>
      <c r="G178" s="0" t="s">
        <v>3650</v>
      </c>
      <c r="I178" s="0" t="s">
        <v>2100</v>
      </c>
    </row>
    <row r="179" customFormat="false" ht="15" hidden="false" customHeight="false" outlineLevel="0" collapsed="false">
      <c r="A179" s="0" t="s">
        <v>104</v>
      </c>
      <c r="B179" s="0" t="n">
        <v>2013</v>
      </c>
      <c r="C179" s="0" t="s">
        <v>61</v>
      </c>
      <c r="D179" s="0" t="n">
        <v>41449</v>
      </c>
      <c r="E179" s="0" t="n">
        <v>1</v>
      </c>
      <c r="F179" s="0" t="s">
        <v>329</v>
      </c>
      <c r="G179" s="0" t="s">
        <v>3650</v>
      </c>
      <c r="I179" s="0" t="s">
        <v>2101</v>
      </c>
    </row>
    <row r="180" customFormat="false" ht="15" hidden="false" customHeight="false" outlineLevel="0" collapsed="false">
      <c r="A180" s="0" t="s">
        <v>104</v>
      </c>
      <c r="B180" s="0" t="n">
        <v>2013</v>
      </c>
      <c r="C180" s="0" t="s">
        <v>63</v>
      </c>
      <c r="D180" s="0" t="n">
        <v>19838</v>
      </c>
      <c r="E180" s="0" t="n">
        <v>1</v>
      </c>
      <c r="F180" s="0" t="s">
        <v>329</v>
      </c>
      <c r="G180" s="0" t="s">
        <v>3650</v>
      </c>
      <c r="I180" s="0" t="s">
        <v>2024</v>
      </c>
    </row>
    <row r="181" customFormat="false" ht="15" hidden="false" customHeight="false" outlineLevel="0" collapsed="false">
      <c r="A181" s="0" t="s">
        <v>104</v>
      </c>
      <c r="B181" s="0" t="n">
        <v>2013</v>
      </c>
      <c r="C181" s="0" t="s">
        <v>69</v>
      </c>
      <c r="D181" s="0" t="n">
        <v>13.54</v>
      </c>
      <c r="E181" s="0" t="n">
        <v>1</v>
      </c>
      <c r="F181" s="0" t="s">
        <v>329</v>
      </c>
      <c r="G181" s="0" t="s">
        <v>3652</v>
      </c>
      <c r="H181" s="0" t="s">
        <v>3653</v>
      </c>
      <c r="I181" s="0" t="s">
        <v>2052</v>
      </c>
    </row>
    <row r="182" customFormat="false" ht="15" hidden="false" customHeight="false" outlineLevel="0" collapsed="false">
      <c r="A182" s="0" t="s">
        <v>104</v>
      </c>
      <c r="B182" s="0" t="n">
        <v>2014</v>
      </c>
      <c r="C182" s="0" t="s">
        <v>54</v>
      </c>
      <c r="D182" s="0" t="n">
        <v>79351</v>
      </c>
      <c r="E182" s="0" t="n">
        <v>1</v>
      </c>
      <c r="F182" s="0" t="s">
        <v>329</v>
      </c>
      <c r="G182" s="0" t="s">
        <v>3650</v>
      </c>
      <c r="I182" s="0" t="s">
        <v>2003</v>
      </c>
    </row>
    <row r="183" customFormat="false" ht="15" hidden="false" customHeight="false" outlineLevel="0" collapsed="false">
      <c r="A183" s="0" t="s">
        <v>104</v>
      </c>
      <c r="B183" s="0" t="n">
        <v>2014</v>
      </c>
      <c r="C183" s="0" t="s">
        <v>55</v>
      </c>
      <c r="D183" s="0" t="n">
        <v>3490871</v>
      </c>
      <c r="E183" s="0" t="n">
        <v>1</v>
      </c>
      <c r="F183" s="0" t="s">
        <v>329</v>
      </c>
      <c r="G183" s="0" t="s">
        <v>3650</v>
      </c>
      <c r="I183" s="0" t="s">
        <v>2013</v>
      </c>
    </row>
    <row r="184" customFormat="false" ht="15" hidden="false" customHeight="false" outlineLevel="0" collapsed="false">
      <c r="A184" s="0" t="s">
        <v>104</v>
      </c>
      <c r="B184" s="0" t="n">
        <v>2014</v>
      </c>
      <c r="C184" s="0" t="s">
        <v>56</v>
      </c>
      <c r="D184" s="0" t="n">
        <v>3067824</v>
      </c>
      <c r="E184" s="0" t="n">
        <v>1</v>
      </c>
      <c r="F184" s="0" t="s">
        <v>329</v>
      </c>
      <c r="G184" s="0" t="s">
        <v>3650</v>
      </c>
      <c r="I184" s="0" t="s">
        <v>2015</v>
      </c>
    </row>
    <row r="185" customFormat="false" ht="15" hidden="false" customHeight="false" outlineLevel="0" collapsed="false">
      <c r="A185" s="0" t="s">
        <v>104</v>
      </c>
      <c r="B185" s="0" t="n">
        <v>2014</v>
      </c>
      <c r="C185" s="0" t="s">
        <v>57</v>
      </c>
      <c r="D185" s="0" t="n">
        <v>423047</v>
      </c>
      <c r="E185" s="0" t="n">
        <v>1</v>
      </c>
      <c r="F185" s="0" t="s">
        <v>329</v>
      </c>
      <c r="G185" s="0" t="s">
        <v>3650</v>
      </c>
      <c r="I185" s="0" t="s">
        <v>2016</v>
      </c>
    </row>
    <row r="186" customFormat="false" ht="15" hidden="false" customHeight="false" outlineLevel="0" collapsed="false">
      <c r="A186" s="0" t="s">
        <v>104</v>
      </c>
      <c r="B186" s="0" t="n">
        <v>2014</v>
      </c>
      <c r="C186" s="0" t="s">
        <v>58</v>
      </c>
      <c r="D186" s="0" t="n">
        <v>-506665</v>
      </c>
      <c r="E186" s="0" t="n">
        <v>1</v>
      </c>
      <c r="F186" s="0" t="s">
        <v>329</v>
      </c>
      <c r="G186" s="0" t="s">
        <v>3650</v>
      </c>
      <c r="I186" s="0" t="s">
        <v>2019</v>
      </c>
    </row>
    <row r="187" customFormat="false" ht="15" hidden="false" customHeight="false" outlineLevel="0" collapsed="false">
      <c r="A187" s="0" t="s">
        <v>104</v>
      </c>
      <c r="B187" s="0" t="n">
        <v>2014</v>
      </c>
      <c r="C187" s="0" t="s">
        <v>59</v>
      </c>
      <c r="D187" s="0" t="n">
        <v>3246579</v>
      </c>
      <c r="E187" s="0" t="n">
        <v>1</v>
      </c>
      <c r="F187" s="0" t="s">
        <v>329</v>
      </c>
      <c r="G187" s="0" t="s">
        <v>3651</v>
      </c>
      <c r="I187" s="0" t="s">
        <v>2025</v>
      </c>
    </row>
    <row r="188" customFormat="false" ht="15" hidden="false" customHeight="false" outlineLevel="0" collapsed="false">
      <c r="A188" s="0" t="s">
        <v>104</v>
      </c>
      <c r="B188" s="0" t="n">
        <v>2014</v>
      </c>
      <c r="C188" s="0" t="s">
        <v>60</v>
      </c>
      <c r="D188" s="0" t="n">
        <v>1832107</v>
      </c>
      <c r="E188" s="0" t="n">
        <v>1</v>
      </c>
      <c r="F188" s="0" t="s">
        <v>329</v>
      </c>
      <c r="G188" s="0" t="s">
        <v>3650</v>
      </c>
      <c r="I188" s="0" t="s">
        <v>2095</v>
      </c>
    </row>
    <row r="189" customFormat="false" ht="15" hidden="false" customHeight="false" outlineLevel="0" collapsed="false">
      <c r="A189" s="0" t="s">
        <v>104</v>
      </c>
      <c r="B189" s="0" t="n">
        <v>2014</v>
      </c>
      <c r="C189" s="0" t="s">
        <v>61</v>
      </c>
      <c r="D189" s="0" t="n">
        <v>38070</v>
      </c>
      <c r="E189" s="0" t="n">
        <v>1</v>
      </c>
      <c r="F189" s="0" t="s">
        <v>329</v>
      </c>
      <c r="G189" s="0" t="s">
        <v>3650</v>
      </c>
      <c r="I189" s="0" t="s">
        <v>2097</v>
      </c>
    </row>
    <row r="190" customFormat="false" ht="15" hidden="false" customHeight="false" outlineLevel="0" collapsed="false">
      <c r="A190" s="0" t="s">
        <v>104</v>
      </c>
      <c r="B190" s="0" t="n">
        <v>2014</v>
      </c>
      <c r="C190" s="0" t="s">
        <v>63</v>
      </c>
      <c r="D190" s="0" t="n">
        <v>20924</v>
      </c>
      <c r="E190" s="0" t="n">
        <v>1</v>
      </c>
      <c r="F190" s="0" t="s">
        <v>329</v>
      </c>
      <c r="G190" s="0" t="s">
        <v>3650</v>
      </c>
      <c r="I190" s="0" t="s">
        <v>2011</v>
      </c>
    </row>
    <row r="191" customFormat="false" ht="15" hidden="false" customHeight="false" outlineLevel="0" collapsed="false">
      <c r="A191" s="0" t="s">
        <v>104</v>
      </c>
      <c r="B191" s="0" t="n">
        <v>2014</v>
      </c>
      <c r="C191" s="0" t="s">
        <v>69</v>
      </c>
      <c r="D191" s="0" t="n">
        <v>15.78</v>
      </c>
      <c r="E191" s="0" t="n">
        <v>1</v>
      </c>
      <c r="F191" s="0" t="s">
        <v>329</v>
      </c>
      <c r="G191" s="0" t="s">
        <v>3652</v>
      </c>
      <c r="H191" s="0" t="s">
        <v>3654</v>
      </c>
      <c r="I191" s="0" t="s">
        <v>2046</v>
      </c>
    </row>
    <row r="192" customFormat="false" ht="15" hidden="false" customHeight="false" outlineLevel="0" collapsed="false">
      <c r="A192" s="0" t="s">
        <v>104</v>
      </c>
      <c r="B192" s="0" t="n">
        <v>2016</v>
      </c>
      <c r="C192" s="0" t="s">
        <v>54</v>
      </c>
      <c r="D192" s="0" t="n">
        <v>50072</v>
      </c>
      <c r="E192" s="0" t="n">
        <v>1</v>
      </c>
      <c r="F192" s="0" t="s">
        <v>329</v>
      </c>
      <c r="G192" s="0" t="s">
        <v>3650</v>
      </c>
      <c r="I192" s="0" t="s">
        <v>512</v>
      </c>
    </row>
    <row r="193" customFormat="false" ht="15" hidden="false" customHeight="false" outlineLevel="0" collapsed="false">
      <c r="A193" s="0" t="s">
        <v>104</v>
      </c>
      <c r="B193" s="0" t="n">
        <v>2016</v>
      </c>
      <c r="C193" s="0" t="s">
        <v>55</v>
      </c>
      <c r="D193" s="0" t="n">
        <v>3557782</v>
      </c>
      <c r="E193" s="0" t="n">
        <v>1</v>
      </c>
      <c r="F193" s="0" t="s">
        <v>329</v>
      </c>
      <c r="G193" s="0" t="s">
        <v>3650</v>
      </c>
      <c r="I193" s="0" t="s">
        <v>513</v>
      </c>
    </row>
    <row r="194" customFormat="false" ht="15" hidden="false" customHeight="false" outlineLevel="0" collapsed="false">
      <c r="A194" s="0" t="s">
        <v>104</v>
      </c>
      <c r="B194" s="0" t="n">
        <v>2016</v>
      </c>
      <c r="C194" s="0" t="s">
        <v>56</v>
      </c>
      <c r="D194" s="0" t="n">
        <v>3071695</v>
      </c>
      <c r="E194" s="0" t="n">
        <v>1</v>
      </c>
      <c r="F194" s="0" t="s">
        <v>329</v>
      </c>
      <c r="G194" s="0" t="s">
        <v>3650</v>
      </c>
      <c r="I194" s="0" t="s">
        <v>514</v>
      </c>
    </row>
    <row r="195" customFormat="false" ht="15" hidden="false" customHeight="false" outlineLevel="0" collapsed="false">
      <c r="A195" s="0" t="s">
        <v>104</v>
      </c>
      <c r="B195" s="0" t="n">
        <v>2016</v>
      </c>
      <c r="C195" s="0" t="s">
        <v>57</v>
      </c>
      <c r="D195" s="0" t="n">
        <v>486087</v>
      </c>
      <c r="E195" s="0" t="n">
        <v>1</v>
      </c>
      <c r="F195" s="0" t="s">
        <v>329</v>
      </c>
      <c r="G195" s="0" t="s">
        <v>3650</v>
      </c>
      <c r="I195" s="0" t="s">
        <v>515</v>
      </c>
    </row>
    <row r="196" customFormat="false" ht="15" hidden="false" customHeight="false" outlineLevel="0" collapsed="false">
      <c r="A196" s="0" t="s">
        <v>104</v>
      </c>
      <c r="B196" s="0" t="n">
        <v>2016</v>
      </c>
      <c r="C196" s="0" t="s">
        <v>58</v>
      </c>
      <c r="D196" s="0" t="n">
        <v>-171230</v>
      </c>
      <c r="E196" s="0" t="n">
        <v>1</v>
      </c>
      <c r="F196" s="0" t="s">
        <v>329</v>
      </c>
      <c r="G196" s="0" t="s">
        <v>3650</v>
      </c>
      <c r="I196" s="0" t="s">
        <v>516</v>
      </c>
    </row>
    <row r="197" customFormat="false" ht="15" hidden="false" customHeight="false" outlineLevel="0" collapsed="false">
      <c r="A197" s="0" t="s">
        <v>104</v>
      </c>
      <c r="B197" s="0" t="n">
        <v>2016</v>
      </c>
      <c r="C197" s="0" t="s">
        <v>60</v>
      </c>
      <c r="D197" s="0" t="n">
        <v>1933407</v>
      </c>
      <c r="E197" s="0" t="n">
        <v>1</v>
      </c>
      <c r="F197" s="0" t="s">
        <v>329</v>
      </c>
      <c r="G197" s="0" t="s">
        <v>3650</v>
      </c>
      <c r="I197" s="0" t="s">
        <v>517</v>
      </c>
    </row>
    <row r="198" customFormat="false" ht="15" hidden="false" customHeight="false" outlineLevel="0" collapsed="false">
      <c r="A198" s="0" t="s">
        <v>104</v>
      </c>
      <c r="B198" s="0" t="n">
        <v>2016</v>
      </c>
      <c r="C198" s="0" t="s">
        <v>61</v>
      </c>
      <c r="D198" s="0" t="n">
        <v>240695</v>
      </c>
      <c r="E198" s="0" t="n">
        <v>1</v>
      </c>
      <c r="F198" s="0" t="s">
        <v>329</v>
      </c>
      <c r="G198" s="0" t="s">
        <v>3650</v>
      </c>
      <c r="I198" s="0" t="s">
        <v>518</v>
      </c>
    </row>
    <row r="199" customFormat="false" ht="15" hidden="false" customHeight="false" outlineLevel="0" collapsed="false">
      <c r="A199" s="0" t="s">
        <v>104</v>
      </c>
      <c r="B199" s="0" t="n">
        <v>2016</v>
      </c>
      <c r="C199" s="0" t="s">
        <v>62</v>
      </c>
      <c r="D199" s="0" t="n">
        <v>1692712</v>
      </c>
      <c r="E199" s="0" t="n">
        <v>1</v>
      </c>
      <c r="F199" s="0" t="s">
        <v>329</v>
      </c>
      <c r="G199" s="0" t="s">
        <v>3650</v>
      </c>
      <c r="I199" s="0" t="s">
        <v>519</v>
      </c>
    </row>
    <row r="200" customFormat="false" ht="15" hidden="false" customHeight="false" outlineLevel="0" collapsed="false">
      <c r="A200" s="0" t="s">
        <v>104</v>
      </c>
      <c r="B200" s="0" t="n">
        <v>2016</v>
      </c>
      <c r="C200" s="0" t="s">
        <v>247</v>
      </c>
      <c r="D200" s="0" t="n">
        <v>159841</v>
      </c>
      <c r="E200" s="0" t="n">
        <v>1</v>
      </c>
      <c r="F200" s="0" t="s">
        <v>329</v>
      </c>
      <c r="G200" s="0" t="s">
        <v>3650</v>
      </c>
      <c r="I200" s="0" t="s">
        <v>520</v>
      </c>
    </row>
    <row r="201" customFormat="false" ht="15" hidden="false" customHeight="false" outlineLevel="0" collapsed="false">
      <c r="A201" s="0" t="s">
        <v>104</v>
      </c>
      <c r="B201" s="0" t="n">
        <v>2016</v>
      </c>
      <c r="C201" s="0" t="s">
        <v>69</v>
      </c>
      <c r="D201" s="0" t="n">
        <v>17.79</v>
      </c>
      <c r="E201" s="0" t="n">
        <v>1</v>
      </c>
      <c r="F201" s="0" t="s">
        <v>329</v>
      </c>
      <c r="G201" s="0" t="s">
        <v>3650</v>
      </c>
      <c r="I201" s="0" t="s">
        <v>521</v>
      </c>
    </row>
    <row r="202" customFormat="false" ht="15" hidden="false" customHeight="false" outlineLevel="0" collapsed="false">
      <c r="A202" s="0" t="s">
        <v>104</v>
      </c>
      <c r="B202" s="0" t="n">
        <v>2016</v>
      </c>
      <c r="C202" s="0" t="s">
        <v>70</v>
      </c>
      <c r="D202" s="0" t="n">
        <v>15</v>
      </c>
      <c r="E202" s="0" t="n">
        <v>1</v>
      </c>
      <c r="F202" s="0" t="s">
        <v>329</v>
      </c>
      <c r="G202" s="0" t="s">
        <v>3650</v>
      </c>
      <c r="I202" s="0" t="s">
        <v>522</v>
      </c>
    </row>
    <row r="203" customFormat="false" ht="15" hidden="false" customHeight="false" outlineLevel="0" collapsed="false">
      <c r="A203" s="0" t="s">
        <v>104</v>
      </c>
      <c r="B203" s="0" t="n">
        <v>2016</v>
      </c>
      <c r="C203" s="0" t="s">
        <v>65</v>
      </c>
      <c r="D203" s="0" t="n">
        <v>501256</v>
      </c>
      <c r="E203" s="0" t="n">
        <v>1</v>
      </c>
      <c r="F203" s="0" t="s">
        <v>329</v>
      </c>
      <c r="G203" s="0" t="s">
        <v>3650</v>
      </c>
      <c r="I203" s="0" t="s">
        <v>523</v>
      </c>
    </row>
    <row r="204" customFormat="false" ht="15" hidden="false" customHeight="false" outlineLevel="0" collapsed="false">
      <c r="A204" s="0" t="s">
        <v>104</v>
      </c>
      <c r="B204" s="0" t="n">
        <v>2016</v>
      </c>
      <c r="C204" s="0" t="s">
        <v>66</v>
      </c>
      <c r="D204" s="0" t="n">
        <v>2818158</v>
      </c>
      <c r="E204" s="0" t="n">
        <v>1</v>
      </c>
      <c r="F204" s="0" t="s">
        <v>329</v>
      </c>
      <c r="G204" s="0" t="s">
        <v>3650</v>
      </c>
      <c r="I204" s="0" t="s">
        <v>524</v>
      </c>
    </row>
    <row r="205" customFormat="false" ht="15" hidden="false" customHeight="false" outlineLevel="0" collapsed="false">
      <c r="A205" s="0" t="s">
        <v>104</v>
      </c>
      <c r="B205" s="0" t="n">
        <v>2016</v>
      </c>
      <c r="C205" s="0" t="s">
        <v>402</v>
      </c>
      <c r="D205" s="0" t="n">
        <v>54733</v>
      </c>
      <c r="E205" s="0" t="n">
        <v>1</v>
      </c>
      <c r="F205" s="0" t="s">
        <v>329</v>
      </c>
      <c r="G205" s="0" t="s">
        <v>3650</v>
      </c>
      <c r="I205" s="0" t="s">
        <v>525</v>
      </c>
    </row>
    <row r="206" customFormat="false" ht="15" hidden="false" customHeight="false" outlineLevel="0" collapsed="false">
      <c r="A206" s="0" t="s">
        <v>104</v>
      </c>
      <c r="B206" s="0" t="n">
        <v>2016</v>
      </c>
      <c r="C206" s="0" t="s">
        <v>404</v>
      </c>
      <c r="D206" s="0" t="n">
        <v>210105</v>
      </c>
      <c r="E206" s="0" t="n">
        <v>1</v>
      </c>
      <c r="F206" s="0" t="s">
        <v>329</v>
      </c>
      <c r="G206" s="0" t="s">
        <v>3650</v>
      </c>
      <c r="I206" s="0" t="s">
        <v>526</v>
      </c>
    </row>
    <row r="207" customFormat="false" ht="15" hidden="false" customHeight="false" outlineLevel="0" collapsed="false">
      <c r="A207" s="0" t="s">
        <v>104</v>
      </c>
      <c r="B207" s="0" t="n">
        <v>2016</v>
      </c>
      <c r="C207" s="0" t="s">
        <v>406</v>
      </c>
      <c r="D207" s="0" t="n">
        <v>30590</v>
      </c>
      <c r="E207" s="0" t="n">
        <v>1</v>
      </c>
      <c r="F207" s="0" t="s">
        <v>329</v>
      </c>
      <c r="G207" s="0" t="s">
        <v>3650</v>
      </c>
      <c r="I207" s="0" t="s">
        <v>527</v>
      </c>
    </row>
    <row r="208" customFormat="false" ht="15" hidden="false" customHeight="false" outlineLevel="0" collapsed="false">
      <c r="A208" s="0" t="s">
        <v>104</v>
      </c>
      <c r="B208" s="0" t="n">
        <v>2017</v>
      </c>
      <c r="C208" s="0" t="s">
        <v>54</v>
      </c>
      <c r="D208" s="0" t="n">
        <v>46918</v>
      </c>
      <c r="E208" s="0" t="n">
        <v>1</v>
      </c>
      <c r="F208" s="0" t="s">
        <v>329</v>
      </c>
      <c r="G208" s="0" t="s">
        <v>3650</v>
      </c>
      <c r="I208" s="0" t="s">
        <v>528</v>
      </c>
    </row>
    <row r="209" customFormat="false" ht="15" hidden="false" customHeight="false" outlineLevel="0" collapsed="false">
      <c r="A209" s="0" t="s">
        <v>104</v>
      </c>
      <c r="B209" s="0" t="n">
        <v>2017</v>
      </c>
      <c r="C209" s="0" t="s">
        <v>55</v>
      </c>
      <c r="D209" s="0" t="n">
        <v>3777039</v>
      </c>
      <c r="E209" s="0" t="n">
        <v>1</v>
      </c>
      <c r="F209" s="0" t="s">
        <v>329</v>
      </c>
      <c r="G209" s="0" t="s">
        <v>3650</v>
      </c>
      <c r="I209" s="0" t="s">
        <v>529</v>
      </c>
    </row>
    <row r="210" customFormat="false" ht="15" hidden="false" customHeight="false" outlineLevel="0" collapsed="false">
      <c r="A210" s="0" t="s">
        <v>104</v>
      </c>
      <c r="B210" s="0" t="n">
        <v>2017</v>
      </c>
      <c r="C210" s="0" t="s">
        <v>56</v>
      </c>
      <c r="D210" s="0" t="n">
        <v>3197196</v>
      </c>
      <c r="E210" s="0" t="n">
        <v>1</v>
      </c>
      <c r="F210" s="0" t="s">
        <v>329</v>
      </c>
      <c r="G210" s="0" t="s">
        <v>3650</v>
      </c>
      <c r="I210" s="0" t="s">
        <v>530</v>
      </c>
    </row>
    <row r="211" customFormat="false" ht="15" hidden="false" customHeight="false" outlineLevel="0" collapsed="false">
      <c r="A211" s="0" t="s">
        <v>104</v>
      </c>
      <c r="B211" s="0" t="n">
        <v>2017</v>
      </c>
      <c r="C211" s="0" t="s">
        <v>57</v>
      </c>
      <c r="D211" s="0" t="n">
        <v>579843</v>
      </c>
      <c r="E211" s="0" t="n">
        <v>1</v>
      </c>
      <c r="F211" s="0" t="s">
        <v>329</v>
      </c>
      <c r="G211" s="0" t="s">
        <v>3650</v>
      </c>
      <c r="I211" s="0" t="s">
        <v>531</v>
      </c>
    </row>
    <row r="212" customFormat="false" ht="15" hidden="false" customHeight="false" outlineLevel="0" collapsed="false">
      <c r="A212" s="0" t="s">
        <v>104</v>
      </c>
      <c r="B212" s="0" t="n">
        <v>2017</v>
      </c>
      <c r="C212" s="0" t="s">
        <v>58</v>
      </c>
      <c r="D212" s="0" t="n">
        <v>113212</v>
      </c>
      <c r="E212" s="0" t="n">
        <v>1</v>
      </c>
      <c r="F212" s="0" t="s">
        <v>329</v>
      </c>
      <c r="G212" s="0" t="s">
        <v>3650</v>
      </c>
      <c r="I212" s="0" t="s">
        <v>532</v>
      </c>
    </row>
    <row r="213" customFormat="false" ht="15" hidden="false" customHeight="false" outlineLevel="0" collapsed="false">
      <c r="A213" s="0" t="s">
        <v>104</v>
      </c>
      <c r="B213" s="0" t="n">
        <v>2017</v>
      </c>
      <c r="C213" s="0" t="s">
        <v>59</v>
      </c>
      <c r="D213" s="0" t="n">
        <v>3557782</v>
      </c>
      <c r="E213" s="0" t="n">
        <v>1</v>
      </c>
      <c r="F213" s="0" t="s">
        <v>329</v>
      </c>
      <c r="G213" s="0" t="s">
        <v>3650</v>
      </c>
      <c r="I213" s="0" t="s">
        <v>533</v>
      </c>
    </row>
    <row r="214" customFormat="false" ht="15" hidden="false" customHeight="false" outlineLevel="0" collapsed="false">
      <c r="A214" s="0" t="s">
        <v>104</v>
      </c>
      <c r="B214" s="0" t="n">
        <v>2017</v>
      </c>
      <c r="C214" s="0" t="s">
        <v>60</v>
      </c>
      <c r="D214" s="0" t="n">
        <v>1837515</v>
      </c>
      <c r="E214" s="0" t="n">
        <v>1</v>
      </c>
      <c r="F214" s="0" t="s">
        <v>329</v>
      </c>
      <c r="G214" s="0" t="s">
        <v>3650</v>
      </c>
      <c r="I214" s="0" t="s">
        <v>534</v>
      </c>
    </row>
    <row r="215" customFormat="false" ht="15" hidden="false" customHeight="false" outlineLevel="0" collapsed="false">
      <c r="A215" s="0" t="s">
        <v>104</v>
      </c>
      <c r="B215" s="0" t="n">
        <v>2017</v>
      </c>
      <c r="C215" s="0" t="s">
        <v>61</v>
      </c>
      <c r="D215" s="0" t="n">
        <v>178719</v>
      </c>
      <c r="E215" s="0" t="n">
        <v>1</v>
      </c>
      <c r="F215" s="0" t="s">
        <v>329</v>
      </c>
      <c r="G215" s="0" t="s">
        <v>3650</v>
      </c>
      <c r="I215" s="0" t="s">
        <v>535</v>
      </c>
    </row>
    <row r="216" customFormat="false" ht="15" hidden="false" customHeight="false" outlineLevel="0" collapsed="false">
      <c r="A216" s="0" t="s">
        <v>104</v>
      </c>
      <c r="B216" s="0" t="n">
        <v>2017</v>
      </c>
      <c r="C216" s="0" t="s">
        <v>62</v>
      </c>
      <c r="D216" s="0" t="n">
        <v>1658796</v>
      </c>
      <c r="E216" s="0" t="n">
        <v>1</v>
      </c>
      <c r="F216" s="0" t="s">
        <v>329</v>
      </c>
      <c r="G216" s="0" t="s">
        <v>3650</v>
      </c>
      <c r="I216" s="0" t="s">
        <v>536</v>
      </c>
    </row>
    <row r="217" customFormat="false" ht="15" hidden="false" customHeight="false" outlineLevel="0" collapsed="false">
      <c r="A217" s="0" t="s">
        <v>104</v>
      </c>
      <c r="B217" s="0" t="n">
        <v>2017</v>
      </c>
      <c r="C217" s="0" t="s">
        <v>247</v>
      </c>
      <c r="D217" s="0" t="n">
        <v>126190</v>
      </c>
      <c r="E217" s="0" t="n">
        <v>1</v>
      </c>
      <c r="F217" s="0" t="s">
        <v>329</v>
      </c>
      <c r="G217" s="0" t="s">
        <v>3650</v>
      </c>
      <c r="I217" s="0" t="s">
        <v>537</v>
      </c>
    </row>
    <row r="218" customFormat="false" ht="15" hidden="false" customHeight="false" outlineLevel="0" collapsed="false">
      <c r="A218" s="0" t="s">
        <v>104</v>
      </c>
      <c r="B218" s="0" t="n">
        <v>2017</v>
      </c>
      <c r="C218" s="0" t="s">
        <v>69</v>
      </c>
      <c r="D218" s="0" t="n">
        <v>17.74</v>
      </c>
      <c r="E218" s="0" t="n">
        <v>1</v>
      </c>
      <c r="F218" s="0" t="s">
        <v>329</v>
      </c>
      <c r="G218" s="0" t="s">
        <v>3650</v>
      </c>
      <c r="I218" s="0" t="s">
        <v>538</v>
      </c>
    </row>
    <row r="219" customFormat="false" ht="15" hidden="false" customHeight="false" outlineLevel="0" collapsed="false">
      <c r="A219" s="0" t="s">
        <v>104</v>
      </c>
      <c r="B219" s="0" t="n">
        <v>2017</v>
      </c>
      <c r="C219" s="0" t="s">
        <v>70</v>
      </c>
      <c r="D219" s="0" t="n">
        <v>15</v>
      </c>
      <c r="E219" s="0" t="n">
        <v>1</v>
      </c>
      <c r="F219" s="0" t="s">
        <v>329</v>
      </c>
      <c r="G219" s="0" t="s">
        <v>3650</v>
      </c>
      <c r="I219" s="0" t="s">
        <v>539</v>
      </c>
    </row>
    <row r="220" customFormat="false" ht="15" hidden="false" customHeight="false" outlineLevel="0" collapsed="false">
      <c r="A220" s="0" t="s">
        <v>104</v>
      </c>
      <c r="B220" s="0" t="n">
        <v>2017</v>
      </c>
      <c r="C220" s="0" t="s">
        <v>65</v>
      </c>
      <c r="D220" s="0" t="n">
        <v>535692</v>
      </c>
      <c r="E220" s="0" t="n">
        <v>1</v>
      </c>
      <c r="F220" s="0" t="s">
        <v>329</v>
      </c>
      <c r="G220" s="0" t="s">
        <v>3650</v>
      </c>
      <c r="I220" s="0" t="s">
        <v>540</v>
      </c>
    </row>
    <row r="221" customFormat="false" ht="15" hidden="false" customHeight="false" outlineLevel="0" collapsed="false">
      <c r="A221" s="0" t="s">
        <v>104</v>
      </c>
      <c r="B221" s="0" t="n">
        <v>2017</v>
      </c>
      <c r="C221" s="0" t="s">
        <v>66</v>
      </c>
      <c r="D221" s="0" t="n">
        <v>3019880</v>
      </c>
      <c r="E221" s="0" t="n">
        <v>1</v>
      </c>
      <c r="F221" s="0" t="s">
        <v>329</v>
      </c>
      <c r="G221" s="0" t="s">
        <v>3650</v>
      </c>
      <c r="I221" s="0" t="s">
        <v>541</v>
      </c>
    </row>
    <row r="222" customFormat="false" ht="15" hidden="false" customHeight="false" outlineLevel="0" collapsed="false">
      <c r="A222" s="0" t="s">
        <v>104</v>
      </c>
      <c r="B222" s="0" t="n">
        <v>2017</v>
      </c>
      <c r="C222" s="0" t="s">
        <v>402</v>
      </c>
      <c r="D222" s="0" t="n">
        <v>52263</v>
      </c>
      <c r="E222" s="0" t="n">
        <v>1</v>
      </c>
      <c r="F222" s="0" t="s">
        <v>329</v>
      </c>
      <c r="G222" s="0" t="s">
        <v>3650</v>
      </c>
      <c r="I222" s="0" t="s">
        <v>542</v>
      </c>
    </row>
    <row r="223" customFormat="false" ht="15" hidden="false" customHeight="false" outlineLevel="0" collapsed="false">
      <c r="A223" s="0" t="s">
        <v>104</v>
      </c>
      <c r="B223" s="0" t="n">
        <v>2017</v>
      </c>
      <c r="C223" s="0" t="s">
        <v>404</v>
      </c>
      <c r="D223" s="0" t="n">
        <v>133484</v>
      </c>
      <c r="E223" s="0" t="n">
        <v>1</v>
      </c>
      <c r="F223" s="0" t="s">
        <v>329</v>
      </c>
      <c r="G223" s="0" t="s">
        <v>3650</v>
      </c>
      <c r="I223" s="0" t="s">
        <v>543</v>
      </c>
    </row>
    <row r="224" customFormat="false" ht="15" hidden="false" customHeight="false" outlineLevel="0" collapsed="false">
      <c r="A224" s="0" t="s">
        <v>104</v>
      </c>
      <c r="B224" s="0" t="n">
        <v>2017</v>
      </c>
      <c r="C224" s="0" t="s">
        <v>406</v>
      </c>
      <c r="D224" s="0" t="n">
        <v>45235</v>
      </c>
      <c r="E224" s="0" t="n">
        <v>1</v>
      </c>
      <c r="F224" s="0" t="s">
        <v>329</v>
      </c>
      <c r="G224" s="0" t="s">
        <v>3650</v>
      </c>
      <c r="I224" s="0" t="s">
        <v>544</v>
      </c>
    </row>
    <row r="225" customFormat="false" ht="15" hidden="false" customHeight="false" outlineLevel="0" collapsed="false">
      <c r="A225" s="0" t="s">
        <v>109</v>
      </c>
      <c r="B225" s="0" t="n">
        <v>2013</v>
      </c>
      <c r="C225" s="0" t="s">
        <v>54</v>
      </c>
      <c r="D225" s="0" t="n">
        <v>85546</v>
      </c>
      <c r="E225" s="0" t="n">
        <v>1</v>
      </c>
      <c r="F225" s="0" t="s">
        <v>329</v>
      </c>
      <c r="G225" s="0" t="s">
        <v>3650</v>
      </c>
      <c r="I225" s="0" t="s">
        <v>1726</v>
      </c>
    </row>
    <row r="226" customFormat="false" ht="15" hidden="false" customHeight="false" outlineLevel="0" collapsed="false">
      <c r="A226" s="0" t="s">
        <v>109</v>
      </c>
      <c r="B226" s="0" t="n">
        <v>2013</v>
      </c>
      <c r="C226" s="0" t="s">
        <v>55</v>
      </c>
      <c r="D226" s="0" t="n">
        <v>1904366</v>
      </c>
      <c r="E226" s="0" t="n">
        <v>1</v>
      </c>
      <c r="F226" s="0" t="s">
        <v>329</v>
      </c>
      <c r="G226" s="0" t="s">
        <v>3650</v>
      </c>
      <c r="I226" s="0" t="s">
        <v>1727</v>
      </c>
    </row>
    <row r="227" customFormat="false" ht="15" hidden="false" customHeight="false" outlineLevel="0" collapsed="false">
      <c r="A227" s="0" t="s">
        <v>109</v>
      </c>
      <c r="B227" s="0" t="n">
        <v>2013</v>
      </c>
      <c r="C227" s="0" t="s">
        <v>56</v>
      </c>
      <c r="D227" s="0" t="n">
        <v>1574719</v>
      </c>
      <c r="E227" s="0" t="n">
        <v>1</v>
      </c>
      <c r="F227" s="0" t="s">
        <v>329</v>
      </c>
      <c r="G227" s="0" t="s">
        <v>3650</v>
      </c>
      <c r="I227" s="0" t="s">
        <v>1729</v>
      </c>
    </row>
    <row r="228" customFormat="false" ht="15" hidden="false" customHeight="false" outlineLevel="0" collapsed="false">
      <c r="A228" s="0" t="s">
        <v>109</v>
      </c>
      <c r="B228" s="0" t="n">
        <v>2013</v>
      </c>
      <c r="C228" s="0" t="s">
        <v>57</v>
      </c>
      <c r="D228" s="0" t="n">
        <v>329647</v>
      </c>
      <c r="E228" s="0" t="n">
        <v>1</v>
      </c>
      <c r="F228" s="0" t="s">
        <v>329</v>
      </c>
      <c r="G228" s="0" t="s">
        <v>3650</v>
      </c>
      <c r="I228" s="0" t="s">
        <v>1728</v>
      </c>
    </row>
    <row r="229" customFormat="false" ht="15" hidden="false" customHeight="false" outlineLevel="0" collapsed="false">
      <c r="A229" s="0" t="s">
        <v>109</v>
      </c>
      <c r="B229" s="0" t="n">
        <v>2013</v>
      </c>
      <c r="C229" s="0" t="s">
        <v>247</v>
      </c>
      <c r="D229" s="0" t="n">
        <v>2913</v>
      </c>
      <c r="E229" s="0" t="n">
        <v>1</v>
      </c>
      <c r="F229" s="0" t="s">
        <v>329</v>
      </c>
      <c r="G229" s="0" t="s">
        <v>3650</v>
      </c>
      <c r="I229" s="0" t="s">
        <v>1719</v>
      </c>
    </row>
    <row r="230" customFormat="false" ht="15" hidden="false" customHeight="false" outlineLevel="0" collapsed="false">
      <c r="A230" s="0" t="s">
        <v>109</v>
      </c>
      <c r="B230" s="0" t="n">
        <v>2013</v>
      </c>
      <c r="C230" s="0" t="s">
        <v>64</v>
      </c>
      <c r="D230" s="0" t="n">
        <v>27707</v>
      </c>
      <c r="E230" s="0" t="n">
        <v>1</v>
      </c>
      <c r="F230" s="0" t="s">
        <v>329</v>
      </c>
      <c r="G230" s="0" t="s">
        <v>3650</v>
      </c>
      <c r="I230" s="0" t="s">
        <v>1721</v>
      </c>
    </row>
    <row r="231" customFormat="false" ht="15" hidden="false" customHeight="false" outlineLevel="0" collapsed="false">
      <c r="A231" s="0" t="s">
        <v>109</v>
      </c>
      <c r="B231" s="0" t="n">
        <v>2013</v>
      </c>
      <c r="C231" s="0" t="s">
        <v>266</v>
      </c>
      <c r="D231" s="0" t="n">
        <v>2.93</v>
      </c>
      <c r="E231" s="0" t="n">
        <v>1</v>
      </c>
      <c r="F231" s="0" t="s">
        <v>329</v>
      </c>
      <c r="G231" s="0" t="s">
        <v>3650</v>
      </c>
      <c r="I231" s="0" t="s">
        <v>1722</v>
      </c>
    </row>
    <row r="232" customFormat="false" ht="15" hidden="false" customHeight="false" outlineLevel="0" collapsed="false">
      <c r="A232" s="0" t="s">
        <v>109</v>
      </c>
      <c r="B232" s="0" t="n">
        <v>2014</v>
      </c>
      <c r="C232" s="0" t="s">
        <v>54</v>
      </c>
      <c r="D232" s="0" t="n">
        <v>93432</v>
      </c>
      <c r="E232" s="0" t="n">
        <v>1</v>
      </c>
      <c r="F232" s="0" t="s">
        <v>329</v>
      </c>
      <c r="G232" s="0" t="s">
        <v>3650</v>
      </c>
      <c r="I232" s="0" t="s">
        <v>1737</v>
      </c>
    </row>
    <row r="233" customFormat="false" ht="15" hidden="false" customHeight="false" outlineLevel="0" collapsed="false">
      <c r="A233" s="0" t="s">
        <v>109</v>
      </c>
      <c r="B233" s="0" t="n">
        <v>2014</v>
      </c>
      <c r="C233" s="0" t="s">
        <v>55</v>
      </c>
      <c r="D233" s="0" t="n">
        <v>2126608</v>
      </c>
      <c r="E233" s="0" t="n">
        <v>1</v>
      </c>
      <c r="F233" s="0" t="s">
        <v>329</v>
      </c>
      <c r="G233" s="0" t="s">
        <v>3650</v>
      </c>
      <c r="I233" s="0" t="s">
        <v>1738</v>
      </c>
    </row>
    <row r="234" customFormat="false" ht="15" hidden="false" customHeight="false" outlineLevel="0" collapsed="false">
      <c r="A234" s="0" t="s">
        <v>109</v>
      </c>
      <c r="B234" s="0" t="n">
        <v>2014</v>
      </c>
      <c r="C234" s="0" t="s">
        <v>56</v>
      </c>
      <c r="D234" s="0" t="n">
        <v>1757078</v>
      </c>
      <c r="E234" s="0" t="n">
        <v>1</v>
      </c>
      <c r="F234" s="0" t="s">
        <v>329</v>
      </c>
      <c r="G234" s="0" t="s">
        <v>3650</v>
      </c>
      <c r="I234" s="0" t="s">
        <v>1740</v>
      </c>
    </row>
    <row r="235" customFormat="false" ht="15" hidden="false" customHeight="false" outlineLevel="0" collapsed="false">
      <c r="A235" s="0" t="s">
        <v>109</v>
      </c>
      <c r="B235" s="0" t="n">
        <v>2014</v>
      </c>
      <c r="C235" s="0" t="s">
        <v>57</v>
      </c>
      <c r="D235" s="0" t="n">
        <v>369530</v>
      </c>
      <c r="E235" s="0" t="n">
        <v>1</v>
      </c>
      <c r="F235" s="0" t="s">
        <v>329</v>
      </c>
      <c r="G235" s="0" t="s">
        <v>3650</v>
      </c>
      <c r="I235" s="0" t="s">
        <v>1739</v>
      </c>
    </row>
    <row r="236" customFormat="false" ht="15" hidden="false" customHeight="false" outlineLevel="0" collapsed="false">
      <c r="A236" s="0" t="s">
        <v>109</v>
      </c>
      <c r="B236" s="0" t="n">
        <v>2014</v>
      </c>
      <c r="C236" s="0" t="s">
        <v>59</v>
      </c>
      <c r="D236" s="0" t="n">
        <v>1904366</v>
      </c>
      <c r="E236" s="0" t="n">
        <v>1</v>
      </c>
      <c r="F236" s="0" t="s">
        <v>329</v>
      </c>
      <c r="G236" s="0" t="s">
        <v>3651</v>
      </c>
      <c r="I236" s="0" t="s">
        <v>1727</v>
      </c>
    </row>
    <row r="237" customFormat="false" ht="15" hidden="false" customHeight="false" outlineLevel="0" collapsed="false">
      <c r="A237" s="0" t="s">
        <v>109</v>
      </c>
      <c r="B237" s="0" t="n">
        <v>2014</v>
      </c>
      <c r="C237" s="0" t="s">
        <v>247</v>
      </c>
      <c r="D237" s="0" t="n">
        <v>6184</v>
      </c>
      <c r="E237" s="0" t="n">
        <v>1</v>
      </c>
      <c r="F237" s="0" t="s">
        <v>329</v>
      </c>
      <c r="G237" s="0" t="s">
        <v>3650</v>
      </c>
      <c r="I237" s="0" t="s">
        <v>1732</v>
      </c>
    </row>
    <row r="238" customFormat="false" ht="15" hidden="false" customHeight="false" outlineLevel="0" collapsed="false">
      <c r="A238" s="0" t="s">
        <v>109</v>
      </c>
      <c r="B238" s="0" t="n">
        <v>2014</v>
      </c>
      <c r="C238" s="0" t="s">
        <v>64</v>
      </c>
      <c r="D238" s="0" t="n">
        <v>32616</v>
      </c>
      <c r="E238" s="0" t="n">
        <v>1</v>
      </c>
      <c r="F238" s="0" t="s">
        <v>329</v>
      </c>
      <c r="G238" s="0" t="s">
        <v>3650</v>
      </c>
      <c r="I238" s="0" t="s">
        <v>1734</v>
      </c>
    </row>
    <row r="239" customFormat="false" ht="15" hidden="false" customHeight="false" outlineLevel="0" collapsed="false">
      <c r="A239" s="0" t="s">
        <v>109</v>
      </c>
      <c r="B239" s="0" t="n">
        <v>2014</v>
      </c>
      <c r="C239" s="0" t="s">
        <v>266</v>
      </c>
      <c r="D239" s="0" t="n">
        <v>2.7</v>
      </c>
      <c r="E239" s="0" t="n">
        <v>1</v>
      </c>
      <c r="F239" s="0" t="s">
        <v>329</v>
      </c>
      <c r="G239" s="0" t="s">
        <v>3650</v>
      </c>
      <c r="I239" s="0" t="s">
        <v>1735</v>
      </c>
    </row>
    <row r="240" customFormat="false" ht="15" hidden="false" customHeight="false" outlineLevel="0" collapsed="false">
      <c r="A240" s="0" t="s">
        <v>109</v>
      </c>
      <c r="B240" s="0" t="n">
        <v>2017</v>
      </c>
      <c r="C240" s="0" t="s">
        <v>54</v>
      </c>
      <c r="D240" s="0" t="n">
        <v>158727.705</v>
      </c>
      <c r="E240" s="0" t="n">
        <v>1</v>
      </c>
      <c r="F240" s="0" t="s">
        <v>329</v>
      </c>
      <c r="G240" s="0" t="s">
        <v>3650</v>
      </c>
      <c r="I240" s="0" t="s">
        <v>545</v>
      </c>
    </row>
    <row r="241" customFormat="false" ht="15" hidden="false" customHeight="false" outlineLevel="0" collapsed="false">
      <c r="A241" s="0" t="s">
        <v>109</v>
      </c>
      <c r="B241" s="0" t="n">
        <v>2017</v>
      </c>
      <c r="C241" s="0" t="s">
        <v>55</v>
      </c>
      <c r="D241" s="0" t="n">
        <v>2824928.985</v>
      </c>
      <c r="E241" s="0" t="n">
        <v>1</v>
      </c>
      <c r="F241" s="0" t="s">
        <v>329</v>
      </c>
      <c r="G241" s="0" t="s">
        <v>3650</v>
      </c>
      <c r="I241" s="0" t="s">
        <v>546</v>
      </c>
    </row>
    <row r="242" customFormat="false" ht="15" hidden="false" customHeight="false" outlineLevel="0" collapsed="false">
      <c r="A242" s="0" t="s">
        <v>109</v>
      </c>
      <c r="B242" s="0" t="n">
        <v>2017</v>
      </c>
      <c r="C242" s="0" t="s">
        <v>56</v>
      </c>
      <c r="D242" s="0" t="n">
        <v>2246352.209</v>
      </c>
      <c r="E242" s="0" t="n">
        <v>1</v>
      </c>
      <c r="F242" s="0" t="s">
        <v>329</v>
      </c>
      <c r="G242" s="0" t="s">
        <v>3650</v>
      </c>
      <c r="I242" s="0" t="s">
        <v>547</v>
      </c>
    </row>
    <row r="243" customFormat="false" ht="15" hidden="false" customHeight="false" outlineLevel="0" collapsed="false">
      <c r="A243" s="0" t="s">
        <v>109</v>
      </c>
      <c r="B243" s="0" t="n">
        <v>2017</v>
      </c>
      <c r="C243" s="0" t="s">
        <v>57</v>
      </c>
      <c r="D243" s="0" t="n">
        <v>578576.776</v>
      </c>
      <c r="E243" s="0" t="n">
        <v>1</v>
      </c>
      <c r="F243" s="0" t="s">
        <v>329</v>
      </c>
      <c r="G243" s="0" t="s">
        <v>3650</v>
      </c>
      <c r="I243" s="0" t="s">
        <v>548</v>
      </c>
    </row>
    <row r="244" customFormat="false" ht="15" hidden="false" customHeight="false" outlineLevel="0" collapsed="false">
      <c r="A244" s="0" t="s">
        <v>109</v>
      </c>
      <c r="B244" s="0" t="n">
        <v>2017</v>
      </c>
      <c r="C244" s="0" t="s">
        <v>58</v>
      </c>
      <c r="D244" s="0" t="n">
        <v>353397.327</v>
      </c>
      <c r="E244" s="0" t="n">
        <v>1</v>
      </c>
      <c r="F244" s="0" t="s">
        <v>329</v>
      </c>
      <c r="G244" s="0" t="s">
        <v>3650</v>
      </c>
      <c r="I244" s="0" t="s">
        <v>549</v>
      </c>
    </row>
    <row r="245" customFormat="false" ht="15" hidden="false" customHeight="false" outlineLevel="0" collapsed="false">
      <c r="A245" s="0" t="s">
        <v>109</v>
      </c>
      <c r="B245" s="0" t="n">
        <v>2017</v>
      </c>
      <c r="C245" s="0" t="s">
        <v>59</v>
      </c>
      <c r="D245" s="0" t="n">
        <v>2613340.074</v>
      </c>
      <c r="E245" s="0" t="n">
        <v>1</v>
      </c>
      <c r="F245" s="0" t="s">
        <v>329</v>
      </c>
      <c r="G245" s="0" t="s">
        <v>3650</v>
      </c>
      <c r="I245" s="0" t="s">
        <v>550</v>
      </c>
    </row>
    <row r="246" customFormat="false" ht="15" hidden="false" customHeight="false" outlineLevel="0" collapsed="false">
      <c r="A246" s="0" t="s">
        <v>109</v>
      </c>
      <c r="B246" s="0" t="n">
        <v>2017</v>
      </c>
      <c r="C246" s="0" t="s">
        <v>60</v>
      </c>
      <c r="D246" s="0" t="n">
        <v>1326250.395</v>
      </c>
      <c r="E246" s="0" t="n">
        <v>1</v>
      </c>
      <c r="F246" s="0" t="s">
        <v>329</v>
      </c>
      <c r="G246" s="0" t="s">
        <v>3650</v>
      </c>
      <c r="I246" s="0" t="s">
        <v>552</v>
      </c>
    </row>
    <row r="247" customFormat="false" ht="15" hidden="false" customHeight="false" outlineLevel="0" collapsed="false">
      <c r="A247" s="0" t="s">
        <v>109</v>
      </c>
      <c r="B247" s="0" t="n">
        <v>2017</v>
      </c>
      <c r="C247" s="0" t="s">
        <v>61</v>
      </c>
      <c r="D247" s="0" t="n">
        <v>60278.707</v>
      </c>
      <c r="E247" s="0" t="n">
        <v>1</v>
      </c>
      <c r="F247" s="0" t="s">
        <v>329</v>
      </c>
      <c r="G247" s="0" t="s">
        <v>3650</v>
      </c>
      <c r="I247" s="0" t="s">
        <v>553</v>
      </c>
    </row>
    <row r="248" customFormat="false" ht="15" hidden="false" customHeight="false" outlineLevel="0" collapsed="false">
      <c r="A248" s="0" t="s">
        <v>109</v>
      </c>
      <c r="B248" s="0" t="n">
        <v>2017</v>
      </c>
      <c r="C248" s="0" t="s">
        <v>62</v>
      </c>
      <c r="D248" s="0" t="n">
        <v>1265971.688</v>
      </c>
      <c r="E248" s="0" t="n">
        <v>1</v>
      </c>
      <c r="F248" s="0" t="s">
        <v>329</v>
      </c>
      <c r="G248" s="0" t="s">
        <v>3650</v>
      </c>
      <c r="I248" s="0" t="s">
        <v>554</v>
      </c>
    </row>
    <row r="249" customFormat="false" ht="15" hidden="false" customHeight="false" outlineLevel="0" collapsed="false">
      <c r="A249" s="0" t="s">
        <v>109</v>
      </c>
      <c r="B249" s="0" t="n">
        <v>2017</v>
      </c>
      <c r="C249" s="0" t="s">
        <v>63</v>
      </c>
      <c r="D249" s="0" t="n">
        <v>11531.292</v>
      </c>
      <c r="E249" s="0" t="n">
        <v>1</v>
      </c>
      <c r="F249" s="0" t="s">
        <v>329</v>
      </c>
      <c r="G249" s="0" t="s">
        <v>3650</v>
      </c>
      <c r="I249" s="0" t="s">
        <v>555</v>
      </c>
    </row>
    <row r="250" customFormat="false" ht="15" hidden="false" customHeight="false" outlineLevel="0" collapsed="false">
      <c r="A250" s="0" t="s">
        <v>109</v>
      </c>
      <c r="B250" s="0" t="n">
        <v>2017</v>
      </c>
      <c r="C250" s="0" t="s">
        <v>247</v>
      </c>
      <c r="D250" s="0" t="n">
        <v>10834.612</v>
      </c>
      <c r="E250" s="0" t="n">
        <v>1</v>
      </c>
      <c r="F250" s="0" t="s">
        <v>329</v>
      </c>
      <c r="G250" s="0" t="s">
        <v>3650</v>
      </c>
      <c r="I250" s="0" t="s">
        <v>556</v>
      </c>
    </row>
    <row r="251" customFormat="false" ht="15" hidden="false" customHeight="false" outlineLevel="0" collapsed="false">
      <c r="A251" s="0" t="s">
        <v>109</v>
      </c>
      <c r="B251" s="0" t="n">
        <v>2017</v>
      </c>
      <c r="C251" s="0" t="s">
        <v>557</v>
      </c>
      <c r="D251" s="0" t="n">
        <v>696.68</v>
      </c>
      <c r="E251" s="0" t="n">
        <v>1</v>
      </c>
      <c r="F251" s="0" t="s">
        <v>329</v>
      </c>
      <c r="G251" s="0" t="s">
        <v>3650</v>
      </c>
      <c r="I251" s="0" t="s">
        <v>558</v>
      </c>
    </row>
    <row r="252" customFormat="false" ht="15" hidden="false" customHeight="false" outlineLevel="0" collapsed="false">
      <c r="A252" s="0" t="s">
        <v>109</v>
      </c>
      <c r="B252" s="0" t="n">
        <v>2017</v>
      </c>
      <c r="C252" s="0" t="s">
        <v>402</v>
      </c>
      <c r="D252" s="0" t="n">
        <v>183647.629</v>
      </c>
      <c r="E252" s="0" t="n">
        <v>1</v>
      </c>
      <c r="F252" s="0" t="s">
        <v>329</v>
      </c>
      <c r="G252" s="0" t="s">
        <v>3650</v>
      </c>
      <c r="I252" s="0" t="s">
        <v>559</v>
      </c>
    </row>
    <row r="253" customFormat="false" ht="15" hidden="false" customHeight="false" outlineLevel="0" collapsed="false">
      <c r="A253" s="0" t="s">
        <v>109</v>
      </c>
      <c r="B253" s="0" t="n">
        <v>2018</v>
      </c>
      <c r="C253" s="0" t="s">
        <v>54</v>
      </c>
      <c r="D253" s="0" t="n">
        <v>166919.765</v>
      </c>
      <c r="E253" s="0" t="n">
        <v>1</v>
      </c>
      <c r="F253" s="0" t="s">
        <v>329</v>
      </c>
      <c r="G253" s="0" t="s">
        <v>3650</v>
      </c>
      <c r="I253" s="0" t="s">
        <v>560</v>
      </c>
    </row>
    <row r="254" customFormat="false" ht="15" hidden="false" customHeight="false" outlineLevel="0" collapsed="false">
      <c r="A254" s="0" t="s">
        <v>109</v>
      </c>
      <c r="B254" s="0" t="n">
        <v>2018</v>
      </c>
      <c r="C254" s="0" t="s">
        <v>55</v>
      </c>
      <c r="D254" s="0" t="n">
        <v>2712521.494</v>
      </c>
      <c r="E254" s="0" t="n">
        <v>1</v>
      </c>
      <c r="F254" s="0" t="s">
        <v>329</v>
      </c>
      <c r="G254" s="0" t="s">
        <v>3650</v>
      </c>
      <c r="I254" s="0" t="s">
        <v>561</v>
      </c>
    </row>
    <row r="255" customFormat="false" ht="15" hidden="false" customHeight="false" outlineLevel="0" collapsed="false">
      <c r="A255" s="0" t="s">
        <v>109</v>
      </c>
      <c r="B255" s="0" t="n">
        <v>2018</v>
      </c>
      <c r="C255" s="0" t="s">
        <v>56</v>
      </c>
      <c r="D255" s="0" t="n">
        <v>2200679.235</v>
      </c>
      <c r="E255" s="0" t="n">
        <v>1</v>
      </c>
      <c r="F255" s="0" t="s">
        <v>329</v>
      </c>
      <c r="G255" s="0" t="s">
        <v>3650</v>
      </c>
      <c r="I255" s="0" t="s">
        <v>562</v>
      </c>
    </row>
    <row r="256" customFormat="false" ht="15" hidden="false" customHeight="false" outlineLevel="0" collapsed="false">
      <c r="A256" s="0" t="s">
        <v>109</v>
      </c>
      <c r="B256" s="0" t="n">
        <v>2018</v>
      </c>
      <c r="C256" s="0" t="s">
        <v>57</v>
      </c>
      <c r="D256" s="0" t="n">
        <v>511842.259</v>
      </c>
      <c r="E256" s="0" t="n">
        <v>1</v>
      </c>
      <c r="F256" s="0" t="s">
        <v>329</v>
      </c>
      <c r="G256" s="0" t="s">
        <v>3650</v>
      </c>
      <c r="I256" s="0" t="s">
        <v>563</v>
      </c>
    </row>
    <row r="257" customFormat="false" ht="15" hidden="false" customHeight="false" outlineLevel="0" collapsed="false">
      <c r="A257" s="0" t="s">
        <v>109</v>
      </c>
      <c r="B257" s="0" t="n">
        <v>2018</v>
      </c>
      <c r="C257" s="0" t="s">
        <v>58</v>
      </c>
      <c r="D257" s="0" t="n">
        <v>224625.664</v>
      </c>
      <c r="E257" s="0" t="n">
        <v>1</v>
      </c>
      <c r="F257" s="0" t="s">
        <v>329</v>
      </c>
      <c r="G257" s="0" t="s">
        <v>3650</v>
      </c>
      <c r="I257" s="0" t="s">
        <v>565</v>
      </c>
    </row>
    <row r="258" customFormat="false" ht="15" hidden="false" customHeight="false" outlineLevel="0" collapsed="false">
      <c r="A258" s="0" t="s">
        <v>109</v>
      </c>
      <c r="B258" s="0" t="n">
        <v>2018</v>
      </c>
      <c r="C258" s="0" t="s">
        <v>59</v>
      </c>
      <c r="D258" s="0" t="n">
        <v>2824928.985</v>
      </c>
      <c r="E258" s="0" t="n">
        <v>1</v>
      </c>
      <c r="F258" s="0" t="s">
        <v>329</v>
      </c>
      <c r="G258" s="0" t="s">
        <v>3650</v>
      </c>
      <c r="I258" s="0" t="s">
        <v>566</v>
      </c>
    </row>
    <row r="259" customFormat="false" ht="15" hidden="false" customHeight="false" outlineLevel="0" collapsed="false">
      <c r="A259" s="0" t="s">
        <v>109</v>
      </c>
      <c r="B259" s="0" t="n">
        <v>2018</v>
      </c>
      <c r="C259" s="0" t="s">
        <v>60</v>
      </c>
      <c r="D259" s="0" t="n">
        <v>1158980.803</v>
      </c>
      <c r="E259" s="0" t="n">
        <v>1</v>
      </c>
      <c r="F259" s="0" t="s">
        <v>329</v>
      </c>
      <c r="G259" s="0" t="s">
        <v>3650</v>
      </c>
      <c r="I259" s="0" t="s">
        <v>568</v>
      </c>
    </row>
    <row r="260" customFormat="false" ht="15" hidden="false" customHeight="false" outlineLevel="0" collapsed="false">
      <c r="A260" s="0" t="s">
        <v>109</v>
      </c>
      <c r="B260" s="0" t="n">
        <v>2018</v>
      </c>
      <c r="C260" s="0" t="s">
        <v>61</v>
      </c>
      <c r="D260" s="0" t="n">
        <v>90981.784</v>
      </c>
      <c r="E260" s="0" t="n">
        <v>1</v>
      </c>
      <c r="F260" s="0" t="s">
        <v>329</v>
      </c>
      <c r="G260" s="0" t="s">
        <v>3650</v>
      </c>
      <c r="I260" s="0" t="s">
        <v>569</v>
      </c>
    </row>
    <row r="261" customFormat="false" ht="15" hidden="false" customHeight="false" outlineLevel="0" collapsed="false">
      <c r="A261" s="0" t="s">
        <v>109</v>
      </c>
      <c r="B261" s="0" t="n">
        <v>2018</v>
      </c>
      <c r="C261" s="0" t="s">
        <v>62</v>
      </c>
      <c r="D261" s="0" t="n">
        <v>1067999.019</v>
      </c>
      <c r="E261" s="0" t="n">
        <v>1</v>
      </c>
      <c r="F261" s="0" t="s">
        <v>329</v>
      </c>
      <c r="G261" s="0" t="s">
        <v>3650</v>
      </c>
      <c r="I261" s="0" t="s">
        <v>570</v>
      </c>
    </row>
    <row r="262" customFormat="false" ht="15" hidden="false" customHeight="false" outlineLevel="0" collapsed="false">
      <c r="A262" s="0" t="s">
        <v>109</v>
      </c>
      <c r="B262" s="0" t="n">
        <v>2018</v>
      </c>
      <c r="C262" s="0" t="s">
        <v>63</v>
      </c>
      <c r="D262" s="0" t="n">
        <v>1384.004</v>
      </c>
      <c r="E262" s="0" t="n">
        <v>1</v>
      </c>
      <c r="F262" s="0" t="s">
        <v>329</v>
      </c>
      <c r="G262" s="0" t="s">
        <v>3650</v>
      </c>
      <c r="I262" s="0" t="s">
        <v>571</v>
      </c>
    </row>
    <row r="263" customFormat="false" ht="15" hidden="false" customHeight="false" outlineLevel="0" collapsed="false">
      <c r="A263" s="0" t="s">
        <v>109</v>
      </c>
      <c r="B263" s="0" t="n">
        <v>2018</v>
      </c>
      <c r="C263" s="0" t="s">
        <v>247</v>
      </c>
      <c r="D263" s="0" t="n">
        <v>1504.303</v>
      </c>
      <c r="E263" s="0" t="n">
        <v>1</v>
      </c>
      <c r="F263" s="0" t="s">
        <v>329</v>
      </c>
      <c r="G263" s="0" t="s">
        <v>3650</v>
      </c>
      <c r="I263" s="0" t="s">
        <v>572</v>
      </c>
    </row>
    <row r="264" customFormat="false" ht="15" hidden="false" customHeight="false" outlineLevel="0" collapsed="false">
      <c r="A264" s="0" t="s">
        <v>109</v>
      </c>
      <c r="B264" s="0" t="n">
        <v>2018</v>
      </c>
      <c r="C264" s="0" t="s">
        <v>557</v>
      </c>
      <c r="D264" s="0" t="n">
        <v>-120.299</v>
      </c>
      <c r="E264" s="0" t="n">
        <v>1</v>
      </c>
      <c r="F264" s="0" t="s">
        <v>329</v>
      </c>
      <c r="G264" s="0" t="s">
        <v>3650</v>
      </c>
      <c r="I264" s="0" t="s">
        <v>573</v>
      </c>
    </row>
    <row r="265" customFormat="false" ht="15" hidden="false" customHeight="false" outlineLevel="0" collapsed="false">
      <c r="A265" s="0" t="s">
        <v>109</v>
      </c>
      <c r="B265" s="0" t="n">
        <v>2018</v>
      </c>
      <c r="C265" s="0" t="s">
        <v>73</v>
      </c>
      <c r="D265" s="0" t="n">
        <v>0</v>
      </c>
      <c r="E265" s="0" t="n">
        <v>1</v>
      </c>
      <c r="F265" s="0" t="s">
        <v>329</v>
      </c>
      <c r="G265" s="0" t="s">
        <v>3650</v>
      </c>
      <c r="I265" s="0" t="s">
        <v>575</v>
      </c>
    </row>
    <row r="266" customFormat="false" ht="15" hidden="false" customHeight="false" outlineLevel="0" collapsed="false">
      <c r="A266" s="0" t="s">
        <v>109</v>
      </c>
      <c r="B266" s="0" t="n">
        <v>2018</v>
      </c>
      <c r="C266" s="0" t="s">
        <v>68</v>
      </c>
      <c r="D266" s="0" t="n">
        <v>74667.995</v>
      </c>
      <c r="E266" s="0" t="n">
        <v>1</v>
      </c>
      <c r="F266" s="0" t="s">
        <v>329</v>
      </c>
      <c r="G266" s="0" t="s">
        <v>3650</v>
      </c>
      <c r="I266" s="0" t="s">
        <v>576</v>
      </c>
    </row>
    <row r="267" customFormat="false" ht="15" hidden="false" customHeight="false" outlineLevel="0" collapsed="false">
      <c r="A267" s="0" t="s">
        <v>109</v>
      </c>
      <c r="B267" s="0" t="n">
        <v>2018</v>
      </c>
      <c r="C267" s="0" t="s">
        <v>402</v>
      </c>
      <c r="D267" s="0" t="n">
        <v>190209.286</v>
      </c>
      <c r="E267" s="0" t="n">
        <v>1</v>
      </c>
      <c r="F267" s="0" t="s">
        <v>329</v>
      </c>
      <c r="G267" s="0" t="s">
        <v>3650</v>
      </c>
      <c r="I267" s="0" t="s">
        <v>577</v>
      </c>
    </row>
    <row r="268" customFormat="false" ht="15" hidden="false" customHeight="false" outlineLevel="0" collapsed="false">
      <c r="A268" s="0" t="s">
        <v>109</v>
      </c>
      <c r="B268" s="0" t="n">
        <v>2019</v>
      </c>
      <c r="C268" s="0" t="s">
        <v>54</v>
      </c>
      <c r="D268" s="0" t="n">
        <v>175125.281</v>
      </c>
      <c r="E268" s="0" t="n">
        <v>1</v>
      </c>
      <c r="F268" s="0" t="s">
        <v>329</v>
      </c>
      <c r="G268" s="0" t="s">
        <v>3650</v>
      </c>
      <c r="I268" s="0" t="s">
        <v>578</v>
      </c>
    </row>
    <row r="269" customFormat="false" ht="15" hidden="false" customHeight="false" outlineLevel="0" collapsed="false">
      <c r="A269" s="0" t="s">
        <v>109</v>
      </c>
      <c r="B269" s="0" t="n">
        <v>2019</v>
      </c>
      <c r="C269" s="0" t="s">
        <v>55</v>
      </c>
      <c r="D269" s="0" t="n">
        <v>3097248.495</v>
      </c>
      <c r="E269" s="0" t="n">
        <v>1</v>
      </c>
      <c r="F269" s="0" t="s">
        <v>329</v>
      </c>
      <c r="G269" s="0" t="s">
        <v>3650</v>
      </c>
      <c r="I269" s="0" t="s">
        <v>579</v>
      </c>
    </row>
    <row r="270" customFormat="false" ht="15" hidden="false" customHeight="false" outlineLevel="0" collapsed="false">
      <c r="A270" s="0" t="s">
        <v>109</v>
      </c>
      <c r="B270" s="0" t="n">
        <v>2019</v>
      </c>
      <c r="C270" s="0" t="s">
        <v>56</v>
      </c>
      <c r="D270" s="0" t="n">
        <v>2491358.899</v>
      </c>
      <c r="E270" s="0" t="n">
        <v>1</v>
      </c>
      <c r="F270" s="0" t="s">
        <v>329</v>
      </c>
      <c r="G270" s="0" t="s">
        <v>3650</v>
      </c>
      <c r="I270" s="0" t="s">
        <v>580</v>
      </c>
    </row>
    <row r="271" customFormat="false" ht="15" hidden="false" customHeight="false" outlineLevel="0" collapsed="false">
      <c r="A271" s="0" t="s">
        <v>109</v>
      </c>
      <c r="B271" s="0" t="n">
        <v>2019</v>
      </c>
      <c r="C271" s="0" t="s">
        <v>57</v>
      </c>
      <c r="D271" s="0" t="n">
        <v>605889.596</v>
      </c>
      <c r="E271" s="0" t="n">
        <v>1</v>
      </c>
      <c r="F271" s="0" t="s">
        <v>329</v>
      </c>
      <c r="G271" s="0" t="s">
        <v>3650</v>
      </c>
      <c r="I271" s="0" t="s">
        <v>581</v>
      </c>
    </row>
    <row r="272" customFormat="false" ht="15" hidden="false" customHeight="false" outlineLevel="0" collapsed="false">
      <c r="A272" s="0" t="s">
        <v>109</v>
      </c>
      <c r="B272" s="0" t="n">
        <v>2019</v>
      </c>
      <c r="C272" s="0" t="s">
        <v>58</v>
      </c>
      <c r="D272" s="0" t="n">
        <v>197853.667</v>
      </c>
      <c r="E272" s="0" t="n">
        <v>1</v>
      </c>
      <c r="F272" s="0" t="s">
        <v>329</v>
      </c>
      <c r="G272" s="0" t="s">
        <v>3650</v>
      </c>
      <c r="I272" s="0" t="s">
        <v>582</v>
      </c>
    </row>
    <row r="273" customFormat="false" ht="15" hidden="false" customHeight="false" outlineLevel="0" collapsed="false">
      <c r="A273" s="0" t="s">
        <v>109</v>
      </c>
      <c r="B273" s="0" t="n">
        <v>2019</v>
      </c>
      <c r="C273" s="0" t="s">
        <v>59</v>
      </c>
      <c r="D273" s="0" t="n">
        <v>2712521.494</v>
      </c>
      <c r="E273" s="0" t="n">
        <v>1</v>
      </c>
      <c r="F273" s="0" t="s">
        <v>329</v>
      </c>
      <c r="G273" s="0" t="s">
        <v>3650</v>
      </c>
      <c r="I273" s="0" t="s">
        <v>583</v>
      </c>
    </row>
    <row r="274" customFormat="false" ht="15" hidden="false" customHeight="false" outlineLevel="0" collapsed="false">
      <c r="A274" s="0" t="s">
        <v>109</v>
      </c>
      <c r="B274" s="0" t="n">
        <v>2019</v>
      </c>
      <c r="C274" s="0" t="s">
        <v>60</v>
      </c>
      <c r="D274" s="0" t="n">
        <v>1357066.246</v>
      </c>
      <c r="E274" s="0" t="n">
        <v>1</v>
      </c>
      <c r="F274" s="0" t="s">
        <v>329</v>
      </c>
      <c r="G274" s="0" t="s">
        <v>3650</v>
      </c>
      <c r="I274" s="0" t="s">
        <v>584</v>
      </c>
    </row>
    <row r="275" customFormat="false" ht="15" hidden="false" customHeight="false" outlineLevel="0" collapsed="false">
      <c r="A275" s="0" t="s">
        <v>109</v>
      </c>
      <c r="B275" s="0" t="n">
        <v>2019</v>
      </c>
      <c r="C275" s="0" t="s">
        <v>61</v>
      </c>
      <c r="D275" s="0" t="n">
        <v>56245.599</v>
      </c>
      <c r="E275" s="0" t="n">
        <v>1</v>
      </c>
      <c r="F275" s="0" t="s">
        <v>329</v>
      </c>
      <c r="G275" s="0" t="s">
        <v>3650</v>
      </c>
      <c r="I275" s="0" t="s">
        <v>585</v>
      </c>
    </row>
    <row r="276" customFormat="false" ht="15" hidden="false" customHeight="false" outlineLevel="0" collapsed="false">
      <c r="A276" s="0" t="s">
        <v>109</v>
      </c>
      <c r="B276" s="0" t="n">
        <v>2019</v>
      </c>
      <c r="C276" s="0" t="s">
        <v>62</v>
      </c>
      <c r="D276" s="0" t="n">
        <v>1300820.647</v>
      </c>
      <c r="E276" s="0" t="n">
        <v>1</v>
      </c>
      <c r="F276" s="0" t="s">
        <v>329</v>
      </c>
      <c r="G276" s="0" t="s">
        <v>3650</v>
      </c>
      <c r="I276" s="0" t="s">
        <v>586</v>
      </c>
    </row>
    <row r="277" customFormat="false" ht="15" hidden="false" customHeight="false" outlineLevel="0" collapsed="false">
      <c r="A277" s="0" t="s">
        <v>109</v>
      </c>
      <c r="B277" s="0" t="n">
        <v>2019</v>
      </c>
      <c r="C277" s="0" t="s">
        <v>63</v>
      </c>
      <c r="D277" s="0" t="n">
        <v>1859.247</v>
      </c>
      <c r="E277" s="0" t="n">
        <v>1</v>
      </c>
      <c r="F277" s="0" t="s">
        <v>329</v>
      </c>
      <c r="G277" s="0" t="s">
        <v>3650</v>
      </c>
      <c r="I277" s="0" t="s">
        <v>587</v>
      </c>
    </row>
    <row r="278" customFormat="false" ht="15" hidden="false" customHeight="false" outlineLevel="0" collapsed="false">
      <c r="A278" s="0" t="s">
        <v>109</v>
      </c>
      <c r="B278" s="0" t="n">
        <v>2019</v>
      </c>
      <c r="C278" s="0" t="s">
        <v>247</v>
      </c>
      <c r="D278" s="0" t="n">
        <v>2221.501</v>
      </c>
      <c r="E278" s="0" t="n">
        <v>1</v>
      </c>
      <c r="F278" s="0" t="s">
        <v>329</v>
      </c>
      <c r="G278" s="0" t="s">
        <v>3650</v>
      </c>
      <c r="I278" s="0" t="s">
        <v>588</v>
      </c>
    </row>
    <row r="279" customFormat="false" ht="15" hidden="false" customHeight="false" outlineLevel="0" collapsed="false">
      <c r="A279" s="0" t="s">
        <v>109</v>
      </c>
      <c r="B279" s="0" t="n">
        <v>2019</v>
      </c>
      <c r="C279" s="0" t="s">
        <v>557</v>
      </c>
      <c r="D279" s="0" t="n">
        <v>-362.254</v>
      </c>
      <c r="E279" s="0" t="n">
        <v>1</v>
      </c>
      <c r="F279" s="0" t="s">
        <v>329</v>
      </c>
      <c r="G279" s="0" t="s">
        <v>3650</v>
      </c>
      <c r="I279" s="0" t="s">
        <v>589</v>
      </c>
    </row>
    <row r="280" customFormat="false" ht="15" hidden="false" customHeight="false" outlineLevel="0" collapsed="false">
      <c r="A280" s="0" t="s">
        <v>109</v>
      </c>
      <c r="B280" s="0" t="n">
        <v>2019</v>
      </c>
      <c r="C280" s="0" t="s">
        <v>69</v>
      </c>
      <c r="D280" s="0" t="n">
        <v>20.66</v>
      </c>
      <c r="E280" s="0" t="n">
        <v>1</v>
      </c>
      <c r="F280" s="0" t="s">
        <v>329</v>
      </c>
      <c r="G280" s="0" t="s">
        <v>3650</v>
      </c>
      <c r="I280" s="0" t="s">
        <v>590</v>
      </c>
    </row>
    <row r="281" customFormat="false" ht="15" hidden="false" customHeight="false" outlineLevel="0" collapsed="false">
      <c r="A281" s="0" t="s">
        <v>109</v>
      </c>
      <c r="B281" s="0" t="n">
        <v>2019</v>
      </c>
      <c r="C281" s="0" t="s">
        <v>591</v>
      </c>
      <c r="D281" s="0" t="n">
        <v>24.74</v>
      </c>
      <c r="E281" s="0" t="n">
        <v>1</v>
      </c>
      <c r="F281" s="0" t="s">
        <v>329</v>
      </c>
      <c r="G281" s="0" t="s">
        <v>3650</v>
      </c>
      <c r="I281" s="0" t="s">
        <v>592</v>
      </c>
    </row>
    <row r="282" customFormat="false" ht="15" hidden="false" customHeight="false" outlineLevel="0" collapsed="false">
      <c r="A282" s="0" t="s">
        <v>109</v>
      </c>
      <c r="B282" s="0" t="n">
        <v>2019</v>
      </c>
      <c r="C282" s="0" t="s">
        <v>65</v>
      </c>
      <c r="D282" s="0" t="n">
        <v>418652.17</v>
      </c>
      <c r="E282" s="0" t="n">
        <v>1</v>
      </c>
      <c r="F282" s="0" t="s">
        <v>329</v>
      </c>
      <c r="G282" s="0" t="s">
        <v>3650</v>
      </c>
      <c r="I282" s="0" t="s">
        <v>593</v>
      </c>
    </row>
    <row r="283" customFormat="false" ht="15" hidden="false" customHeight="false" outlineLevel="0" collapsed="false">
      <c r="A283" s="0" t="s">
        <v>109</v>
      </c>
      <c r="B283" s="0" t="n">
        <v>2019</v>
      </c>
      <c r="C283" s="0" t="s">
        <v>66</v>
      </c>
      <c r="D283" s="0" t="n">
        <v>2026402.562</v>
      </c>
      <c r="E283" s="0" t="n">
        <v>1</v>
      </c>
      <c r="F283" s="0" t="s">
        <v>329</v>
      </c>
      <c r="G283" s="0" t="s">
        <v>3650</v>
      </c>
      <c r="I283" s="0" t="s">
        <v>594</v>
      </c>
    </row>
    <row r="284" customFormat="false" ht="15" hidden="false" customHeight="false" outlineLevel="0" collapsed="false">
      <c r="A284" s="0" t="s">
        <v>109</v>
      </c>
      <c r="B284" s="0" t="n">
        <v>2019</v>
      </c>
      <c r="C284" s="0" t="s">
        <v>595</v>
      </c>
      <c r="D284" s="0" t="n">
        <v>517502.852</v>
      </c>
      <c r="E284" s="0" t="n">
        <v>1</v>
      </c>
      <c r="F284" s="0" t="s">
        <v>329</v>
      </c>
      <c r="G284" s="0" t="s">
        <v>3650</v>
      </c>
      <c r="I284" s="0" t="s">
        <v>596</v>
      </c>
    </row>
    <row r="285" customFormat="false" ht="15" hidden="false" customHeight="false" outlineLevel="0" collapsed="false">
      <c r="A285" s="0" t="s">
        <v>109</v>
      </c>
      <c r="B285" s="0" t="n">
        <v>2019</v>
      </c>
      <c r="C285" s="0" t="s">
        <v>73</v>
      </c>
      <c r="D285" s="0" t="n">
        <v>0</v>
      </c>
      <c r="E285" s="0" t="n">
        <v>1</v>
      </c>
      <c r="F285" s="0" t="s">
        <v>329</v>
      </c>
      <c r="G285" s="0" t="s">
        <v>3650</v>
      </c>
      <c r="I285" s="0" t="s">
        <v>597</v>
      </c>
    </row>
    <row r="286" customFormat="false" ht="15" hidden="false" customHeight="false" outlineLevel="0" collapsed="false">
      <c r="A286" s="0" t="s">
        <v>109</v>
      </c>
      <c r="B286" s="0" t="n">
        <v>2019</v>
      </c>
      <c r="C286" s="0" t="s">
        <v>68</v>
      </c>
      <c r="D286" s="0" t="n">
        <v>45503.961</v>
      </c>
      <c r="E286" s="0" t="n">
        <v>1</v>
      </c>
      <c r="F286" s="0" t="s">
        <v>329</v>
      </c>
      <c r="G286" s="0" t="s">
        <v>3650</v>
      </c>
      <c r="I286" s="0" t="s">
        <v>598</v>
      </c>
    </row>
    <row r="287" customFormat="false" ht="15" hidden="false" customHeight="false" outlineLevel="0" collapsed="false">
      <c r="A287" s="0" t="s">
        <v>109</v>
      </c>
      <c r="B287" s="0" t="n">
        <v>2019</v>
      </c>
      <c r="C287" s="0" t="s">
        <v>402</v>
      </c>
      <c r="D287" s="0" t="n">
        <v>200177.89</v>
      </c>
      <c r="E287" s="0" t="n">
        <v>1</v>
      </c>
      <c r="F287" s="0" t="s">
        <v>329</v>
      </c>
      <c r="G287" s="0" t="s">
        <v>3650</v>
      </c>
      <c r="I287" s="0" t="s">
        <v>599</v>
      </c>
    </row>
    <row r="288" customFormat="false" ht="15" hidden="false" customHeight="false" outlineLevel="0" collapsed="false">
      <c r="A288" s="0" t="s">
        <v>116</v>
      </c>
      <c r="B288" s="0" t="n">
        <v>2018</v>
      </c>
      <c r="C288" s="0" t="s">
        <v>54</v>
      </c>
      <c r="D288" s="0" t="n">
        <v>49912</v>
      </c>
      <c r="E288" s="0" t="n">
        <v>1</v>
      </c>
      <c r="F288" s="0" t="s">
        <v>329</v>
      </c>
      <c r="G288" s="0" t="s">
        <v>3650</v>
      </c>
      <c r="I288" s="0" t="s">
        <v>600</v>
      </c>
    </row>
    <row r="289" customFormat="false" ht="15" hidden="false" customHeight="false" outlineLevel="0" collapsed="false">
      <c r="A289" s="0" t="s">
        <v>116</v>
      </c>
      <c r="B289" s="0" t="n">
        <v>2018</v>
      </c>
      <c r="C289" s="0" t="s">
        <v>55</v>
      </c>
      <c r="D289" s="0" t="n">
        <v>1599245</v>
      </c>
      <c r="E289" s="0" t="n">
        <v>1</v>
      </c>
      <c r="F289" s="0" t="s">
        <v>329</v>
      </c>
      <c r="G289" s="0" t="s">
        <v>3650</v>
      </c>
      <c r="I289" s="0" t="s">
        <v>601</v>
      </c>
    </row>
    <row r="290" customFormat="false" ht="15" hidden="false" customHeight="false" outlineLevel="0" collapsed="false">
      <c r="A290" s="0" t="s">
        <v>116</v>
      </c>
      <c r="B290" s="0" t="n">
        <v>2018</v>
      </c>
      <c r="C290" s="0" t="s">
        <v>56</v>
      </c>
      <c r="D290" s="0" t="n">
        <v>1428904</v>
      </c>
      <c r="E290" s="0" t="n">
        <v>1</v>
      </c>
      <c r="F290" s="0" t="s">
        <v>329</v>
      </c>
      <c r="G290" s="0" t="s">
        <v>3650</v>
      </c>
      <c r="I290" s="0" t="s">
        <v>602</v>
      </c>
    </row>
    <row r="291" customFormat="false" ht="15" hidden="false" customHeight="false" outlineLevel="0" collapsed="false">
      <c r="A291" s="0" t="s">
        <v>116</v>
      </c>
      <c r="B291" s="0" t="n">
        <v>2018</v>
      </c>
      <c r="C291" s="0" t="s">
        <v>57</v>
      </c>
      <c r="D291" s="0" t="n">
        <v>170341</v>
      </c>
      <c r="E291" s="0" t="n">
        <v>1</v>
      </c>
      <c r="F291" s="0" t="s">
        <v>329</v>
      </c>
      <c r="G291" s="0" t="s">
        <v>3650</v>
      </c>
      <c r="I291" s="0" t="s">
        <v>603</v>
      </c>
    </row>
    <row r="292" customFormat="false" ht="15" hidden="false" customHeight="false" outlineLevel="0" collapsed="false">
      <c r="A292" s="0" t="s">
        <v>116</v>
      </c>
      <c r="B292" s="0" t="n">
        <v>2018</v>
      </c>
      <c r="C292" s="0" t="s">
        <v>59</v>
      </c>
      <c r="D292" s="0" t="n">
        <v>1332723</v>
      </c>
      <c r="E292" s="0" t="n">
        <v>1</v>
      </c>
      <c r="F292" s="0" t="s">
        <v>329</v>
      </c>
      <c r="G292" s="0" t="s">
        <v>3650</v>
      </c>
      <c r="I292" s="0" t="s">
        <v>604</v>
      </c>
    </row>
    <row r="293" customFormat="false" ht="15" hidden="false" customHeight="false" outlineLevel="0" collapsed="false">
      <c r="A293" s="0" t="s">
        <v>116</v>
      </c>
      <c r="B293" s="0" t="n">
        <v>2018</v>
      </c>
      <c r="C293" s="0" t="s">
        <v>62</v>
      </c>
      <c r="D293" s="0" t="n">
        <v>432713</v>
      </c>
      <c r="E293" s="0" t="n">
        <v>1</v>
      </c>
      <c r="F293" s="0" t="s">
        <v>329</v>
      </c>
      <c r="G293" s="0" t="s">
        <v>3650</v>
      </c>
      <c r="I293" s="0" t="s">
        <v>605</v>
      </c>
    </row>
    <row r="294" customFormat="false" ht="15" hidden="false" customHeight="false" outlineLevel="0" collapsed="false">
      <c r="A294" s="0" t="s">
        <v>116</v>
      </c>
      <c r="B294" s="0" t="n">
        <v>2018</v>
      </c>
      <c r="C294" s="0" t="s">
        <v>63</v>
      </c>
      <c r="D294" s="0" t="n">
        <v>-2988</v>
      </c>
      <c r="E294" s="0" t="n">
        <v>1</v>
      </c>
      <c r="F294" s="0" t="s">
        <v>329</v>
      </c>
      <c r="G294" s="0" t="s">
        <v>3650</v>
      </c>
      <c r="I294" s="0" t="s">
        <v>606</v>
      </c>
    </row>
    <row r="295" customFormat="false" ht="15" hidden="false" customHeight="false" outlineLevel="0" collapsed="false">
      <c r="A295" s="0" t="s">
        <v>116</v>
      </c>
      <c r="B295" s="0" t="n">
        <v>2018</v>
      </c>
      <c r="C295" s="0" t="s">
        <v>73</v>
      </c>
      <c r="D295" s="0" t="n">
        <v>0</v>
      </c>
      <c r="E295" s="0" t="n">
        <v>1</v>
      </c>
      <c r="F295" s="0" t="s">
        <v>329</v>
      </c>
      <c r="G295" s="0" t="s">
        <v>3650</v>
      </c>
      <c r="I295" s="0" t="s">
        <v>607</v>
      </c>
    </row>
    <row r="296" customFormat="false" ht="15" hidden="false" customHeight="false" outlineLevel="0" collapsed="false">
      <c r="A296" s="0" t="s">
        <v>116</v>
      </c>
      <c r="B296" s="0" t="n">
        <v>2018</v>
      </c>
      <c r="C296" s="0" t="s">
        <v>402</v>
      </c>
      <c r="D296" s="0" t="n">
        <v>52058</v>
      </c>
      <c r="E296" s="0" t="n">
        <v>1</v>
      </c>
      <c r="F296" s="0" t="s">
        <v>329</v>
      </c>
      <c r="G296" s="0" t="s">
        <v>3650</v>
      </c>
      <c r="I296" s="0" t="s">
        <v>608</v>
      </c>
    </row>
    <row r="297" customFormat="false" ht="15" hidden="false" customHeight="false" outlineLevel="0" collapsed="false">
      <c r="A297" s="0" t="s">
        <v>116</v>
      </c>
      <c r="B297" s="0" t="n">
        <v>2019</v>
      </c>
      <c r="C297" s="0" t="s">
        <v>54</v>
      </c>
      <c r="D297" s="0" t="n">
        <v>52287</v>
      </c>
      <c r="E297" s="0" t="n">
        <v>1</v>
      </c>
      <c r="F297" s="0" t="s">
        <v>329</v>
      </c>
      <c r="G297" s="0" t="s">
        <v>3650</v>
      </c>
      <c r="I297" s="0" t="s">
        <v>609</v>
      </c>
    </row>
    <row r="298" customFormat="false" ht="15" hidden="false" customHeight="false" outlineLevel="0" collapsed="false">
      <c r="A298" s="0" t="s">
        <v>116</v>
      </c>
      <c r="B298" s="0" t="n">
        <v>2019</v>
      </c>
      <c r="C298" s="0" t="s">
        <v>55</v>
      </c>
      <c r="D298" s="0" t="n">
        <v>1792320</v>
      </c>
      <c r="E298" s="0" t="n">
        <v>1</v>
      </c>
      <c r="F298" s="0" t="s">
        <v>329</v>
      </c>
      <c r="G298" s="0" t="s">
        <v>3650</v>
      </c>
      <c r="I298" s="0" t="s">
        <v>610</v>
      </c>
    </row>
    <row r="299" customFormat="false" ht="15" hidden="false" customHeight="false" outlineLevel="0" collapsed="false">
      <c r="A299" s="0" t="s">
        <v>116</v>
      </c>
      <c r="B299" s="0" t="n">
        <v>2019</v>
      </c>
      <c r="C299" s="0" t="s">
        <v>56</v>
      </c>
      <c r="D299" s="0" t="n">
        <v>1590980</v>
      </c>
      <c r="E299" s="0" t="n">
        <v>1</v>
      </c>
      <c r="F299" s="0" t="s">
        <v>329</v>
      </c>
      <c r="G299" s="0" t="s">
        <v>3650</v>
      </c>
      <c r="I299" s="0" t="s">
        <v>611</v>
      </c>
    </row>
    <row r="300" customFormat="false" ht="15" hidden="false" customHeight="false" outlineLevel="0" collapsed="false">
      <c r="A300" s="0" t="s">
        <v>116</v>
      </c>
      <c r="B300" s="0" t="n">
        <v>2019</v>
      </c>
      <c r="C300" s="0" t="s">
        <v>57</v>
      </c>
      <c r="D300" s="0" t="n">
        <v>201340</v>
      </c>
      <c r="E300" s="0" t="n">
        <v>1</v>
      </c>
      <c r="F300" s="0" t="s">
        <v>329</v>
      </c>
      <c r="G300" s="0" t="s">
        <v>3650</v>
      </c>
      <c r="I300" s="0" t="s">
        <v>612</v>
      </c>
    </row>
    <row r="301" customFormat="false" ht="15" hidden="false" customHeight="false" outlineLevel="0" collapsed="false">
      <c r="A301" s="0" t="s">
        <v>116</v>
      </c>
      <c r="B301" s="0" t="n">
        <v>2019</v>
      </c>
      <c r="C301" s="0" t="s">
        <v>59</v>
      </c>
      <c r="D301" s="0" t="n">
        <v>1599245</v>
      </c>
      <c r="E301" s="0" t="n">
        <v>1</v>
      </c>
      <c r="F301" s="0" t="s">
        <v>329</v>
      </c>
      <c r="G301" s="0" t="s">
        <v>3650</v>
      </c>
      <c r="I301" s="0" t="s">
        <v>613</v>
      </c>
    </row>
    <row r="302" customFormat="false" ht="15" hidden="false" customHeight="false" outlineLevel="0" collapsed="false">
      <c r="A302" s="0" t="s">
        <v>116</v>
      </c>
      <c r="B302" s="0" t="n">
        <v>2019</v>
      </c>
      <c r="C302" s="0" t="s">
        <v>62</v>
      </c>
      <c r="D302" s="0" t="n">
        <v>532124</v>
      </c>
      <c r="E302" s="0" t="n">
        <v>1</v>
      </c>
      <c r="F302" s="0" t="s">
        <v>329</v>
      </c>
      <c r="G302" s="0" t="s">
        <v>3650</v>
      </c>
      <c r="I302" s="0" t="s">
        <v>614</v>
      </c>
    </row>
    <row r="303" customFormat="false" ht="15" hidden="false" customHeight="false" outlineLevel="0" collapsed="false">
      <c r="A303" s="0" t="s">
        <v>116</v>
      </c>
      <c r="B303" s="0" t="n">
        <v>2019</v>
      </c>
      <c r="C303" s="0" t="s">
        <v>63</v>
      </c>
      <c r="D303" s="0" t="n">
        <v>1664</v>
      </c>
      <c r="E303" s="0" t="n">
        <v>1</v>
      </c>
      <c r="F303" s="0" t="s">
        <v>329</v>
      </c>
      <c r="G303" s="0" t="s">
        <v>3650</v>
      </c>
      <c r="I303" s="0" t="s">
        <v>615</v>
      </c>
    </row>
    <row r="304" customFormat="false" ht="15" hidden="false" customHeight="false" outlineLevel="0" collapsed="false">
      <c r="A304" s="0" t="s">
        <v>116</v>
      </c>
      <c r="B304" s="0" t="n">
        <v>2019</v>
      </c>
      <c r="C304" s="0" t="s">
        <v>73</v>
      </c>
      <c r="D304" s="0" t="n">
        <v>0</v>
      </c>
      <c r="E304" s="0" t="n">
        <v>1</v>
      </c>
      <c r="F304" s="0" t="s">
        <v>329</v>
      </c>
      <c r="G304" s="0" t="s">
        <v>3650</v>
      </c>
      <c r="I304" s="0" t="s">
        <v>616</v>
      </c>
    </row>
    <row r="305" customFormat="false" ht="15" hidden="false" customHeight="false" outlineLevel="0" collapsed="false">
      <c r="A305" s="0" t="s">
        <v>116</v>
      </c>
      <c r="B305" s="0" t="n">
        <v>2019</v>
      </c>
      <c r="C305" s="0" t="s">
        <v>402</v>
      </c>
      <c r="D305" s="0" t="n">
        <v>56983</v>
      </c>
      <c r="E305" s="0" t="n">
        <v>1</v>
      </c>
      <c r="F305" s="0" t="s">
        <v>329</v>
      </c>
      <c r="G305" s="0" t="s">
        <v>3650</v>
      </c>
      <c r="I305" s="0" t="s">
        <v>617</v>
      </c>
    </row>
    <row r="306" customFormat="false" ht="15" hidden="false" customHeight="false" outlineLevel="0" collapsed="false">
      <c r="A306" s="0" t="s">
        <v>116</v>
      </c>
      <c r="B306" s="0" t="n">
        <v>2020</v>
      </c>
      <c r="C306" s="0" t="s">
        <v>54</v>
      </c>
      <c r="D306" s="0" t="n">
        <v>59489</v>
      </c>
      <c r="E306" s="0" t="n">
        <v>1</v>
      </c>
      <c r="F306" s="0" t="s">
        <v>329</v>
      </c>
      <c r="G306" s="0" t="s">
        <v>3650</v>
      </c>
      <c r="I306" s="0" t="s">
        <v>618</v>
      </c>
    </row>
    <row r="307" customFormat="false" ht="15" hidden="false" customHeight="false" outlineLevel="0" collapsed="false">
      <c r="A307" s="0" t="s">
        <v>116</v>
      </c>
      <c r="B307" s="0" t="n">
        <v>2020</v>
      </c>
      <c r="C307" s="0" t="s">
        <v>55</v>
      </c>
      <c r="D307" s="0" t="n">
        <v>2370347</v>
      </c>
      <c r="E307" s="0" t="n">
        <v>1</v>
      </c>
      <c r="F307" s="0" t="s">
        <v>329</v>
      </c>
      <c r="G307" s="0" t="s">
        <v>3650</v>
      </c>
      <c r="I307" s="0" t="s">
        <v>619</v>
      </c>
    </row>
    <row r="308" customFormat="false" ht="15" hidden="false" customHeight="false" outlineLevel="0" collapsed="false">
      <c r="A308" s="0" t="s">
        <v>116</v>
      </c>
      <c r="B308" s="0" t="n">
        <v>2020</v>
      </c>
      <c r="C308" s="0" t="s">
        <v>56</v>
      </c>
      <c r="D308" s="0" t="n">
        <v>2128226</v>
      </c>
      <c r="E308" s="0" t="n">
        <v>1</v>
      </c>
      <c r="F308" s="0" t="s">
        <v>329</v>
      </c>
      <c r="G308" s="0" t="s">
        <v>3650</v>
      </c>
      <c r="I308" s="0" t="s">
        <v>620</v>
      </c>
    </row>
    <row r="309" customFormat="false" ht="15" hidden="false" customHeight="false" outlineLevel="0" collapsed="false">
      <c r="A309" s="0" t="s">
        <v>116</v>
      </c>
      <c r="B309" s="0" t="n">
        <v>2020</v>
      </c>
      <c r="C309" s="0" t="s">
        <v>57</v>
      </c>
      <c r="D309" s="0" t="n">
        <v>242121</v>
      </c>
      <c r="E309" s="0" t="n">
        <v>1</v>
      </c>
      <c r="F309" s="0" t="s">
        <v>329</v>
      </c>
      <c r="G309" s="0" t="s">
        <v>3650</v>
      </c>
      <c r="I309" s="0" t="s">
        <v>621</v>
      </c>
    </row>
    <row r="310" customFormat="false" ht="15" hidden="false" customHeight="false" outlineLevel="0" collapsed="false">
      <c r="A310" s="0" t="s">
        <v>116</v>
      </c>
      <c r="B310" s="0" t="n">
        <v>2020</v>
      </c>
      <c r="C310" s="0" t="s">
        <v>58</v>
      </c>
      <c r="D310" s="0" t="n">
        <v>465539</v>
      </c>
      <c r="E310" s="0" t="n">
        <v>1</v>
      </c>
      <c r="F310" s="0" t="s">
        <v>329</v>
      </c>
      <c r="G310" s="0" t="s">
        <v>3650</v>
      </c>
      <c r="I310" s="0" t="s">
        <v>622</v>
      </c>
    </row>
    <row r="311" customFormat="false" ht="15" hidden="false" customHeight="false" outlineLevel="0" collapsed="false">
      <c r="A311" s="0" t="s">
        <v>116</v>
      </c>
      <c r="B311" s="0" t="n">
        <v>2020</v>
      </c>
      <c r="C311" s="0" t="s">
        <v>60</v>
      </c>
      <c r="D311" s="0" t="n">
        <v>655292</v>
      </c>
      <c r="E311" s="0" t="n">
        <v>1</v>
      </c>
      <c r="F311" s="0" t="s">
        <v>329</v>
      </c>
      <c r="G311" s="0" t="s">
        <v>3650</v>
      </c>
      <c r="I311" s="0" t="s">
        <v>623</v>
      </c>
    </row>
    <row r="312" customFormat="false" ht="15" hidden="false" customHeight="false" outlineLevel="0" collapsed="false">
      <c r="A312" s="0" t="s">
        <v>116</v>
      </c>
      <c r="B312" s="0" t="n">
        <v>2020</v>
      </c>
      <c r="C312" s="0" t="s">
        <v>61</v>
      </c>
      <c r="D312" s="0" t="n">
        <v>30153</v>
      </c>
      <c r="E312" s="0" t="n">
        <v>1</v>
      </c>
      <c r="F312" s="0" t="s">
        <v>329</v>
      </c>
      <c r="G312" s="0" t="s">
        <v>3650</v>
      </c>
      <c r="I312" s="0" t="s">
        <v>624</v>
      </c>
    </row>
    <row r="313" customFormat="false" ht="15" hidden="false" customHeight="false" outlineLevel="0" collapsed="false">
      <c r="A313" s="0" t="s">
        <v>116</v>
      </c>
      <c r="B313" s="0" t="n">
        <v>2020</v>
      </c>
      <c r="C313" s="0" t="s">
        <v>62</v>
      </c>
      <c r="D313" s="0" t="n">
        <v>625139</v>
      </c>
      <c r="E313" s="0" t="n">
        <v>1</v>
      </c>
      <c r="F313" s="0" t="s">
        <v>329</v>
      </c>
      <c r="G313" s="0" t="s">
        <v>3650</v>
      </c>
      <c r="I313" s="0" t="s">
        <v>625</v>
      </c>
    </row>
    <row r="314" customFormat="false" ht="15" hidden="false" customHeight="false" outlineLevel="0" collapsed="false">
      <c r="A314" s="0" t="s">
        <v>116</v>
      </c>
      <c r="B314" s="0" t="n">
        <v>2020</v>
      </c>
      <c r="C314" s="0" t="s">
        <v>63</v>
      </c>
      <c r="D314" s="0" t="n">
        <v>10170</v>
      </c>
      <c r="E314" s="0" t="n">
        <v>1</v>
      </c>
      <c r="F314" s="0" t="s">
        <v>329</v>
      </c>
      <c r="G314" s="0" t="s">
        <v>3650</v>
      </c>
      <c r="I314" s="0" t="s">
        <v>626</v>
      </c>
    </row>
    <row r="315" customFormat="false" ht="15" hidden="false" customHeight="false" outlineLevel="0" collapsed="false">
      <c r="A315" s="0" t="s">
        <v>116</v>
      </c>
      <c r="B315" s="0" t="n">
        <v>2020</v>
      </c>
      <c r="C315" s="0" t="s">
        <v>69</v>
      </c>
      <c r="D315" s="0" t="n">
        <v>19.4</v>
      </c>
      <c r="E315" s="0" t="n">
        <v>1</v>
      </c>
      <c r="F315" s="0" t="s">
        <v>329</v>
      </c>
      <c r="G315" s="0" t="s">
        <v>3650</v>
      </c>
      <c r="I315" s="0" t="s">
        <v>627</v>
      </c>
    </row>
    <row r="316" customFormat="false" ht="15" hidden="false" customHeight="false" outlineLevel="0" collapsed="false">
      <c r="A316" s="0" t="s">
        <v>116</v>
      </c>
      <c r="B316" s="0" t="n">
        <v>2020</v>
      </c>
      <c r="C316" s="0" t="s">
        <v>591</v>
      </c>
      <c r="D316" s="0" t="n">
        <v>19.6</v>
      </c>
      <c r="E316" s="0" t="n">
        <v>1</v>
      </c>
      <c r="F316" s="0" t="s">
        <v>329</v>
      </c>
      <c r="G316" s="0" t="s">
        <v>3650</v>
      </c>
      <c r="I316" s="0" t="s">
        <v>628</v>
      </c>
    </row>
    <row r="317" customFormat="false" ht="15" hidden="false" customHeight="false" outlineLevel="0" collapsed="false">
      <c r="A317" s="0" t="s">
        <v>116</v>
      </c>
      <c r="B317" s="0" t="n">
        <v>2020</v>
      </c>
      <c r="C317" s="0" t="s">
        <v>65</v>
      </c>
      <c r="D317" s="0" t="n">
        <v>221408</v>
      </c>
      <c r="E317" s="0" t="n">
        <v>1</v>
      </c>
      <c r="F317" s="0" t="s">
        <v>329</v>
      </c>
      <c r="G317" s="0" t="s">
        <v>3650</v>
      </c>
      <c r="H317" s="0" t="s">
        <v>3655</v>
      </c>
      <c r="I317" s="0" t="s">
        <v>629</v>
      </c>
    </row>
    <row r="318" customFormat="false" ht="15" hidden="false" customHeight="false" outlineLevel="0" collapsed="false">
      <c r="A318" s="0" t="s">
        <v>116</v>
      </c>
      <c r="B318" s="0" t="n">
        <v>2020</v>
      </c>
      <c r="C318" s="0" t="s">
        <v>66</v>
      </c>
      <c r="D318" s="0" t="n">
        <v>1140396</v>
      </c>
      <c r="E318" s="0" t="n">
        <v>1</v>
      </c>
      <c r="F318" s="0" t="s">
        <v>329</v>
      </c>
      <c r="G318" s="0" t="s">
        <v>3650</v>
      </c>
      <c r="I318" s="0" t="s">
        <v>630</v>
      </c>
    </row>
    <row r="319" customFormat="false" ht="15" hidden="false" customHeight="false" outlineLevel="0" collapsed="false">
      <c r="A319" s="0" t="s">
        <v>116</v>
      </c>
      <c r="B319" s="0" t="n">
        <v>2020</v>
      </c>
      <c r="C319" s="0" t="s">
        <v>595</v>
      </c>
      <c r="D319" s="0" t="n">
        <v>223468</v>
      </c>
      <c r="E319" s="0" t="n">
        <v>1</v>
      </c>
      <c r="F319" s="0" t="s">
        <v>329</v>
      </c>
      <c r="G319" s="0" t="s">
        <v>3650</v>
      </c>
      <c r="I319" s="0" t="s">
        <v>631</v>
      </c>
    </row>
    <row r="320" customFormat="false" ht="15" hidden="false" customHeight="false" outlineLevel="0" collapsed="false">
      <c r="A320" s="0" t="s">
        <v>116</v>
      </c>
      <c r="B320" s="0" t="n">
        <v>2020</v>
      </c>
      <c r="C320" s="0" t="s">
        <v>68</v>
      </c>
      <c r="D320" s="0" t="n">
        <v>21963</v>
      </c>
      <c r="E320" s="0" t="n">
        <v>1</v>
      </c>
      <c r="F320" s="0" t="s">
        <v>329</v>
      </c>
      <c r="G320" s="0" t="s">
        <v>3650</v>
      </c>
      <c r="I320" s="0" t="s">
        <v>632</v>
      </c>
    </row>
    <row r="321" customFormat="false" ht="15" hidden="false" customHeight="false" outlineLevel="0" collapsed="false">
      <c r="A321" s="0" t="s">
        <v>116</v>
      </c>
      <c r="B321" s="0" t="n">
        <v>2020</v>
      </c>
      <c r="C321" s="0" t="s">
        <v>402</v>
      </c>
      <c r="D321" s="0" t="n">
        <v>58306</v>
      </c>
      <c r="E321" s="0" t="n">
        <v>1</v>
      </c>
      <c r="F321" s="0" t="s">
        <v>329</v>
      </c>
      <c r="G321" s="0" t="s">
        <v>3650</v>
      </c>
      <c r="I321" s="0" t="s">
        <v>633</v>
      </c>
    </row>
    <row r="322" customFormat="false" ht="15" hidden="false" customHeight="false" outlineLevel="0" collapsed="false">
      <c r="A322" s="0" t="s">
        <v>116</v>
      </c>
      <c r="B322" s="0" t="n">
        <v>2021</v>
      </c>
      <c r="C322" s="0" t="s">
        <v>54</v>
      </c>
      <c r="D322" s="0" t="n">
        <v>29570</v>
      </c>
      <c r="E322" s="0" t="n">
        <v>1</v>
      </c>
      <c r="F322" s="0" t="s">
        <v>329</v>
      </c>
      <c r="G322" s="0" t="s">
        <v>3650</v>
      </c>
      <c r="I322" s="0" t="s">
        <v>634</v>
      </c>
    </row>
    <row r="323" customFormat="false" ht="15" hidden="false" customHeight="false" outlineLevel="0" collapsed="false">
      <c r="A323" s="0" t="s">
        <v>116</v>
      </c>
      <c r="B323" s="0" t="n">
        <v>2021</v>
      </c>
      <c r="C323" s="0" t="s">
        <v>55</v>
      </c>
      <c r="D323" s="0" t="n">
        <v>2614087</v>
      </c>
      <c r="E323" s="0" t="n">
        <v>1</v>
      </c>
      <c r="F323" s="0" t="s">
        <v>329</v>
      </c>
      <c r="G323" s="0" t="s">
        <v>3650</v>
      </c>
      <c r="I323" s="0" t="s">
        <v>635</v>
      </c>
    </row>
    <row r="324" customFormat="false" ht="15" hidden="false" customHeight="false" outlineLevel="0" collapsed="false">
      <c r="A324" s="0" t="s">
        <v>116</v>
      </c>
      <c r="B324" s="0" t="n">
        <v>2021</v>
      </c>
      <c r="C324" s="0" t="s">
        <v>56</v>
      </c>
      <c r="D324" s="0" t="n">
        <v>2362312</v>
      </c>
      <c r="E324" s="0" t="n">
        <v>1</v>
      </c>
      <c r="F324" s="0" t="s">
        <v>329</v>
      </c>
      <c r="G324" s="0" t="s">
        <v>3650</v>
      </c>
      <c r="I324" s="0" t="s">
        <v>636</v>
      </c>
    </row>
    <row r="325" customFormat="false" ht="15" hidden="false" customHeight="false" outlineLevel="0" collapsed="false">
      <c r="A325" s="0" t="s">
        <v>116</v>
      </c>
      <c r="B325" s="0" t="n">
        <v>2021</v>
      </c>
      <c r="C325" s="0" t="s">
        <v>57</v>
      </c>
      <c r="D325" s="0" t="n">
        <v>251775</v>
      </c>
      <c r="E325" s="0" t="n">
        <v>1</v>
      </c>
      <c r="F325" s="0" t="s">
        <v>329</v>
      </c>
      <c r="G325" s="0" t="s">
        <v>3650</v>
      </c>
      <c r="I325" s="0" t="s">
        <v>637</v>
      </c>
    </row>
    <row r="326" customFormat="false" ht="15" hidden="false" customHeight="false" outlineLevel="0" collapsed="false">
      <c r="A326" s="0" t="s">
        <v>116</v>
      </c>
      <c r="B326" s="0" t="n">
        <v>2021</v>
      </c>
      <c r="C326" s="0" t="s">
        <v>58</v>
      </c>
      <c r="D326" s="0" t="n">
        <v>55771</v>
      </c>
      <c r="E326" s="0" t="n">
        <v>1</v>
      </c>
      <c r="F326" s="0" t="s">
        <v>329</v>
      </c>
      <c r="G326" s="0" t="s">
        <v>3650</v>
      </c>
      <c r="I326" s="0" t="s">
        <v>638</v>
      </c>
    </row>
    <row r="327" customFormat="false" ht="15" hidden="false" customHeight="false" outlineLevel="0" collapsed="false">
      <c r="A327" s="0" t="s">
        <v>116</v>
      </c>
      <c r="B327" s="0" t="n">
        <v>2021</v>
      </c>
      <c r="C327" s="0" t="s">
        <v>59</v>
      </c>
      <c r="D327" s="0" t="n">
        <v>2370347</v>
      </c>
      <c r="E327" s="0" t="n">
        <v>1</v>
      </c>
      <c r="F327" s="0" t="s">
        <v>329</v>
      </c>
      <c r="G327" s="0" t="s">
        <v>3650</v>
      </c>
      <c r="I327" s="0" t="s">
        <v>639</v>
      </c>
    </row>
    <row r="328" customFormat="false" ht="15" hidden="false" customHeight="false" outlineLevel="0" collapsed="false">
      <c r="A328" s="0" t="s">
        <v>116</v>
      </c>
      <c r="B328" s="0" t="n">
        <v>2021</v>
      </c>
      <c r="C328" s="0" t="s">
        <v>60</v>
      </c>
      <c r="D328" s="0" t="n">
        <v>946259</v>
      </c>
      <c r="E328" s="0" t="n">
        <v>1</v>
      </c>
      <c r="F328" s="0" t="s">
        <v>329</v>
      </c>
      <c r="G328" s="0" t="s">
        <v>3650</v>
      </c>
      <c r="I328" s="0" t="s">
        <v>640</v>
      </c>
    </row>
    <row r="329" customFormat="false" ht="15" hidden="false" customHeight="false" outlineLevel="0" collapsed="false">
      <c r="A329" s="0" t="s">
        <v>116</v>
      </c>
      <c r="B329" s="0" t="n">
        <v>2021</v>
      </c>
      <c r="C329" s="0" t="s">
        <v>61</v>
      </c>
      <c r="D329" s="0" t="n">
        <v>25215</v>
      </c>
      <c r="E329" s="0" t="n">
        <v>1</v>
      </c>
      <c r="F329" s="0" t="s">
        <v>329</v>
      </c>
      <c r="G329" s="0" t="s">
        <v>3650</v>
      </c>
      <c r="I329" s="0" t="s">
        <v>641</v>
      </c>
    </row>
    <row r="330" customFormat="false" ht="15" hidden="false" customHeight="false" outlineLevel="0" collapsed="false">
      <c r="A330" s="0" t="s">
        <v>116</v>
      </c>
      <c r="B330" s="0" t="n">
        <v>2021</v>
      </c>
      <c r="C330" s="0" t="s">
        <v>62</v>
      </c>
      <c r="D330" s="0" t="n">
        <v>921044</v>
      </c>
      <c r="E330" s="0" t="n">
        <v>1</v>
      </c>
      <c r="F330" s="0" t="s">
        <v>329</v>
      </c>
      <c r="G330" s="0" t="s">
        <v>3650</v>
      </c>
      <c r="I330" s="0" t="s">
        <v>642</v>
      </c>
    </row>
    <row r="331" customFormat="false" ht="15" hidden="false" customHeight="false" outlineLevel="0" collapsed="false">
      <c r="A331" s="0" t="s">
        <v>116</v>
      </c>
      <c r="B331" s="0" t="n">
        <v>2021</v>
      </c>
      <c r="C331" s="0" t="s">
        <v>63</v>
      </c>
      <c r="D331" s="0" t="n">
        <v>-1208</v>
      </c>
      <c r="E331" s="0" t="n">
        <v>1</v>
      </c>
      <c r="F331" s="0" t="s">
        <v>329</v>
      </c>
      <c r="G331" s="0" t="s">
        <v>3650</v>
      </c>
      <c r="I331" s="0" t="s">
        <v>643</v>
      </c>
    </row>
    <row r="332" customFormat="false" ht="15" hidden="false" customHeight="false" outlineLevel="0" collapsed="false">
      <c r="A332" s="0" t="s">
        <v>116</v>
      </c>
      <c r="B332" s="0" t="n">
        <v>2021</v>
      </c>
      <c r="C332" s="0" t="s">
        <v>69</v>
      </c>
      <c r="D332" s="0" t="n">
        <v>16.1</v>
      </c>
      <c r="E332" s="0" t="n">
        <v>1</v>
      </c>
      <c r="F332" s="0" t="s">
        <v>329</v>
      </c>
      <c r="G332" s="0" t="s">
        <v>3650</v>
      </c>
      <c r="I332" s="0" t="s">
        <v>644</v>
      </c>
    </row>
    <row r="333" customFormat="false" ht="15" hidden="false" customHeight="false" outlineLevel="0" collapsed="false">
      <c r="A333" s="0" t="s">
        <v>116</v>
      </c>
      <c r="B333" s="0" t="n">
        <v>2021</v>
      </c>
      <c r="C333" s="0" t="s">
        <v>591</v>
      </c>
      <c r="D333" s="0" t="n">
        <v>16.1</v>
      </c>
      <c r="E333" s="0" t="n">
        <v>1</v>
      </c>
      <c r="F333" s="0" t="s">
        <v>329</v>
      </c>
      <c r="G333" s="0" t="s">
        <v>3650</v>
      </c>
      <c r="I333" s="0" t="s">
        <v>645</v>
      </c>
    </row>
    <row r="334" customFormat="false" ht="15" hidden="false" customHeight="false" outlineLevel="0" collapsed="false">
      <c r="A334" s="0" t="s">
        <v>116</v>
      </c>
      <c r="B334" s="0" t="n">
        <v>2021</v>
      </c>
      <c r="C334" s="0" t="s">
        <v>65</v>
      </c>
      <c r="D334" s="0" t="n">
        <v>226940</v>
      </c>
      <c r="E334" s="0" t="n">
        <v>1</v>
      </c>
      <c r="F334" s="0" t="s">
        <v>329</v>
      </c>
      <c r="G334" s="0" t="s">
        <v>3650</v>
      </c>
      <c r="I334" s="0" t="s">
        <v>646</v>
      </c>
    </row>
    <row r="335" customFormat="false" ht="15" hidden="false" customHeight="false" outlineLevel="0" collapsed="false">
      <c r="A335" s="0" t="s">
        <v>116</v>
      </c>
      <c r="B335" s="0" t="n">
        <v>2021</v>
      </c>
      <c r="C335" s="0" t="s">
        <v>66</v>
      </c>
      <c r="D335" s="0" t="n">
        <v>1405941</v>
      </c>
      <c r="E335" s="0" t="n">
        <v>1</v>
      </c>
      <c r="F335" s="0" t="s">
        <v>329</v>
      </c>
      <c r="G335" s="0" t="s">
        <v>3650</v>
      </c>
      <c r="I335" s="0" t="s">
        <v>647</v>
      </c>
    </row>
    <row r="336" customFormat="false" ht="15" hidden="false" customHeight="false" outlineLevel="0" collapsed="false">
      <c r="A336" s="0" t="s">
        <v>116</v>
      </c>
      <c r="B336" s="0" t="n">
        <v>2021</v>
      </c>
      <c r="C336" s="0" t="s">
        <v>73</v>
      </c>
      <c r="D336" s="0" t="n">
        <v>0</v>
      </c>
      <c r="E336" s="0" t="n">
        <v>1</v>
      </c>
      <c r="F336" s="0" t="s">
        <v>329</v>
      </c>
      <c r="G336" s="0" t="s">
        <v>3650</v>
      </c>
      <c r="I336" s="0" t="s">
        <v>648</v>
      </c>
    </row>
    <row r="337" customFormat="false" ht="15" hidden="false" customHeight="false" outlineLevel="0" collapsed="false">
      <c r="A337" s="0" t="s">
        <v>116</v>
      </c>
      <c r="B337" s="0" t="n">
        <v>2021</v>
      </c>
      <c r="C337" s="0" t="s">
        <v>68</v>
      </c>
      <c r="D337" s="0" t="n">
        <v>15907</v>
      </c>
      <c r="E337" s="0" t="n">
        <v>1</v>
      </c>
      <c r="F337" s="0" t="s">
        <v>329</v>
      </c>
      <c r="G337" s="0" t="s">
        <v>3650</v>
      </c>
      <c r="I337" s="0" t="s">
        <v>649</v>
      </c>
    </row>
    <row r="338" customFormat="false" ht="15" hidden="false" customHeight="false" outlineLevel="0" collapsed="false">
      <c r="A338" s="0" t="s">
        <v>116</v>
      </c>
      <c r="B338" s="0" t="n">
        <v>2021</v>
      </c>
      <c r="C338" s="0" t="s">
        <v>402</v>
      </c>
      <c r="D338" s="0" t="n">
        <v>23433</v>
      </c>
      <c r="E338" s="0" t="n">
        <v>1</v>
      </c>
      <c r="F338" s="0" t="s">
        <v>329</v>
      </c>
      <c r="G338" s="0" t="s">
        <v>3650</v>
      </c>
      <c r="I338" s="0" t="s">
        <v>650</v>
      </c>
    </row>
    <row r="339" customFormat="false" ht="15" hidden="false" customHeight="false" outlineLevel="0" collapsed="false">
      <c r="A339" s="0" t="s">
        <v>116</v>
      </c>
      <c r="B339" s="0" t="n">
        <v>2022</v>
      </c>
      <c r="C339" s="0" t="s">
        <v>54</v>
      </c>
      <c r="D339" s="0" t="n">
        <v>55150</v>
      </c>
      <c r="E339" s="0" t="n">
        <v>1</v>
      </c>
      <c r="F339" s="0" t="s">
        <v>329</v>
      </c>
      <c r="G339" s="0" t="s">
        <v>3650</v>
      </c>
      <c r="I339" s="0" t="s">
        <v>651</v>
      </c>
    </row>
    <row r="340" customFormat="false" ht="15" hidden="false" customHeight="false" outlineLevel="0" collapsed="false">
      <c r="A340" s="0" t="s">
        <v>116</v>
      </c>
      <c r="B340" s="0" t="n">
        <v>2022</v>
      </c>
      <c r="C340" s="0" t="s">
        <v>55</v>
      </c>
      <c r="D340" s="0" t="n">
        <v>2854509</v>
      </c>
      <c r="E340" s="0" t="n">
        <v>1</v>
      </c>
      <c r="F340" s="0" t="s">
        <v>329</v>
      </c>
      <c r="G340" s="0" t="s">
        <v>3650</v>
      </c>
      <c r="I340" s="0" t="s">
        <v>652</v>
      </c>
    </row>
    <row r="341" customFormat="false" ht="15" hidden="false" customHeight="false" outlineLevel="0" collapsed="false">
      <c r="A341" s="0" t="s">
        <v>116</v>
      </c>
      <c r="B341" s="0" t="n">
        <v>2022</v>
      </c>
      <c r="C341" s="0" t="s">
        <v>56</v>
      </c>
      <c r="D341" s="0" t="n">
        <v>2575402</v>
      </c>
      <c r="E341" s="0" t="n">
        <v>1</v>
      </c>
      <c r="F341" s="0" t="s">
        <v>329</v>
      </c>
      <c r="G341" s="0" t="s">
        <v>3650</v>
      </c>
      <c r="I341" s="0" t="s">
        <v>653</v>
      </c>
    </row>
    <row r="342" customFormat="false" ht="15" hidden="false" customHeight="false" outlineLevel="0" collapsed="false">
      <c r="A342" s="0" t="s">
        <v>116</v>
      </c>
      <c r="B342" s="0" t="n">
        <v>2022</v>
      </c>
      <c r="C342" s="0" t="s">
        <v>57</v>
      </c>
      <c r="D342" s="0" t="n">
        <v>279107</v>
      </c>
      <c r="E342" s="0" t="n">
        <v>1</v>
      </c>
      <c r="F342" s="0" t="s">
        <v>329</v>
      </c>
      <c r="G342" s="0" t="s">
        <v>3650</v>
      </c>
      <c r="I342" s="0" t="s">
        <v>654</v>
      </c>
    </row>
    <row r="343" customFormat="false" ht="15" hidden="false" customHeight="false" outlineLevel="0" collapsed="false">
      <c r="A343" s="0" t="s">
        <v>116</v>
      </c>
      <c r="B343" s="0" t="n">
        <v>2022</v>
      </c>
      <c r="C343" s="0" t="s">
        <v>58</v>
      </c>
      <c r="D343" s="0" t="n">
        <v>-144391</v>
      </c>
      <c r="E343" s="0" t="n">
        <v>1</v>
      </c>
      <c r="F343" s="0" t="s">
        <v>329</v>
      </c>
      <c r="G343" s="0" t="s">
        <v>3650</v>
      </c>
      <c r="I343" s="0" t="s">
        <v>655</v>
      </c>
    </row>
    <row r="344" customFormat="false" ht="15" hidden="false" customHeight="false" outlineLevel="0" collapsed="false">
      <c r="A344" s="0" t="s">
        <v>116</v>
      </c>
      <c r="B344" s="0" t="n">
        <v>2022</v>
      </c>
      <c r="C344" s="0" t="s">
        <v>59</v>
      </c>
      <c r="D344" s="0" t="n">
        <v>2614087</v>
      </c>
      <c r="E344" s="0" t="n">
        <v>1</v>
      </c>
      <c r="F344" s="0" t="s">
        <v>329</v>
      </c>
      <c r="G344" s="0" t="s">
        <v>3650</v>
      </c>
      <c r="I344" s="0" t="s">
        <v>656</v>
      </c>
    </row>
    <row r="345" customFormat="false" ht="15" hidden="false" customHeight="false" outlineLevel="0" collapsed="false">
      <c r="A345" s="0" t="s">
        <v>116</v>
      </c>
      <c r="B345" s="0" t="n">
        <v>2022</v>
      </c>
      <c r="C345" s="0" t="s">
        <v>60</v>
      </c>
      <c r="D345" s="0" t="n">
        <v>1238195</v>
      </c>
      <c r="E345" s="0" t="n">
        <v>1</v>
      </c>
      <c r="F345" s="0" t="s">
        <v>329</v>
      </c>
      <c r="G345" s="0" t="s">
        <v>3650</v>
      </c>
      <c r="I345" s="0" t="s">
        <v>657</v>
      </c>
    </row>
    <row r="346" customFormat="false" ht="15" hidden="false" customHeight="false" outlineLevel="0" collapsed="false">
      <c r="A346" s="0" t="s">
        <v>116</v>
      </c>
      <c r="B346" s="0" t="n">
        <v>2022</v>
      </c>
      <c r="C346" s="0" t="s">
        <v>61</v>
      </c>
      <c r="D346" s="0" t="n">
        <v>33410</v>
      </c>
      <c r="E346" s="0" t="n">
        <v>1</v>
      </c>
      <c r="F346" s="0" t="s">
        <v>329</v>
      </c>
      <c r="G346" s="0" t="s">
        <v>3650</v>
      </c>
      <c r="I346" s="0" t="s">
        <v>658</v>
      </c>
    </row>
    <row r="347" customFormat="false" ht="15" hidden="false" customHeight="false" outlineLevel="0" collapsed="false">
      <c r="A347" s="0" t="s">
        <v>116</v>
      </c>
      <c r="B347" s="0" t="n">
        <v>2022</v>
      </c>
      <c r="C347" s="0" t="s">
        <v>62</v>
      </c>
      <c r="D347" s="0" t="n">
        <v>1204785</v>
      </c>
      <c r="E347" s="0" t="n">
        <v>1</v>
      </c>
      <c r="F347" s="0" t="s">
        <v>329</v>
      </c>
      <c r="G347" s="0" t="s">
        <v>3650</v>
      </c>
      <c r="I347" s="0" t="s">
        <v>659</v>
      </c>
    </row>
    <row r="348" customFormat="false" ht="15" hidden="false" customHeight="false" outlineLevel="0" collapsed="false">
      <c r="A348" s="0" t="s">
        <v>116</v>
      </c>
      <c r="B348" s="0" t="n">
        <v>2022</v>
      </c>
      <c r="C348" s="0" t="s">
        <v>63</v>
      </c>
      <c r="D348" s="0" t="n">
        <v>10147</v>
      </c>
      <c r="E348" s="0" t="n">
        <v>1</v>
      </c>
      <c r="F348" s="0" t="s">
        <v>329</v>
      </c>
      <c r="G348" s="0" t="s">
        <v>3650</v>
      </c>
      <c r="I348" s="0" t="s">
        <v>660</v>
      </c>
    </row>
    <row r="349" customFormat="false" ht="15" hidden="false" customHeight="false" outlineLevel="0" collapsed="false">
      <c r="A349" s="0" t="s">
        <v>116</v>
      </c>
      <c r="B349" s="0" t="n">
        <v>2022</v>
      </c>
      <c r="C349" s="0" t="s">
        <v>69</v>
      </c>
      <c r="D349" s="0" t="n">
        <v>18.4</v>
      </c>
      <c r="E349" s="0" t="n">
        <v>1</v>
      </c>
      <c r="F349" s="0" t="s">
        <v>329</v>
      </c>
      <c r="G349" s="0" t="s">
        <v>3650</v>
      </c>
      <c r="I349" s="0" t="s">
        <v>661</v>
      </c>
    </row>
    <row r="350" customFormat="false" ht="15" hidden="false" customHeight="false" outlineLevel="0" collapsed="false">
      <c r="A350" s="0" t="s">
        <v>116</v>
      </c>
      <c r="B350" s="0" t="n">
        <v>2022</v>
      </c>
      <c r="C350" s="0" t="s">
        <v>591</v>
      </c>
      <c r="D350" s="0" t="n">
        <v>18.4</v>
      </c>
      <c r="E350" s="0" t="n">
        <v>1</v>
      </c>
      <c r="F350" s="0" t="s">
        <v>329</v>
      </c>
      <c r="G350" s="0" t="s">
        <v>3650</v>
      </c>
      <c r="I350" s="0" t="s">
        <v>662</v>
      </c>
    </row>
    <row r="351" customFormat="false" ht="15" hidden="false" customHeight="false" outlineLevel="0" collapsed="false">
      <c r="A351" s="0" t="s">
        <v>116</v>
      </c>
      <c r="B351" s="0" t="n">
        <v>2022</v>
      </c>
      <c r="C351" s="0" t="s">
        <v>70</v>
      </c>
      <c r="D351" s="0" t="n">
        <v>10</v>
      </c>
      <c r="E351" s="0" t="n">
        <v>1</v>
      </c>
      <c r="F351" s="0" t="s">
        <v>329</v>
      </c>
      <c r="G351" s="0" t="s">
        <v>3650</v>
      </c>
      <c r="I351" s="0" t="s">
        <v>663</v>
      </c>
    </row>
    <row r="352" customFormat="false" ht="15" hidden="false" customHeight="false" outlineLevel="0" collapsed="false">
      <c r="A352" s="0" t="s">
        <v>116</v>
      </c>
      <c r="B352" s="0" t="n">
        <v>2022</v>
      </c>
      <c r="C352" s="0" t="s">
        <v>65</v>
      </c>
      <c r="D352" s="0" t="n">
        <v>284446</v>
      </c>
      <c r="E352" s="0" t="n">
        <v>1</v>
      </c>
      <c r="F352" s="0" t="s">
        <v>329</v>
      </c>
      <c r="G352" s="0" t="s">
        <v>3650</v>
      </c>
      <c r="I352" s="0" t="s">
        <v>664</v>
      </c>
    </row>
    <row r="353" customFormat="false" ht="15" hidden="false" customHeight="false" outlineLevel="0" collapsed="false">
      <c r="A353" s="0" t="s">
        <v>116</v>
      </c>
      <c r="B353" s="0" t="n">
        <v>2022</v>
      </c>
      <c r="C353" s="0" t="s">
        <v>66</v>
      </c>
      <c r="D353" s="0" t="n">
        <v>1545117</v>
      </c>
      <c r="E353" s="0" t="n">
        <v>1</v>
      </c>
      <c r="F353" s="0" t="s">
        <v>329</v>
      </c>
      <c r="G353" s="0" t="s">
        <v>3650</v>
      </c>
      <c r="I353" s="0" t="s">
        <v>665</v>
      </c>
    </row>
    <row r="354" customFormat="false" ht="15" hidden="false" customHeight="false" outlineLevel="0" collapsed="false">
      <c r="A354" s="0" t="s">
        <v>116</v>
      </c>
      <c r="B354" s="0" t="n">
        <v>2022</v>
      </c>
      <c r="C354" s="0" t="s">
        <v>73</v>
      </c>
      <c r="D354" s="0" t="n">
        <v>0</v>
      </c>
      <c r="E354" s="0" t="n">
        <v>1</v>
      </c>
      <c r="F354" s="0" t="s">
        <v>329</v>
      </c>
      <c r="G354" s="0" t="s">
        <v>3650</v>
      </c>
      <c r="I354" s="0" t="s">
        <v>666</v>
      </c>
    </row>
    <row r="355" customFormat="false" ht="15" hidden="false" customHeight="false" outlineLevel="0" collapsed="false">
      <c r="A355" s="0" t="s">
        <v>116</v>
      </c>
      <c r="B355" s="0" t="n">
        <v>2022</v>
      </c>
      <c r="C355" s="0" t="s">
        <v>68</v>
      </c>
      <c r="D355" s="0" t="n">
        <v>20616</v>
      </c>
      <c r="E355" s="0" t="n">
        <v>1</v>
      </c>
      <c r="F355" s="0" t="s">
        <v>329</v>
      </c>
      <c r="G355" s="0" t="s">
        <v>3650</v>
      </c>
      <c r="I355" s="0" t="s">
        <v>667</v>
      </c>
    </row>
    <row r="356" customFormat="false" ht="15" hidden="false" customHeight="false" outlineLevel="0" collapsed="false">
      <c r="A356" s="0" t="s">
        <v>116</v>
      </c>
      <c r="B356" s="0" t="n">
        <v>2022</v>
      </c>
      <c r="C356" s="0" t="s">
        <v>402</v>
      </c>
      <c r="D356" s="0" t="n">
        <v>59732</v>
      </c>
      <c r="E356" s="0" t="n">
        <v>1</v>
      </c>
      <c r="F356" s="0" t="s">
        <v>329</v>
      </c>
      <c r="G356" s="0" t="s">
        <v>3650</v>
      </c>
      <c r="I356" s="0" t="s">
        <v>668</v>
      </c>
    </row>
    <row r="357" customFormat="false" ht="15" hidden="false" customHeight="false" outlineLevel="0" collapsed="false">
      <c r="A357" s="0" t="s">
        <v>126</v>
      </c>
      <c r="B357" s="0" t="n">
        <v>2013</v>
      </c>
      <c r="C357" s="0" t="s">
        <v>54</v>
      </c>
      <c r="D357" s="0" t="n">
        <v>8274.864</v>
      </c>
      <c r="E357" s="0" t="n">
        <v>1</v>
      </c>
      <c r="F357" s="0" t="s">
        <v>329</v>
      </c>
      <c r="G357" s="0" t="s">
        <v>3650</v>
      </c>
      <c r="I357" s="0" t="s">
        <v>1800</v>
      </c>
    </row>
    <row r="358" customFormat="false" ht="15" hidden="false" customHeight="false" outlineLevel="0" collapsed="false">
      <c r="A358" s="0" t="s">
        <v>126</v>
      </c>
      <c r="B358" s="0" t="n">
        <v>2013</v>
      </c>
      <c r="C358" s="0" t="s">
        <v>55</v>
      </c>
      <c r="D358" s="0" t="n">
        <v>707797.181</v>
      </c>
      <c r="E358" s="0" t="n">
        <v>1</v>
      </c>
      <c r="F358" s="0" t="s">
        <v>329</v>
      </c>
      <c r="G358" s="0" t="s">
        <v>3650</v>
      </c>
      <c r="I358" s="0" t="s">
        <v>1803</v>
      </c>
    </row>
    <row r="359" customFormat="false" ht="15" hidden="false" customHeight="false" outlineLevel="0" collapsed="false">
      <c r="A359" s="0" t="s">
        <v>126</v>
      </c>
      <c r="B359" s="0" t="n">
        <v>2013</v>
      </c>
      <c r="C359" s="0" t="s">
        <v>56</v>
      </c>
      <c r="D359" s="0" t="n">
        <v>644339.285</v>
      </c>
      <c r="E359" s="0" t="n">
        <v>1</v>
      </c>
      <c r="F359" s="0" t="s">
        <v>329</v>
      </c>
      <c r="G359" s="0" t="s">
        <v>3650</v>
      </c>
      <c r="I359" s="0" t="s">
        <v>1805</v>
      </c>
    </row>
    <row r="360" customFormat="false" ht="15" hidden="false" customHeight="false" outlineLevel="0" collapsed="false">
      <c r="A360" s="0" t="s">
        <v>126</v>
      </c>
      <c r="B360" s="0" t="n">
        <v>2013</v>
      </c>
      <c r="C360" s="0" t="s">
        <v>57</v>
      </c>
      <c r="D360" s="0" t="n">
        <v>63457.896</v>
      </c>
      <c r="E360" s="0" t="n">
        <v>1</v>
      </c>
      <c r="F360" s="0" t="s">
        <v>329</v>
      </c>
      <c r="G360" s="0" t="s">
        <v>3650</v>
      </c>
      <c r="I360" s="0" t="s">
        <v>1804</v>
      </c>
    </row>
    <row r="361" customFormat="false" ht="15" hidden="false" customHeight="false" outlineLevel="0" collapsed="false">
      <c r="A361" s="0" t="s">
        <v>126</v>
      </c>
      <c r="B361" s="0" t="n">
        <v>2013</v>
      </c>
      <c r="C361" s="0" t="s">
        <v>58</v>
      </c>
      <c r="D361" s="0" t="n">
        <v>-41953.972</v>
      </c>
      <c r="E361" s="0" t="n">
        <v>1</v>
      </c>
      <c r="F361" s="0" t="s">
        <v>329</v>
      </c>
      <c r="G361" s="0" t="s">
        <v>3650</v>
      </c>
      <c r="I361" s="0" t="s">
        <v>1799</v>
      </c>
    </row>
    <row r="362" customFormat="false" ht="15" hidden="false" customHeight="false" outlineLevel="0" collapsed="false">
      <c r="A362" s="0" t="s">
        <v>126</v>
      </c>
      <c r="B362" s="0" t="n">
        <v>2013</v>
      </c>
      <c r="C362" s="0" t="s">
        <v>60</v>
      </c>
      <c r="D362" s="0" t="n">
        <v>328664.904</v>
      </c>
      <c r="E362" s="0" t="n">
        <v>1</v>
      </c>
      <c r="F362" s="0" t="s">
        <v>329</v>
      </c>
      <c r="G362" s="0" t="s">
        <v>3650</v>
      </c>
      <c r="I362" s="0" t="s">
        <v>1790</v>
      </c>
    </row>
    <row r="363" customFormat="false" ht="15" hidden="false" customHeight="false" outlineLevel="0" collapsed="false">
      <c r="A363" s="0" t="s">
        <v>126</v>
      </c>
      <c r="B363" s="0" t="n">
        <v>2013</v>
      </c>
      <c r="C363" s="0" t="s">
        <v>61</v>
      </c>
      <c r="D363" s="0" t="n">
        <v>6921.156</v>
      </c>
      <c r="E363" s="0" t="n">
        <v>2</v>
      </c>
      <c r="F363" s="0" t="s">
        <v>329</v>
      </c>
      <c r="G363" s="0" t="s">
        <v>3656</v>
      </c>
      <c r="I363" s="0" t="s">
        <v>3657</v>
      </c>
    </row>
    <row r="364" customFormat="false" ht="15" hidden="false" customHeight="false" outlineLevel="0" collapsed="false">
      <c r="A364" s="0" t="s">
        <v>126</v>
      </c>
      <c r="B364" s="0" t="n">
        <v>2013</v>
      </c>
      <c r="C364" s="0" t="s">
        <v>63</v>
      </c>
      <c r="D364" s="0" t="n">
        <v>8259.094</v>
      </c>
      <c r="E364" s="0" t="n">
        <v>1</v>
      </c>
      <c r="F364" s="0" t="s">
        <v>329</v>
      </c>
      <c r="G364" s="0" t="s">
        <v>3650</v>
      </c>
      <c r="I364" s="0" t="s">
        <v>1792</v>
      </c>
    </row>
    <row r="365" customFormat="false" ht="15" hidden="false" customHeight="false" outlineLevel="0" collapsed="false">
      <c r="A365" s="0" t="s">
        <v>126</v>
      </c>
      <c r="B365" s="0" t="n">
        <v>2013</v>
      </c>
      <c r="C365" s="0" t="s">
        <v>266</v>
      </c>
      <c r="D365" s="0" t="n">
        <v>2.1</v>
      </c>
      <c r="E365" s="0" t="n">
        <v>1</v>
      </c>
      <c r="F365" s="0" t="s">
        <v>329</v>
      </c>
      <c r="G365" s="0" t="s">
        <v>3650</v>
      </c>
      <c r="I365" s="0" t="s">
        <v>2002</v>
      </c>
    </row>
    <row r="366" customFormat="false" ht="15" hidden="false" customHeight="false" outlineLevel="0" collapsed="false">
      <c r="A366" s="0" t="s">
        <v>126</v>
      </c>
      <c r="B366" s="0" t="n">
        <v>2013</v>
      </c>
      <c r="C366" s="0" t="s">
        <v>69</v>
      </c>
      <c r="D366" s="0" t="n">
        <v>14</v>
      </c>
      <c r="E366" s="0" t="n">
        <v>1</v>
      </c>
      <c r="F366" s="0" t="s">
        <v>329</v>
      </c>
      <c r="G366" s="0" t="s">
        <v>3650</v>
      </c>
      <c r="I366" s="0" t="s">
        <v>1784</v>
      </c>
    </row>
    <row r="367" customFormat="false" ht="15" hidden="false" customHeight="false" outlineLevel="0" collapsed="false">
      <c r="A367" s="0" t="s">
        <v>126</v>
      </c>
      <c r="B367" s="0" t="n">
        <v>2014</v>
      </c>
      <c r="C367" s="0" t="s">
        <v>54</v>
      </c>
      <c r="D367" s="0" t="n">
        <v>9004.973</v>
      </c>
      <c r="E367" s="0" t="n">
        <v>1</v>
      </c>
      <c r="F367" s="0" t="s">
        <v>329</v>
      </c>
      <c r="G367" s="0" t="s">
        <v>3650</v>
      </c>
      <c r="I367" s="0" t="s">
        <v>1817</v>
      </c>
    </row>
    <row r="368" customFormat="false" ht="15" hidden="false" customHeight="false" outlineLevel="0" collapsed="false">
      <c r="A368" s="0" t="s">
        <v>126</v>
      </c>
      <c r="B368" s="0" t="n">
        <v>2014</v>
      </c>
      <c r="C368" s="0" t="s">
        <v>55</v>
      </c>
      <c r="D368" s="0" t="n">
        <v>824539.426</v>
      </c>
      <c r="E368" s="0" t="n">
        <v>1</v>
      </c>
      <c r="F368" s="0" t="s">
        <v>329</v>
      </c>
      <c r="G368" s="0" t="s">
        <v>3650</v>
      </c>
      <c r="I368" s="0" t="s">
        <v>1820</v>
      </c>
    </row>
    <row r="369" customFormat="false" ht="15" hidden="false" customHeight="false" outlineLevel="0" collapsed="false">
      <c r="A369" s="0" t="s">
        <v>126</v>
      </c>
      <c r="B369" s="0" t="n">
        <v>2014</v>
      </c>
      <c r="C369" s="0" t="s">
        <v>56</v>
      </c>
      <c r="D369" s="0" t="n">
        <v>739824.141</v>
      </c>
      <c r="E369" s="0" t="n">
        <v>1</v>
      </c>
      <c r="F369" s="0" t="s">
        <v>329</v>
      </c>
      <c r="G369" s="0" t="s">
        <v>3650</v>
      </c>
      <c r="I369" s="0" t="s">
        <v>1822</v>
      </c>
    </row>
    <row r="370" customFormat="false" ht="15" hidden="false" customHeight="false" outlineLevel="0" collapsed="false">
      <c r="A370" s="0" t="s">
        <v>126</v>
      </c>
      <c r="B370" s="0" t="n">
        <v>2014</v>
      </c>
      <c r="C370" s="0" t="s">
        <v>57</v>
      </c>
      <c r="D370" s="0" t="n">
        <v>84715.285</v>
      </c>
      <c r="E370" s="0" t="n">
        <v>1</v>
      </c>
      <c r="F370" s="0" t="s">
        <v>329</v>
      </c>
      <c r="G370" s="0" t="s">
        <v>3650</v>
      </c>
      <c r="I370" s="0" t="s">
        <v>1821</v>
      </c>
    </row>
    <row r="371" customFormat="false" ht="15" hidden="false" customHeight="false" outlineLevel="0" collapsed="false">
      <c r="A371" s="0" t="s">
        <v>126</v>
      </c>
      <c r="B371" s="0" t="n">
        <v>2014</v>
      </c>
      <c r="C371" s="0" t="s">
        <v>58</v>
      </c>
      <c r="D371" s="0" t="n">
        <v>-755.006</v>
      </c>
      <c r="E371" s="0" t="n">
        <v>1</v>
      </c>
      <c r="F371" s="0" t="s">
        <v>329</v>
      </c>
      <c r="G371" s="0" t="s">
        <v>3650</v>
      </c>
      <c r="I371" s="0" t="s">
        <v>1816</v>
      </c>
    </row>
    <row r="372" customFormat="false" ht="15" hidden="false" customHeight="false" outlineLevel="0" collapsed="false">
      <c r="A372" s="0" t="s">
        <v>126</v>
      </c>
      <c r="B372" s="0" t="n">
        <v>2014</v>
      </c>
      <c r="C372" s="0" t="s">
        <v>59</v>
      </c>
      <c r="D372" s="0" t="n">
        <v>707797.181</v>
      </c>
      <c r="E372" s="0" t="n">
        <v>1</v>
      </c>
      <c r="F372" s="0" t="s">
        <v>329</v>
      </c>
      <c r="G372" s="0" t="s">
        <v>3651</v>
      </c>
      <c r="I372" s="0" t="s">
        <v>1803</v>
      </c>
    </row>
    <row r="373" customFormat="false" ht="15" hidden="false" customHeight="false" outlineLevel="0" collapsed="false">
      <c r="A373" s="0" t="s">
        <v>126</v>
      </c>
      <c r="B373" s="0" t="n">
        <v>2014</v>
      </c>
      <c r="C373" s="0" t="s">
        <v>60</v>
      </c>
      <c r="D373" s="0" t="n">
        <v>380924.4</v>
      </c>
      <c r="E373" s="0" t="n">
        <v>1</v>
      </c>
      <c r="F373" s="0" t="s">
        <v>329</v>
      </c>
      <c r="G373" s="0" t="s">
        <v>3650</v>
      </c>
      <c r="I373" s="0" t="s">
        <v>1809</v>
      </c>
    </row>
    <row r="374" customFormat="false" ht="15" hidden="false" customHeight="false" outlineLevel="0" collapsed="false">
      <c r="A374" s="0" t="s">
        <v>126</v>
      </c>
      <c r="B374" s="0" t="n">
        <v>2014</v>
      </c>
      <c r="C374" s="0" t="s">
        <v>61</v>
      </c>
      <c r="D374" s="0" t="n">
        <v>9678.127</v>
      </c>
      <c r="E374" s="0" t="n">
        <v>2</v>
      </c>
      <c r="F374" s="0" t="s">
        <v>329</v>
      </c>
      <c r="G374" s="0" t="s">
        <v>3656</v>
      </c>
      <c r="I374" s="0" t="s">
        <v>3658</v>
      </c>
    </row>
    <row r="375" customFormat="false" ht="15" hidden="false" customHeight="false" outlineLevel="0" collapsed="false">
      <c r="A375" s="0" t="s">
        <v>126</v>
      </c>
      <c r="B375" s="0" t="n">
        <v>2014</v>
      </c>
      <c r="C375" s="0" t="s">
        <v>63</v>
      </c>
      <c r="D375" s="0" t="n">
        <v>7389.159</v>
      </c>
      <c r="E375" s="0" t="n">
        <v>1</v>
      </c>
      <c r="F375" s="0" t="s">
        <v>329</v>
      </c>
      <c r="G375" s="0" t="s">
        <v>3650</v>
      </c>
      <c r="I375" s="0" t="s">
        <v>1810</v>
      </c>
    </row>
    <row r="376" customFormat="false" ht="15" hidden="false" customHeight="false" outlineLevel="0" collapsed="false">
      <c r="A376" s="0" t="s">
        <v>126</v>
      </c>
      <c r="B376" s="0" t="n">
        <v>2014</v>
      </c>
      <c r="C376" s="0" t="s">
        <v>266</v>
      </c>
      <c r="D376" s="0" t="n">
        <v>3.1</v>
      </c>
      <c r="E376" s="0" t="n">
        <v>1</v>
      </c>
      <c r="F376" s="0" t="s">
        <v>329</v>
      </c>
      <c r="G376" s="0" t="s">
        <v>3650</v>
      </c>
      <c r="I376" s="0" t="s">
        <v>1999</v>
      </c>
    </row>
    <row r="377" customFormat="false" ht="15" hidden="false" customHeight="false" outlineLevel="0" collapsed="false">
      <c r="A377" s="0" t="s">
        <v>126</v>
      </c>
      <c r="B377" s="0" t="n">
        <v>2014</v>
      </c>
      <c r="C377" s="0" t="s">
        <v>69</v>
      </c>
      <c r="D377" s="0" t="n">
        <v>14</v>
      </c>
      <c r="E377" s="0" t="n">
        <v>1</v>
      </c>
      <c r="F377" s="0" t="s">
        <v>329</v>
      </c>
      <c r="G377" s="0" t="s">
        <v>3650</v>
      </c>
      <c r="I377" s="0" t="s">
        <v>1806</v>
      </c>
    </row>
    <row r="378" customFormat="false" ht="15" hidden="false" customHeight="false" outlineLevel="0" collapsed="false">
      <c r="A378" s="0" t="s">
        <v>126</v>
      </c>
      <c r="B378" s="0" t="n">
        <v>2014</v>
      </c>
      <c r="C378" s="0" t="s">
        <v>71</v>
      </c>
      <c r="D378" s="0" t="n">
        <v>34</v>
      </c>
      <c r="E378" s="0" t="n">
        <v>1</v>
      </c>
      <c r="F378" s="0" t="s">
        <v>329</v>
      </c>
      <c r="G378" s="0" t="s">
        <v>3650</v>
      </c>
      <c r="I378" s="0" t="s">
        <v>1813</v>
      </c>
    </row>
    <row r="379" customFormat="false" ht="15" hidden="false" customHeight="false" outlineLevel="0" collapsed="false">
      <c r="A379" s="0" t="s">
        <v>126</v>
      </c>
      <c r="B379" s="0" t="n">
        <v>2014</v>
      </c>
      <c r="C379" s="0" t="s">
        <v>73</v>
      </c>
      <c r="D379" s="0" t="n">
        <v>0</v>
      </c>
      <c r="E379" s="0" t="n">
        <v>1</v>
      </c>
      <c r="F379" s="0" t="s">
        <v>329</v>
      </c>
      <c r="G379" s="0" t="s">
        <v>3650</v>
      </c>
      <c r="I379" s="0" t="s">
        <v>310</v>
      </c>
    </row>
    <row r="380" customFormat="false" ht="15" hidden="false" customHeight="false" outlineLevel="0" collapsed="false">
      <c r="A380" s="0" t="s">
        <v>126</v>
      </c>
      <c r="B380" s="0" t="n">
        <v>2018</v>
      </c>
      <c r="C380" s="0" t="s">
        <v>54</v>
      </c>
      <c r="D380" s="0" t="n">
        <v>9468</v>
      </c>
      <c r="E380" s="0" t="n">
        <v>1</v>
      </c>
      <c r="F380" s="0" t="s">
        <v>329</v>
      </c>
      <c r="G380" s="0" t="s">
        <v>3650</v>
      </c>
      <c r="I380" s="0" t="s">
        <v>1837</v>
      </c>
    </row>
    <row r="381" customFormat="false" ht="15" hidden="false" customHeight="false" outlineLevel="0" collapsed="false">
      <c r="A381" s="0" t="s">
        <v>126</v>
      </c>
      <c r="B381" s="0" t="n">
        <v>2018</v>
      </c>
      <c r="C381" s="0" t="s">
        <v>55</v>
      </c>
      <c r="D381" s="0" t="n">
        <v>1085876</v>
      </c>
      <c r="E381" s="0" t="n">
        <v>1</v>
      </c>
      <c r="F381" s="0" t="s">
        <v>329</v>
      </c>
      <c r="G381" s="0" t="s">
        <v>3650</v>
      </c>
      <c r="I381" s="0" t="s">
        <v>1842</v>
      </c>
    </row>
    <row r="382" customFormat="false" ht="15" hidden="false" customHeight="false" outlineLevel="0" collapsed="false">
      <c r="A382" s="0" t="s">
        <v>126</v>
      </c>
      <c r="B382" s="0" t="n">
        <v>2018</v>
      </c>
      <c r="C382" s="0" t="s">
        <v>56</v>
      </c>
      <c r="D382" s="0" t="n">
        <v>987867</v>
      </c>
      <c r="E382" s="0" t="n">
        <v>1</v>
      </c>
      <c r="F382" s="0" t="s">
        <v>329</v>
      </c>
      <c r="G382" s="0" t="s">
        <v>3650</v>
      </c>
      <c r="I382" s="0" t="s">
        <v>1844</v>
      </c>
    </row>
    <row r="383" customFormat="false" ht="15" hidden="false" customHeight="false" outlineLevel="0" collapsed="false">
      <c r="A383" s="0" t="s">
        <v>126</v>
      </c>
      <c r="B383" s="0" t="n">
        <v>2018</v>
      </c>
      <c r="C383" s="0" t="s">
        <v>57</v>
      </c>
      <c r="D383" s="0" t="n">
        <v>98009</v>
      </c>
      <c r="E383" s="0" t="n">
        <v>1</v>
      </c>
      <c r="F383" s="0" t="s">
        <v>329</v>
      </c>
      <c r="G383" s="0" t="s">
        <v>3650</v>
      </c>
      <c r="I383" s="0" t="s">
        <v>1843</v>
      </c>
    </row>
    <row r="384" customFormat="false" ht="15" hidden="false" customHeight="false" outlineLevel="0" collapsed="false">
      <c r="A384" s="0" t="s">
        <v>126</v>
      </c>
      <c r="B384" s="0" t="n">
        <v>2018</v>
      </c>
      <c r="C384" s="0" t="s">
        <v>58</v>
      </c>
      <c r="D384" s="0" t="n">
        <v>35086</v>
      </c>
      <c r="E384" s="0" t="n">
        <v>1</v>
      </c>
      <c r="F384" s="0" t="s">
        <v>329</v>
      </c>
      <c r="G384" s="0" t="s">
        <v>3650</v>
      </c>
      <c r="I384" s="0" t="s">
        <v>1836</v>
      </c>
    </row>
    <row r="385" customFormat="false" ht="15" hidden="false" customHeight="false" outlineLevel="0" collapsed="false">
      <c r="A385" s="0" t="s">
        <v>126</v>
      </c>
      <c r="B385" s="0" t="n">
        <v>2018</v>
      </c>
      <c r="C385" s="0" t="s">
        <v>60</v>
      </c>
      <c r="D385" s="0" t="n">
        <v>640678</v>
      </c>
      <c r="E385" s="0" t="n">
        <v>1</v>
      </c>
      <c r="F385" s="0" t="s">
        <v>329</v>
      </c>
      <c r="G385" s="0" t="s">
        <v>3650</v>
      </c>
      <c r="I385" s="0" t="s">
        <v>1832</v>
      </c>
    </row>
    <row r="386" customFormat="false" ht="15" hidden="false" customHeight="false" outlineLevel="0" collapsed="false">
      <c r="A386" s="0" t="s">
        <v>126</v>
      </c>
      <c r="B386" s="0" t="n">
        <v>2018</v>
      </c>
      <c r="C386" s="0" t="s">
        <v>61</v>
      </c>
      <c r="D386" s="0" t="n">
        <v>19661</v>
      </c>
      <c r="E386" s="0" t="n">
        <v>2</v>
      </c>
      <c r="F386" s="0" t="s">
        <v>329</v>
      </c>
      <c r="G386" s="0" t="s">
        <v>3659</v>
      </c>
      <c r="I386" s="0" t="s">
        <v>3660</v>
      </c>
    </row>
    <row r="387" customFormat="false" ht="15" hidden="false" customHeight="false" outlineLevel="0" collapsed="false">
      <c r="A387" s="0" t="s">
        <v>126</v>
      </c>
      <c r="B387" s="0" t="n">
        <v>2018</v>
      </c>
      <c r="C387" s="0" t="s">
        <v>63</v>
      </c>
      <c r="D387" s="0" t="n">
        <v>5832</v>
      </c>
      <c r="E387" s="0" t="n">
        <v>1</v>
      </c>
      <c r="F387" s="0" t="s">
        <v>329</v>
      </c>
      <c r="G387" s="0" t="s">
        <v>3650</v>
      </c>
      <c r="I387" s="0" t="s">
        <v>1834</v>
      </c>
    </row>
    <row r="388" customFormat="false" ht="15" hidden="false" customHeight="false" outlineLevel="0" collapsed="false">
      <c r="A388" s="0" t="s">
        <v>126</v>
      </c>
      <c r="B388" s="0" t="n">
        <v>2018</v>
      </c>
      <c r="C388" s="0" t="s">
        <v>69</v>
      </c>
      <c r="D388" s="0" t="n">
        <v>12.86</v>
      </c>
      <c r="E388" s="0" t="n">
        <v>1</v>
      </c>
      <c r="F388" s="0" t="s">
        <v>329</v>
      </c>
      <c r="G388" s="0" t="s">
        <v>3650</v>
      </c>
      <c r="I388" s="0" t="s">
        <v>1826</v>
      </c>
    </row>
    <row r="389" customFormat="false" ht="15" hidden="false" customHeight="false" outlineLevel="0" collapsed="false">
      <c r="A389" s="0" t="s">
        <v>126</v>
      </c>
      <c r="B389" s="0" t="n">
        <v>2018</v>
      </c>
      <c r="C389" s="0" t="s">
        <v>70</v>
      </c>
      <c r="D389" s="0" t="n">
        <v>10</v>
      </c>
      <c r="E389" s="0" t="n">
        <v>1</v>
      </c>
      <c r="F389" s="0" t="s">
        <v>329</v>
      </c>
      <c r="G389" s="0" t="s">
        <v>3650</v>
      </c>
      <c r="I389" s="0" t="s">
        <v>1823</v>
      </c>
    </row>
    <row r="390" customFormat="false" ht="15" hidden="false" customHeight="false" outlineLevel="0" collapsed="false">
      <c r="A390" s="0" t="s">
        <v>126</v>
      </c>
      <c r="B390" s="0" t="n">
        <v>2019</v>
      </c>
      <c r="C390" s="0" t="s">
        <v>54</v>
      </c>
      <c r="D390" s="0" t="n">
        <v>10163</v>
      </c>
      <c r="E390" s="0" t="n">
        <v>1</v>
      </c>
      <c r="F390" s="0" t="s">
        <v>329</v>
      </c>
      <c r="G390" s="0" t="s">
        <v>3650</v>
      </c>
      <c r="I390" s="0" t="s">
        <v>1854</v>
      </c>
    </row>
    <row r="391" customFormat="false" ht="15" hidden="false" customHeight="false" outlineLevel="0" collapsed="false">
      <c r="A391" s="0" t="s">
        <v>126</v>
      </c>
      <c r="B391" s="0" t="n">
        <v>2019</v>
      </c>
      <c r="C391" s="0" t="s">
        <v>55</v>
      </c>
      <c r="D391" s="0" t="n">
        <v>1165509</v>
      </c>
      <c r="E391" s="0" t="n">
        <v>1</v>
      </c>
      <c r="F391" s="0" t="s">
        <v>329</v>
      </c>
      <c r="G391" s="0" t="s">
        <v>3650</v>
      </c>
      <c r="I391" s="0" t="s">
        <v>1858</v>
      </c>
    </row>
    <row r="392" customFormat="false" ht="15" hidden="false" customHeight="false" outlineLevel="0" collapsed="false">
      <c r="A392" s="0" t="s">
        <v>126</v>
      </c>
      <c r="B392" s="0" t="n">
        <v>2019</v>
      </c>
      <c r="C392" s="0" t="s">
        <v>56</v>
      </c>
      <c r="D392" s="0" t="n">
        <v>1046181</v>
      </c>
      <c r="E392" s="0" t="n">
        <v>1</v>
      </c>
      <c r="F392" s="0" t="s">
        <v>329</v>
      </c>
      <c r="G392" s="0" t="s">
        <v>3650</v>
      </c>
      <c r="I392" s="0" t="s">
        <v>1860</v>
      </c>
    </row>
    <row r="393" customFormat="false" ht="15" hidden="false" customHeight="false" outlineLevel="0" collapsed="false">
      <c r="A393" s="0" t="s">
        <v>126</v>
      </c>
      <c r="B393" s="0" t="n">
        <v>2019</v>
      </c>
      <c r="C393" s="0" t="s">
        <v>57</v>
      </c>
      <c r="D393" s="0" t="n">
        <v>119328</v>
      </c>
      <c r="E393" s="0" t="n">
        <v>1</v>
      </c>
      <c r="F393" s="0" t="s">
        <v>329</v>
      </c>
      <c r="G393" s="0" t="s">
        <v>3650</v>
      </c>
      <c r="I393" s="0" t="s">
        <v>1859</v>
      </c>
    </row>
    <row r="394" customFormat="false" ht="15" hidden="false" customHeight="false" outlineLevel="0" collapsed="false">
      <c r="A394" s="0" t="s">
        <v>126</v>
      </c>
      <c r="B394" s="0" t="n">
        <v>2019</v>
      </c>
      <c r="C394" s="0" t="s">
        <v>58</v>
      </c>
      <c r="D394" s="0" t="n">
        <v>114414</v>
      </c>
      <c r="E394" s="0" t="n">
        <v>1</v>
      </c>
      <c r="F394" s="0" t="s">
        <v>329</v>
      </c>
      <c r="G394" s="0" t="s">
        <v>3650</v>
      </c>
      <c r="I394" s="0" t="s">
        <v>1853</v>
      </c>
    </row>
    <row r="395" customFormat="false" ht="15" hidden="false" customHeight="false" outlineLevel="0" collapsed="false">
      <c r="A395" s="0" t="s">
        <v>126</v>
      </c>
      <c r="B395" s="0" t="n">
        <v>2019</v>
      </c>
      <c r="C395" s="0" t="s">
        <v>59</v>
      </c>
      <c r="D395" s="0" t="n">
        <v>1085876</v>
      </c>
      <c r="E395" s="0" t="n">
        <v>1</v>
      </c>
      <c r="F395" s="0" t="s">
        <v>329</v>
      </c>
      <c r="G395" s="0" t="s">
        <v>3651</v>
      </c>
      <c r="I395" s="0" t="s">
        <v>1842</v>
      </c>
    </row>
    <row r="396" customFormat="false" ht="15" hidden="false" customHeight="false" outlineLevel="0" collapsed="false">
      <c r="A396" s="0" t="s">
        <v>126</v>
      </c>
      <c r="B396" s="0" t="n">
        <v>2019</v>
      </c>
      <c r="C396" s="0" t="s">
        <v>60</v>
      </c>
      <c r="D396" s="0" t="n">
        <v>631698</v>
      </c>
      <c r="E396" s="0" t="n">
        <v>1</v>
      </c>
      <c r="F396" s="0" t="s">
        <v>329</v>
      </c>
      <c r="G396" s="0" t="s">
        <v>3650</v>
      </c>
      <c r="I396" s="0" t="s">
        <v>1849</v>
      </c>
    </row>
    <row r="397" customFormat="false" ht="15" hidden="false" customHeight="false" outlineLevel="0" collapsed="false">
      <c r="A397" s="0" t="s">
        <v>126</v>
      </c>
      <c r="B397" s="0" t="n">
        <v>2019</v>
      </c>
      <c r="C397" s="0" t="s">
        <v>61</v>
      </c>
      <c r="D397" s="0" t="n">
        <v>12966</v>
      </c>
      <c r="E397" s="0" t="n">
        <v>2</v>
      </c>
      <c r="F397" s="0" t="s">
        <v>329</v>
      </c>
      <c r="G397" s="0" t="s">
        <v>3659</v>
      </c>
      <c r="I397" s="0" t="s">
        <v>3661</v>
      </c>
    </row>
    <row r="398" customFormat="false" ht="15" hidden="false" customHeight="false" outlineLevel="0" collapsed="false">
      <c r="A398" s="0" t="s">
        <v>126</v>
      </c>
      <c r="B398" s="0" t="n">
        <v>2019</v>
      </c>
      <c r="C398" s="0" t="s">
        <v>63</v>
      </c>
      <c r="D398" s="0" t="n">
        <v>5842</v>
      </c>
      <c r="E398" s="0" t="n">
        <v>1</v>
      </c>
      <c r="F398" s="0" t="s">
        <v>329</v>
      </c>
      <c r="G398" s="0" t="s">
        <v>3650</v>
      </c>
      <c r="I398" s="0" t="s">
        <v>1851</v>
      </c>
    </row>
    <row r="399" customFormat="false" ht="15" hidden="false" customHeight="false" outlineLevel="0" collapsed="false">
      <c r="A399" s="0" t="s">
        <v>126</v>
      </c>
      <c r="B399" s="0" t="n">
        <v>2019</v>
      </c>
      <c r="C399" s="0" t="s">
        <v>69</v>
      </c>
      <c r="D399" s="0" t="n">
        <v>14.7</v>
      </c>
      <c r="E399" s="0" t="n">
        <v>1</v>
      </c>
      <c r="F399" s="0" t="s">
        <v>329</v>
      </c>
      <c r="G399" s="0" t="s">
        <v>3650</v>
      </c>
      <c r="I399" s="0" t="s">
        <v>1846</v>
      </c>
    </row>
    <row r="400" customFormat="false" ht="15" hidden="false" customHeight="false" outlineLevel="0" collapsed="false">
      <c r="A400" s="0" t="s">
        <v>126</v>
      </c>
      <c r="B400" s="0" t="n">
        <v>2019</v>
      </c>
      <c r="C400" s="0" t="s">
        <v>70</v>
      </c>
      <c r="D400" s="0" t="n">
        <v>10</v>
      </c>
      <c r="E400" s="0" t="n">
        <v>1</v>
      </c>
      <c r="F400" s="0" t="s">
        <v>329</v>
      </c>
      <c r="G400" s="0" t="s">
        <v>3650</v>
      </c>
      <c r="I400" s="0" t="s">
        <v>1845</v>
      </c>
    </row>
    <row r="401" customFormat="false" ht="15" hidden="false" customHeight="false" outlineLevel="0" collapsed="false">
      <c r="A401" s="0" t="s">
        <v>126</v>
      </c>
      <c r="B401" s="0" t="n">
        <v>2019</v>
      </c>
      <c r="C401" s="0" t="s">
        <v>73</v>
      </c>
      <c r="D401" s="0" t="n">
        <v>0</v>
      </c>
      <c r="E401" s="0" t="n">
        <v>1</v>
      </c>
      <c r="F401" s="0" t="s">
        <v>329</v>
      </c>
      <c r="G401" s="0" t="s">
        <v>3650</v>
      </c>
      <c r="I401" s="0" t="s">
        <v>311</v>
      </c>
    </row>
    <row r="402" customFormat="false" ht="15" hidden="false" customHeight="false" outlineLevel="0" collapsed="false">
      <c r="A402" s="0" t="s">
        <v>129</v>
      </c>
      <c r="B402" s="0" t="n">
        <v>2013</v>
      </c>
      <c r="C402" s="0" t="s">
        <v>54</v>
      </c>
      <c r="D402" s="0" t="n">
        <v>46483</v>
      </c>
      <c r="E402" s="0" t="n">
        <v>1</v>
      </c>
      <c r="F402" s="0" t="s">
        <v>329</v>
      </c>
      <c r="G402" s="0" t="s">
        <v>3650</v>
      </c>
      <c r="I402" s="0" t="s">
        <v>1692</v>
      </c>
    </row>
    <row r="403" customFormat="false" ht="15" hidden="false" customHeight="false" outlineLevel="0" collapsed="false">
      <c r="A403" s="0" t="s">
        <v>129</v>
      </c>
      <c r="B403" s="0" t="n">
        <v>2013</v>
      </c>
      <c r="C403" s="0" t="s">
        <v>55</v>
      </c>
      <c r="D403" s="0" t="n">
        <v>2217417</v>
      </c>
      <c r="E403" s="0" t="n">
        <v>1</v>
      </c>
      <c r="F403" s="0" t="s">
        <v>329</v>
      </c>
      <c r="G403" s="0" t="s">
        <v>3650</v>
      </c>
      <c r="I403" s="0" t="s">
        <v>1696</v>
      </c>
    </row>
    <row r="404" customFormat="false" ht="15" hidden="false" customHeight="false" outlineLevel="0" collapsed="false">
      <c r="A404" s="0" t="s">
        <v>129</v>
      </c>
      <c r="B404" s="0" t="n">
        <v>2013</v>
      </c>
      <c r="C404" s="0" t="s">
        <v>56</v>
      </c>
      <c r="D404" s="0" t="n">
        <v>1957879</v>
      </c>
      <c r="E404" s="0" t="n">
        <v>1</v>
      </c>
      <c r="F404" s="0" t="s">
        <v>329</v>
      </c>
      <c r="G404" s="0" t="s">
        <v>3650</v>
      </c>
      <c r="I404" s="0" t="s">
        <v>1698</v>
      </c>
    </row>
    <row r="405" customFormat="false" ht="15" hidden="false" customHeight="false" outlineLevel="0" collapsed="false">
      <c r="A405" s="0" t="s">
        <v>129</v>
      </c>
      <c r="B405" s="0" t="n">
        <v>2013</v>
      </c>
      <c r="C405" s="0" t="s">
        <v>57</v>
      </c>
      <c r="D405" s="0" t="n">
        <v>259538</v>
      </c>
      <c r="E405" s="0" t="n">
        <v>1</v>
      </c>
      <c r="F405" s="0" t="s">
        <v>329</v>
      </c>
      <c r="G405" s="0" t="s">
        <v>3650</v>
      </c>
      <c r="I405" s="0" t="s">
        <v>1697</v>
      </c>
    </row>
    <row r="406" customFormat="false" ht="15" hidden="false" customHeight="false" outlineLevel="0" collapsed="false">
      <c r="A406" s="0" t="s">
        <v>129</v>
      </c>
      <c r="B406" s="0" t="n">
        <v>2013</v>
      </c>
      <c r="C406" s="0" t="s">
        <v>58</v>
      </c>
      <c r="D406" s="0" t="n">
        <v>-136104</v>
      </c>
      <c r="E406" s="0" t="n">
        <v>1</v>
      </c>
      <c r="F406" s="0" t="s">
        <v>329</v>
      </c>
      <c r="G406" s="0" t="s">
        <v>3650</v>
      </c>
      <c r="I406" s="0" t="s">
        <v>1691</v>
      </c>
    </row>
    <row r="407" customFormat="false" ht="15" hidden="false" customHeight="false" outlineLevel="0" collapsed="false">
      <c r="A407" s="0" t="s">
        <v>129</v>
      </c>
      <c r="B407" s="0" t="n">
        <v>2013</v>
      </c>
      <c r="C407" s="0" t="s">
        <v>60</v>
      </c>
      <c r="D407" s="0" t="n">
        <v>805259</v>
      </c>
      <c r="E407" s="0" t="n">
        <v>1</v>
      </c>
      <c r="F407" s="0" t="s">
        <v>329</v>
      </c>
      <c r="G407" s="0" t="s">
        <v>3650</v>
      </c>
      <c r="I407" s="0" t="s">
        <v>1685</v>
      </c>
    </row>
    <row r="408" customFormat="false" ht="15" hidden="false" customHeight="false" outlineLevel="0" collapsed="false">
      <c r="A408" s="0" t="s">
        <v>129</v>
      </c>
      <c r="B408" s="0" t="n">
        <v>2013</v>
      </c>
      <c r="C408" s="0" t="s">
        <v>61</v>
      </c>
      <c r="D408" s="0" t="n">
        <v>8317</v>
      </c>
      <c r="E408" s="0" t="n">
        <v>1</v>
      </c>
      <c r="F408" s="0" t="s">
        <v>329</v>
      </c>
      <c r="G408" s="0" t="s">
        <v>3650</v>
      </c>
      <c r="I408" s="0" t="s">
        <v>1689</v>
      </c>
    </row>
    <row r="409" customFormat="false" ht="15" hidden="false" customHeight="false" outlineLevel="0" collapsed="false">
      <c r="A409" s="0" t="s">
        <v>129</v>
      </c>
      <c r="B409" s="0" t="n">
        <v>2013</v>
      </c>
      <c r="C409" s="0" t="s">
        <v>63</v>
      </c>
      <c r="D409" s="0" t="n">
        <v>181</v>
      </c>
      <c r="E409" s="0" t="n">
        <v>1</v>
      </c>
      <c r="F409" s="0" t="s">
        <v>329</v>
      </c>
      <c r="G409" s="0" t="s">
        <v>3650</v>
      </c>
      <c r="I409" s="0" t="s">
        <v>1687</v>
      </c>
    </row>
    <row r="410" customFormat="false" ht="15" hidden="false" customHeight="false" outlineLevel="0" collapsed="false">
      <c r="A410" s="0" t="s">
        <v>129</v>
      </c>
      <c r="B410" s="0" t="n">
        <v>2013</v>
      </c>
      <c r="C410" s="0" t="s">
        <v>69</v>
      </c>
      <c r="D410" s="0" t="n">
        <v>20</v>
      </c>
      <c r="E410" s="0" t="n">
        <v>1</v>
      </c>
      <c r="F410" s="0" t="s">
        <v>329</v>
      </c>
      <c r="G410" s="0" t="s">
        <v>3650</v>
      </c>
      <c r="I410" s="0" t="s">
        <v>1677</v>
      </c>
    </row>
    <row r="411" customFormat="false" ht="15" hidden="false" customHeight="false" outlineLevel="0" collapsed="false">
      <c r="A411" s="0" t="s">
        <v>129</v>
      </c>
      <c r="B411" s="0" t="n">
        <v>2014</v>
      </c>
      <c r="C411" s="0" t="s">
        <v>54</v>
      </c>
      <c r="D411" s="0" t="n">
        <v>40083</v>
      </c>
      <c r="E411" s="0" t="n">
        <v>1</v>
      </c>
      <c r="F411" s="0" t="s">
        <v>329</v>
      </c>
      <c r="G411" s="0" t="s">
        <v>3650</v>
      </c>
      <c r="I411" s="0" t="s">
        <v>1709</v>
      </c>
    </row>
    <row r="412" customFormat="false" ht="15" hidden="false" customHeight="false" outlineLevel="0" collapsed="false">
      <c r="A412" s="0" t="s">
        <v>129</v>
      </c>
      <c r="B412" s="0" t="n">
        <v>2014</v>
      </c>
      <c r="C412" s="0" t="s">
        <v>55</v>
      </c>
      <c r="D412" s="0" t="n">
        <v>2338858</v>
      </c>
      <c r="E412" s="0" t="n">
        <v>1</v>
      </c>
      <c r="F412" s="0" t="s">
        <v>329</v>
      </c>
      <c r="G412" s="0" t="s">
        <v>3650</v>
      </c>
      <c r="I412" s="0" t="s">
        <v>1712</v>
      </c>
    </row>
    <row r="413" customFormat="false" ht="15" hidden="false" customHeight="false" outlineLevel="0" collapsed="false">
      <c r="A413" s="0" t="s">
        <v>129</v>
      </c>
      <c r="B413" s="0" t="n">
        <v>2014</v>
      </c>
      <c r="C413" s="0" t="s">
        <v>56</v>
      </c>
      <c r="D413" s="0" t="n">
        <v>2056925</v>
      </c>
      <c r="E413" s="0" t="n">
        <v>1</v>
      </c>
      <c r="F413" s="0" t="s">
        <v>329</v>
      </c>
      <c r="G413" s="0" t="s">
        <v>3650</v>
      </c>
      <c r="I413" s="0" t="s">
        <v>1714</v>
      </c>
    </row>
    <row r="414" customFormat="false" ht="15" hidden="false" customHeight="false" outlineLevel="0" collapsed="false">
      <c r="A414" s="0" t="s">
        <v>129</v>
      </c>
      <c r="B414" s="0" t="n">
        <v>2014</v>
      </c>
      <c r="C414" s="0" t="s">
        <v>57</v>
      </c>
      <c r="D414" s="0" t="n">
        <v>281933</v>
      </c>
      <c r="E414" s="0" t="n">
        <v>1</v>
      </c>
      <c r="F414" s="0" t="s">
        <v>329</v>
      </c>
      <c r="G414" s="0" t="s">
        <v>3650</v>
      </c>
      <c r="I414" s="0" t="s">
        <v>1713</v>
      </c>
    </row>
    <row r="415" customFormat="false" ht="15" hidden="false" customHeight="false" outlineLevel="0" collapsed="false">
      <c r="A415" s="0" t="s">
        <v>129</v>
      </c>
      <c r="B415" s="0" t="n">
        <v>2014</v>
      </c>
      <c r="C415" s="0" t="s">
        <v>58</v>
      </c>
      <c r="D415" s="0" t="n">
        <v>-92619</v>
      </c>
      <c r="E415" s="0" t="n">
        <v>1</v>
      </c>
      <c r="F415" s="0" t="s">
        <v>329</v>
      </c>
      <c r="G415" s="0" t="s">
        <v>3650</v>
      </c>
      <c r="I415" s="0" t="s">
        <v>1708</v>
      </c>
    </row>
    <row r="416" customFormat="false" ht="15" hidden="false" customHeight="false" outlineLevel="0" collapsed="false">
      <c r="A416" s="0" t="s">
        <v>129</v>
      </c>
      <c r="B416" s="0" t="n">
        <v>2014</v>
      </c>
      <c r="C416" s="0" t="s">
        <v>59</v>
      </c>
      <c r="D416" s="0" t="n">
        <v>2217417</v>
      </c>
      <c r="E416" s="0" t="n">
        <v>1</v>
      </c>
      <c r="F416" s="0" t="s">
        <v>329</v>
      </c>
      <c r="G416" s="0" t="s">
        <v>3651</v>
      </c>
      <c r="I416" s="0" t="s">
        <v>1696</v>
      </c>
    </row>
    <row r="417" customFormat="false" ht="15" hidden="false" customHeight="false" outlineLevel="0" collapsed="false">
      <c r="A417" s="0" t="s">
        <v>129</v>
      </c>
      <c r="B417" s="0" t="n">
        <v>2014</v>
      </c>
      <c r="C417" s="0" t="s">
        <v>60</v>
      </c>
      <c r="D417" s="0" t="n">
        <v>895109</v>
      </c>
      <c r="E417" s="0" t="n">
        <v>1</v>
      </c>
      <c r="F417" s="0" t="s">
        <v>329</v>
      </c>
      <c r="G417" s="0" t="s">
        <v>3650</v>
      </c>
      <c r="I417" s="0" t="s">
        <v>1702</v>
      </c>
    </row>
    <row r="418" customFormat="false" ht="15" hidden="false" customHeight="false" outlineLevel="0" collapsed="false">
      <c r="A418" s="0" t="s">
        <v>129</v>
      </c>
      <c r="B418" s="0" t="n">
        <v>2014</v>
      </c>
      <c r="C418" s="0" t="s">
        <v>61</v>
      </c>
      <c r="D418" s="0" t="n">
        <v>10522</v>
      </c>
      <c r="E418" s="0" t="n">
        <v>1</v>
      </c>
      <c r="F418" s="0" t="s">
        <v>329</v>
      </c>
      <c r="G418" s="0" t="s">
        <v>3650</v>
      </c>
      <c r="I418" s="0" t="s">
        <v>1706</v>
      </c>
    </row>
    <row r="419" customFormat="false" ht="15" hidden="false" customHeight="false" outlineLevel="0" collapsed="false">
      <c r="A419" s="0" t="s">
        <v>129</v>
      </c>
      <c r="B419" s="0" t="n">
        <v>2014</v>
      </c>
      <c r="C419" s="0" t="s">
        <v>63</v>
      </c>
      <c r="D419" s="0" t="n">
        <v>3073</v>
      </c>
      <c r="E419" s="0" t="n">
        <v>1</v>
      </c>
      <c r="F419" s="0" t="s">
        <v>329</v>
      </c>
      <c r="G419" s="0" t="s">
        <v>3650</v>
      </c>
      <c r="I419" s="0" t="s">
        <v>1704</v>
      </c>
    </row>
    <row r="420" customFormat="false" ht="15" hidden="false" customHeight="false" outlineLevel="0" collapsed="false">
      <c r="A420" s="0" t="s">
        <v>129</v>
      </c>
      <c r="B420" s="0" t="n">
        <v>2014</v>
      </c>
      <c r="C420" s="0" t="s">
        <v>69</v>
      </c>
      <c r="D420" s="0" t="n">
        <v>17</v>
      </c>
      <c r="E420" s="0" t="n">
        <v>1</v>
      </c>
      <c r="F420" s="0" t="s">
        <v>329</v>
      </c>
      <c r="G420" s="0" t="s">
        <v>3650</v>
      </c>
      <c r="I420" s="0" t="s">
        <v>1699</v>
      </c>
    </row>
    <row r="421" customFormat="false" ht="15" hidden="false" customHeight="false" outlineLevel="0" collapsed="false">
      <c r="A421" s="0" t="s">
        <v>129</v>
      </c>
      <c r="B421" s="0" t="n">
        <v>2015</v>
      </c>
      <c r="C421" s="0" t="s">
        <v>54</v>
      </c>
      <c r="D421" s="0" t="n">
        <v>47642</v>
      </c>
      <c r="E421" s="0" t="n">
        <v>1</v>
      </c>
      <c r="F421" s="0" t="s">
        <v>329</v>
      </c>
      <c r="G421" s="0" t="s">
        <v>3650</v>
      </c>
      <c r="I421" s="0" t="s">
        <v>2684</v>
      </c>
    </row>
    <row r="422" customFormat="false" ht="15" hidden="false" customHeight="false" outlineLevel="0" collapsed="false">
      <c r="A422" s="0" t="s">
        <v>129</v>
      </c>
      <c r="B422" s="0" t="n">
        <v>2015</v>
      </c>
      <c r="C422" s="0" t="s">
        <v>55</v>
      </c>
      <c r="D422" s="0" t="n">
        <v>2216337</v>
      </c>
      <c r="E422" s="0" t="n">
        <v>1</v>
      </c>
      <c r="F422" s="0" t="s">
        <v>329</v>
      </c>
      <c r="G422" s="0" t="s">
        <v>3650</v>
      </c>
      <c r="I422" s="0" t="s">
        <v>2694</v>
      </c>
    </row>
    <row r="423" customFormat="false" ht="15" hidden="false" customHeight="false" outlineLevel="0" collapsed="false">
      <c r="A423" s="0" t="s">
        <v>129</v>
      </c>
      <c r="B423" s="0" t="n">
        <v>2015</v>
      </c>
      <c r="C423" s="0" t="s">
        <v>56</v>
      </c>
      <c r="D423" s="0" t="n">
        <v>1878106</v>
      </c>
      <c r="E423" s="0" t="n">
        <v>1</v>
      </c>
      <c r="F423" s="0" t="s">
        <v>329</v>
      </c>
      <c r="G423" s="0" t="s">
        <v>3650</v>
      </c>
      <c r="I423" s="0" t="s">
        <v>2696</v>
      </c>
    </row>
    <row r="424" customFormat="false" ht="15" hidden="false" customHeight="false" outlineLevel="0" collapsed="false">
      <c r="A424" s="0" t="s">
        <v>129</v>
      </c>
      <c r="B424" s="0" t="n">
        <v>2015</v>
      </c>
      <c r="C424" s="0" t="s">
        <v>57</v>
      </c>
      <c r="D424" s="0" t="n">
        <v>338231</v>
      </c>
      <c r="E424" s="0" t="n">
        <v>1</v>
      </c>
      <c r="F424" s="0" t="s">
        <v>329</v>
      </c>
      <c r="G424" s="0" t="s">
        <v>3650</v>
      </c>
      <c r="I424" s="0" t="s">
        <v>2697</v>
      </c>
    </row>
    <row r="425" customFormat="false" ht="15" hidden="false" customHeight="false" outlineLevel="0" collapsed="false">
      <c r="A425" s="0" t="s">
        <v>129</v>
      </c>
      <c r="B425" s="0" t="n">
        <v>2015</v>
      </c>
      <c r="C425" s="0" t="s">
        <v>58</v>
      </c>
      <c r="D425" s="0" t="n">
        <v>58408</v>
      </c>
      <c r="E425" s="0" t="n">
        <v>1</v>
      </c>
      <c r="F425" s="0" t="s">
        <v>329</v>
      </c>
      <c r="G425" s="0" t="s">
        <v>3650</v>
      </c>
      <c r="I425" s="0" t="s">
        <v>2698</v>
      </c>
    </row>
    <row r="426" customFormat="false" ht="15" hidden="false" customHeight="false" outlineLevel="0" collapsed="false">
      <c r="A426" s="0" t="s">
        <v>129</v>
      </c>
      <c r="B426" s="0" t="n">
        <v>2015</v>
      </c>
      <c r="C426" s="0" t="s">
        <v>59</v>
      </c>
      <c r="D426" s="0" t="n">
        <v>2338858</v>
      </c>
      <c r="E426" s="0" t="n">
        <v>1</v>
      </c>
      <c r="F426" s="0" t="s">
        <v>329</v>
      </c>
      <c r="G426" s="0" t="s">
        <v>3651</v>
      </c>
      <c r="I426" s="0" t="s">
        <v>1712</v>
      </c>
    </row>
    <row r="427" customFormat="false" ht="15" hidden="false" customHeight="false" outlineLevel="0" collapsed="false">
      <c r="A427" s="0" t="s">
        <v>129</v>
      </c>
      <c r="B427" s="0" t="n">
        <v>2015</v>
      </c>
      <c r="C427" s="0" t="s">
        <v>60</v>
      </c>
      <c r="D427" s="0" t="n">
        <v>835737</v>
      </c>
      <c r="E427" s="0" t="n">
        <v>1</v>
      </c>
      <c r="F427" s="0" t="s">
        <v>329</v>
      </c>
      <c r="G427" s="0" t="s">
        <v>3650</v>
      </c>
      <c r="I427" s="0" t="s">
        <v>2709</v>
      </c>
    </row>
    <row r="428" customFormat="false" ht="15" hidden="false" customHeight="false" outlineLevel="0" collapsed="false">
      <c r="A428" s="0" t="s">
        <v>129</v>
      </c>
      <c r="B428" s="0" t="n">
        <v>2015</v>
      </c>
      <c r="C428" s="0" t="s">
        <v>61</v>
      </c>
      <c r="D428" s="0" t="n">
        <v>13043</v>
      </c>
      <c r="E428" s="0" t="n">
        <v>1</v>
      </c>
      <c r="F428" s="0" t="s">
        <v>329</v>
      </c>
      <c r="G428" s="0" t="s">
        <v>3650</v>
      </c>
      <c r="I428" s="0" t="s">
        <v>2711</v>
      </c>
    </row>
    <row r="429" customFormat="false" ht="15" hidden="false" customHeight="false" outlineLevel="0" collapsed="false">
      <c r="A429" s="0" t="s">
        <v>129</v>
      </c>
      <c r="B429" s="0" t="n">
        <v>2015</v>
      </c>
      <c r="C429" s="0" t="s">
        <v>62</v>
      </c>
      <c r="D429" s="0" t="n">
        <v>822694</v>
      </c>
      <c r="E429" s="0" t="n">
        <v>1</v>
      </c>
      <c r="F429" s="0" t="s">
        <v>329</v>
      </c>
      <c r="G429" s="0" t="s">
        <v>3650</v>
      </c>
      <c r="I429" s="0" t="s">
        <v>2714</v>
      </c>
    </row>
    <row r="430" customFormat="false" ht="15" hidden="false" customHeight="false" outlineLevel="0" collapsed="false">
      <c r="A430" s="0" t="s">
        <v>129</v>
      </c>
      <c r="B430" s="0" t="n">
        <v>2015</v>
      </c>
      <c r="C430" s="0" t="s">
        <v>63</v>
      </c>
      <c r="D430" s="0" t="n">
        <v>3491</v>
      </c>
      <c r="E430" s="0" t="n">
        <v>1</v>
      </c>
      <c r="F430" s="0" t="s">
        <v>329</v>
      </c>
      <c r="G430" s="0" t="s">
        <v>3650</v>
      </c>
      <c r="I430" s="0" t="s">
        <v>2692</v>
      </c>
    </row>
    <row r="431" customFormat="false" ht="15" hidden="false" customHeight="false" outlineLevel="0" collapsed="false">
      <c r="A431" s="0" t="s">
        <v>129</v>
      </c>
      <c r="B431" s="0" t="n">
        <v>2015</v>
      </c>
      <c r="C431" s="0" t="s">
        <v>69</v>
      </c>
      <c r="D431" s="0" t="n">
        <v>20</v>
      </c>
      <c r="E431" s="0" t="n">
        <v>1</v>
      </c>
      <c r="F431" s="0" t="s">
        <v>329</v>
      </c>
      <c r="G431" s="0" t="s">
        <v>3650</v>
      </c>
      <c r="I431" s="0" t="s">
        <v>2703</v>
      </c>
    </row>
    <row r="432" customFormat="false" ht="15" hidden="false" customHeight="false" outlineLevel="0" collapsed="false">
      <c r="A432" s="0" t="s">
        <v>129</v>
      </c>
      <c r="B432" s="0" t="n">
        <v>2015</v>
      </c>
      <c r="C432" s="0" t="s">
        <v>65</v>
      </c>
      <c r="D432" s="0" t="n">
        <v>241091</v>
      </c>
      <c r="E432" s="0" t="n">
        <v>1</v>
      </c>
      <c r="F432" s="0" t="s">
        <v>329</v>
      </c>
      <c r="G432" s="0" t="s">
        <v>3650</v>
      </c>
      <c r="I432" s="0" t="s">
        <v>2700</v>
      </c>
    </row>
    <row r="433" customFormat="false" ht="15" hidden="false" customHeight="false" outlineLevel="0" collapsed="false">
      <c r="A433" s="0" t="s">
        <v>129</v>
      </c>
      <c r="B433" s="0" t="n">
        <v>2015</v>
      </c>
      <c r="C433" s="0" t="s">
        <v>66</v>
      </c>
      <c r="D433" s="0" t="n">
        <v>1208372</v>
      </c>
      <c r="E433" s="0" t="n">
        <v>1</v>
      </c>
      <c r="F433" s="0" t="s">
        <v>329</v>
      </c>
      <c r="G433" s="0" t="s">
        <v>3650</v>
      </c>
      <c r="I433" s="0" t="s">
        <v>2702</v>
      </c>
    </row>
    <row r="434" customFormat="false" ht="15" hidden="false" customHeight="false" outlineLevel="0" collapsed="false">
      <c r="A434" s="0" t="s">
        <v>129</v>
      </c>
      <c r="B434" s="0" t="n">
        <v>2015</v>
      </c>
      <c r="C434" s="0" t="s">
        <v>71</v>
      </c>
      <c r="D434" s="0" t="n">
        <v>52.57</v>
      </c>
      <c r="E434" s="0" t="n">
        <v>1</v>
      </c>
      <c r="F434" s="0" t="s">
        <v>329</v>
      </c>
      <c r="G434" s="0" t="s">
        <v>3650</v>
      </c>
      <c r="I434" s="0" t="s">
        <v>2704</v>
      </c>
    </row>
    <row r="435" customFormat="false" ht="15" hidden="false" customHeight="false" outlineLevel="0" collapsed="false">
      <c r="A435" s="0" t="s">
        <v>129</v>
      </c>
      <c r="B435" s="0" t="n">
        <v>2015</v>
      </c>
      <c r="C435" s="0" t="s">
        <v>402</v>
      </c>
      <c r="D435" s="0" t="n">
        <v>50735</v>
      </c>
      <c r="E435" s="0" t="n">
        <v>1</v>
      </c>
      <c r="F435" s="0" t="s">
        <v>329</v>
      </c>
      <c r="G435" s="0" t="s">
        <v>3650</v>
      </c>
      <c r="I435" s="0" t="s">
        <v>2691</v>
      </c>
    </row>
    <row r="436" customFormat="false" ht="15" hidden="false" customHeight="false" outlineLevel="0" collapsed="false">
      <c r="A436" s="0" t="s">
        <v>129</v>
      </c>
      <c r="B436" s="0" t="n">
        <v>2015</v>
      </c>
      <c r="C436" s="0" t="s">
        <v>670</v>
      </c>
      <c r="D436" s="0" t="n">
        <v>247378</v>
      </c>
      <c r="E436" s="0" t="n">
        <v>1</v>
      </c>
      <c r="F436" s="0" t="s">
        <v>329</v>
      </c>
      <c r="G436" s="0" t="s">
        <v>3650</v>
      </c>
      <c r="I436" s="0" t="s">
        <v>2690</v>
      </c>
    </row>
    <row r="437" customFormat="false" ht="15" hidden="false" customHeight="false" outlineLevel="0" collapsed="false">
      <c r="A437" s="0" t="s">
        <v>129</v>
      </c>
      <c r="B437" s="0" t="n">
        <v>2015</v>
      </c>
      <c r="C437" s="0" t="s">
        <v>404</v>
      </c>
      <c r="D437" s="0" t="n">
        <v>6031</v>
      </c>
      <c r="E437" s="0" t="n">
        <v>1</v>
      </c>
      <c r="F437" s="0" t="s">
        <v>329</v>
      </c>
      <c r="G437" s="0" t="s">
        <v>3650</v>
      </c>
      <c r="I437" s="0" t="s">
        <v>2712</v>
      </c>
    </row>
    <row r="438" customFormat="false" ht="15" hidden="false" customHeight="false" outlineLevel="0" collapsed="false">
      <c r="A438" s="0" t="s">
        <v>129</v>
      </c>
      <c r="B438" s="0" t="n">
        <v>2015</v>
      </c>
      <c r="C438" s="0" t="s">
        <v>406</v>
      </c>
      <c r="D438" s="0" t="n">
        <v>7012</v>
      </c>
      <c r="E438" s="0" t="n">
        <v>1</v>
      </c>
      <c r="F438" s="0" t="s">
        <v>329</v>
      </c>
      <c r="G438" s="0" t="s">
        <v>3650</v>
      </c>
      <c r="I438" s="0" t="s">
        <v>2713</v>
      </c>
    </row>
    <row r="439" customFormat="false" ht="15" hidden="false" customHeight="false" outlineLevel="0" collapsed="false">
      <c r="A439" s="0" t="s">
        <v>129</v>
      </c>
      <c r="B439" s="0" t="n">
        <v>2016</v>
      </c>
      <c r="C439" s="0" t="s">
        <v>54</v>
      </c>
      <c r="D439" s="0" t="n">
        <v>47541</v>
      </c>
      <c r="E439" s="0" t="n">
        <v>1</v>
      </c>
      <c r="F439" s="0" t="s">
        <v>329</v>
      </c>
      <c r="G439" s="0" t="s">
        <v>3650</v>
      </c>
      <c r="I439" s="0" t="s">
        <v>2715</v>
      </c>
    </row>
    <row r="440" customFormat="false" ht="15" hidden="false" customHeight="false" outlineLevel="0" collapsed="false">
      <c r="A440" s="0" t="s">
        <v>129</v>
      </c>
      <c r="B440" s="0" t="n">
        <v>2016</v>
      </c>
      <c r="C440" s="0" t="s">
        <v>55</v>
      </c>
      <c r="D440" s="0" t="n">
        <v>2539585</v>
      </c>
      <c r="E440" s="0" t="n">
        <v>1</v>
      </c>
      <c r="F440" s="0" t="s">
        <v>329</v>
      </c>
      <c r="G440" s="0" t="s">
        <v>3650</v>
      </c>
      <c r="I440" s="0" t="s">
        <v>2720</v>
      </c>
    </row>
    <row r="441" customFormat="false" ht="15" hidden="false" customHeight="false" outlineLevel="0" collapsed="false">
      <c r="A441" s="0" t="s">
        <v>129</v>
      </c>
      <c r="B441" s="0" t="n">
        <v>2016</v>
      </c>
      <c r="C441" s="0" t="s">
        <v>56</v>
      </c>
      <c r="D441" s="0" t="n">
        <v>2148685</v>
      </c>
      <c r="E441" s="0" t="n">
        <v>1</v>
      </c>
      <c r="F441" s="0" t="s">
        <v>329</v>
      </c>
      <c r="G441" s="0" t="s">
        <v>3650</v>
      </c>
      <c r="I441" s="0" t="s">
        <v>2721</v>
      </c>
    </row>
    <row r="442" customFormat="false" ht="15" hidden="false" customHeight="false" outlineLevel="0" collapsed="false">
      <c r="A442" s="0" t="s">
        <v>129</v>
      </c>
      <c r="B442" s="0" t="n">
        <v>2016</v>
      </c>
      <c r="C442" s="0" t="s">
        <v>57</v>
      </c>
      <c r="D442" s="0" t="n">
        <v>390900</v>
      </c>
      <c r="E442" s="0" t="n">
        <v>1</v>
      </c>
      <c r="F442" s="0" t="s">
        <v>329</v>
      </c>
      <c r="G442" s="0" t="s">
        <v>3650</v>
      </c>
      <c r="I442" s="0" t="s">
        <v>2722</v>
      </c>
    </row>
    <row r="443" customFormat="false" ht="15" hidden="false" customHeight="false" outlineLevel="0" collapsed="false">
      <c r="A443" s="0" t="s">
        <v>129</v>
      </c>
      <c r="B443" s="0" t="n">
        <v>2016</v>
      </c>
      <c r="C443" s="0" t="s">
        <v>58</v>
      </c>
      <c r="D443" s="0" t="n">
        <v>-213392</v>
      </c>
      <c r="E443" s="0" t="n">
        <v>1</v>
      </c>
      <c r="F443" s="0" t="s">
        <v>329</v>
      </c>
      <c r="G443" s="0" t="s">
        <v>3650</v>
      </c>
      <c r="I443" s="0" t="s">
        <v>2723</v>
      </c>
    </row>
    <row r="444" customFormat="false" ht="15" hidden="false" customHeight="false" outlineLevel="0" collapsed="false">
      <c r="A444" s="0" t="s">
        <v>129</v>
      </c>
      <c r="B444" s="0" t="n">
        <v>2016</v>
      </c>
      <c r="C444" s="0" t="s">
        <v>59</v>
      </c>
      <c r="D444" s="0" t="n">
        <v>2216337</v>
      </c>
      <c r="E444" s="0" t="n">
        <v>1</v>
      </c>
      <c r="F444" s="0" t="s">
        <v>329</v>
      </c>
      <c r="G444" s="0" t="s">
        <v>3651</v>
      </c>
      <c r="I444" s="0" t="s">
        <v>2694</v>
      </c>
    </row>
    <row r="445" customFormat="false" ht="15" hidden="false" customHeight="false" outlineLevel="0" collapsed="false">
      <c r="A445" s="0" t="s">
        <v>129</v>
      </c>
      <c r="B445" s="0" t="n">
        <v>2016</v>
      </c>
      <c r="C445" s="0" t="s">
        <v>60</v>
      </c>
      <c r="D445" s="0" t="n">
        <v>1120096</v>
      </c>
      <c r="E445" s="0" t="n">
        <v>1</v>
      </c>
      <c r="F445" s="0" t="s">
        <v>329</v>
      </c>
      <c r="G445" s="0" t="s">
        <v>3650</v>
      </c>
      <c r="I445" s="0" t="s">
        <v>2732</v>
      </c>
    </row>
    <row r="446" customFormat="false" ht="15" hidden="false" customHeight="false" outlineLevel="0" collapsed="false">
      <c r="A446" s="0" t="s">
        <v>129</v>
      </c>
      <c r="B446" s="0" t="n">
        <v>2016</v>
      </c>
      <c r="C446" s="0" t="s">
        <v>61</v>
      </c>
      <c r="D446" s="0" t="n">
        <v>29741</v>
      </c>
      <c r="E446" s="0" t="n">
        <v>1</v>
      </c>
      <c r="F446" s="0" t="s">
        <v>329</v>
      </c>
      <c r="G446" s="0" t="s">
        <v>3650</v>
      </c>
      <c r="I446" s="0" t="s">
        <v>2734</v>
      </c>
    </row>
    <row r="447" customFormat="false" ht="15" hidden="false" customHeight="false" outlineLevel="0" collapsed="false">
      <c r="A447" s="0" t="s">
        <v>129</v>
      </c>
      <c r="B447" s="0" t="n">
        <v>2016</v>
      </c>
      <c r="C447" s="0" t="s">
        <v>62</v>
      </c>
      <c r="D447" s="0" t="n">
        <v>1090355</v>
      </c>
      <c r="E447" s="0" t="n">
        <v>1</v>
      </c>
      <c r="F447" s="0" t="s">
        <v>329</v>
      </c>
      <c r="G447" s="0" t="s">
        <v>3650</v>
      </c>
      <c r="I447" s="0" t="s">
        <v>2737</v>
      </c>
    </row>
    <row r="448" customFormat="false" ht="15" hidden="false" customHeight="false" outlineLevel="0" collapsed="false">
      <c r="A448" s="0" t="s">
        <v>129</v>
      </c>
      <c r="B448" s="0" t="n">
        <v>2016</v>
      </c>
      <c r="C448" s="0" t="s">
        <v>63</v>
      </c>
      <c r="D448" s="0" t="n">
        <v>25521</v>
      </c>
      <c r="E448" s="0" t="n">
        <v>1</v>
      </c>
      <c r="F448" s="0" t="s">
        <v>329</v>
      </c>
      <c r="G448" s="0" t="s">
        <v>3650</v>
      </c>
      <c r="I448" s="0" t="s">
        <v>2719</v>
      </c>
    </row>
    <row r="449" customFormat="false" ht="15" hidden="false" customHeight="false" outlineLevel="0" collapsed="false">
      <c r="A449" s="0" t="s">
        <v>129</v>
      </c>
      <c r="B449" s="0" t="n">
        <v>2016</v>
      </c>
      <c r="C449" s="0" t="s">
        <v>69</v>
      </c>
      <c r="D449" s="0" t="n">
        <v>20</v>
      </c>
      <c r="E449" s="0" t="n">
        <v>1</v>
      </c>
      <c r="F449" s="0" t="s">
        <v>329</v>
      </c>
      <c r="G449" s="0" t="s">
        <v>3650</v>
      </c>
      <c r="I449" s="0" t="s">
        <v>2726</v>
      </c>
    </row>
    <row r="450" customFormat="false" ht="15" hidden="false" customHeight="false" outlineLevel="0" collapsed="false">
      <c r="A450" s="0" t="s">
        <v>129</v>
      </c>
      <c r="B450" s="0" t="n">
        <v>2016</v>
      </c>
      <c r="C450" s="0" t="s">
        <v>70</v>
      </c>
      <c r="D450" s="0" t="n">
        <v>15</v>
      </c>
      <c r="E450" s="0" t="n">
        <v>1</v>
      </c>
      <c r="F450" s="0" t="s">
        <v>329</v>
      </c>
      <c r="G450" s="0" t="s">
        <v>3650</v>
      </c>
      <c r="I450" s="0" t="s">
        <v>2727</v>
      </c>
    </row>
    <row r="451" customFormat="false" ht="15" hidden="false" customHeight="false" outlineLevel="0" collapsed="false">
      <c r="A451" s="0" t="s">
        <v>129</v>
      </c>
      <c r="B451" s="0" t="n">
        <v>2016</v>
      </c>
      <c r="C451" s="0" t="s">
        <v>65</v>
      </c>
      <c r="D451" s="0" t="n">
        <v>262423</v>
      </c>
      <c r="E451" s="0" t="n">
        <v>1</v>
      </c>
      <c r="F451" s="0" t="s">
        <v>329</v>
      </c>
      <c r="G451" s="0" t="s">
        <v>3650</v>
      </c>
      <c r="I451" s="0" t="s">
        <v>2724</v>
      </c>
    </row>
    <row r="452" customFormat="false" ht="15" hidden="false" customHeight="false" outlineLevel="0" collapsed="false">
      <c r="A452" s="0" t="s">
        <v>129</v>
      </c>
      <c r="B452" s="0" t="n">
        <v>2016</v>
      </c>
      <c r="C452" s="0" t="s">
        <v>66</v>
      </c>
      <c r="D452" s="0" t="n">
        <v>1331901</v>
      </c>
      <c r="E452" s="0" t="n">
        <v>1</v>
      </c>
      <c r="F452" s="0" t="s">
        <v>329</v>
      </c>
      <c r="G452" s="0" t="s">
        <v>3650</v>
      </c>
      <c r="I452" s="0" t="s">
        <v>2725</v>
      </c>
    </row>
    <row r="453" customFormat="false" ht="15" hidden="false" customHeight="false" outlineLevel="0" collapsed="false">
      <c r="A453" s="0" t="s">
        <v>129</v>
      </c>
      <c r="B453" s="0" t="n">
        <v>2016</v>
      </c>
      <c r="C453" s="0" t="s">
        <v>71</v>
      </c>
      <c r="D453" s="0" t="n">
        <v>38.57</v>
      </c>
      <c r="E453" s="0" t="n">
        <v>1</v>
      </c>
      <c r="F453" s="0" t="s">
        <v>329</v>
      </c>
      <c r="G453" s="0" t="s">
        <v>3650</v>
      </c>
      <c r="I453" s="0" t="s">
        <v>2728</v>
      </c>
    </row>
    <row r="454" customFormat="false" ht="15" hidden="false" customHeight="false" outlineLevel="0" collapsed="false">
      <c r="A454" s="0" t="s">
        <v>129</v>
      </c>
      <c r="B454" s="0" t="n">
        <v>2016</v>
      </c>
      <c r="C454" s="0" t="s">
        <v>402</v>
      </c>
      <c r="D454" s="0" t="n">
        <v>57649</v>
      </c>
      <c r="E454" s="0" t="n">
        <v>1</v>
      </c>
      <c r="F454" s="0" t="s">
        <v>329</v>
      </c>
      <c r="G454" s="0" t="s">
        <v>3650</v>
      </c>
      <c r="I454" s="0" t="s">
        <v>2718</v>
      </c>
    </row>
    <row r="455" customFormat="false" ht="15" hidden="false" customHeight="false" outlineLevel="0" collapsed="false">
      <c r="A455" s="0" t="s">
        <v>129</v>
      </c>
      <c r="B455" s="0" t="n">
        <v>2016</v>
      </c>
      <c r="C455" s="0" t="s">
        <v>670</v>
      </c>
      <c r="D455" s="0" t="n">
        <v>269895</v>
      </c>
      <c r="E455" s="0" t="n">
        <v>1</v>
      </c>
      <c r="F455" s="0" t="s">
        <v>329</v>
      </c>
      <c r="G455" s="0" t="s">
        <v>3650</v>
      </c>
      <c r="I455" s="0" t="s">
        <v>2717</v>
      </c>
    </row>
    <row r="456" customFormat="false" ht="15" hidden="false" customHeight="false" outlineLevel="0" collapsed="false">
      <c r="A456" s="0" t="s">
        <v>129</v>
      </c>
      <c r="B456" s="0" t="n">
        <v>2016</v>
      </c>
      <c r="C456" s="0" t="s">
        <v>404</v>
      </c>
      <c r="D456" s="0" t="n">
        <v>17107</v>
      </c>
      <c r="E456" s="0" t="n">
        <v>1</v>
      </c>
      <c r="F456" s="0" t="s">
        <v>329</v>
      </c>
      <c r="G456" s="0" t="s">
        <v>3650</v>
      </c>
      <c r="I456" s="0" t="s">
        <v>2735</v>
      </c>
    </row>
    <row r="457" customFormat="false" ht="15" hidden="false" customHeight="false" outlineLevel="0" collapsed="false">
      <c r="A457" s="0" t="s">
        <v>129</v>
      </c>
      <c r="B457" s="0" t="n">
        <v>2016</v>
      </c>
      <c r="C457" s="0" t="s">
        <v>406</v>
      </c>
      <c r="D457" s="0" t="n">
        <v>12634</v>
      </c>
      <c r="E457" s="0" t="n">
        <v>1</v>
      </c>
      <c r="F457" s="0" t="s">
        <v>329</v>
      </c>
      <c r="G457" s="0" t="s">
        <v>3650</v>
      </c>
      <c r="I457" s="0" t="s">
        <v>2736</v>
      </c>
    </row>
    <row r="458" customFormat="false" ht="15" hidden="false" customHeight="false" outlineLevel="0" collapsed="false">
      <c r="A458" s="0" t="s">
        <v>129</v>
      </c>
      <c r="B458" s="0" t="n">
        <v>2017</v>
      </c>
      <c r="C458" s="0" t="s">
        <v>54</v>
      </c>
      <c r="D458" s="0" t="n">
        <v>41396</v>
      </c>
      <c r="E458" s="0" t="n">
        <v>1</v>
      </c>
      <c r="F458" s="0" t="s">
        <v>329</v>
      </c>
      <c r="G458" s="0" t="s">
        <v>3650</v>
      </c>
      <c r="I458" s="0" t="s">
        <v>2227</v>
      </c>
    </row>
    <row r="459" customFormat="false" ht="15" hidden="false" customHeight="false" outlineLevel="0" collapsed="false">
      <c r="A459" s="0" t="s">
        <v>129</v>
      </c>
      <c r="B459" s="0" t="n">
        <v>2017</v>
      </c>
      <c r="C459" s="0" t="s">
        <v>55</v>
      </c>
      <c r="D459" s="0" t="n">
        <v>2931826</v>
      </c>
      <c r="E459" s="0" t="n">
        <v>1</v>
      </c>
      <c r="F459" s="0" t="s">
        <v>329</v>
      </c>
      <c r="G459" s="0" t="s">
        <v>3650</v>
      </c>
      <c r="I459" s="0" t="s">
        <v>2237</v>
      </c>
    </row>
    <row r="460" customFormat="false" ht="15" hidden="false" customHeight="false" outlineLevel="0" collapsed="false">
      <c r="A460" s="0" t="s">
        <v>129</v>
      </c>
      <c r="B460" s="0" t="n">
        <v>2017</v>
      </c>
      <c r="C460" s="0" t="s">
        <v>56</v>
      </c>
      <c r="D460" s="0" t="n">
        <v>2530966</v>
      </c>
      <c r="E460" s="0" t="n">
        <v>1</v>
      </c>
      <c r="F460" s="0" t="s">
        <v>329</v>
      </c>
      <c r="G460" s="0" t="s">
        <v>3650</v>
      </c>
      <c r="I460" s="0" t="s">
        <v>2239</v>
      </c>
    </row>
    <row r="461" customFormat="false" ht="15" hidden="false" customHeight="false" outlineLevel="0" collapsed="false">
      <c r="A461" s="0" t="s">
        <v>129</v>
      </c>
      <c r="B461" s="0" t="n">
        <v>2017</v>
      </c>
      <c r="C461" s="0" t="s">
        <v>57</v>
      </c>
      <c r="D461" s="0" t="n">
        <v>400860</v>
      </c>
      <c r="E461" s="0" t="n">
        <v>1</v>
      </c>
      <c r="F461" s="0" t="s">
        <v>329</v>
      </c>
      <c r="G461" s="0" t="s">
        <v>3650</v>
      </c>
      <c r="I461" s="0" t="s">
        <v>2240</v>
      </c>
    </row>
    <row r="462" customFormat="false" ht="15" hidden="false" customHeight="false" outlineLevel="0" collapsed="false">
      <c r="A462" s="0" t="s">
        <v>129</v>
      </c>
      <c r="B462" s="0" t="n">
        <v>2017</v>
      </c>
      <c r="C462" s="0" t="s">
        <v>58</v>
      </c>
      <c r="D462" s="0" t="n">
        <v>59151</v>
      </c>
      <c r="E462" s="0" t="n">
        <v>1</v>
      </c>
      <c r="F462" s="0" t="s">
        <v>329</v>
      </c>
      <c r="G462" s="0" t="s">
        <v>3650</v>
      </c>
      <c r="I462" s="0" t="s">
        <v>2244</v>
      </c>
    </row>
    <row r="463" customFormat="false" ht="15" hidden="false" customHeight="false" outlineLevel="0" collapsed="false">
      <c r="A463" s="0" t="s">
        <v>129</v>
      </c>
      <c r="B463" s="0" t="n">
        <v>2017</v>
      </c>
      <c r="C463" s="0" t="s">
        <v>59</v>
      </c>
      <c r="D463" s="0" t="n">
        <v>2539585</v>
      </c>
      <c r="E463" s="0" t="n">
        <v>1</v>
      </c>
      <c r="F463" s="0" t="s">
        <v>329</v>
      </c>
      <c r="G463" s="0" t="s">
        <v>3650</v>
      </c>
      <c r="I463" s="0" t="s">
        <v>2242</v>
      </c>
    </row>
    <row r="464" customFormat="false" ht="15" hidden="false" customHeight="false" outlineLevel="0" collapsed="false">
      <c r="A464" s="0" t="s">
        <v>129</v>
      </c>
      <c r="B464" s="0" t="n">
        <v>2017</v>
      </c>
      <c r="C464" s="0" t="s">
        <v>60</v>
      </c>
      <c r="D464" s="0" t="n">
        <v>1204426</v>
      </c>
      <c r="E464" s="0" t="n">
        <v>1</v>
      </c>
      <c r="F464" s="0" t="s">
        <v>329</v>
      </c>
      <c r="G464" s="0" t="s">
        <v>3650</v>
      </c>
      <c r="I464" s="0" t="s">
        <v>2289</v>
      </c>
    </row>
    <row r="465" customFormat="false" ht="15" hidden="false" customHeight="false" outlineLevel="0" collapsed="false">
      <c r="A465" s="0" t="s">
        <v>129</v>
      </c>
      <c r="B465" s="0" t="n">
        <v>2017</v>
      </c>
      <c r="C465" s="0" t="s">
        <v>61</v>
      </c>
      <c r="D465" s="0" t="n">
        <v>31212</v>
      </c>
      <c r="E465" s="0" t="n">
        <v>2</v>
      </c>
      <c r="F465" s="0" t="s">
        <v>329</v>
      </c>
      <c r="G465" s="0" t="s">
        <v>3656</v>
      </c>
      <c r="I465" s="0" t="s">
        <v>3662</v>
      </c>
    </row>
    <row r="466" customFormat="false" ht="15" hidden="false" customHeight="false" outlineLevel="0" collapsed="false">
      <c r="A466" s="0" t="s">
        <v>129</v>
      </c>
      <c r="B466" s="0" t="n">
        <v>2017</v>
      </c>
      <c r="C466" s="0" t="s">
        <v>62</v>
      </c>
      <c r="D466" s="0" t="n">
        <v>1173214</v>
      </c>
      <c r="E466" s="0" t="n">
        <v>1</v>
      </c>
      <c r="F466" s="0" t="s">
        <v>329</v>
      </c>
      <c r="G466" s="0" t="s">
        <v>3650</v>
      </c>
      <c r="I466" s="0" t="s">
        <v>2241</v>
      </c>
    </row>
    <row r="467" customFormat="false" ht="15" hidden="false" customHeight="false" outlineLevel="0" collapsed="false">
      <c r="A467" s="0" t="s">
        <v>129</v>
      </c>
      <c r="B467" s="0" t="n">
        <v>2017</v>
      </c>
      <c r="C467" s="0" t="s">
        <v>63</v>
      </c>
      <c r="D467" s="0" t="n">
        <v>30433</v>
      </c>
      <c r="E467" s="0" t="n">
        <v>1</v>
      </c>
      <c r="F467" s="0" t="s">
        <v>329</v>
      </c>
      <c r="G467" s="0" t="s">
        <v>3650</v>
      </c>
      <c r="I467" s="0" t="s">
        <v>2231</v>
      </c>
    </row>
    <row r="468" customFormat="false" ht="15" hidden="false" customHeight="false" outlineLevel="0" collapsed="false">
      <c r="A468" s="0" t="s">
        <v>129</v>
      </c>
      <c r="B468" s="0" t="n">
        <v>2017</v>
      </c>
      <c r="C468" s="0" t="s">
        <v>69</v>
      </c>
      <c r="D468" s="0" t="n">
        <v>20</v>
      </c>
      <c r="E468" s="0" t="n">
        <v>1</v>
      </c>
      <c r="F468" s="0" t="s">
        <v>329</v>
      </c>
      <c r="G468" s="0" t="s">
        <v>3650</v>
      </c>
      <c r="I468" s="0" t="s">
        <v>2312</v>
      </c>
    </row>
    <row r="469" customFormat="false" ht="15" hidden="false" customHeight="false" outlineLevel="0" collapsed="false">
      <c r="A469" s="0" t="s">
        <v>129</v>
      </c>
      <c r="B469" s="0" t="n">
        <v>2017</v>
      </c>
      <c r="C469" s="0" t="s">
        <v>65</v>
      </c>
      <c r="D469" s="0" t="n">
        <v>255027</v>
      </c>
      <c r="E469" s="0" t="n">
        <v>1</v>
      </c>
      <c r="F469" s="0" t="s">
        <v>329</v>
      </c>
      <c r="G469" s="0" t="s">
        <v>3650</v>
      </c>
      <c r="I469" s="0" t="s">
        <v>2309</v>
      </c>
    </row>
    <row r="470" customFormat="false" ht="15" hidden="false" customHeight="false" outlineLevel="0" collapsed="false">
      <c r="A470" s="0" t="s">
        <v>129</v>
      </c>
      <c r="B470" s="0" t="n">
        <v>2017</v>
      </c>
      <c r="C470" s="0" t="s">
        <v>66</v>
      </c>
      <c r="D470" s="0" t="n">
        <v>1265087</v>
      </c>
      <c r="E470" s="0" t="n">
        <v>1</v>
      </c>
      <c r="F470" s="0" t="s">
        <v>329</v>
      </c>
      <c r="G470" s="0" t="s">
        <v>3650</v>
      </c>
      <c r="I470" s="0" t="s">
        <v>2311</v>
      </c>
    </row>
    <row r="471" customFormat="false" ht="15" hidden="false" customHeight="false" outlineLevel="0" collapsed="false">
      <c r="A471" s="0" t="s">
        <v>129</v>
      </c>
      <c r="B471" s="0" t="n">
        <v>2017</v>
      </c>
      <c r="C471" s="0" t="s">
        <v>71</v>
      </c>
      <c r="D471" s="0" t="n">
        <v>49.69</v>
      </c>
      <c r="E471" s="0" t="n">
        <v>1</v>
      </c>
      <c r="F471" s="0" t="s">
        <v>329</v>
      </c>
      <c r="G471" s="0" t="s">
        <v>3650</v>
      </c>
      <c r="I471" s="0" t="s">
        <v>2407</v>
      </c>
    </row>
    <row r="472" customFormat="false" ht="15" hidden="false" customHeight="false" outlineLevel="0" collapsed="false">
      <c r="A472" s="0" t="s">
        <v>129</v>
      </c>
      <c r="B472" s="0" t="n">
        <v>2017</v>
      </c>
      <c r="C472" s="0" t="s">
        <v>402</v>
      </c>
      <c r="D472" s="0" t="n">
        <v>52795</v>
      </c>
      <c r="E472" s="0" t="n">
        <v>1</v>
      </c>
      <c r="F472" s="0" t="s">
        <v>329</v>
      </c>
      <c r="G472" s="0" t="s">
        <v>3650</v>
      </c>
      <c r="I472" s="0" t="s">
        <v>2230</v>
      </c>
    </row>
    <row r="473" customFormat="false" ht="15" hidden="false" customHeight="false" outlineLevel="0" collapsed="false">
      <c r="A473" s="0" t="s">
        <v>129</v>
      </c>
      <c r="B473" s="0" t="n">
        <v>2017</v>
      </c>
      <c r="C473" s="0" t="s">
        <v>404</v>
      </c>
      <c r="D473" s="0" t="n">
        <v>18658</v>
      </c>
      <c r="E473" s="0" t="n">
        <v>1</v>
      </c>
      <c r="F473" s="0" t="s">
        <v>329</v>
      </c>
      <c r="G473" s="0" t="s">
        <v>3650</v>
      </c>
      <c r="I473" s="0" t="s">
        <v>2291</v>
      </c>
    </row>
    <row r="474" customFormat="false" ht="15" hidden="false" customHeight="false" outlineLevel="0" collapsed="false">
      <c r="A474" s="0" t="s">
        <v>129</v>
      </c>
      <c r="B474" s="0" t="n">
        <v>2017</v>
      </c>
      <c r="C474" s="0" t="s">
        <v>406</v>
      </c>
      <c r="D474" s="0" t="n">
        <v>12554</v>
      </c>
      <c r="E474" s="0" t="n">
        <v>1</v>
      </c>
      <c r="F474" s="0" t="s">
        <v>329</v>
      </c>
      <c r="G474" s="0" t="s">
        <v>3650</v>
      </c>
      <c r="I474" s="0" t="s">
        <v>2292</v>
      </c>
    </row>
    <row r="475" customFormat="false" ht="15" hidden="false" customHeight="false" outlineLevel="0" collapsed="false">
      <c r="A475" s="0" t="s">
        <v>129</v>
      </c>
      <c r="B475" s="0" t="n">
        <v>2018</v>
      </c>
      <c r="C475" s="0" t="s">
        <v>54</v>
      </c>
      <c r="D475" s="0" t="n">
        <v>41047</v>
      </c>
      <c r="E475" s="0" t="n">
        <v>1</v>
      </c>
      <c r="F475" s="0" t="s">
        <v>329</v>
      </c>
      <c r="G475" s="0" t="s">
        <v>3650</v>
      </c>
      <c r="I475" s="0" t="s">
        <v>2220</v>
      </c>
    </row>
    <row r="476" customFormat="false" ht="15" hidden="false" customHeight="false" outlineLevel="0" collapsed="false">
      <c r="A476" s="0" t="s">
        <v>129</v>
      </c>
      <c r="B476" s="0" t="n">
        <v>2018</v>
      </c>
      <c r="C476" s="0" t="s">
        <v>55</v>
      </c>
      <c r="D476" s="0" t="n">
        <v>3591305</v>
      </c>
      <c r="E476" s="0" t="n">
        <v>1</v>
      </c>
      <c r="F476" s="0" t="s">
        <v>329</v>
      </c>
      <c r="G476" s="0" t="s">
        <v>3650</v>
      </c>
      <c r="I476" s="0" t="s">
        <v>2232</v>
      </c>
    </row>
    <row r="477" customFormat="false" ht="15" hidden="false" customHeight="false" outlineLevel="0" collapsed="false">
      <c r="A477" s="0" t="s">
        <v>129</v>
      </c>
      <c r="B477" s="0" t="n">
        <v>2018</v>
      </c>
      <c r="C477" s="0" t="s">
        <v>56</v>
      </c>
      <c r="D477" s="0" t="n">
        <v>3226707</v>
      </c>
      <c r="E477" s="0" t="n">
        <v>1</v>
      </c>
      <c r="F477" s="0" t="s">
        <v>329</v>
      </c>
      <c r="G477" s="0" t="s">
        <v>3650</v>
      </c>
      <c r="I477" s="0" t="s">
        <v>2234</v>
      </c>
    </row>
    <row r="478" customFormat="false" ht="15" hidden="false" customHeight="false" outlineLevel="0" collapsed="false">
      <c r="A478" s="0" t="s">
        <v>129</v>
      </c>
      <c r="B478" s="0" t="n">
        <v>2018</v>
      </c>
      <c r="C478" s="0" t="s">
        <v>57</v>
      </c>
      <c r="D478" s="0" t="n">
        <v>364598</v>
      </c>
      <c r="E478" s="0" t="n">
        <v>1</v>
      </c>
      <c r="F478" s="0" t="s">
        <v>329</v>
      </c>
      <c r="G478" s="0" t="s">
        <v>3650</v>
      </c>
      <c r="I478" s="0" t="s">
        <v>2235</v>
      </c>
    </row>
    <row r="479" customFormat="false" ht="15" hidden="false" customHeight="false" outlineLevel="0" collapsed="false">
      <c r="A479" s="0" t="s">
        <v>129</v>
      </c>
      <c r="B479" s="0" t="n">
        <v>2018</v>
      </c>
      <c r="C479" s="0" t="s">
        <v>58</v>
      </c>
      <c r="D479" s="0" t="n">
        <v>488626</v>
      </c>
      <c r="E479" s="0" t="n">
        <v>1</v>
      </c>
      <c r="F479" s="0" t="s">
        <v>329</v>
      </c>
      <c r="G479" s="0" t="s">
        <v>3650</v>
      </c>
      <c r="I479" s="0" t="s">
        <v>2243</v>
      </c>
    </row>
    <row r="480" customFormat="false" ht="15" hidden="false" customHeight="false" outlineLevel="0" collapsed="false">
      <c r="A480" s="0" t="s">
        <v>129</v>
      </c>
      <c r="B480" s="0" t="n">
        <v>2018</v>
      </c>
      <c r="C480" s="0" t="s">
        <v>59</v>
      </c>
      <c r="D480" s="0" t="n">
        <v>2931826</v>
      </c>
      <c r="E480" s="0" t="n">
        <v>1</v>
      </c>
      <c r="F480" s="0" t="s">
        <v>329</v>
      </c>
      <c r="G480" s="0" t="s">
        <v>3651</v>
      </c>
      <c r="I480" s="0" t="s">
        <v>2237</v>
      </c>
    </row>
    <row r="481" customFormat="false" ht="15" hidden="false" customHeight="false" outlineLevel="0" collapsed="false">
      <c r="A481" s="0" t="s">
        <v>129</v>
      </c>
      <c r="B481" s="0" t="n">
        <v>2018</v>
      </c>
      <c r="C481" s="0" t="s">
        <v>60</v>
      </c>
      <c r="D481" s="0" t="n">
        <v>1274112</v>
      </c>
      <c r="E481" s="0" t="n">
        <v>1</v>
      </c>
      <c r="F481" s="0" t="s">
        <v>329</v>
      </c>
      <c r="G481" s="0" t="s">
        <v>3650</v>
      </c>
      <c r="I481" s="0" t="s">
        <v>2286</v>
      </c>
    </row>
    <row r="482" customFormat="false" ht="15" hidden="false" customHeight="false" outlineLevel="0" collapsed="false">
      <c r="A482" s="0" t="s">
        <v>129</v>
      </c>
      <c r="B482" s="0" t="n">
        <v>2018</v>
      </c>
      <c r="C482" s="0" t="s">
        <v>61</v>
      </c>
      <c r="D482" s="0" t="n">
        <v>60311</v>
      </c>
      <c r="E482" s="0" t="n">
        <v>1</v>
      </c>
      <c r="F482" s="0" t="s">
        <v>329</v>
      </c>
      <c r="G482" s="0" t="s">
        <v>3650</v>
      </c>
      <c r="I482" s="0" t="s">
        <v>2287</v>
      </c>
    </row>
    <row r="483" customFormat="false" ht="15" hidden="false" customHeight="false" outlineLevel="0" collapsed="false">
      <c r="A483" s="0" t="s">
        <v>129</v>
      </c>
      <c r="B483" s="0" t="n">
        <v>2018</v>
      </c>
      <c r="C483" s="0" t="s">
        <v>62</v>
      </c>
      <c r="D483" s="0" t="n">
        <v>1213801</v>
      </c>
      <c r="E483" s="0" t="n">
        <v>1</v>
      </c>
      <c r="F483" s="0" t="s">
        <v>329</v>
      </c>
      <c r="G483" s="0" t="s">
        <v>3650</v>
      </c>
      <c r="I483" s="0" t="s">
        <v>2236</v>
      </c>
    </row>
    <row r="484" customFormat="false" ht="15" hidden="false" customHeight="false" outlineLevel="0" collapsed="false">
      <c r="A484" s="0" t="s">
        <v>129</v>
      </c>
      <c r="B484" s="0" t="n">
        <v>2018</v>
      </c>
      <c r="C484" s="0" t="s">
        <v>63</v>
      </c>
      <c r="D484" s="0" t="n">
        <v>4257</v>
      </c>
      <c r="E484" s="0" t="n">
        <v>1</v>
      </c>
      <c r="F484" s="0" t="s">
        <v>329</v>
      </c>
      <c r="G484" s="0" t="s">
        <v>3650</v>
      </c>
      <c r="I484" s="0" t="s">
        <v>2226</v>
      </c>
    </row>
    <row r="485" customFormat="false" ht="15" hidden="false" customHeight="false" outlineLevel="0" collapsed="false">
      <c r="A485" s="0" t="s">
        <v>129</v>
      </c>
      <c r="B485" s="0" t="n">
        <v>2018</v>
      </c>
      <c r="C485" s="0" t="s">
        <v>69</v>
      </c>
      <c r="D485" s="0" t="n">
        <v>20</v>
      </c>
      <c r="E485" s="0" t="n">
        <v>1</v>
      </c>
      <c r="F485" s="0" t="s">
        <v>329</v>
      </c>
      <c r="G485" s="0" t="s">
        <v>3650</v>
      </c>
      <c r="I485" s="0" t="s">
        <v>2306</v>
      </c>
    </row>
    <row r="486" customFormat="false" ht="15" hidden="false" customHeight="false" outlineLevel="0" collapsed="false">
      <c r="A486" s="0" t="s">
        <v>129</v>
      </c>
      <c r="B486" s="0" t="n">
        <v>2018</v>
      </c>
      <c r="C486" s="0" t="s">
        <v>591</v>
      </c>
      <c r="D486" s="0" t="n">
        <v>22.08</v>
      </c>
      <c r="E486" s="0" t="n">
        <v>1</v>
      </c>
      <c r="F486" s="0" t="s">
        <v>329</v>
      </c>
      <c r="G486" s="0" t="s">
        <v>3650</v>
      </c>
      <c r="I486" s="0" t="s">
        <v>2307</v>
      </c>
    </row>
    <row r="487" customFormat="false" ht="15" hidden="false" customHeight="false" outlineLevel="0" collapsed="false">
      <c r="A487" s="0" t="s">
        <v>129</v>
      </c>
      <c r="B487" s="0" t="n">
        <v>2018</v>
      </c>
      <c r="C487" s="0" t="s">
        <v>70</v>
      </c>
      <c r="D487" s="0" t="n">
        <v>16</v>
      </c>
      <c r="E487" s="0" t="n">
        <v>1</v>
      </c>
      <c r="F487" s="0" t="s">
        <v>329</v>
      </c>
      <c r="G487" s="0" t="s">
        <v>3650</v>
      </c>
      <c r="I487" s="0" t="s">
        <v>2308</v>
      </c>
    </row>
    <row r="488" customFormat="false" ht="15" hidden="false" customHeight="false" outlineLevel="0" collapsed="false">
      <c r="A488" s="0" t="s">
        <v>129</v>
      </c>
      <c r="B488" s="0" t="n">
        <v>2018</v>
      </c>
      <c r="C488" s="0" t="s">
        <v>65</v>
      </c>
      <c r="D488" s="0" t="n">
        <v>245482</v>
      </c>
      <c r="E488" s="0" t="n">
        <v>1</v>
      </c>
      <c r="F488" s="0" t="s">
        <v>329</v>
      </c>
      <c r="G488" s="0" t="s">
        <v>3650</v>
      </c>
      <c r="I488" s="0" t="s">
        <v>2303</v>
      </c>
    </row>
    <row r="489" customFormat="false" ht="15" hidden="false" customHeight="false" outlineLevel="0" collapsed="false">
      <c r="A489" s="0" t="s">
        <v>129</v>
      </c>
      <c r="B489" s="0" t="n">
        <v>2018</v>
      </c>
      <c r="C489" s="0" t="s">
        <v>66</v>
      </c>
      <c r="D489" s="0" t="n">
        <v>1248509</v>
      </c>
      <c r="E489" s="0" t="n">
        <v>1</v>
      </c>
      <c r="F489" s="0" t="s">
        <v>329</v>
      </c>
      <c r="G489" s="0" t="s">
        <v>3650</v>
      </c>
      <c r="I489" s="0" t="s">
        <v>2305</v>
      </c>
    </row>
    <row r="490" customFormat="false" ht="15" hidden="false" customHeight="false" outlineLevel="0" collapsed="false">
      <c r="A490" s="0" t="s">
        <v>129</v>
      </c>
      <c r="B490" s="0" t="n">
        <v>2018</v>
      </c>
      <c r="C490" s="0" t="s">
        <v>71</v>
      </c>
      <c r="D490" s="0" t="n">
        <v>55.84</v>
      </c>
      <c r="E490" s="0" t="n">
        <v>1</v>
      </c>
      <c r="F490" s="0" t="s">
        <v>329</v>
      </c>
      <c r="G490" s="0" t="s">
        <v>3650</v>
      </c>
      <c r="I490" s="0" t="s">
        <v>2405</v>
      </c>
    </row>
    <row r="491" customFormat="false" ht="15" hidden="false" customHeight="false" outlineLevel="0" collapsed="false">
      <c r="A491" s="0" t="s">
        <v>129</v>
      </c>
      <c r="B491" s="0" t="n">
        <v>2018</v>
      </c>
      <c r="C491" s="0" t="s">
        <v>68</v>
      </c>
      <c r="D491" s="0" t="n">
        <v>36951</v>
      </c>
      <c r="E491" s="0" t="n">
        <v>1</v>
      </c>
      <c r="F491" s="0" t="s">
        <v>329</v>
      </c>
      <c r="G491" s="0" t="s">
        <v>3650</v>
      </c>
      <c r="I491" s="0" t="s">
        <v>2288</v>
      </c>
    </row>
    <row r="492" customFormat="false" ht="15" hidden="false" customHeight="false" outlineLevel="0" collapsed="false">
      <c r="A492" s="0" t="s">
        <v>129</v>
      </c>
      <c r="B492" s="0" t="n">
        <v>2018</v>
      </c>
      <c r="C492" s="0" t="s">
        <v>402</v>
      </c>
      <c r="D492" s="0" t="n">
        <v>55350</v>
      </c>
      <c r="E492" s="0" t="n">
        <v>1</v>
      </c>
      <c r="F492" s="0" t="s">
        <v>329</v>
      </c>
      <c r="G492" s="0" t="s">
        <v>3650</v>
      </c>
      <c r="I492" s="0" t="s">
        <v>2225</v>
      </c>
    </row>
    <row r="493" customFormat="false" ht="15" hidden="false" customHeight="false" outlineLevel="0" collapsed="false">
      <c r="A493" s="0" t="s">
        <v>129</v>
      </c>
      <c r="B493" s="0" t="n">
        <v>2019</v>
      </c>
      <c r="C493" s="0" t="s">
        <v>54</v>
      </c>
      <c r="D493" s="0" t="n">
        <v>62750</v>
      </c>
      <c r="E493" s="0" t="n">
        <v>1</v>
      </c>
      <c r="F493" s="0" t="s">
        <v>329</v>
      </c>
      <c r="G493" s="0" t="s">
        <v>3650</v>
      </c>
      <c r="I493" s="0" t="s">
        <v>2251</v>
      </c>
    </row>
    <row r="494" customFormat="false" ht="15" hidden="false" customHeight="false" outlineLevel="0" collapsed="false">
      <c r="A494" s="0" t="s">
        <v>129</v>
      </c>
      <c r="B494" s="0" t="n">
        <v>2019</v>
      </c>
      <c r="C494" s="0" t="s">
        <v>55</v>
      </c>
      <c r="D494" s="0" t="n">
        <v>4136493</v>
      </c>
      <c r="E494" s="0" t="n">
        <v>1</v>
      </c>
      <c r="F494" s="0" t="s">
        <v>329</v>
      </c>
      <c r="G494" s="0" t="s">
        <v>3650</v>
      </c>
      <c r="I494" s="0" t="s">
        <v>2260</v>
      </c>
    </row>
    <row r="495" customFormat="false" ht="15" hidden="false" customHeight="false" outlineLevel="0" collapsed="false">
      <c r="A495" s="0" t="s">
        <v>129</v>
      </c>
      <c r="B495" s="0" t="n">
        <v>2019</v>
      </c>
      <c r="C495" s="0" t="s">
        <v>56</v>
      </c>
      <c r="D495" s="0" t="n">
        <v>3689971</v>
      </c>
      <c r="E495" s="0" t="n">
        <v>1</v>
      </c>
      <c r="F495" s="0" t="s">
        <v>329</v>
      </c>
      <c r="G495" s="0" t="s">
        <v>3650</v>
      </c>
      <c r="I495" s="0" t="s">
        <v>2261</v>
      </c>
    </row>
    <row r="496" customFormat="false" ht="15" hidden="false" customHeight="false" outlineLevel="0" collapsed="false">
      <c r="A496" s="0" t="s">
        <v>129</v>
      </c>
      <c r="B496" s="0" t="n">
        <v>2019</v>
      </c>
      <c r="C496" s="0" t="s">
        <v>57</v>
      </c>
      <c r="D496" s="0" t="n">
        <v>446522</v>
      </c>
      <c r="E496" s="0" t="n">
        <v>1</v>
      </c>
      <c r="F496" s="0" t="s">
        <v>329</v>
      </c>
      <c r="G496" s="0" t="s">
        <v>3650</v>
      </c>
      <c r="I496" s="0" t="s">
        <v>2262</v>
      </c>
    </row>
    <row r="497" customFormat="false" ht="15" hidden="false" customHeight="false" outlineLevel="0" collapsed="false">
      <c r="A497" s="0" t="s">
        <v>129</v>
      </c>
      <c r="B497" s="0" t="n">
        <v>2019</v>
      </c>
      <c r="C497" s="0" t="s">
        <v>58</v>
      </c>
      <c r="D497" s="0" t="n">
        <v>-317453</v>
      </c>
      <c r="E497" s="0" t="n">
        <v>1</v>
      </c>
      <c r="F497" s="0" t="s">
        <v>329</v>
      </c>
      <c r="G497" s="0" t="s">
        <v>3650</v>
      </c>
      <c r="I497" s="0" t="s">
        <v>2265</v>
      </c>
    </row>
    <row r="498" customFormat="false" ht="15" hidden="false" customHeight="false" outlineLevel="0" collapsed="false">
      <c r="A498" s="0" t="s">
        <v>129</v>
      </c>
      <c r="B498" s="0" t="n">
        <v>2019</v>
      </c>
      <c r="C498" s="0" t="s">
        <v>59</v>
      </c>
      <c r="D498" s="0" t="n">
        <v>3591305</v>
      </c>
      <c r="E498" s="0" t="n">
        <v>1</v>
      </c>
      <c r="F498" s="0" t="s">
        <v>329</v>
      </c>
      <c r="G498" s="0" t="s">
        <v>3651</v>
      </c>
      <c r="I498" s="0" t="s">
        <v>2232</v>
      </c>
    </row>
    <row r="499" customFormat="false" ht="15" hidden="false" customHeight="false" outlineLevel="0" collapsed="false">
      <c r="A499" s="0" t="s">
        <v>129</v>
      </c>
      <c r="B499" s="0" t="n">
        <v>2019</v>
      </c>
      <c r="C499" s="0" t="s">
        <v>60</v>
      </c>
      <c r="D499" s="0" t="n">
        <v>1557358</v>
      </c>
      <c r="E499" s="0" t="n">
        <v>1</v>
      </c>
      <c r="F499" s="0" t="s">
        <v>329</v>
      </c>
      <c r="G499" s="0" t="s">
        <v>3650</v>
      </c>
      <c r="I499" s="0" t="s">
        <v>2296</v>
      </c>
    </row>
    <row r="500" customFormat="false" ht="15" hidden="false" customHeight="false" outlineLevel="0" collapsed="false">
      <c r="A500" s="0" t="s">
        <v>129</v>
      </c>
      <c r="B500" s="0" t="n">
        <v>2019</v>
      </c>
      <c r="C500" s="0" t="s">
        <v>61</v>
      </c>
      <c r="D500" s="0" t="n">
        <v>53978</v>
      </c>
      <c r="E500" s="0" t="n">
        <v>1</v>
      </c>
      <c r="F500" s="0" t="s">
        <v>329</v>
      </c>
      <c r="G500" s="0" t="s">
        <v>3650</v>
      </c>
      <c r="I500" s="0" t="s">
        <v>2297</v>
      </c>
    </row>
    <row r="501" customFormat="false" ht="15" hidden="false" customHeight="false" outlineLevel="0" collapsed="false">
      <c r="A501" s="0" t="s">
        <v>129</v>
      </c>
      <c r="B501" s="0" t="n">
        <v>2019</v>
      </c>
      <c r="C501" s="0" t="s">
        <v>62</v>
      </c>
      <c r="D501" s="0" t="n">
        <v>1503380</v>
      </c>
      <c r="E501" s="0" t="n">
        <v>1</v>
      </c>
      <c r="F501" s="0" t="s">
        <v>329</v>
      </c>
      <c r="G501" s="0" t="s">
        <v>3650</v>
      </c>
      <c r="I501" s="0" t="s">
        <v>2263</v>
      </c>
    </row>
    <row r="502" customFormat="false" ht="15" hidden="false" customHeight="false" outlineLevel="0" collapsed="false">
      <c r="A502" s="0" t="s">
        <v>129</v>
      </c>
      <c r="B502" s="0" t="n">
        <v>2019</v>
      </c>
      <c r="C502" s="0" t="s">
        <v>63</v>
      </c>
      <c r="D502" s="0" t="n">
        <v>16369</v>
      </c>
      <c r="E502" s="0" t="n">
        <v>2</v>
      </c>
      <c r="F502" s="0" t="s">
        <v>329</v>
      </c>
      <c r="G502" s="0" t="s">
        <v>3663</v>
      </c>
      <c r="I502" s="0" t="s">
        <v>3664</v>
      </c>
    </row>
    <row r="503" customFormat="false" ht="15" hidden="false" customHeight="false" outlineLevel="0" collapsed="false">
      <c r="A503" s="0" t="s">
        <v>129</v>
      </c>
      <c r="B503" s="0" t="n">
        <v>2019</v>
      </c>
      <c r="C503" s="0" t="s">
        <v>247</v>
      </c>
      <c r="D503" s="0" t="n">
        <v>14695</v>
      </c>
      <c r="E503" s="0" t="n">
        <v>1</v>
      </c>
      <c r="F503" s="0" t="s">
        <v>329</v>
      </c>
      <c r="G503" s="0" t="s">
        <v>3650</v>
      </c>
      <c r="I503" s="0" t="s">
        <v>2254</v>
      </c>
    </row>
    <row r="504" customFormat="false" ht="15" hidden="false" customHeight="false" outlineLevel="0" collapsed="false">
      <c r="A504" s="0" t="s">
        <v>129</v>
      </c>
      <c r="B504" s="0" t="n">
        <v>2019</v>
      </c>
      <c r="C504" s="0" t="s">
        <v>557</v>
      </c>
      <c r="D504" s="0" t="n">
        <v>1674</v>
      </c>
      <c r="E504" s="0" t="n">
        <v>1</v>
      </c>
      <c r="F504" s="0" t="s">
        <v>329</v>
      </c>
      <c r="G504" s="0" t="s">
        <v>3650</v>
      </c>
      <c r="I504" s="0" t="s">
        <v>2255</v>
      </c>
    </row>
    <row r="505" customFormat="false" ht="15" hidden="false" customHeight="false" outlineLevel="0" collapsed="false">
      <c r="A505" s="0" t="s">
        <v>129</v>
      </c>
      <c r="B505" s="0" t="n">
        <v>2019</v>
      </c>
      <c r="C505" s="0" t="s">
        <v>69</v>
      </c>
      <c r="D505" s="0" t="n">
        <v>22</v>
      </c>
      <c r="E505" s="0" t="n">
        <v>1</v>
      </c>
      <c r="F505" s="0" t="s">
        <v>329</v>
      </c>
      <c r="G505" s="0" t="s">
        <v>3650</v>
      </c>
      <c r="I505" s="0" t="s">
        <v>2321</v>
      </c>
    </row>
    <row r="506" customFormat="false" ht="15" hidden="false" customHeight="false" outlineLevel="0" collapsed="false">
      <c r="A506" s="0" t="s">
        <v>129</v>
      </c>
      <c r="B506" s="0" t="n">
        <v>2019</v>
      </c>
      <c r="C506" s="0" t="s">
        <v>65</v>
      </c>
      <c r="D506" s="0" t="n">
        <v>285664</v>
      </c>
      <c r="E506" s="0" t="n">
        <v>1</v>
      </c>
      <c r="F506" s="0" t="s">
        <v>329</v>
      </c>
      <c r="G506" s="0" t="s">
        <v>3650</v>
      </c>
      <c r="I506" s="0" t="s">
        <v>2318</v>
      </c>
    </row>
    <row r="507" customFormat="false" ht="15" hidden="false" customHeight="false" outlineLevel="0" collapsed="false">
      <c r="A507" s="0" t="s">
        <v>129</v>
      </c>
      <c r="B507" s="0" t="n">
        <v>2019</v>
      </c>
      <c r="C507" s="0" t="s">
        <v>66</v>
      </c>
      <c r="D507" s="0" t="n">
        <v>1328231</v>
      </c>
      <c r="E507" s="0" t="n">
        <v>1</v>
      </c>
      <c r="F507" s="0" t="s">
        <v>329</v>
      </c>
      <c r="G507" s="0" t="s">
        <v>3650</v>
      </c>
      <c r="I507" s="0" t="s">
        <v>2320</v>
      </c>
    </row>
    <row r="508" customFormat="false" ht="15" hidden="false" customHeight="false" outlineLevel="0" collapsed="false">
      <c r="A508" s="0" t="s">
        <v>129</v>
      </c>
      <c r="B508" s="0" t="n">
        <v>2019</v>
      </c>
      <c r="C508" s="0" t="s">
        <v>71</v>
      </c>
      <c r="D508" s="0" t="n">
        <v>43.99</v>
      </c>
      <c r="E508" s="0" t="n">
        <v>1</v>
      </c>
      <c r="F508" s="0" t="s">
        <v>329</v>
      </c>
      <c r="G508" s="0" t="s">
        <v>3650</v>
      </c>
      <c r="I508" s="0" t="s">
        <v>2409</v>
      </c>
    </row>
    <row r="509" customFormat="false" ht="15" hidden="false" customHeight="false" outlineLevel="0" collapsed="false">
      <c r="A509" s="0" t="s">
        <v>129</v>
      </c>
      <c r="B509" s="0" t="n">
        <v>2019</v>
      </c>
      <c r="C509" s="0" t="s">
        <v>68</v>
      </c>
      <c r="D509" s="0" t="n">
        <v>21215</v>
      </c>
      <c r="E509" s="0" t="n">
        <v>1</v>
      </c>
      <c r="F509" s="0" t="s">
        <v>329</v>
      </c>
      <c r="G509" s="0" t="s">
        <v>3650</v>
      </c>
      <c r="I509" s="0" t="s">
        <v>2298</v>
      </c>
    </row>
    <row r="510" customFormat="false" ht="15" hidden="false" customHeight="false" outlineLevel="0" collapsed="false">
      <c r="A510" s="0" t="s">
        <v>129</v>
      </c>
      <c r="B510" s="0" t="n">
        <v>2019</v>
      </c>
      <c r="C510" s="0" t="s">
        <v>402</v>
      </c>
      <c r="D510" s="0" t="n">
        <v>70063</v>
      </c>
      <c r="E510" s="0" t="n">
        <v>1</v>
      </c>
      <c r="F510" s="0" t="s">
        <v>329</v>
      </c>
      <c r="G510" s="0" t="s">
        <v>3650</v>
      </c>
      <c r="I510" s="0" t="s">
        <v>2253</v>
      </c>
    </row>
    <row r="511" customFormat="false" ht="15" hidden="false" customHeight="false" outlineLevel="0" collapsed="false">
      <c r="A511" s="0" t="s">
        <v>129</v>
      </c>
      <c r="B511" s="0" t="n">
        <v>2020</v>
      </c>
      <c r="C511" s="0" t="s">
        <v>54</v>
      </c>
      <c r="D511" s="0" t="n">
        <v>56911</v>
      </c>
      <c r="E511" s="0" t="n">
        <v>1</v>
      </c>
      <c r="F511" s="0" t="s">
        <v>329</v>
      </c>
      <c r="G511" s="0" t="s">
        <v>3650</v>
      </c>
      <c r="I511" s="0" t="s">
        <v>2245</v>
      </c>
    </row>
    <row r="512" customFormat="false" ht="15" hidden="false" customHeight="false" outlineLevel="0" collapsed="false">
      <c r="A512" s="0" t="s">
        <v>129</v>
      </c>
      <c r="B512" s="0" t="n">
        <v>2020</v>
      </c>
      <c r="C512" s="0" t="s">
        <v>55</v>
      </c>
      <c r="D512" s="0" t="n">
        <v>5207833</v>
      </c>
      <c r="E512" s="0" t="n">
        <v>1</v>
      </c>
      <c r="F512" s="0" t="s">
        <v>329</v>
      </c>
      <c r="G512" s="0" t="s">
        <v>3650</v>
      </c>
      <c r="I512" s="0" t="s">
        <v>2256</v>
      </c>
    </row>
    <row r="513" customFormat="false" ht="15" hidden="false" customHeight="false" outlineLevel="0" collapsed="false">
      <c r="A513" s="0" t="s">
        <v>129</v>
      </c>
      <c r="B513" s="0" t="n">
        <v>2020</v>
      </c>
      <c r="C513" s="0" t="s">
        <v>56</v>
      </c>
      <c r="D513" s="0" t="n">
        <v>4729893</v>
      </c>
      <c r="E513" s="0" t="n">
        <v>1</v>
      </c>
      <c r="F513" s="0" t="s">
        <v>329</v>
      </c>
      <c r="G513" s="0" t="s">
        <v>3650</v>
      </c>
      <c r="I513" s="0" t="s">
        <v>2257</v>
      </c>
    </row>
    <row r="514" customFormat="false" ht="15" hidden="false" customHeight="false" outlineLevel="0" collapsed="false">
      <c r="A514" s="0" t="s">
        <v>129</v>
      </c>
      <c r="B514" s="0" t="n">
        <v>2020</v>
      </c>
      <c r="C514" s="0" t="s">
        <v>57</v>
      </c>
      <c r="D514" s="0" t="n">
        <v>477940</v>
      </c>
      <c r="E514" s="0" t="n">
        <v>1</v>
      </c>
      <c r="F514" s="0" t="s">
        <v>329</v>
      </c>
      <c r="G514" s="0" t="s">
        <v>3650</v>
      </c>
      <c r="I514" s="0" t="s">
        <v>2258</v>
      </c>
    </row>
    <row r="515" customFormat="false" ht="15" hidden="false" customHeight="false" outlineLevel="0" collapsed="false">
      <c r="A515" s="0" t="s">
        <v>129</v>
      </c>
      <c r="B515" s="0" t="n">
        <v>2020</v>
      </c>
      <c r="C515" s="0" t="s">
        <v>58</v>
      </c>
      <c r="D515" s="0" t="n">
        <v>735114</v>
      </c>
      <c r="E515" s="0" t="n">
        <v>1</v>
      </c>
      <c r="F515" s="0" t="s">
        <v>329</v>
      </c>
      <c r="G515" s="0" t="s">
        <v>3650</v>
      </c>
      <c r="I515" s="0" t="s">
        <v>2264</v>
      </c>
    </row>
    <row r="516" customFormat="false" ht="15" hidden="false" customHeight="false" outlineLevel="0" collapsed="false">
      <c r="A516" s="0" t="s">
        <v>129</v>
      </c>
      <c r="B516" s="0" t="n">
        <v>2020</v>
      </c>
      <c r="C516" s="0" t="s">
        <v>59</v>
      </c>
      <c r="D516" s="0" t="n">
        <v>4136493</v>
      </c>
      <c r="E516" s="0" t="n">
        <v>1</v>
      </c>
      <c r="F516" s="0" t="s">
        <v>329</v>
      </c>
      <c r="G516" s="0" t="s">
        <v>3651</v>
      </c>
      <c r="I516" s="0" t="s">
        <v>2260</v>
      </c>
    </row>
    <row r="517" customFormat="false" ht="15" hidden="false" customHeight="false" outlineLevel="0" collapsed="false">
      <c r="A517" s="0" t="s">
        <v>129</v>
      </c>
      <c r="B517" s="0" t="n">
        <v>2020</v>
      </c>
      <c r="C517" s="0" t="s">
        <v>60</v>
      </c>
      <c r="D517" s="0" t="n">
        <v>1874858</v>
      </c>
      <c r="E517" s="0" t="n">
        <v>1</v>
      </c>
      <c r="F517" s="0" t="s">
        <v>329</v>
      </c>
      <c r="G517" s="0" t="s">
        <v>3650</v>
      </c>
      <c r="I517" s="0" t="s">
        <v>2293</v>
      </c>
    </row>
    <row r="518" customFormat="false" ht="15" hidden="false" customHeight="false" outlineLevel="0" collapsed="false">
      <c r="A518" s="0" t="s">
        <v>129</v>
      </c>
      <c r="B518" s="0" t="n">
        <v>2020</v>
      </c>
      <c r="C518" s="0" t="s">
        <v>61</v>
      </c>
      <c r="D518" s="0" t="n">
        <v>62322</v>
      </c>
      <c r="E518" s="0" t="n">
        <v>1</v>
      </c>
      <c r="F518" s="0" t="s">
        <v>329</v>
      </c>
      <c r="G518" s="0" t="s">
        <v>3650</v>
      </c>
      <c r="I518" s="0" t="s">
        <v>2294</v>
      </c>
    </row>
    <row r="519" customFormat="false" ht="15" hidden="false" customHeight="false" outlineLevel="0" collapsed="false">
      <c r="A519" s="0" t="s">
        <v>129</v>
      </c>
      <c r="B519" s="0" t="n">
        <v>2020</v>
      </c>
      <c r="C519" s="0" t="s">
        <v>62</v>
      </c>
      <c r="D519" s="0" t="n">
        <v>1812536</v>
      </c>
      <c r="E519" s="0" t="n">
        <v>1</v>
      </c>
      <c r="F519" s="0" t="s">
        <v>329</v>
      </c>
      <c r="G519" s="0" t="s">
        <v>3650</v>
      </c>
      <c r="I519" s="0" t="s">
        <v>2259</v>
      </c>
    </row>
    <row r="520" customFormat="false" ht="15" hidden="false" customHeight="false" outlineLevel="0" collapsed="false">
      <c r="A520" s="0" t="s">
        <v>129</v>
      </c>
      <c r="B520" s="0" t="n">
        <v>2020</v>
      </c>
      <c r="C520" s="0" t="s">
        <v>63</v>
      </c>
      <c r="D520" s="0" t="n">
        <v>21864</v>
      </c>
      <c r="E520" s="0" t="n">
        <v>2</v>
      </c>
      <c r="F520" s="0" t="s">
        <v>329</v>
      </c>
      <c r="G520" s="0" t="s">
        <v>3663</v>
      </c>
      <c r="I520" s="0" t="s">
        <v>3665</v>
      </c>
    </row>
    <row r="521" customFormat="false" ht="15" hidden="false" customHeight="false" outlineLevel="0" collapsed="false">
      <c r="A521" s="0" t="s">
        <v>129</v>
      </c>
      <c r="B521" s="0" t="n">
        <v>2020</v>
      </c>
      <c r="C521" s="0" t="s">
        <v>247</v>
      </c>
      <c r="D521" s="0" t="n">
        <v>14146</v>
      </c>
      <c r="E521" s="0" t="n">
        <v>1</v>
      </c>
      <c r="F521" s="0" t="s">
        <v>329</v>
      </c>
      <c r="G521" s="0" t="s">
        <v>3650</v>
      </c>
      <c r="I521" s="0" t="s">
        <v>2249</v>
      </c>
    </row>
    <row r="522" customFormat="false" ht="15" hidden="false" customHeight="false" outlineLevel="0" collapsed="false">
      <c r="A522" s="0" t="s">
        <v>129</v>
      </c>
      <c r="B522" s="0" t="n">
        <v>2020</v>
      </c>
      <c r="C522" s="0" t="s">
        <v>557</v>
      </c>
      <c r="D522" s="0" t="n">
        <v>7718</v>
      </c>
      <c r="E522" s="0" t="n">
        <v>1</v>
      </c>
      <c r="F522" s="0" t="s">
        <v>329</v>
      </c>
      <c r="G522" s="0" t="s">
        <v>3650</v>
      </c>
      <c r="I522" s="0" t="s">
        <v>2250</v>
      </c>
    </row>
    <row r="523" customFormat="false" ht="15" hidden="false" customHeight="false" outlineLevel="0" collapsed="false">
      <c r="A523" s="0" t="s">
        <v>129</v>
      </c>
      <c r="B523" s="0" t="n">
        <v>2020</v>
      </c>
      <c r="C523" s="0" t="s">
        <v>69</v>
      </c>
      <c r="D523" s="0" t="n">
        <v>20</v>
      </c>
      <c r="E523" s="0" t="n">
        <v>1</v>
      </c>
      <c r="F523" s="0" t="s">
        <v>329</v>
      </c>
      <c r="G523" s="0" t="s">
        <v>3650</v>
      </c>
      <c r="I523" s="0" t="s">
        <v>2316</v>
      </c>
    </row>
    <row r="524" customFormat="false" ht="15" hidden="false" customHeight="false" outlineLevel="0" collapsed="false">
      <c r="A524" s="0" t="s">
        <v>129</v>
      </c>
      <c r="B524" s="0" t="n">
        <v>2020</v>
      </c>
      <c r="C524" s="0" t="s">
        <v>70</v>
      </c>
      <c r="D524" s="0" t="n">
        <v>15</v>
      </c>
      <c r="E524" s="0" t="n">
        <v>1</v>
      </c>
      <c r="F524" s="0" t="s">
        <v>329</v>
      </c>
      <c r="G524" s="0" t="s">
        <v>3650</v>
      </c>
      <c r="I524" s="0" t="s">
        <v>2317</v>
      </c>
    </row>
    <row r="525" customFormat="false" ht="15" hidden="false" customHeight="false" outlineLevel="0" collapsed="false">
      <c r="A525" s="0" t="s">
        <v>129</v>
      </c>
      <c r="B525" s="0" t="n">
        <v>2020</v>
      </c>
      <c r="C525" s="0" t="s">
        <v>65</v>
      </c>
      <c r="D525" s="0" t="n">
        <v>276315</v>
      </c>
      <c r="E525" s="0" t="n">
        <v>1</v>
      </c>
      <c r="F525" s="0" t="s">
        <v>329</v>
      </c>
      <c r="G525" s="0" t="s">
        <v>3650</v>
      </c>
      <c r="I525" s="0" t="s">
        <v>2313</v>
      </c>
    </row>
    <row r="526" customFormat="false" ht="15" hidden="false" customHeight="false" outlineLevel="0" collapsed="false">
      <c r="A526" s="0" t="s">
        <v>129</v>
      </c>
      <c r="B526" s="0" t="n">
        <v>2020</v>
      </c>
      <c r="C526" s="0" t="s">
        <v>66</v>
      </c>
      <c r="D526" s="0" t="n">
        <v>1402955</v>
      </c>
      <c r="E526" s="0" t="n">
        <v>1</v>
      </c>
      <c r="F526" s="0" t="s">
        <v>329</v>
      </c>
      <c r="G526" s="0" t="s">
        <v>3650</v>
      </c>
      <c r="I526" s="0" t="s">
        <v>2315</v>
      </c>
    </row>
    <row r="527" customFormat="false" ht="15" hidden="false" customHeight="false" outlineLevel="0" collapsed="false">
      <c r="A527" s="0" t="s">
        <v>129</v>
      </c>
      <c r="B527" s="0" t="n">
        <v>2020</v>
      </c>
      <c r="C527" s="0" t="s">
        <v>71</v>
      </c>
      <c r="D527" s="0" t="n">
        <v>44.3</v>
      </c>
      <c r="E527" s="0" t="n">
        <v>1</v>
      </c>
      <c r="F527" s="0" t="s">
        <v>329</v>
      </c>
      <c r="G527" s="0" t="s">
        <v>3650</v>
      </c>
      <c r="I527" s="0" t="s">
        <v>2408</v>
      </c>
    </row>
    <row r="528" customFormat="false" ht="15" hidden="false" customHeight="false" outlineLevel="0" collapsed="false">
      <c r="A528" s="0" t="s">
        <v>129</v>
      </c>
      <c r="B528" s="0" t="n">
        <v>2020</v>
      </c>
      <c r="C528" s="0" t="s">
        <v>68</v>
      </c>
      <c r="D528" s="0" t="n">
        <v>21933</v>
      </c>
      <c r="E528" s="0" t="n">
        <v>1</v>
      </c>
      <c r="F528" s="0" t="s">
        <v>329</v>
      </c>
      <c r="G528" s="0" t="s">
        <v>3650</v>
      </c>
      <c r="I528" s="0" t="s">
        <v>2295</v>
      </c>
    </row>
    <row r="529" customFormat="false" ht="15" hidden="false" customHeight="false" outlineLevel="0" collapsed="false">
      <c r="A529" s="0" t="s">
        <v>129</v>
      </c>
      <c r="B529" s="0" t="n">
        <v>2020</v>
      </c>
      <c r="C529" s="0" t="s">
        <v>402</v>
      </c>
      <c r="D529" s="0" t="n">
        <v>58360</v>
      </c>
      <c r="E529" s="0" t="n">
        <v>1</v>
      </c>
      <c r="F529" s="0" t="s">
        <v>329</v>
      </c>
      <c r="G529" s="0" t="s">
        <v>3650</v>
      </c>
      <c r="I529" s="0" t="s">
        <v>2248</v>
      </c>
    </row>
    <row r="530" customFormat="false" ht="15" hidden="false" customHeight="false" outlineLevel="0" collapsed="false">
      <c r="A530" s="0" t="s">
        <v>129</v>
      </c>
      <c r="B530" s="0" t="n">
        <v>2021</v>
      </c>
      <c r="C530" s="0" t="s">
        <v>54</v>
      </c>
      <c r="D530" s="0" t="n">
        <v>58669</v>
      </c>
      <c r="E530" s="0" t="n">
        <v>1</v>
      </c>
      <c r="F530" s="0" t="s">
        <v>329</v>
      </c>
      <c r="G530" s="0" t="s">
        <v>3650</v>
      </c>
      <c r="I530" s="0" t="s">
        <v>2271</v>
      </c>
    </row>
    <row r="531" customFormat="false" ht="15" hidden="false" customHeight="false" outlineLevel="0" collapsed="false">
      <c r="A531" s="0" t="s">
        <v>129</v>
      </c>
      <c r="B531" s="0" t="n">
        <v>2021</v>
      </c>
      <c r="C531" s="0" t="s">
        <v>55</v>
      </c>
      <c r="D531" s="0" t="n">
        <v>5574976</v>
      </c>
      <c r="E531" s="0" t="n">
        <v>1</v>
      </c>
      <c r="F531" s="0" t="s">
        <v>329</v>
      </c>
      <c r="G531" s="0" t="s">
        <v>3650</v>
      </c>
      <c r="I531" s="0" t="s">
        <v>2280</v>
      </c>
    </row>
    <row r="532" customFormat="false" ht="15" hidden="false" customHeight="false" outlineLevel="0" collapsed="false">
      <c r="A532" s="0" t="s">
        <v>129</v>
      </c>
      <c r="B532" s="0" t="n">
        <v>2021</v>
      </c>
      <c r="C532" s="0" t="s">
        <v>56</v>
      </c>
      <c r="D532" s="0" t="n">
        <v>5073375</v>
      </c>
      <c r="E532" s="0" t="n">
        <v>1</v>
      </c>
      <c r="F532" s="0" t="s">
        <v>329</v>
      </c>
      <c r="G532" s="0" t="s">
        <v>3650</v>
      </c>
      <c r="I532" s="0" t="s">
        <v>2281</v>
      </c>
    </row>
    <row r="533" customFormat="false" ht="15" hidden="false" customHeight="false" outlineLevel="0" collapsed="false">
      <c r="A533" s="0" t="s">
        <v>129</v>
      </c>
      <c r="B533" s="0" t="n">
        <v>2021</v>
      </c>
      <c r="C533" s="0" t="s">
        <v>57</v>
      </c>
      <c r="D533" s="0" t="n">
        <v>501601</v>
      </c>
      <c r="E533" s="0" t="n">
        <v>1</v>
      </c>
      <c r="F533" s="0" t="s">
        <v>329</v>
      </c>
      <c r="G533" s="0" t="s">
        <v>3650</v>
      </c>
      <c r="I533" s="0" t="s">
        <v>2282</v>
      </c>
    </row>
    <row r="534" customFormat="false" ht="15" hidden="false" customHeight="false" outlineLevel="0" collapsed="false">
      <c r="A534" s="0" t="s">
        <v>129</v>
      </c>
      <c r="B534" s="0" t="n">
        <v>2021</v>
      </c>
      <c r="C534" s="0" t="s">
        <v>58</v>
      </c>
      <c r="D534" s="0" t="n">
        <v>671619</v>
      </c>
      <c r="E534" s="0" t="n">
        <v>1</v>
      </c>
      <c r="F534" s="0" t="s">
        <v>329</v>
      </c>
      <c r="G534" s="0" t="s">
        <v>3650</v>
      </c>
      <c r="I534" s="0" t="s">
        <v>2285</v>
      </c>
    </row>
    <row r="535" customFormat="false" ht="15" hidden="false" customHeight="false" outlineLevel="0" collapsed="false">
      <c r="A535" s="0" t="s">
        <v>129</v>
      </c>
      <c r="B535" s="0" t="n">
        <v>2021</v>
      </c>
      <c r="C535" s="0" t="s">
        <v>59</v>
      </c>
      <c r="D535" s="0" t="n">
        <v>5207833</v>
      </c>
      <c r="E535" s="0" t="n">
        <v>1</v>
      </c>
      <c r="F535" s="0" t="s">
        <v>329</v>
      </c>
      <c r="G535" s="0" t="s">
        <v>3651</v>
      </c>
      <c r="I535" s="0" t="s">
        <v>2256</v>
      </c>
    </row>
    <row r="536" customFormat="false" ht="15" hidden="false" customHeight="false" outlineLevel="0" collapsed="false">
      <c r="A536" s="0" t="s">
        <v>129</v>
      </c>
      <c r="B536" s="0" t="n">
        <v>2021</v>
      </c>
      <c r="C536" s="0" t="s">
        <v>60</v>
      </c>
      <c r="D536" s="0" t="n">
        <v>1913403</v>
      </c>
      <c r="E536" s="0" t="n">
        <v>1</v>
      </c>
      <c r="F536" s="0" t="s">
        <v>329</v>
      </c>
      <c r="G536" s="0" t="s">
        <v>3650</v>
      </c>
      <c r="I536" s="0" t="s">
        <v>2301</v>
      </c>
    </row>
    <row r="537" customFormat="false" ht="15" hidden="false" customHeight="false" outlineLevel="0" collapsed="false">
      <c r="A537" s="0" t="s">
        <v>129</v>
      </c>
      <c r="B537" s="0" t="n">
        <v>2021</v>
      </c>
      <c r="C537" s="0" t="s">
        <v>61</v>
      </c>
      <c r="D537" s="0" t="n">
        <v>65301</v>
      </c>
      <c r="E537" s="0" t="n">
        <v>1</v>
      </c>
      <c r="F537" s="0" t="s">
        <v>329</v>
      </c>
      <c r="G537" s="0" t="s">
        <v>3650</v>
      </c>
      <c r="I537" s="0" t="s">
        <v>2302</v>
      </c>
    </row>
    <row r="538" customFormat="false" ht="15" hidden="false" customHeight="false" outlineLevel="0" collapsed="false">
      <c r="A538" s="0" t="s">
        <v>129</v>
      </c>
      <c r="B538" s="0" t="n">
        <v>2021</v>
      </c>
      <c r="C538" s="0" t="s">
        <v>62</v>
      </c>
      <c r="D538" s="0" t="n">
        <v>1848102</v>
      </c>
      <c r="E538" s="0" t="n">
        <v>1</v>
      </c>
      <c r="F538" s="0" t="s">
        <v>329</v>
      </c>
      <c r="G538" s="0" t="s">
        <v>3650</v>
      </c>
      <c r="I538" s="0" t="s">
        <v>2283</v>
      </c>
    </row>
    <row r="539" customFormat="false" ht="15" hidden="false" customHeight="false" outlineLevel="0" collapsed="false">
      <c r="A539" s="0" t="s">
        <v>129</v>
      </c>
      <c r="B539" s="0" t="n">
        <v>2021</v>
      </c>
      <c r="C539" s="0" t="s">
        <v>63</v>
      </c>
      <c r="D539" s="0" t="n">
        <v>9749</v>
      </c>
      <c r="E539" s="0" t="n">
        <v>2</v>
      </c>
      <c r="F539" s="0" t="s">
        <v>329</v>
      </c>
      <c r="G539" s="0" t="s">
        <v>3663</v>
      </c>
      <c r="I539" s="0" t="s">
        <v>3666</v>
      </c>
    </row>
    <row r="540" customFormat="false" ht="15" hidden="false" customHeight="false" outlineLevel="0" collapsed="false">
      <c r="A540" s="0" t="s">
        <v>129</v>
      </c>
      <c r="B540" s="0" t="n">
        <v>2021</v>
      </c>
      <c r="C540" s="0" t="s">
        <v>247</v>
      </c>
      <c r="D540" s="0" t="n">
        <v>9049</v>
      </c>
      <c r="E540" s="0" t="n">
        <v>1</v>
      </c>
      <c r="F540" s="0" t="s">
        <v>329</v>
      </c>
      <c r="G540" s="0" t="s">
        <v>3650</v>
      </c>
      <c r="I540" s="0" t="s">
        <v>2274</v>
      </c>
    </row>
    <row r="541" customFormat="false" ht="15" hidden="false" customHeight="false" outlineLevel="0" collapsed="false">
      <c r="A541" s="0" t="s">
        <v>129</v>
      </c>
      <c r="B541" s="0" t="n">
        <v>2021</v>
      </c>
      <c r="C541" s="0" t="s">
        <v>557</v>
      </c>
      <c r="D541" s="0" t="n">
        <v>700</v>
      </c>
      <c r="E541" s="0" t="n">
        <v>1</v>
      </c>
      <c r="F541" s="0" t="s">
        <v>329</v>
      </c>
      <c r="G541" s="0" t="s">
        <v>3650</v>
      </c>
      <c r="I541" s="0" t="s">
        <v>2275</v>
      </c>
    </row>
    <row r="542" customFormat="false" ht="15" hidden="false" customHeight="false" outlineLevel="0" collapsed="false">
      <c r="A542" s="0" t="s">
        <v>129</v>
      </c>
      <c r="B542" s="0" t="n">
        <v>2021</v>
      </c>
      <c r="C542" s="0" t="s">
        <v>69</v>
      </c>
      <c r="D542" s="0" t="n">
        <v>21.8</v>
      </c>
      <c r="E542" s="0" t="n">
        <v>1</v>
      </c>
      <c r="F542" s="0" t="s">
        <v>329</v>
      </c>
      <c r="G542" s="0" t="s">
        <v>3650</v>
      </c>
      <c r="I542" s="0" t="s">
        <v>2327</v>
      </c>
    </row>
    <row r="543" customFormat="false" ht="15" hidden="false" customHeight="false" outlineLevel="0" collapsed="false">
      <c r="A543" s="0" t="s">
        <v>129</v>
      </c>
      <c r="B543" s="0" t="n">
        <v>2021</v>
      </c>
      <c r="C543" s="0" t="s">
        <v>65</v>
      </c>
      <c r="D543" s="0" t="n">
        <v>336784</v>
      </c>
      <c r="E543" s="0" t="n">
        <v>1</v>
      </c>
      <c r="F543" s="0" t="s">
        <v>329</v>
      </c>
      <c r="G543" s="0" t="s">
        <v>3650</v>
      </c>
      <c r="I543" s="0" t="s">
        <v>2325</v>
      </c>
    </row>
    <row r="544" customFormat="false" ht="15" hidden="false" customHeight="false" outlineLevel="0" collapsed="false">
      <c r="A544" s="0" t="s">
        <v>129</v>
      </c>
      <c r="B544" s="0" t="n">
        <v>2021</v>
      </c>
      <c r="C544" s="0" t="s">
        <v>66</v>
      </c>
      <c r="D544" s="0" t="n">
        <v>1543338</v>
      </c>
      <c r="E544" s="0" t="n">
        <v>1</v>
      </c>
      <c r="F544" s="0" t="s">
        <v>329</v>
      </c>
      <c r="G544" s="0" t="s">
        <v>3650</v>
      </c>
      <c r="I544" s="0" t="s">
        <v>2326</v>
      </c>
    </row>
    <row r="545" customFormat="false" ht="15" hidden="false" customHeight="false" outlineLevel="0" collapsed="false">
      <c r="A545" s="0" t="s">
        <v>129</v>
      </c>
      <c r="B545" s="0" t="n">
        <v>2021</v>
      </c>
      <c r="C545" s="0" t="s">
        <v>71</v>
      </c>
      <c r="D545" s="0" t="n">
        <v>47.56</v>
      </c>
      <c r="E545" s="0" t="n">
        <v>1</v>
      </c>
      <c r="F545" s="0" t="s">
        <v>329</v>
      </c>
      <c r="G545" s="0" t="s">
        <v>3650</v>
      </c>
      <c r="I545" s="0" t="s">
        <v>2338</v>
      </c>
    </row>
    <row r="546" customFormat="false" ht="15" hidden="false" customHeight="false" outlineLevel="0" collapsed="false">
      <c r="A546" s="0" t="s">
        <v>129</v>
      </c>
      <c r="B546" s="0" t="n">
        <v>2021</v>
      </c>
      <c r="C546" s="0" t="s">
        <v>402</v>
      </c>
      <c r="D546" s="0" t="n">
        <v>60519</v>
      </c>
      <c r="E546" s="0" t="n">
        <v>1</v>
      </c>
      <c r="F546" s="0" t="s">
        <v>329</v>
      </c>
      <c r="G546" s="0" t="s">
        <v>3650</v>
      </c>
      <c r="I546" s="0" t="s">
        <v>2273</v>
      </c>
    </row>
    <row r="547" customFormat="false" ht="15" hidden="false" customHeight="false" outlineLevel="0" collapsed="false">
      <c r="A547" s="0" t="s">
        <v>129</v>
      </c>
      <c r="B547" s="0" t="n">
        <v>2022</v>
      </c>
      <c r="C547" s="0" t="s">
        <v>54</v>
      </c>
      <c r="D547" s="0" t="n">
        <v>133696</v>
      </c>
      <c r="E547" s="0" t="n">
        <v>1</v>
      </c>
      <c r="F547" s="0" t="s">
        <v>329</v>
      </c>
      <c r="G547" s="0" t="s">
        <v>3650</v>
      </c>
      <c r="I547" s="0" t="s">
        <v>2266</v>
      </c>
    </row>
    <row r="548" customFormat="false" ht="15" hidden="false" customHeight="false" outlineLevel="0" collapsed="false">
      <c r="A548" s="0" t="s">
        <v>129</v>
      </c>
      <c r="B548" s="0" t="n">
        <v>2022</v>
      </c>
      <c r="C548" s="0" t="s">
        <v>55</v>
      </c>
      <c r="D548" s="0" t="n">
        <v>7361044</v>
      </c>
      <c r="E548" s="0" t="n">
        <v>1</v>
      </c>
      <c r="F548" s="0" t="s">
        <v>329</v>
      </c>
      <c r="G548" s="0" t="s">
        <v>3650</v>
      </c>
      <c r="I548" s="0" t="s">
        <v>2276</v>
      </c>
    </row>
    <row r="549" customFormat="false" ht="15" hidden="false" customHeight="false" outlineLevel="0" collapsed="false">
      <c r="A549" s="0" t="s">
        <v>129</v>
      </c>
      <c r="B549" s="0" t="n">
        <v>2022</v>
      </c>
      <c r="C549" s="0" t="s">
        <v>56</v>
      </c>
      <c r="D549" s="0" t="n">
        <v>6775851</v>
      </c>
      <c r="E549" s="0" t="n">
        <v>1</v>
      </c>
      <c r="F549" s="0" t="s">
        <v>329</v>
      </c>
      <c r="G549" s="0" t="s">
        <v>3650</v>
      </c>
      <c r="I549" s="0" t="s">
        <v>2277</v>
      </c>
    </row>
    <row r="550" customFormat="false" ht="15" hidden="false" customHeight="false" outlineLevel="0" collapsed="false">
      <c r="A550" s="0" t="s">
        <v>129</v>
      </c>
      <c r="B550" s="0" t="n">
        <v>2022</v>
      </c>
      <c r="C550" s="0" t="s">
        <v>57</v>
      </c>
      <c r="D550" s="0" t="n">
        <v>585193</v>
      </c>
      <c r="E550" s="0" t="n">
        <v>1</v>
      </c>
      <c r="F550" s="0" t="s">
        <v>329</v>
      </c>
      <c r="G550" s="0" t="s">
        <v>3650</v>
      </c>
      <c r="I550" s="0" t="s">
        <v>2278</v>
      </c>
    </row>
    <row r="551" customFormat="false" ht="15" hidden="false" customHeight="false" outlineLevel="0" collapsed="false">
      <c r="A551" s="0" t="s">
        <v>129</v>
      </c>
      <c r="B551" s="0" t="n">
        <v>2022</v>
      </c>
      <c r="C551" s="0" t="s">
        <v>58</v>
      </c>
      <c r="D551" s="0" t="n">
        <v>1063228</v>
      </c>
      <c r="E551" s="0" t="n">
        <v>1</v>
      </c>
      <c r="F551" s="0" t="s">
        <v>329</v>
      </c>
      <c r="G551" s="0" t="s">
        <v>3650</v>
      </c>
      <c r="I551" s="0" t="s">
        <v>2284</v>
      </c>
    </row>
    <row r="552" customFormat="false" ht="15" hidden="false" customHeight="false" outlineLevel="0" collapsed="false">
      <c r="A552" s="0" t="s">
        <v>129</v>
      </c>
      <c r="B552" s="0" t="n">
        <v>2022</v>
      </c>
      <c r="C552" s="0" t="s">
        <v>59</v>
      </c>
      <c r="D552" s="0" t="n">
        <v>5574976</v>
      </c>
      <c r="E552" s="0" t="n">
        <v>1</v>
      </c>
      <c r="F552" s="0" t="s">
        <v>329</v>
      </c>
      <c r="G552" s="0" t="s">
        <v>3651</v>
      </c>
      <c r="I552" s="0" t="s">
        <v>2280</v>
      </c>
    </row>
    <row r="553" customFormat="false" ht="15" hidden="false" customHeight="false" outlineLevel="0" collapsed="false">
      <c r="A553" s="0" t="s">
        <v>129</v>
      </c>
      <c r="B553" s="0" t="n">
        <v>2022</v>
      </c>
      <c r="C553" s="0" t="s">
        <v>60</v>
      </c>
      <c r="D553" s="0" t="n">
        <v>2174779</v>
      </c>
      <c r="E553" s="0" t="n">
        <v>1</v>
      </c>
      <c r="F553" s="0" t="s">
        <v>329</v>
      </c>
      <c r="G553" s="0" t="s">
        <v>3650</v>
      </c>
      <c r="I553" s="0" t="s">
        <v>2299</v>
      </c>
    </row>
    <row r="554" customFormat="false" ht="15" hidden="false" customHeight="false" outlineLevel="0" collapsed="false">
      <c r="A554" s="0" t="s">
        <v>129</v>
      </c>
      <c r="B554" s="0" t="n">
        <v>2022</v>
      </c>
      <c r="C554" s="0" t="s">
        <v>61</v>
      </c>
      <c r="D554" s="0" t="n">
        <v>51682</v>
      </c>
      <c r="E554" s="0" t="n">
        <v>1</v>
      </c>
      <c r="F554" s="0" t="s">
        <v>329</v>
      </c>
      <c r="G554" s="0" t="s">
        <v>3650</v>
      </c>
      <c r="I554" s="0" t="s">
        <v>2300</v>
      </c>
    </row>
    <row r="555" customFormat="false" ht="15" hidden="false" customHeight="false" outlineLevel="0" collapsed="false">
      <c r="A555" s="0" t="s">
        <v>129</v>
      </c>
      <c r="B555" s="0" t="n">
        <v>2022</v>
      </c>
      <c r="C555" s="0" t="s">
        <v>62</v>
      </c>
      <c r="D555" s="0" t="n">
        <v>2123097</v>
      </c>
      <c r="E555" s="0" t="n">
        <v>1</v>
      </c>
      <c r="F555" s="0" t="s">
        <v>329</v>
      </c>
      <c r="G555" s="0" t="s">
        <v>3650</v>
      </c>
      <c r="I555" s="0" t="s">
        <v>2279</v>
      </c>
    </row>
    <row r="556" customFormat="false" ht="15" hidden="false" customHeight="false" outlineLevel="0" collapsed="false">
      <c r="A556" s="0" t="s">
        <v>129</v>
      </c>
      <c r="B556" s="0" t="n">
        <v>2022</v>
      </c>
      <c r="C556" s="0" t="s">
        <v>63</v>
      </c>
      <c r="D556" s="0" t="n">
        <v>10565</v>
      </c>
      <c r="E556" s="0" t="n">
        <v>2</v>
      </c>
      <c r="F556" s="0" t="s">
        <v>329</v>
      </c>
      <c r="G556" s="0" t="s">
        <v>3663</v>
      </c>
      <c r="I556" s="0" t="s">
        <v>3667</v>
      </c>
    </row>
    <row r="557" customFormat="false" ht="15" hidden="false" customHeight="false" outlineLevel="0" collapsed="false">
      <c r="A557" s="0" t="s">
        <v>129</v>
      </c>
      <c r="B557" s="0" t="n">
        <v>2022</v>
      </c>
      <c r="C557" s="0" t="s">
        <v>247</v>
      </c>
      <c r="D557" s="0" t="n">
        <v>5669</v>
      </c>
      <c r="E557" s="0" t="n">
        <v>1</v>
      </c>
      <c r="F557" s="0" t="s">
        <v>329</v>
      </c>
      <c r="G557" s="0" t="s">
        <v>3650</v>
      </c>
      <c r="I557" s="0" t="s">
        <v>2269</v>
      </c>
    </row>
    <row r="558" customFormat="false" ht="15" hidden="false" customHeight="false" outlineLevel="0" collapsed="false">
      <c r="A558" s="0" t="s">
        <v>129</v>
      </c>
      <c r="B558" s="0" t="n">
        <v>2022</v>
      </c>
      <c r="C558" s="0" t="s">
        <v>557</v>
      </c>
      <c r="D558" s="0" t="n">
        <v>4896</v>
      </c>
      <c r="E558" s="0" t="n">
        <v>1</v>
      </c>
      <c r="F558" s="0" t="s">
        <v>329</v>
      </c>
      <c r="G558" s="0" t="s">
        <v>3650</v>
      </c>
      <c r="I558" s="0" t="s">
        <v>2270</v>
      </c>
    </row>
    <row r="559" customFormat="false" ht="15" hidden="false" customHeight="false" outlineLevel="0" collapsed="false">
      <c r="A559" s="0" t="s">
        <v>129</v>
      </c>
      <c r="B559" s="0" t="n">
        <v>2022</v>
      </c>
      <c r="C559" s="0" t="s">
        <v>69</v>
      </c>
      <c r="D559" s="0" t="n">
        <v>21.9</v>
      </c>
      <c r="E559" s="0" t="n">
        <v>1</v>
      </c>
      <c r="F559" s="0" t="s">
        <v>329</v>
      </c>
      <c r="G559" s="0" t="s">
        <v>3650</v>
      </c>
      <c r="I559" s="0" t="s">
        <v>2324</v>
      </c>
    </row>
    <row r="560" customFormat="false" ht="15" hidden="false" customHeight="false" outlineLevel="0" collapsed="false">
      <c r="A560" s="0" t="s">
        <v>129</v>
      </c>
      <c r="B560" s="0" t="n">
        <v>2022</v>
      </c>
      <c r="C560" s="0" t="s">
        <v>70</v>
      </c>
      <c r="D560" s="0" t="n">
        <v>17</v>
      </c>
      <c r="E560" s="0" t="n">
        <v>1</v>
      </c>
      <c r="F560" s="0" t="s">
        <v>329</v>
      </c>
      <c r="G560" s="0" t="s">
        <v>3650</v>
      </c>
      <c r="I560" s="0" t="s">
        <v>2328</v>
      </c>
    </row>
    <row r="561" customFormat="false" ht="15" hidden="false" customHeight="false" outlineLevel="0" collapsed="false">
      <c r="A561" s="0" t="s">
        <v>129</v>
      </c>
      <c r="B561" s="0" t="n">
        <v>2022</v>
      </c>
      <c r="C561" s="0" t="s">
        <v>65</v>
      </c>
      <c r="D561" s="0" t="n">
        <v>369520</v>
      </c>
      <c r="E561" s="0" t="n">
        <v>1</v>
      </c>
      <c r="F561" s="0" t="s">
        <v>329</v>
      </c>
      <c r="G561" s="0" t="s">
        <v>3650</v>
      </c>
      <c r="I561" s="0" t="s">
        <v>2322</v>
      </c>
    </row>
    <row r="562" customFormat="false" ht="15" hidden="false" customHeight="false" outlineLevel="0" collapsed="false">
      <c r="A562" s="0" t="s">
        <v>129</v>
      </c>
      <c r="B562" s="0" t="n">
        <v>2022</v>
      </c>
      <c r="C562" s="0" t="s">
        <v>66</v>
      </c>
      <c r="D562" s="0" t="n">
        <v>1690930</v>
      </c>
      <c r="E562" s="0" t="n">
        <v>1</v>
      </c>
      <c r="F562" s="0" t="s">
        <v>329</v>
      </c>
      <c r="G562" s="0" t="s">
        <v>3650</v>
      </c>
      <c r="I562" s="0" t="s">
        <v>2323</v>
      </c>
    </row>
    <row r="563" customFormat="false" ht="15" hidden="false" customHeight="false" outlineLevel="0" collapsed="false">
      <c r="A563" s="0" t="s">
        <v>129</v>
      </c>
      <c r="B563" s="0" t="n">
        <v>2022</v>
      </c>
      <c r="C563" s="0" t="s">
        <v>71</v>
      </c>
      <c r="D563" s="0" t="n">
        <v>59.03</v>
      </c>
      <c r="E563" s="0" t="n">
        <v>1</v>
      </c>
      <c r="F563" s="0" t="s">
        <v>329</v>
      </c>
      <c r="G563" s="0" t="s">
        <v>3650</v>
      </c>
      <c r="I563" s="0" t="s">
        <v>2330</v>
      </c>
    </row>
    <row r="564" customFormat="false" ht="15" hidden="false" customHeight="false" outlineLevel="0" collapsed="false">
      <c r="A564" s="0" t="s">
        <v>129</v>
      </c>
      <c r="B564" s="0" t="n">
        <v>2022</v>
      </c>
      <c r="C564" s="0" t="s">
        <v>402</v>
      </c>
      <c r="D564" s="0" t="n">
        <v>141317</v>
      </c>
      <c r="E564" s="0" t="n">
        <v>1</v>
      </c>
      <c r="F564" s="0" t="s">
        <v>329</v>
      </c>
      <c r="G564" s="0" t="s">
        <v>3650</v>
      </c>
      <c r="I564" s="0" t="s">
        <v>2268</v>
      </c>
    </row>
    <row r="565" customFormat="false" ht="15" hidden="false" customHeight="false" outlineLevel="0" collapsed="false">
      <c r="A565" s="0" t="s">
        <v>138</v>
      </c>
      <c r="B565" s="0" t="n">
        <v>2013</v>
      </c>
      <c r="C565" s="0" t="s">
        <v>54</v>
      </c>
      <c r="D565" s="0" t="n">
        <v>5121</v>
      </c>
      <c r="E565" s="0" t="n">
        <v>1</v>
      </c>
      <c r="F565" s="0" t="s">
        <v>329</v>
      </c>
      <c r="G565" s="0" t="s">
        <v>3650</v>
      </c>
      <c r="I565" s="0" t="s">
        <v>2126</v>
      </c>
    </row>
    <row r="566" customFormat="false" ht="15" hidden="false" customHeight="false" outlineLevel="0" collapsed="false">
      <c r="A566" s="0" t="s">
        <v>138</v>
      </c>
      <c r="B566" s="0" t="n">
        <v>2013</v>
      </c>
      <c r="C566" s="0" t="s">
        <v>55</v>
      </c>
      <c r="D566" s="0" t="n">
        <v>882097</v>
      </c>
      <c r="E566" s="0" t="n">
        <v>1</v>
      </c>
      <c r="F566" s="0" t="s">
        <v>329</v>
      </c>
      <c r="G566" s="0" t="s">
        <v>3650</v>
      </c>
      <c r="I566" s="0" t="s">
        <v>2130</v>
      </c>
    </row>
    <row r="567" customFormat="false" ht="15" hidden="false" customHeight="false" outlineLevel="0" collapsed="false">
      <c r="A567" s="0" t="s">
        <v>138</v>
      </c>
      <c r="B567" s="0" t="n">
        <v>2013</v>
      </c>
      <c r="C567" s="0" t="s">
        <v>56</v>
      </c>
      <c r="D567" s="0" t="n">
        <v>694313</v>
      </c>
      <c r="E567" s="0" t="n">
        <v>1</v>
      </c>
      <c r="F567" s="0" t="s">
        <v>329</v>
      </c>
      <c r="G567" s="0" t="s">
        <v>3650</v>
      </c>
      <c r="I567" s="0" t="s">
        <v>2131</v>
      </c>
    </row>
    <row r="568" customFormat="false" ht="15" hidden="false" customHeight="false" outlineLevel="0" collapsed="false">
      <c r="A568" s="0" t="s">
        <v>138</v>
      </c>
      <c r="B568" s="0" t="n">
        <v>2013</v>
      </c>
      <c r="C568" s="0" t="s">
        <v>57</v>
      </c>
      <c r="D568" s="0" t="n">
        <v>187784</v>
      </c>
      <c r="E568" s="0" t="n">
        <v>1</v>
      </c>
      <c r="F568" s="0" t="s">
        <v>329</v>
      </c>
      <c r="G568" s="0" t="s">
        <v>3650</v>
      </c>
      <c r="I568" s="0" t="s">
        <v>2132</v>
      </c>
    </row>
    <row r="569" customFormat="false" ht="15" hidden="false" customHeight="false" outlineLevel="0" collapsed="false">
      <c r="A569" s="0" t="s">
        <v>138</v>
      </c>
      <c r="B569" s="0" t="n">
        <v>2013</v>
      </c>
      <c r="C569" s="0" t="s">
        <v>58</v>
      </c>
      <c r="D569" s="0" t="n">
        <v>-93031</v>
      </c>
      <c r="E569" s="0" t="n">
        <v>1</v>
      </c>
      <c r="F569" s="0" t="s">
        <v>329</v>
      </c>
      <c r="G569" s="0" t="s">
        <v>3650</v>
      </c>
      <c r="I569" s="0" t="s">
        <v>2135</v>
      </c>
    </row>
    <row r="570" customFormat="false" ht="15" hidden="false" customHeight="false" outlineLevel="0" collapsed="false">
      <c r="A570" s="0" t="s">
        <v>138</v>
      </c>
      <c r="B570" s="0" t="n">
        <v>2013</v>
      </c>
      <c r="C570" s="0" t="s">
        <v>60</v>
      </c>
      <c r="D570" s="0" t="n">
        <v>230720</v>
      </c>
      <c r="E570" s="0" t="n">
        <v>1</v>
      </c>
      <c r="F570" s="0" t="s">
        <v>329</v>
      </c>
      <c r="G570" s="0" t="s">
        <v>3650</v>
      </c>
      <c r="I570" s="0" t="s">
        <v>2136</v>
      </c>
    </row>
    <row r="571" customFormat="false" ht="15" hidden="false" customHeight="false" outlineLevel="0" collapsed="false">
      <c r="A571" s="0" t="s">
        <v>138</v>
      </c>
      <c r="B571" s="0" t="n">
        <v>2013</v>
      </c>
      <c r="C571" s="0" t="s">
        <v>61</v>
      </c>
      <c r="D571" s="0" t="n">
        <v>20602</v>
      </c>
      <c r="E571" s="0" t="n">
        <v>1</v>
      </c>
      <c r="F571" s="0" t="s">
        <v>329</v>
      </c>
      <c r="G571" s="0" t="s">
        <v>3650</v>
      </c>
      <c r="I571" s="0" t="s">
        <v>2137</v>
      </c>
    </row>
    <row r="572" customFormat="false" ht="15" hidden="false" customHeight="false" outlineLevel="0" collapsed="false">
      <c r="A572" s="0" t="s">
        <v>138</v>
      </c>
      <c r="B572" s="0" t="n">
        <v>2013</v>
      </c>
      <c r="C572" s="0" t="s">
        <v>247</v>
      </c>
      <c r="D572" s="0" t="n">
        <v>13255</v>
      </c>
      <c r="E572" s="0" t="n">
        <v>1</v>
      </c>
      <c r="F572" s="0" t="s">
        <v>329</v>
      </c>
      <c r="G572" s="0" t="s">
        <v>3650</v>
      </c>
      <c r="I572" s="0" t="s">
        <v>2128</v>
      </c>
    </row>
    <row r="573" customFormat="false" ht="15" hidden="false" customHeight="false" outlineLevel="0" collapsed="false">
      <c r="A573" s="0" t="s">
        <v>138</v>
      </c>
      <c r="B573" s="0" t="n">
        <v>2013</v>
      </c>
      <c r="C573" s="0" t="s">
        <v>64</v>
      </c>
      <c r="D573" s="0" t="n">
        <v>13644</v>
      </c>
      <c r="E573" s="0" t="n">
        <v>1</v>
      </c>
      <c r="F573" s="0" t="s">
        <v>329</v>
      </c>
      <c r="G573" s="0" t="s">
        <v>3650</v>
      </c>
      <c r="I573" s="0" t="s">
        <v>2140</v>
      </c>
    </row>
    <row r="574" customFormat="false" ht="15" hidden="false" customHeight="false" outlineLevel="0" collapsed="false">
      <c r="A574" s="0" t="s">
        <v>138</v>
      </c>
      <c r="B574" s="0" t="n">
        <v>2013</v>
      </c>
      <c r="C574" s="0" t="s">
        <v>266</v>
      </c>
      <c r="D574" s="0" t="n">
        <v>5.91</v>
      </c>
      <c r="E574" s="0" t="n">
        <v>1</v>
      </c>
      <c r="F574" s="0" t="s">
        <v>329</v>
      </c>
      <c r="G574" s="0" t="s">
        <v>3650</v>
      </c>
      <c r="I574" s="0" t="s">
        <v>2141</v>
      </c>
    </row>
    <row r="575" customFormat="false" ht="15" hidden="false" customHeight="false" outlineLevel="0" collapsed="false">
      <c r="A575" s="0" t="s">
        <v>138</v>
      </c>
      <c r="B575" s="0" t="n">
        <v>2013</v>
      </c>
      <c r="C575" s="0" t="s">
        <v>69</v>
      </c>
      <c r="D575" s="0" t="n">
        <v>24.8</v>
      </c>
      <c r="E575" s="0" t="n">
        <v>1</v>
      </c>
      <c r="F575" s="0" t="s">
        <v>329</v>
      </c>
      <c r="G575" s="0" t="s">
        <v>3650</v>
      </c>
      <c r="I575" s="0" t="s">
        <v>2142</v>
      </c>
    </row>
    <row r="576" customFormat="false" ht="15" hidden="false" customHeight="false" outlineLevel="0" collapsed="false">
      <c r="A576" s="0" t="s">
        <v>138</v>
      </c>
      <c r="B576" s="0" t="n">
        <v>2014</v>
      </c>
      <c r="C576" s="0" t="s">
        <v>54</v>
      </c>
      <c r="D576" s="0" t="n">
        <v>20486</v>
      </c>
      <c r="E576" s="0" t="n">
        <v>1</v>
      </c>
      <c r="F576" s="0" t="s">
        <v>329</v>
      </c>
      <c r="G576" s="0" t="s">
        <v>3650</v>
      </c>
      <c r="I576" s="0" t="s">
        <v>2104</v>
      </c>
    </row>
    <row r="577" customFormat="false" ht="15" hidden="false" customHeight="false" outlineLevel="0" collapsed="false">
      <c r="A577" s="0" t="s">
        <v>138</v>
      </c>
      <c r="B577" s="0" t="n">
        <v>2014</v>
      </c>
      <c r="C577" s="0" t="s">
        <v>55</v>
      </c>
      <c r="D577" s="0" t="n">
        <v>920936</v>
      </c>
      <c r="E577" s="0" t="n">
        <v>1</v>
      </c>
      <c r="F577" s="0" t="s">
        <v>329</v>
      </c>
      <c r="G577" s="0" t="s">
        <v>3650</v>
      </c>
      <c r="I577" s="0" t="s">
        <v>2110</v>
      </c>
    </row>
    <row r="578" customFormat="false" ht="15" hidden="false" customHeight="false" outlineLevel="0" collapsed="false">
      <c r="A578" s="0" t="s">
        <v>138</v>
      </c>
      <c r="B578" s="0" t="n">
        <v>2014</v>
      </c>
      <c r="C578" s="0" t="s">
        <v>56</v>
      </c>
      <c r="D578" s="0" t="n">
        <v>714962</v>
      </c>
      <c r="E578" s="0" t="n">
        <v>1</v>
      </c>
      <c r="F578" s="0" t="s">
        <v>329</v>
      </c>
      <c r="G578" s="0" t="s">
        <v>3650</v>
      </c>
      <c r="I578" s="0" t="s">
        <v>2111</v>
      </c>
    </row>
    <row r="579" customFormat="false" ht="15" hidden="false" customHeight="false" outlineLevel="0" collapsed="false">
      <c r="A579" s="0" t="s">
        <v>138</v>
      </c>
      <c r="B579" s="0" t="n">
        <v>2014</v>
      </c>
      <c r="C579" s="0" t="s">
        <v>57</v>
      </c>
      <c r="D579" s="0" t="n">
        <v>205974</v>
      </c>
      <c r="E579" s="0" t="n">
        <v>1</v>
      </c>
      <c r="F579" s="0" t="s">
        <v>329</v>
      </c>
      <c r="G579" s="0" t="s">
        <v>3650</v>
      </c>
      <c r="I579" s="0" t="s">
        <v>2112</v>
      </c>
    </row>
    <row r="580" customFormat="false" ht="15" hidden="false" customHeight="false" outlineLevel="0" collapsed="false">
      <c r="A580" s="0" t="s">
        <v>138</v>
      </c>
      <c r="B580" s="0" t="n">
        <v>2014</v>
      </c>
      <c r="C580" s="0" t="s">
        <v>58</v>
      </c>
      <c r="D580" s="0" t="n">
        <v>-121957</v>
      </c>
      <c r="E580" s="0" t="n">
        <v>1</v>
      </c>
      <c r="F580" s="0" t="s">
        <v>329</v>
      </c>
      <c r="G580" s="0" t="s">
        <v>3650</v>
      </c>
      <c r="I580" s="0" t="s">
        <v>2115</v>
      </c>
    </row>
    <row r="581" customFormat="false" ht="15" hidden="false" customHeight="false" outlineLevel="0" collapsed="false">
      <c r="A581" s="0" t="s">
        <v>138</v>
      </c>
      <c r="B581" s="0" t="n">
        <v>2014</v>
      </c>
      <c r="C581" s="0" t="s">
        <v>59</v>
      </c>
      <c r="D581" s="0" t="n">
        <v>882097</v>
      </c>
      <c r="E581" s="0" t="n">
        <v>1</v>
      </c>
      <c r="F581" s="0" t="s">
        <v>329</v>
      </c>
      <c r="G581" s="0" t="s">
        <v>3651</v>
      </c>
      <c r="I581" s="0" t="s">
        <v>2130</v>
      </c>
    </row>
    <row r="582" customFormat="false" ht="15" hidden="false" customHeight="false" outlineLevel="0" collapsed="false">
      <c r="A582" s="0" t="s">
        <v>138</v>
      </c>
      <c r="B582" s="0" t="n">
        <v>2014</v>
      </c>
      <c r="C582" s="0" t="s">
        <v>60</v>
      </c>
      <c r="D582" s="0" t="n">
        <v>325748</v>
      </c>
      <c r="E582" s="0" t="n">
        <v>1</v>
      </c>
      <c r="F582" s="0" t="s">
        <v>329</v>
      </c>
      <c r="G582" s="0" t="s">
        <v>3650</v>
      </c>
      <c r="I582" s="0" t="s">
        <v>2116</v>
      </c>
    </row>
    <row r="583" customFormat="false" ht="15" hidden="false" customHeight="false" outlineLevel="0" collapsed="false">
      <c r="A583" s="0" t="s">
        <v>138</v>
      </c>
      <c r="B583" s="0" t="n">
        <v>2014</v>
      </c>
      <c r="C583" s="0" t="s">
        <v>61</v>
      </c>
      <c r="D583" s="0" t="n">
        <v>23376</v>
      </c>
      <c r="E583" s="0" t="n">
        <v>1</v>
      </c>
      <c r="F583" s="0" t="s">
        <v>329</v>
      </c>
      <c r="G583" s="0" t="s">
        <v>3650</v>
      </c>
      <c r="I583" s="0" t="s">
        <v>2117</v>
      </c>
    </row>
    <row r="584" customFormat="false" ht="15" hidden="false" customHeight="false" outlineLevel="0" collapsed="false">
      <c r="A584" s="0" t="s">
        <v>138</v>
      </c>
      <c r="B584" s="0" t="n">
        <v>2014</v>
      </c>
      <c r="C584" s="0" t="s">
        <v>247</v>
      </c>
      <c r="D584" s="0" t="n">
        <v>3307</v>
      </c>
      <c r="E584" s="0" t="n">
        <v>1</v>
      </c>
      <c r="F584" s="0" t="s">
        <v>329</v>
      </c>
      <c r="G584" s="0" t="s">
        <v>3650</v>
      </c>
      <c r="I584" s="0" t="s">
        <v>2107</v>
      </c>
    </row>
    <row r="585" customFormat="false" ht="15" hidden="false" customHeight="false" outlineLevel="0" collapsed="false">
      <c r="A585" s="0" t="s">
        <v>138</v>
      </c>
      <c r="B585" s="0" t="n">
        <v>2014</v>
      </c>
      <c r="C585" s="0" t="s">
        <v>64</v>
      </c>
      <c r="D585" s="0" t="n">
        <v>16756</v>
      </c>
      <c r="E585" s="0" t="n">
        <v>1</v>
      </c>
      <c r="F585" s="0" t="s">
        <v>329</v>
      </c>
      <c r="G585" s="0" t="s">
        <v>3650</v>
      </c>
      <c r="I585" s="0" t="s">
        <v>2120</v>
      </c>
    </row>
    <row r="586" customFormat="false" ht="15" hidden="false" customHeight="false" outlineLevel="0" collapsed="false">
      <c r="A586" s="0" t="s">
        <v>138</v>
      </c>
      <c r="B586" s="0" t="n">
        <v>2014</v>
      </c>
      <c r="C586" s="0" t="s">
        <v>266</v>
      </c>
      <c r="D586" s="0" t="n">
        <v>5.14</v>
      </c>
      <c r="E586" s="0" t="n">
        <v>1</v>
      </c>
      <c r="F586" s="0" t="s">
        <v>329</v>
      </c>
      <c r="G586" s="0" t="s">
        <v>3650</v>
      </c>
      <c r="I586" s="0" t="s">
        <v>2121</v>
      </c>
    </row>
    <row r="587" customFormat="false" ht="15" hidden="false" customHeight="false" outlineLevel="0" collapsed="false">
      <c r="A587" s="0" t="s">
        <v>138</v>
      </c>
      <c r="B587" s="0" t="n">
        <v>2014</v>
      </c>
      <c r="C587" s="0" t="s">
        <v>69</v>
      </c>
      <c r="D587" s="0" t="n">
        <v>16.39</v>
      </c>
      <c r="E587" s="0" t="n">
        <v>1</v>
      </c>
      <c r="F587" s="0" t="s">
        <v>329</v>
      </c>
      <c r="G587" s="0" t="s">
        <v>3650</v>
      </c>
      <c r="I587" s="0" t="s">
        <v>2122</v>
      </c>
    </row>
    <row r="588" customFormat="false" ht="15" hidden="false" customHeight="false" outlineLevel="0" collapsed="false">
      <c r="A588" s="0" t="s">
        <v>138</v>
      </c>
      <c r="B588" s="0" t="n">
        <v>2015</v>
      </c>
      <c r="C588" s="0" t="s">
        <v>54</v>
      </c>
      <c r="D588" s="0" t="n">
        <v>18035</v>
      </c>
      <c r="E588" s="0" t="n">
        <v>1</v>
      </c>
      <c r="F588" s="0" t="s">
        <v>329</v>
      </c>
      <c r="G588" s="0" t="s">
        <v>3650</v>
      </c>
      <c r="I588" s="0" t="s">
        <v>671</v>
      </c>
    </row>
    <row r="589" customFormat="false" ht="15" hidden="false" customHeight="false" outlineLevel="0" collapsed="false">
      <c r="A589" s="0" t="s">
        <v>138</v>
      </c>
      <c r="B589" s="0" t="n">
        <v>2015</v>
      </c>
      <c r="C589" s="0" t="s">
        <v>55</v>
      </c>
      <c r="D589" s="0" t="n">
        <v>1000976</v>
      </c>
      <c r="E589" s="0" t="n">
        <v>1</v>
      </c>
      <c r="F589" s="0" t="s">
        <v>329</v>
      </c>
      <c r="G589" s="0" t="s">
        <v>3650</v>
      </c>
      <c r="I589" s="0" t="s">
        <v>673</v>
      </c>
    </row>
    <row r="590" customFormat="false" ht="15" hidden="false" customHeight="false" outlineLevel="0" collapsed="false">
      <c r="A590" s="0" t="s">
        <v>138</v>
      </c>
      <c r="B590" s="0" t="n">
        <v>2015</v>
      </c>
      <c r="C590" s="0" t="s">
        <v>56</v>
      </c>
      <c r="D590" s="0" t="n">
        <v>767469</v>
      </c>
      <c r="E590" s="0" t="n">
        <v>1</v>
      </c>
      <c r="F590" s="0" t="s">
        <v>329</v>
      </c>
      <c r="G590" s="0" t="s">
        <v>3650</v>
      </c>
      <c r="I590" s="0" t="s">
        <v>674</v>
      </c>
    </row>
    <row r="591" customFormat="false" ht="15" hidden="false" customHeight="false" outlineLevel="0" collapsed="false">
      <c r="A591" s="0" t="s">
        <v>138</v>
      </c>
      <c r="B591" s="0" t="n">
        <v>2015</v>
      </c>
      <c r="C591" s="0" t="s">
        <v>57</v>
      </c>
      <c r="D591" s="0" t="n">
        <v>233507</v>
      </c>
      <c r="E591" s="0" t="n">
        <v>1</v>
      </c>
      <c r="F591" s="0" t="s">
        <v>329</v>
      </c>
      <c r="G591" s="0" t="s">
        <v>3650</v>
      </c>
      <c r="I591" s="0" t="s">
        <v>675</v>
      </c>
    </row>
    <row r="592" customFormat="false" ht="15" hidden="false" customHeight="false" outlineLevel="0" collapsed="false">
      <c r="A592" s="0" t="s">
        <v>138</v>
      </c>
      <c r="B592" s="0" t="n">
        <v>2015</v>
      </c>
      <c r="C592" s="0" t="s">
        <v>58</v>
      </c>
      <c r="D592" s="0" t="n">
        <v>10975</v>
      </c>
      <c r="E592" s="0" t="n">
        <v>1</v>
      </c>
      <c r="F592" s="0" t="s">
        <v>329</v>
      </c>
      <c r="G592" s="0" t="s">
        <v>3650</v>
      </c>
      <c r="I592" s="0" t="s">
        <v>676</v>
      </c>
    </row>
    <row r="593" customFormat="false" ht="15" hidden="false" customHeight="false" outlineLevel="0" collapsed="false">
      <c r="A593" s="0" t="s">
        <v>138</v>
      </c>
      <c r="B593" s="0" t="n">
        <v>2015</v>
      </c>
      <c r="C593" s="0" t="s">
        <v>59</v>
      </c>
      <c r="D593" s="0" t="n">
        <v>922755</v>
      </c>
      <c r="E593" s="0" t="n">
        <v>1</v>
      </c>
      <c r="F593" s="0" t="s">
        <v>329</v>
      </c>
      <c r="G593" s="0" t="s">
        <v>3650</v>
      </c>
      <c r="I593" s="0" t="s">
        <v>677</v>
      </c>
    </row>
    <row r="594" customFormat="false" ht="15" hidden="false" customHeight="false" outlineLevel="0" collapsed="false">
      <c r="A594" s="0" t="s">
        <v>138</v>
      </c>
      <c r="B594" s="0" t="n">
        <v>2015</v>
      </c>
      <c r="C594" s="0" t="s">
        <v>60</v>
      </c>
      <c r="D594" s="0" t="n">
        <v>370949</v>
      </c>
      <c r="E594" s="0" t="n">
        <v>1</v>
      </c>
      <c r="F594" s="0" t="s">
        <v>329</v>
      </c>
      <c r="G594" s="0" t="s">
        <v>3650</v>
      </c>
      <c r="I594" s="0" t="s">
        <v>678</v>
      </c>
    </row>
    <row r="595" customFormat="false" ht="15" hidden="false" customHeight="false" outlineLevel="0" collapsed="false">
      <c r="A595" s="0" t="s">
        <v>138</v>
      </c>
      <c r="B595" s="0" t="n">
        <v>2015</v>
      </c>
      <c r="C595" s="0" t="s">
        <v>61</v>
      </c>
      <c r="D595" s="0" t="n">
        <v>21965</v>
      </c>
      <c r="E595" s="0" t="n">
        <v>1</v>
      </c>
      <c r="F595" s="0" t="s">
        <v>329</v>
      </c>
      <c r="G595" s="0" t="s">
        <v>3650</v>
      </c>
      <c r="I595" s="0" t="s">
        <v>679</v>
      </c>
    </row>
    <row r="596" customFormat="false" ht="15" hidden="false" customHeight="false" outlineLevel="0" collapsed="false">
      <c r="A596" s="0" t="s">
        <v>138</v>
      </c>
      <c r="B596" s="0" t="n">
        <v>2015</v>
      </c>
      <c r="C596" s="0" t="s">
        <v>62</v>
      </c>
      <c r="D596" s="0" t="n">
        <v>348984</v>
      </c>
      <c r="E596" s="0" t="n">
        <v>1</v>
      </c>
      <c r="F596" s="0" t="s">
        <v>329</v>
      </c>
      <c r="G596" s="0" t="s">
        <v>3650</v>
      </c>
      <c r="I596" s="0" t="s">
        <v>680</v>
      </c>
    </row>
    <row r="597" customFormat="false" ht="15" hidden="false" customHeight="false" outlineLevel="0" collapsed="false">
      <c r="A597" s="0" t="s">
        <v>138</v>
      </c>
      <c r="B597" s="0" t="n">
        <v>2015</v>
      </c>
      <c r="C597" s="0" t="s">
        <v>63</v>
      </c>
      <c r="D597" s="0" t="n">
        <v>9177</v>
      </c>
      <c r="E597" s="0" t="n">
        <v>1</v>
      </c>
      <c r="F597" s="0" t="s">
        <v>329</v>
      </c>
      <c r="G597" s="0" t="s">
        <v>3650</v>
      </c>
      <c r="I597" s="0" t="s">
        <v>681</v>
      </c>
    </row>
    <row r="598" customFormat="false" ht="15" hidden="false" customHeight="false" outlineLevel="0" collapsed="false">
      <c r="A598" s="0" t="s">
        <v>138</v>
      </c>
      <c r="B598" s="0" t="n">
        <v>2015</v>
      </c>
      <c r="C598" s="0" t="s">
        <v>247</v>
      </c>
      <c r="D598" s="0" t="n">
        <v>9881</v>
      </c>
      <c r="E598" s="0" t="n">
        <v>1</v>
      </c>
      <c r="F598" s="0" t="s">
        <v>329</v>
      </c>
      <c r="G598" s="0" t="s">
        <v>3650</v>
      </c>
      <c r="I598" s="0" t="s">
        <v>682</v>
      </c>
    </row>
    <row r="599" customFormat="false" ht="15" hidden="false" customHeight="false" outlineLevel="0" collapsed="false">
      <c r="A599" s="0" t="s">
        <v>138</v>
      </c>
      <c r="B599" s="0" t="n">
        <v>2015</v>
      </c>
      <c r="C599" s="0" t="s">
        <v>557</v>
      </c>
      <c r="D599" s="0" t="n">
        <v>-704</v>
      </c>
      <c r="E599" s="0" t="n">
        <v>1</v>
      </c>
      <c r="F599" s="0" t="s">
        <v>329</v>
      </c>
      <c r="G599" s="0" t="s">
        <v>3650</v>
      </c>
      <c r="I599" s="0" t="s">
        <v>683</v>
      </c>
    </row>
    <row r="600" customFormat="false" ht="15" hidden="false" customHeight="false" outlineLevel="0" collapsed="false">
      <c r="A600" s="0" t="s">
        <v>138</v>
      </c>
      <c r="B600" s="0" t="n">
        <v>2015</v>
      </c>
      <c r="C600" s="0" t="s">
        <v>69</v>
      </c>
      <c r="D600" s="0" t="n">
        <v>15.9</v>
      </c>
      <c r="E600" s="0" t="n">
        <v>1</v>
      </c>
      <c r="F600" s="0" t="s">
        <v>329</v>
      </c>
      <c r="G600" s="0" t="s">
        <v>3650</v>
      </c>
      <c r="I600" s="0" t="s">
        <v>684</v>
      </c>
    </row>
    <row r="601" customFormat="false" ht="15" hidden="false" customHeight="false" outlineLevel="0" collapsed="false">
      <c r="A601" s="0" t="s">
        <v>138</v>
      </c>
      <c r="B601" s="0" t="n">
        <v>2015</v>
      </c>
      <c r="C601" s="0" t="s">
        <v>65</v>
      </c>
      <c r="D601" s="0" t="n">
        <v>93697</v>
      </c>
      <c r="E601" s="0" t="n">
        <v>1</v>
      </c>
      <c r="F601" s="0" t="s">
        <v>329</v>
      </c>
      <c r="G601" s="0" t="s">
        <v>3650</v>
      </c>
      <c r="I601" s="0" t="s">
        <v>685</v>
      </c>
    </row>
    <row r="602" customFormat="false" ht="15" hidden="false" customHeight="false" outlineLevel="0" collapsed="false">
      <c r="A602" s="0" t="s">
        <v>138</v>
      </c>
      <c r="B602" s="0" t="n">
        <v>2015</v>
      </c>
      <c r="C602" s="0" t="s">
        <v>66</v>
      </c>
      <c r="D602" s="0" t="n">
        <v>587515</v>
      </c>
      <c r="E602" s="0" t="n">
        <v>1</v>
      </c>
      <c r="F602" s="0" t="s">
        <v>329</v>
      </c>
      <c r="G602" s="0" t="s">
        <v>3650</v>
      </c>
      <c r="I602" s="0" t="s">
        <v>686</v>
      </c>
    </row>
    <row r="603" customFormat="false" ht="15" hidden="false" customHeight="false" outlineLevel="0" collapsed="false">
      <c r="A603" s="0" t="s">
        <v>138</v>
      </c>
      <c r="B603" s="0" t="n">
        <v>2015</v>
      </c>
      <c r="C603" s="0" t="s">
        <v>402</v>
      </c>
      <c r="D603" s="0" t="n">
        <v>18455</v>
      </c>
      <c r="E603" s="0" t="n">
        <v>1</v>
      </c>
      <c r="F603" s="0" t="s">
        <v>329</v>
      </c>
      <c r="G603" s="0" t="s">
        <v>3650</v>
      </c>
      <c r="I603" s="0" t="s">
        <v>687</v>
      </c>
    </row>
    <row r="604" customFormat="false" ht="15" hidden="false" customHeight="false" outlineLevel="0" collapsed="false">
      <c r="A604" s="0" t="s">
        <v>138</v>
      </c>
      <c r="B604" s="0" t="n">
        <v>2015</v>
      </c>
      <c r="C604" s="0" t="s">
        <v>404</v>
      </c>
      <c r="D604" s="0" t="n">
        <v>11565</v>
      </c>
      <c r="E604" s="0" t="n">
        <v>1</v>
      </c>
      <c r="F604" s="0" t="s">
        <v>329</v>
      </c>
      <c r="G604" s="0" t="s">
        <v>3650</v>
      </c>
      <c r="I604" s="0" t="s">
        <v>688</v>
      </c>
    </row>
    <row r="605" customFormat="false" ht="15" hidden="false" customHeight="false" outlineLevel="0" collapsed="false">
      <c r="A605" s="0" t="s">
        <v>138</v>
      </c>
      <c r="B605" s="0" t="n">
        <v>2015</v>
      </c>
      <c r="C605" s="0" t="s">
        <v>406</v>
      </c>
      <c r="D605" s="0" t="n">
        <v>10400</v>
      </c>
      <c r="E605" s="0" t="n">
        <v>1</v>
      </c>
      <c r="F605" s="0" t="s">
        <v>329</v>
      </c>
      <c r="G605" s="0" t="s">
        <v>3650</v>
      </c>
      <c r="I605" s="0" t="s">
        <v>689</v>
      </c>
    </row>
    <row r="606" customFormat="false" ht="15" hidden="false" customHeight="false" outlineLevel="0" collapsed="false">
      <c r="A606" s="0" t="s">
        <v>138</v>
      </c>
      <c r="B606" s="0" t="n">
        <v>2016</v>
      </c>
      <c r="C606" s="0" t="s">
        <v>54</v>
      </c>
      <c r="D606" s="0" t="n">
        <v>15885</v>
      </c>
      <c r="E606" s="0" t="n">
        <v>1</v>
      </c>
      <c r="F606" s="0" t="s">
        <v>329</v>
      </c>
      <c r="G606" s="0" t="s">
        <v>3650</v>
      </c>
      <c r="I606" s="0" t="s">
        <v>690</v>
      </c>
    </row>
    <row r="607" customFormat="false" ht="15" hidden="false" customHeight="false" outlineLevel="0" collapsed="false">
      <c r="A607" s="0" t="s">
        <v>138</v>
      </c>
      <c r="B607" s="0" t="n">
        <v>2016</v>
      </c>
      <c r="C607" s="0" t="s">
        <v>55</v>
      </c>
      <c r="D607" s="0" t="n">
        <v>1123483</v>
      </c>
      <c r="E607" s="0" t="n">
        <v>1</v>
      </c>
      <c r="F607" s="0" t="s">
        <v>329</v>
      </c>
      <c r="G607" s="0" t="s">
        <v>3650</v>
      </c>
      <c r="I607" s="0" t="s">
        <v>691</v>
      </c>
    </row>
    <row r="608" customFormat="false" ht="15" hidden="false" customHeight="false" outlineLevel="0" collapsed="false">
      <c r="A608" s="0" t="s">
        <v>138</v>
      </c>
      <c r="B608" s="0" t="n">
        <v>2016</v>
      </c>
      <c r="C608" s="0" t="s">
        <v>56</v>
      </c>
      <c r="D608" s="0" t="n">
        <v>872144</v>
      </c>
      <c r="E608" s="0" t="n">
        <v>1</v>
      </c>
      <c r="F608" s="0" t="s">
        <v>329</v>
      </c>
      <c r="G608" s="0" t="s">
        <v>3650</v>
      </c>
      <c r="I608" s="0" t="s">
        <v>692</v>
      </c>
    </row>
    <row r="609" customFormat="false" ht="15" hidden="false" customHeight="false" outlineLevel="0" collapsed="false">
      <c r="A609" s="0" t="s">
        <v>138</v>
      </c>
      <c r="B609" s="0" t="n">
        <v>2016</v>
      </c>
      <c r="C609" s="0" t="s">
        <v>57</v>
      </c>
      <c r="D609" s="0" t="n">
        <v>251339</v>
      </c>
      <c r="E609" s="0" t="n">
        <v>1</v>
      </c>
      <c r="F609" s="0" t="s">
        <v>329</v>
      </c>
      <c r="G609" s="0" t="s">
        <v>3650</v>
      </c>
      <c r="I609" s="0" t="s">
        <v>693</v>
      </c>
    </row>
    <row r="610" customFormat="false" ht="15" hidden="false" customHeight="false" outlineLevel="0" collapsed="false">
      <c r="A610" s="0" t="s">
        <v>138</v>
      </c>
      <c r="B610" s="0" t="n">
        <v>2016</v>
      </c>
      <c r="C610" s="0" t="s">
        <v>58</v>
      </c>
      <c r="D610" s="0" t="n">
        <v>-70133</v>
      </c>
      <c r="E610" s="0" t="n">
        <v>1</v>
      </c>
      <c r="F610" s="0" t="s">
        <v>329</v>
      </c>
      <c r="G610" s="0" t="s">
        <v>3650</v>
      </c>
      <c r="I610" s="0" t="s">
        <v>694</v>
      </c>
    </row>
    <row r="611" customFormat="false" ht="15" hidden="false" customHeight="false" outlineLevel="0" collapsed="false">
      <c r="A611" s="0" t="s">
        <v>138</v>
      </c>
      <c r="B611" s="0" t="n">
        <v>2016</v>
      </c>
      <c r="C611" s="0" t="s">
        <v>59</v>
      </c>
      <c r="D611" s="0" t="n">
        <v>1000976</v>
      </c>
      <c r="E611" s="0" t="n">
        <v>1</v>
      </c>
      <c r="F611" s="0" t="s">
        <v>329</v>
      </c>
      <c r="G611" s="0" t="s">
        <v>3650</v>
      </c>
      <c r="I611" s="0" t="s">
        <v>695</v>
      </c>
    </row>
    <row r="612" customFormat="false" ht="15" hidden="false" customHeight="false" outlineLevel="0" collapsed="false">
      <c r="A612" s="0" t="s">
        <v>138</v>
      </c>
      <c r="B612" s="0" t="n">
        <v>2016</v>
      </c>
      <c r="C612" s="0" t="s">
        <v>60</v>
      </c>
      <c r="D612" s="0" t="n">
        <v>518349</v>
      </c>
      <c r="E612" s="0" t="n">
        <v>1</v>
      </c>
      <c r="F612" s="0" t="s">
        <v>329</v>
      </c>
      <c r="G612" s="0" t="s">
        <v>3650</v>
      </c>
      <c r="I612" s="0" t="s">
        <v>696</v>
      </c>
    </row>
    <row r="613" customFormat="false" ht="15" hidden="false" customHeight="false" outlineLevel="0" collapsed="false">
      <c r="A613" s="0" t="s">
        <v>138</v>
      </c>
      <c r="B613" s="0" t="n">
        <v>2016</v>
      </c>
      <c r="C613" s="0" t="s">
        <v>61</v>
      </c>
      <c r="D613" s="0" t="n">
        <v>28459</v>
      </c>
      <c r="E613" s="0" t="n">
        <v>1</v>
      </c>
      <c r="F613" s="0" t="s">
        <v>329</v>
      </c>
      <c r="G613" s="0" t="s">
        <v>3650</v>
      </c>
      <c r="I613" s="0" t="s">
        <v>697</v>
      </c>
    </row>
    <row r="614" customFormat="false" ht="15" hidden="false" customHeight="false" outlineLevel="0" collapsed="false">
      <c r="A614" s="0" t="s">
        <v>138</v>
      </c>
      <c r="B614" s="0" t="n">
        <v>2016</v>
      </c>
      <c r="C614" s="0" t="s">
        <v>62</v>
      </c>
      <c r="D614" s="0" t="n">
        <v>489890</v>
      </c>
      <c r="E614" s="0" t="n">
        <v>1</v>
      </c>
      <c r="F614" s="0" t="s">
        <v>329</v>
      </c>
      <c r="G614" s="0" t="s">
        <v>3650</v>
      </c>
      <c r="I614" s="0" t="s">
        <v>698</v>
      </c>
    </row>
    <row r="615" customFormat="false" ht="15" hidden="false" customHeight="false" outlineLevel="0" collapsed="false">
      <c r="A615" s="0" t="s">
        <v>138</v>
      </c>
      <c r="B615" s="0" t="n">
        <v>2016</v>
      </c>
      <c r="C615" s="0" t="s">
        <v>63</v>
      </c>
      <c r="D615" s="0" t="n">
        <v>15769</v>
      </c>
      <c r="E615" s="0" t="n">
        <v>1</v>
      </c>
      <c r="F615" s="0" t="s">
        <v>329</v>
      </c>
      <c r="G615" s="0" t="s">
        <v>3650</v>
      </c>
      <c r="I615" s="0" t="s">
        <v>699</v>
      </c>
    </row>
    <row r="616" customFormat="false" ht="15" hidden="false" customHeight="false" outlineLevel="0" collapsed="false">
      <c r="A616" s="0" t="s">
        <v>138</v>
      </c>
      <c r="B616" s="0" t="n">
        <v>2016</v>
      </c>
      <c r="C616" s="0" t="s">
        <v>247</v>
      </c>
      <c r="D616" s="0" t="n">
        <v>16486</v>
      </c>
      <c r="E616" s="0" t="n">
        <v>1</v>
      </c>
      <c r="F616" s="0" t="s">
        <v>329</v>
      </c>
      <c r="G616" s="0" t="s">
        <v>3650</v>
      </c>
      <c r="I616" s="0" t="s">
        <v>700</v>
      </c>
    </row>
    <row r="617" customFormat="false" ht="15" hidden="false" customHeight="false" outlineLevel="0" collapsed="false">
      <c r="A617" s="0" t="s">
        <v>138</v>
      </c>
      <c r="B617" s="0" t="n">
        <v>2016</v>
      </c>
      <c r="C617" s="0" t="s">
        <v>557</v>
      </c>
      <c r="D617" s="0" t="n">
        <v>-717</v>
      </c>
      <c r="E617" s="0" t="n">
        <v>1</v>
      </c>
      <c r="F617" s="0" t="s">
        <v>329</v>
      </c>
      <c r="G617" s="0" t="s">
        <v>3650</v>
      </c>
      <c r="I617" s="0" t="s">
        <v>701</v>
      </c>
    </row>
    <row r="618" customFormat="false" ht="15" hidden="false" customHeight="false" outlineLevel="0" collapsed="false">
      <c r="A618" s="0" t="s">
        <v>138</v>
      </c>
      <c r="B618" s="0" t="n">
        <v>2016</v>
      </c>
      <c r="C618" s="0" t="s">
        <v>69</v>
      </c>
      <c r="D618" s="0" t="n">
        <v>13.3</v>
      </c>
      <c r="E618" s="0" t="n">
        <v>1</v>
      </c>
      <c r="F618" s="0" t="s">
        <v>329</v>
      </c>
      <c r="G618" s="0" t="s">
        <v>3650</v>
      </c>
      <c r="I618" s="0" t="s">
        <v>702</v>
      </c>
    </row>
    <row r="619" customFormat="false" ht="15" hidden="false" customHeight="false" outlineLevel="0" collapsed="false">
      <c r="A619" s="0" t="s">
        <v>138</v>
      </c>
      <c r="B619" s="0" t="n">
        <v>2016</v>
      </c>
      <c r="C619" s="0" t="s">
        <v>70</v>
      </c>
      <c r="D619" s="0" t="n">
        <v>15</v>
      </c>
      <c r="E619" s="0" t="n">
        <v>1</v>
      </c>
      <c r="F619" s="0" t="s">
        <v>329</v>
      </c>
      <c r="G619" s="0" t="s">
        <v>3650</v>
      </c>
      <c r="I619" s="0" t="s">
        <v>703</v>
      </c>
    </row>
    <row r="620" customFormat="false" ht="15" hidden="false" customHeight="false" outlineLevel="0" collapsed="false">
      <c r="A620" s="0" t="s">
        <v>138</v>
      </c>
      <c r="B620" s="0" t="n">
        <v>2016</v>
      </c>
      <c r="C620" s="0" t="s">
        <v>65</v>
      </c>
      <c r="D620" s="0" t="n">
        <v>96309</v>
      </c>
      <c r="E620" s="0" t="n">
        <v>1</v>
      </c>
      <c r="F620" s="0" t="s">
        <v>329</v>
      </c>
      <c r="G620" s="0" t="s">
        <v>3650</v>
      </c>
      <c r="I620" s="0" t="s">
        <v>704</v>
      </c>
    </row>
    <row r="621" customFormat="false" ht="15" hidden="false" customHeight="false" outlineLevel="0" collapsed="false">
      <c r="A621" s="0" t="s">
        <v>138</v>
      </c>
      <c r="B621" s="0" t="n">
        <v>2016</v>
      </c>
      <c r="C621" s="0" t="s">
        <v>66</v>
      </c>
      <c r="D621" s="0" t="n">
        <v>724660</v>
      </c>
      <c r="E621" s="0" t="n">
        <v>1</v>
      </c>
      <c r="F621" s="0" t="s">
        <v>329</v>
      </c>
      <c r="G621" s="0" t="s">
        <v>3650</v>
      </c>
      <c r="I621" s="0" t="s">
        <v>705</v>
      </c>
    </row>
    <row r="622" customFormat="false" ht="15" hidden="false" customHeight="false" outlineLevel="0" collapsed="false">
      <c r="A622" s="0" t="s">
        <v>138</v>
      </c>
      <c r="B622" s="0" t="n">
        <v>2016</v>
      </c>
      <c r="C622" s="0" t="s">
        <v>73</v>
      </c>
      <c r="D622" s="0" t="n">
        <v>0</v>
      </c>
      <c r="E622" s="0" t="n">
        <v>1</v>
      </c>
      <c r="F622" s="0" t="s">
        <v>329</v>
      </c>
      <c r="G622" s="0" t="s">
        <v>3650</v>
      </c>
      <c r="I622" s="0" t="s">
        <v>706</v>
      </c>
    </row>
    <row r="623" customFormat="false" ht="15" hidden="false" customHeight="false" outlineLevel="0" collapsed="false">
      <c r="A623" s="0" t="s">
        <v>138</v>
      </c>
      <c r="B623" s="0" t="n">
        <v>2016</v>
      </c>
      <c r="C623" s="0" t="s">
        <v>402</v>
      </c>
      <c r="D623" s="0" t="n">
        <v>16053</v>
      </c>
      <c r="E623" s="0" t="n">
        <v>1</v>
      </c>
      <c r="F623" s="0" t="s">
        <v>329</v>
      </c>
      <c r="G623" s="0" t="s">
        <v>3650</v>
      </c>
      <c r="I623" s="0" t="s">
        <v>707</v>
      </c>
    </row>
    <row r="624" customFormat="false" ht="15" hidden="false" customHeight="false" outlineLevel="0" collapsed="false">
      <c r="A624" s="0" t="s">
        <v>138</v>
      </c>
      <c r="B624" s="0" t="n">
        <v>2016</v>
      </c>
      <c r="C624" s="0" t="s">
        <v>404</v>
      </c>
      <c r="D624" s="0" t="n">
        <v>14887</v>
      </c>
      <c r="E624" s="0" t="n">
        <v>1</v>
      </c>
      <c r="F624" s="0" t="s">
        <v>329</v>
      </c>
      <c r="G624" s="0" t="s">
        <v>3650</v>
      </c>
      <c r="I624" s="0" t="s">
        <v>708</v>
      </c>
    </row>
    <row r="625" customFormat="false" ht="15" hidden="false" customHeight="false" outlineLevel="0" collapsed="false">
      <c r="A625" s="0" t="s">
        <v>138</v>
      </c>
      <c r="B625" s="0" t="n">
        <v>2016</v>
      </c>
      <c r="C625" s="0" t="s">
        <v>406</v>
      </c>
      <c r="D625" s="0" t="n">
        <v>13572</v>
      </c>
      <c r="E625" s="0" t="n">
        <v>1</v>
      </c>
      <c r="F625" s="0" t="s">
        <v>329</v>
      </c>
      <c r="G625" s="0" t="s">
        <v>3650</v>
      </c>
      <c r="I625" s="0" t="s">
        <v>709</v>
      </c>
    </row>
    <row r="626" customFormat="false" ht="15" hidden="false" customHeight="false" outlineLevel="0" collapsed="false">
      <c r="A626" s="0" t="s">
        <v>138</v>
      </c>
      <c r="B626" s="0" t="n">
        <v>2017</v>
      </c>
      <c r="C626" s="0" t="s">
        <v>54</v>
      </c>
      <c r="D626" s="0" t="n">
        <v>11239</v>
      </c>
      <c r="E626" s="0" t="n">
        <v>1</v>
      </c>
      <c r="F626" s="0" t="s">
        <v>329</v>
      </c>
      <c r="G626" s="0" t="s">
        <v>3650</v>
      </c>
      <c r="I626" s="0" t="s">
        <v>2438</v>
      </c>
    </row>
    <row r="627" customFormat="false" ht="15" hidden="false" customHeight="false" outlineLevel="0" collapsed="false">
      <c r="A627" s="0" t="s">
        <v>138</v>
      </c>
      <c r="B627" s="0" t="n">
        <v>2017</v>
      </c>
      <c r="C627" s="0" t="s">
        <v>55</v>
      </c>
      <c r="D627" s="0" t="n">
        <v>1334921</v>
      </c>
      <c r="E627" s="0" t="n">
        <v>1</v>
      </c>
      <c r="F627" s="0" t="s">
        <v>329</v>
      </c>
      <c r="G627" s="0" t="s">
        <v>3650</v>
      </c>
      <c r="I627" s="0" t="s">
        <v>2444</v>
      </c>
    </row>
    <row r="628" customFormat="false" ht="15" hidden="false" customHeight="false" outlineLevel="0" collapsed="false">
      <c r="A628" s="0" t="s">
        <v>138</v>
      </c>
      <c r="B628" s="0" t="n">
        <v>2017</v>
      </c>
      <c r="C628" s="0" t="s">
        <v>56</v>
      </c>
      <c r="D628" s="0" t="n">
        <v>1015802</v>
      </c>
      <c r="E628" s="0" t="n">
        <v>1</v>
      </c>
      <c r="F628" s="0" t="s">
        <v>329</v>
      </c>
      <c r="G628" s="0" t="s">
        <v>3650</v>
      </c>
      <c r="I628" s="0" t="s">
        <v>2445</v>
      </c>
    </row>
    <row r="629" customFormat="false" ht="15" hidden="false" customHeight="false" outlineLevel="0" collapsed="false">
      <c r="A629" s="0" t="s">
        <v>138</v>
      </c>
      <c r="B629" s="0" t="n">
        <v>2017</v>
      </c>
      <c r="C629" s="0" t="s">
        <v>57</v>
      </c>
      <c r="D629" s="0" t="n">
        <v>319119</v>
      </c>
      <c r="E629" s="0" t="n">
        <v>1</v>
      </c>
      <c r="F629" s="0" t="s">
        <v>329</v>
      </c>
      <c r="G629" s="0" t="s">
        <v>3650</v>
      </c>
      <c r="I629" s="0" t="s">
        <v>2446</v>
      </c>
    </row>
    <row r="630" customFormat="false" ht="15" hidden="false" customHeight="false" outlineLevel="0" collapsed="false">
      <c r="A630" s="0" t="s">
        <v>138</v>
      </c>
      <c r="B630" s="0" t="n">
        <v>2017</v>
      </c>
      <c r="C630" s="0" t="s">
        <v>58</v>
      </c>
      <c r="D630" s="0" t="n">
        <v>68160</v>
      </c>
      <c r="E630" s="0" t="n">
        <v>1</v>
      </c>
      <c r="F630" s="0" t="s">
        <v>329</v>
      </c>
      <c r="G630" s="0" t="s">
        <v>3650</v>
      </c>
      <c r="I630" s="0" t="s">
        <v>2447</v>
      </c>
    </row>
    <row r="631" customFormat="false" ht="15" hidden="false" customHeight="false" outlineLevel="0" collapsed="false">
      <c r="A631" s="0" t="s">
        <v>138</v>
      </c>
      <c r="B631" s="0" t="n">
        <v>2017</v>
      </c>
      <c r="C631" s="0" t="s">
        <v>59</v>
      </c>
      <c r="D631" s="0" t="n">
        <v>1123483</v>
      </c>
      <c r="E631" s="0" t="n">
        <v>1</v>
      </c>
      <c r="F631" s="0" t="s">
        <v>329</v>
      </c>
      <c r="G631" s="0" t="s">
        <v>3650</v>
      </c>
      <c r="I631" s="0" t="s">
        <v>2448</v>
      </c>
    </row>
    <row r="632" customFormat="false" ht="15" hidden="false" customHeight="false" outlineLevel="0" collapsed="false">
      <c r="A632" s="0" t="s">
        <v>138</v>
      </c>
      <c r="B632" s="0" t="n">
        <v>2017</v>
      </c>
      <c r="C632" s="0" t="s">
        <v>60</v>
      </c>
      <c r="D632" s="0" t="n">
        <v>531807</v>
      </c>
      <c r="E632" s="0" t="n">
        <v>1</v>
      </c>
      <c r="F632" s="0" t="s">
        <v>329</v>
      </c>
      <c r="G632" s="0" t="s">
        <v>3650</v>
      </c>
      <c r="I632" s="0" t="s">
        <v>2450</v>
      </c>
    </row>
    <row r="633" customFormat="false" ht="15" hidden="false" customHeight="false" outlineLevel="0" collapsed="false">
      <c r="A633" s="0" t="s">
        <v>138</v>
      </c>
      <c r="B633" s="0" t="n">
        <v>2017</v>
      </c>
      <c r="C633" s="0" t="s">
        <v>61</v>
      </c>
      <c r="D633" s="0" t="n">
        <v>43252</v>
      </c>
      <c r="E633" s="0" t="n">
        <v>1</v>
      </c>
      <c r="F633" s="0" t="s">
        <v>329</v>
      </c>
      <c r="G633" s="0" t="s">
        <v>3650</v>
      </c>
      <c r="I633" s="0" t="s">
        <v>2451</v>
      </c>
    </row>
    <row r="634" customFormat="false" ht="15" hidden="false" customHeight="false" outlineLevel="0" collapsed="false">
      <c r="A634" s="0" t="s">
        <v>138</v>
      </c>
      <c r="B634" s="0" t="n">
        <v>2017</v>
      </c>
      <c r="C634" s="0" t="s">
        <v>62</v>
      </c>
      <c r="D634" s="0" t="n">
        <v>488555</v>
      </c>
      <c r="E634" s="0" t="n">
        <v>1</v>
      </c>
      <c r="F634" s="0" t="s">
        <v>329</v>
      </c>
      <c r="G634" s="0" t="s">
        <v>3650</v>
      </c>
      <c r="I634" s="0" t="s">
        <v>2452</v>
      </c>
    </row>
    <row r="635" customFormat="false" ht="15" hidden="false" customHeight="false" outlineLevel="0" collapsed="false">
      <c r="A635" s="0" t="s">
        <v>138</v>
      </c>
      <c r="B635" s="0" t="n">
        <v>2017</v>
      </c>
      <c r="C635" s="0" t="s">
        <v>63</v>
      </c>
      <c r="D635" s="0" t="n">
        <v>25478</v>
      </c>
      <c r="E635" s="0" t="n">
        <v>1</v>
      </c>
      <c r="F635" s="0" t="s">
        <v>329</v>
      </c>
      <c r="G635" s="0" t="s">
        <v>3650</v>
      </c>
      <c r="I635" s="0" t="s">
        <v>2455</v>
      </c>
    </row>
    <row r="636" customFormat="false" ht="15" hidden="false" customHeight="false" outlineLevel="0" collapsed="false">
      <c r="A636" s="0" t="s">
        <v>138</v>
      </c>
      <c r="B636" s="0" t="n">
        <v>2017</v>
      </c>
      <c r="C636" s="0" t="s">
        <v>557</v>
      </c>
      <c r="D636" s="0" t="n">
        <v>-32</v>
      </c>
      <c r="E636" s="0" t="n">
        <v>1</v>
      </c>
      <c r="F636" s="0" t="s">
        <v>329</v>
      </c>
      <c r="G636" s="0" t="s">
        <v>3650</v>
      </c>
      <c r="I636" s="0" t="s">
        <v>2458</v>
      </c>
    </row>
    <row r="637" customFormat="false" ht="15" hidden="false" customHeight="false" outlineLevel="0" collapsed="false">
      <c r="A637" s="0" t="s">
        <v>138</v>
      </c>
      <c r="B637" s="0" t="n">
        <v>2017</v>
      </c>
      <c r="C637" s="0" t="s">
        <v>710</v>
      </c>
      <c r="D637" s="0" t="n">
        <v>25510</v>
      </c>
      <c r="E637" s="0" t="n">
        <v>1</v>
      </c>
      <c r="F637" s="0" t="s">
        <v>329</v>
      </c>
      <c r="G637" s="0" t="s">
        <v>3650</v>
      </c>
      <c r="I637" s="0" t="s">
        <v>2457</v>
      </c>
    </row>
    <row r="638" customFormat="false" ht="15" hidden="false" customHeight="false" outlineLevel="0" collapsed="false">
      <c r="A638" s="0" t="s">
        <v>138</v>
      </c>
      <c r="B638" s="0" t="n">
        <v>2017</v>
      </c>
      <c r="C638" s="0" t="s">
        <v>64</v>
      </c>
      <c r="D638" s="0" t="n">
        <v>110685</v>
      </c>
      <c r="E638" s="0" t="n">
        <v>1</v>
      </c>
      <c r="F638" s="0" t="s">
        <v>329</v>
      </c>
      <c r="G638" s="0" t="s">
        <v>3650</v>
      </c>
      <c r="I638" s="0" t="s">
        <v>2463</v>
      </c>
    </row>
    <row r="639" customFormat="false" ht="15" hidden="false" customHeight="false" outlineLevel="0" collapsed="false">
      <c r="A639" s="0" t="s">
        <v>138</v>
      </c>
      <c r="B639" s="0" t="n">
        <v>2017</v>
      </c>
      <c r="C639" s="0" t="s">
        <v>69</v>
      </c>
      <c r="D639" s="0" t="n">
        <v>17.8</v>
      </c>
      <c r="E639" s="0" t="n">
        <v>1</v>
      </c>
      <c r="F639" s="0" t="s">
        <v>329</v>
      </c>
      <c r="G639" s="0" t="s">
        <v>3650</v>
      </c>
      <c r="I639" s="0" t="s">
        <v>2459</v>
      </c>
    </row>
    <row r="640" customFormat="false" ht="15" hidden="false" customHeight="false" outlineLevel="0" collapsed="false">
      <c r="A640" s="0" t="s">
        <v>138</v>
      </c>
      <c r="B640" s="0" t="n">
        <v>2017</v>
      </c>
      <c r="C640" s="0" t="s">
        <v>70</v>
      </c>
      <c r="D640" s="0" t="n">
        <v>15</v>
      </c>
      <c r="E640" s="0" t="n">
        <v>1</v>
      </c>
      <c r="F640" s="0" t="s">
        <v>329</v>
      </c>
      <c r="G640" s="0" t="s">
        <v>3650</v>
      </c>
      <c r="I640" s="0" t="s">
        <v>2462</v>
      </c>
    </row>
    <row r="641" customFormat="false" ht="15" hidden="false" customHeight="false" outlineLevel="0" collapsed="false">
      <c r="A641" s="0" t="s">
        <v>138</v>
      </c>
      <c r="B641" s="0" t="n">
        <v>2017</v>
      </c>
      <c r="C641" s="0" t="s">
        <v>65</v>
      </c>
      <c r="D641" s="0" t="n">
        <v>137875</v>
      </c>
      <c r="E641" s="0" t="n">
        <v>1</v>
      </c>
      <c r="F641" s="0" t="s">
        <v>329</v>
      </c>
      <c r="G641" s="0" t="s">
        <v>3650</v>
      </c>
      <c r="I641" s="0" t="s">
        <v>2460</v>
      </c>
    </row>
    <row r="642" customFormat="false" ht="15" hidden="false" customHeight="false" outlineLevel="0" collapsed="false">
      <c r="A642" s="0" t="s">
        <v>138</v>
      </c>
      <c r="B642" s="0" t="n">
        <v>2017</v>
      </c>
      <c r="C642" s="0" t="s">
        <v>66</v>
      </c>
      <c r="D642" s="0" t="n">
        <v>774497</v>
      </c>
      <c r="E642" s="0" t="n">
        <v>1</v>
      </c>
      <c r="F642" s="0" t="s">
        <v>329</v>
      </c>
      <c r="G642" s="0" t="s">
        <v>3650</v>
      </c>
      <c r="I642" s="0" t="s">
        <v>2461</v>
      </c>
    </row>
    <row r="643" customFormat="false" ht="15" hidden="false" customHeight="false" outlineLevel="0" collapsed="false">
      <c r="A643" s="0" t="s">
        <v>138</v>
      </c>
      <c r="B643" s="0" t="n">
        <v>2017</v>
      </c>
      <c r="C643" s="0" t="s">
        <v>402</v>
      </c>
      <c r="D643" s="0" t="n">
        <v>11576</v>
      </c>
      <c r="E643" s="0" t="n">
        <v>1</v>
      </c>
      <c r="F643" s="0" t="s">
        <v>329</v>
      </c>
      <c r="G643" s="0" t="s">
        <v>3650</v>
      </c>
      <c r="I643" s="0" t="s">
        <v>2453</v>
      </c>
    </row>
    <row r="644" customFormat="false" ht="15" hidden="false" customHeight="false" outlineLevel="0" collapsed="false">
      <c r="A644" s="0" t="s">
        <v>138</v>
      </c>
      <c r="B644" s="0" t="n">
        <v>2017</v>
      </c>
      <c r="C644" s="0" t="s">
        <v>670</v>
      </c>
      <c r="D644" s="0" t="n">
        <v>157566</v>
      </c>
      <c r="E644" s="0" t="n">
        <v>1</v>
      </c>
      <c r="F644" s="0" t="s">
        <v>329</v>
      </c>
      <c r="G644" s="0" t="s">
        <v>3650</v>
      </c>
      <c r="I644" s="0" t="s">
        <v>2454</v>
      </c>
    </row>
    <row r="645" customFormat="false" ht="15" hidden="false" customHeight="false" outlineLevel="0" collapsed="false">
      <c r="A645" s="0" t="s">
        <v>138</v>
      </c>
      <c r="B645" s="0" t="n">
        <v>2017</v>
      </c>
      <c r="C645" s="0" t="s">
        <v>404</v>
      </c>
      <c r="D645" s="0" t="n">
        <v>36232</v>
      </c>
      <c r="E645" s="0" t="n">
        <v>1</v>
      </c>
      <c r="F645" s="0" t="s">
        <v>329</v>
      </c>
      <c r="G645" s="0" t="s">
        <v>3650</v>
      </c>
      <c r="I645" s="0" t="s">
        <v>2464</v>
      </c>
    </row>
    <row r="646" customFormat="false" ht="15" hidden="false" customHeight="false" outlineLevel="0" collapsed="false">
      <c r="A646" s="0" t="s">
        <v>138</v>
      </c>
      <c r="B646" s="0" t="n">
        <v>2017</v>
      </c>
      <c r="C646" s="0" t="s">
        <v>406</v>
      </c>
      <c r="D646" s="0" t="n">
        <v>7020</v>
      </c>
      <c r="E646" s="0" t="n">
        <v>1</v>
      </c>
      <c r="F646" s="0" t="s">
        <v>329</v>
      </c>
      <c r="G646" s="0" t="s">
        <v>3650</v>
      </c>
      <c r="I646" s="0" t="s">
        <v>2465</v>
      </c>
    </row>
    <row r="647" customFormat="false" ht="15" hidden="false" customHeight="false" outlineLevel="0" collapsed="false">
      <c r="A647" s="0" t="s">
        <v>138</v>
      </c>
      <c r="B647" s="0" t="n">
        <v>2018</v>
      </c>
      <c r="C647" s="0" t="s">
        <v>54</v>
      </c>
      <c r="D647" s="0" t="n">
        <v>18438</v>
      </c>
      <c r="E647" s="0" t="n">
        <v>1</v>
      </c>
      <c r="F647" s="0" t="s">
        <v>329</v>
      </c>
      <c r="G647" s="0" t="s">
        <v>3650</v>
      </c>
      <c r="I647" s="0" t="s">
        <v>2466</v>
      </c>
    </row>
    <row r="648" customFormat="false" ht="15" hidden="false" customHeight="false" outlineLevel="0" collapsed="false">
      <c r="A648" s="0" t="s">
        <v>138</v>
      </c>
      <c r="B648" s="0" t="n">
        <v>2018</v>
      </c>
      <c r="C648" s="0" t="s">
        <v>55</v>
      </c>
      <c r="D648" s="0" t="n">
        <v>1324297</v>
      </c>
      <c r="E648" s="0" t="n">
        <v>1</v>
      </c>
      <c r="F648" s="0" t="s">
        <v>329</v>
      </c>
      <c r="G648" s="0" t="s">
        <v>3650</v>
      </c>
      <c r="I648" s="0" t="s">
        <v>2467</v>
      </c>
    </row>
    <row r="649" customFormat="false" ht="15" hidden="false" customHeight="false" outlineLevel="0" collapsed="false">
      <c r="A649" s="0" t="s">
        <v>138</v>
      </c>
      <c r="B649" s="0" t="n">
        <v>2018</v>
      </c>
      <c r="C649" s="0" t="s">
        <v>56</v>
      </c>
      <c r="D649" s="0" t="n">
        <v>1124210</v>
      </c>
      <c r="E649" s="0" t="n">
        <v>1</v>
      </c>
      <c r="F649" s="0" t="s">
        <v>329</v>
      </c>
      <c r="G649" s="0" t="s">
        <v>3650</v>
      </c>
      <c r="I649" s="0" t="s">
        <v>2468</v>
      </c>
    </row>
    <row r="650" customFormat="false" ht="15" hidden="false" customHeight="false" outlineLevel="0" collapsed="false">
      <c r="A650" s="0" t="s">
        <v>138</v>
      </c>
      <c r="B650" s="0" t="n">
        <v>2018</v>
      </c>
      <c r="C650" s="0" t="s">
        <v>57</v>
      </c>
      <c r="D650" s="0" t="n">
        <v>200087</v>
      </c>
      <c r="E650" s="0" t="n">
        <v>1</v>
      </c>
      <c r="F650" s="0" t="s">
        <v>329</v>
      </c>
      <c r="G650" s="0" t="s">
        <v>3650</v>
      </c>
      <c r="I650" s="0" t="s">
        <v>2469</v>
      </c>
    </row>
    <row r="651" customFormat="false" ht="15" hidden="false" customHeight="false" outlineLevel="0" collapsed="false">
      <c r="A651" s="0" t="s">
        <v>138</v>
      </c>
      <c r="B651" s="0" t="n">
        <v>2018</v>
      </c>
      <c r="C651" s="0" t="s">
        <v>58</v>
      </c>
      <c r="D651" s="0" t="n">
        <v>37394</v>
      </c>
      <c r="E651" s="0" t="n">
        <v>1</v>
      </c>
      <c r="F651" s="0" t="s">
        <v>329</v>
      </c>
      <c r="G651" s="0" t="s">
        <v>3650</v>
      </c>
      <c r="I651" s="0" t="s">
        <v>2470</v>
      </c>
    </row>
    <row r="652" customFormat="false" ht="15" hidden="false" customHeight="false" outlineLevel="0" collapsed="false">
      <c r="A652" s="0" t="s">
        <v>138</v>
      </c>
      <c r="B652" s="0" t="n">
        <v>2018</v>
      </c>
      <c r="C652" s="0" t="s">
        <v>59</v>
      </c>
      <c r="D652" s="0" t="n">
        <v>1334921</v>
      </c>
      <c r="E652" s="0" t="n">
        <v>1</v>
      </c>
      <c r="F652" s="0" t="s">
        <v>329</v>
      </c>
      <c r="G652" s="0" t="s">
        <v>3650</v>
      </c>
      <c r="I652" s="0" t="s">
        <v>2471</v>
      </c>
    </row>
    <row r="653" customFormat="false" ht="15" hidden="false" customHeight="false" outlineLevel="0" collapsed="false">
      <c r="A653" s="0" t="s">
        <v>138</v>
      </c>
      <c r="B653" s="0" t="n">
        <v>2018</v>
      </c>
      <c r="C653" s="0" t="s">
        <v>60</v>
      </c>
      <c r="D653" s="0" t="n">
        <v>473396</v>
      </c>
      <c r="E653" s="0" t="n">
        <v>1</v>
      </c>
      <c r="F653" s="0" t="s">
        <v>329</v>
      </c>
      <c r="G653" s="0" t="s">
        <v>3650</v>
      </c>
      <c r="I653" s="0" t="s">
        <v>2472</v>
      </c>
    </row>
    <row r="654" customFormat="false" ht="15" hidden="false" customHeight="false" outlineLevel="0" collapsed="false">
      <c r="A654" s="0" t="s">
        <v>138</v>
      </c>
      <c r="B654" s="0" t="n">
        <v>2018</v>
      </c>
      <c r="C654" s="0" t="s">
        <v>61</v>
      </c>
      <c r="D654" s="0" t="n">
        <v>45359</v>
      </c>
      <c r="E654" s="0" t="n">
        <v>1</v>
      </c>
      <c r="F654" s="0" t="s">
        <v>329</v>
      </c>
      <c r="G654" s="0" t="s">
        <v>3650</v>
      </c>
      <c r="I654" s="0" t="s">
        <v>2474</v>
      </c>
    </row>
    <row r="655" customFormat="false" ht="15" hidden="false" customHeight="false" outlineLevel="0" collapsed="false">
      <c r="A655" s="0" t="s">
        <v>138</v>
      </c>
      <c r="B655" s="0" t="n">
        <v>2018</v>
      </c>
      <c r="C655" s="0" t="s">
        <v>62</v>
      </c>
      <c r="D655" s="0" t="n">
        <v>428037</v>
      </c>
      <c r="E655" s="0" t="n">
        <v>1</v>
      </c>
      <c r="F655" s="0" t="s">
        <v>329</v>
      </c>
      <c r="G655" s="0" t="s">
        <v>3650</v>
      </c>
      <c r="I655" s="0" t="s">
        <v>2475</v>
      </c>
    </row>
    <row r="656" customFormat="false" ht="15" hidden="false" customHeight="false" outlineLevel="0" collapsed="false">
      <c r="A656" s="0" t="s">
        <v>138</v>
      </c>
      <c r="B656" s="0" t="n">
        <v>2018</v>
      </c>
      <c r="C656" s="0" t="s">
        <v>63</v>
      </c>
      <c r="D656" s="0" t="n">
        <v>-3515</v>
      </c>
      <c r="E656" s="0" t="n">
        <v>1</v>
      </c>
      <c r="F656" s="0" t="s">
        <v>329</v>
      </c>
      <c r="G656" s="0" t="s">
        <v>3650</v>
      </c>
      <c r="I656" s="0" t="s">
        <v>2478</v>
      </c>
    </row>
    <row r="657" customFormat="false" ht="15" hidden="false" customHeight="false" outlineLevel="0" collapsed="false">
      <c r="A657" s="0" t="s">
        <v>138</v>
      </c>
      <c r="B657" s="0" t="n">
        <v>2018</v>
      </c>
      <c r="C657" s="0" t="s">
        <v>247</v>
      </c>
      <c r="D657" s="0" t="n">
        <v>-3732</v>
      </c>
      <c r="E657" s="0" t="n">
        <v>1</v>
      </c>
      <c r="F657" s="0" t="s">
        <v>329</v>
      </c>
      <c r="G657" s="0" t="s">
        <v>3650</v>
      </c>
      <c r="I657" s="0" t="s">
        <v>2481</v>
      </c>
    </row>
    <row r="658" customFormat="false" ht="15" hidden="false" customHeight="false" outlineLevel="0" collapsed="false">
      <c r="A658" s="0" t="s">
        <v>138</v>
      </c>
      <c r="B658" s="0" t="n">
        <v>2018</v>
      </c>
      <c r="C658" s="0" t="s">
        <v>557</v>
      </c>
      <c r="D658" s="0" t="n">
        <v>382</v>
      </c>
      <c r="E658" s="0" t="n">
        <v>1</v>
      </c>
      <c r="F658" s="0" t="s">
        <v>329</v>
      </c>
      <c r="G658" s="0" t="s">
        <v>3650</v>
      </c>
      <c r="I658" s="0" t="s">
        <v>2480</v>
      </c>
    </row>
    <row r="659" customFormat="false" ht="15" hidden="false" customHeight="false" outlineLevel="0" collapsed="false">
      <c r="A659" s="0" t="s">
        <v>138</v>
      </c>
      <c r="B659" s="0" t="n">
        <v>2018</v>
      </c>
      <c r="C659" s="0" t="s">
        <v>710</v>
      </c>
      <c r="D659" s="0" t="n">
        <v>-3897</v>
      </c>
      <c r="E659" s="0" t="n">
        <v>1</v>
      </c>
      <c r="F659" s="0" t="s">
        <v>329</v>
      </c>
      <c r="G659" s="0" t="s">
        <v>3650</v>
      </c>
      <c r="I659" s="0" t="s">
        <v>2479</v>
      </c>
    </row>
    <row r="660" customFormat="false" ht="15" hidden="false" customHeight="false" outlineLevel="0" collapsed="false">
      <c r="A660" s="0" t="s">
        <v>138</v>
      </c>
      <c r="B660" s="0" t="n">
        <v>2018</v>
      </c>
      <c r="C660" s="0" t="s">
        <v>64</v>
      </c>
      <c r="D660" s="0" t="n">
        <v>38496</v>
      </c>
      <c r="E660" s="0" t="n">
        <v>1</v>
      </c>
      <c r="F660" s="0" t="s">
        <v>329</v>
      </c>
      <c r="G660" s="0" t="s">
        <v>3650</v>
      </c>
      <c r="I660" s="0" t="s">
        <v>2490</v>
      </c>
    </row>
    <row r="661" customFormat="false" ht="15" hidden="false" customHeight="false" outlineLevel="0" collapsed="false">
      <c r="A661" s="0" t="s">
        <v>138</v>
      </c>
      <c r="B661" s="0" t="n">
        <v>2018</v>
      </c>
      <c r="C661" s="0" t="s">
        <v>69</v>
      </c>
      <c r="D661" s="0" t="n">
        <v>11.5</v>
      </c>
      <c r="E661" s="0" t="n">
        <v>1</v>
      </c>
      <c r="F661" s="0" t="s">
        <v>329</v>
      </c>
      <c r="G661" s="0" t="s">
        <v>3650</v>
      </c>
      <c r="I661" s="0" t="s">
        <v>2482</v>
      </c>
    </row>
    <row r="662" customFormat="false" ht="15" hidden="false" customHeight="false" outlineLevel="0" collapsed="false">
      <c r="A662" s="0" t="s">
        <v>138</v>
      </c>
      <c r="B662" s="0" t="n">
        <v>2018</v>
      </c>
      <c r="C662" s="0" t="s">
        <v>591</v>
      </c>
      <c r="D662" s="0" t="n">
        <v>16.4</v>
      </c>
      <c r="E662" s="0" t="n">
        <v>1</v>
      </c>
      <c r="F662" s="0" t="s">
        <v>329</v>
      </c>
      <c r="G662" s="0" t="s">
        <v>3650</v>
      </c>
      <c r="I662" s="0" t="s">
        <v>2486</v>
      </c>
    </row>
    <row r="663" customFormat="false" ht="15" hidden="false" customHeight="false" outlineLevel="0" collapsed="false">
      <c r="A663" s="0" t="s">
        <v>138</v>
      </c>
      <c r="B663" s="0" t="n">
        <v>2018</v>
      </c>
      <c r="C663" s="0" t="s">
        <v>70</v>
      </c>
      <c r="D663" s="0" t="n">
        <v>15</v>
      </c>
      <c r="E663" s="0" t="n">
        <v>1</v>
      </c>
      <c r="F663" s="0" t="s">
        <v>329</v>
      </c>
      <c r="G663" s="0" t="s">
        <v>3650</v>
      </c>
      <c r="I663" s="0" t="s">
        <v>2489</v>
      </c>
    </row>
    <row r="664" customFormat="false" ht="15" hidden="false" customHeight="false" outlineLevel="0" collapsed="false">
      <c r="A664" s="0" t="s">
        <v>138</v>
      </c>
      <c r="B664" s="0" t="n">
        <v>2018</v>
      </c>
      <c r="C664" s="0" t="s">
        <v>65</v>
      </c>
      <c r="D664" s="0" t="n">
        <v>88017</v>
      </c>
      <c r="E664" s="0" t="n">
        <v>1</v>
      </c>
      <c r="F664" s="0" t="s">
        <v>329</v>
      </c>
      <c r="G664" s="0" t="s">
        <v>3650</v>
      </c>
      <c r="I664" s="0" t="s">
        <v>2484</v>
      </c>
    </row>
    <row r="665" customFormat="false" ht="15" hidden="false" customHeight="false" outlineLevel="0" collapsed="false">
      <c r="A665" s="0" t="s">
        <v>138</v>
      </c>
      <c r="B665" s="0" t="n">
        <v>2018</v>
      </c>
      <c r="C665" s="0" t="s">
        <v>66</v>
      </c>
      <c r="D665" s="0" t="n">
        <v>767770</v>
      </c>
      <c r="E665" s="0" t="n">
        <v>1</v>
      </c>
      <c r="F665" s="0" t="s">
        <v>329</v>
      </c>
      <c r="G665" s="0" t="s">
        <v>3650</v>
      </c>
      <c r="I665" s="0" t="s">
        <v>2485</v>
      </c>
    </row>
    <row r="666" customFormat="false" ht="15" hidden="false" customHeight="false" outlineLevel="0" collapsed="false">
      <c r="A666" s="0" t="s">
        <v>138</v>
      </c>
      <c r="B666" s="0" t="n">
        <v>2018</v>
      </c>
      <c r="C666" s="0" t="s">
        <v>595</v>
      </c>
      <c r="D666" s="0" t="n">
        <v>125859</v>
      </c>
      <c r="E666" s="0" t="n">
        <v>1</v>
      </c>
      <c r="F666" s="0" t="s">
        <v>329</v>
      </c>
      <c r="G666" s="0" t="s">
        <v>3650</v>
      </c>
      <c r="I666" s="0" t="s">
        <v>2487</v>
      </c>
    </row>
    <row r="667" customFormat="false" ht="15" hidden="false" customHeight="false" outlineLevel="0" collapsed="false">
      <c r="A667" s="0" t="s">
        <v>138</v>
      </c>
      <c r="B667" s="0" t="n">
        <v>2018</v>
      </c>
      <c r="C667" s="0" t="s">
        <v>711</v>
      </c>
      <c r="D667" s="0" t="n">
        <v>37842</v>
      </c>
      <c r="E667" s="0" t="n">
        <v>1</v>
      </c>
      <c r="F667" s="0" t="s">
        <v>329</v>
      </c>
      <c r="G667" s="0" t="s">
        <v>3650</v>
      </c>
      <c r="I667" s="0" t="s">
        <v>2488</v>
      </c>
    </row>
    <row r="668" customFormat="false" ht="15" hidden="false" customHeight="false" outlineLevel="0" collapsed="false">
      <c r="A668" s="0" t="s">
        <v>138</v>
      </c>
      <c r="B668" s="0" t="n">
        <v>2018</v>
      </c>
      <c r="C668" s="0" t="s">
        <v>73</v>
      </c>
      <c r="D668" s="0" t="n">
        <v>0</v>
      </c>
      <c r="E668" s="0" t="n">
        <v>1</v>
      </c>
      <c r="F668" s="0" t="s">
        <v>329</v>
      </c>
      <c r="G668" s="0" t="s">
        <v>3650</v>
      </c>
      <c r="I668" s="0" t="s">
        <v>302</v>
      </c>
    </row>
    <row r="669" customFormat="false" ht="15" hidden="false" customHeight="false" outlineLevel="0" collapsed="false">
      <c r="A669" s="0" t="s">
        <v>138</v>
      </c>
      <c r="B669" s="0" t="n">
        <v>2018</v>
      </c>
      <c r="C669" s="0" t="s">
        <v>67</v>
      </c>
      <c r="D669" s="0" t="n">
        <v>123328</v>
      </c>
      <c r="E669" s="0" t="n">
        <v>1</v>
      </c>
      <c r="F669" s="0" t="s">
        <v>329</v>
      </c>
      <c r="G669" s="0" t="s">
        <v>3650</v>
      </c>
      <c r="I669" s="0" t="s">
        <v>2491</v>
      </c>
    </row>
    <row r="670" customFormat="false" ht="15" hidden="false" customHeight="false" outlineLevel="0" collapsed="false">
      <c r="A670" s="0" t="s">
        <v>138</v>
      </c>
      <c r="B670" s="0" t="n">
        <v>2018</v>
      </c>
      <c r="C670" s="0" t="s">
        <v>68</v>
      </c>
      <c r="D670" s="0" t="n">
        <v>30149</v>
      </c>
      <c r="E670" s="0" t="n">
        <v>1</v>
      </c>
      <c r="F670" s="0" t="s">
        <v>329</v>
      </c>
      <c r="G670" s="0" t="s">
        <v>3650</v>
      </c>
      <c r="I670" s="0" t="s">
        <v>2492</v>
      </c>
    </row>
    <row r="671" customFormat="false" ht="15" hidden="false" customHeight="false" outlineLevel="0" collapsed="false">
      <c r="A671" s="0" t="s">
        <v>138</v>
      </c>
      <c r="B671" s="0" t="n">
        <v>2018</v>
      </c>
      <c r="C671" s="0" t="s">
        <v>402</v>
      </c>
      <c r="D671" s="0" t="n">
        <v>18660</v>
      </c>
      <c r="E671" s="0" t="n">
        <v>1</v>
      </c>
      <c r="F671" s="0" t="s">
        <v>329</v>
      </c>
      <c r="G671" s="0" t="s">
        <v>3650</v>
      </c>
      <c r="I671" s="0" t="s">
        <v>2476</v>
      </c>
    </row>
    <row r="672" customFormat="false" ht="15" hidden="false" customHeight="false" outlineLevel="0" collapsed="false">
      <c r="A672" s="0" t="s">
        <v>138</v>
      </c>
      <c r="B672" s="0" t="n">
        <v>2018</v>
      </c>
      <c r="C672" s="0" t="s">
        <v>670</v>
      </c>
      <c r="D672" s="0" t="n">
        <v>140066</v>
      </c>
      <c r="E672" s="0" t="n">
        <v>1</v>
      </c>
      <c r="F672" s="0" t="s">
        <v>329</v>
      </c>
      <c r="G672" s="0" t="s">
        <v>3650</v>
      </c>
      <c r="I672" s="0" t="s">
        <v>2477</v>
      </c>
    </row>
    <row r="673" customFormat="false" ht="15" hidden="false" customHeight="false" outlineLevel="0" collapsed="false">
      <c r="A673" s="0" t="s">
        <v>138</v>
      </c>
      <c r="B673" s="0" t="n">
        <v>2019</v>
      </c>
      <c r="C673" s="0" t="s">
        <v>54</v>
      </c>
      <c r="D673" s="0" t="n">
        <v>24375</v>
      </c>
      <c r="E673" s="0" t="n">
        <v>1</v>
      </c>
      <c r="F673" s="0" t="s">
        <v>329</v>
      </c>
      <c r="G673" s="0" t="s">
        <v>3650</v>
      </c>
      <c r="I673" s="0" t="s">
        <v>2495</v>
      </c>
    </row>
    <row r="674" customFormat="false" ht="15" hidden="false" customHeight="false" outlineLevel="0" collapsed="false">
      <c r="A674" s="0" t="s">
        <v>138</v>
      </c>
      <c r="B674" s="0" t="n">
        <v>2019</v>
      </c>
      <c r="C674" s="0" t="s">
        <v>55</v>
      </c>
      <c r="D674" s="0" t="n">
        <v>1711739</v>
      </c>
      <c r="E674" s="0" t="n">
        <v>1</v>
      </c>
      <c r="F674" s="0" t="s">
        <v>329</v>
      </c>
      <c r="G674" s="0" t="s">
        <v>3650</v>
      </c>
      <c r="I674" s="0" t="s">
        <v>2497</v>
      </c>
    </row>
    <row r="675" customFormat="false" ht="15" hidden="false" customHeight="false" outlineLevel="0" collapsed="false">
      <c r="A675" s="0" t="s">
        <v>138</v>
      </c>
      <c r="B675" s="0" t="n">
        <v>2019</v>
      </c>
      <c r="C675" s="0" t="s">
        <v>56</v>
      </c>
      <c r="D675" s="0" t="n">
        <v>1480547</v>
      </c>
      <c r="E675" s="0" t="n">
        <v>1</v>
      </c>
      <c r="F675" s="0" t="s">
        <v>329</v>
      </c>
      <c r="G675" s="0" t="s">
        <v>3650</v>
      </c>
      <c r="I675" s="0" t="s">
        <v>2498</v>
      </c>
    </row>
    <row r="676" customFormat="false" ht="15" hidden="false" customHeight="false" outlineLevel="0" collapsed="false">
      <c r="A676" s="0" t="s">
        <v>138</v>
      </c>
      <c r="B676" s="0" t="n">
        <v>2019</v>
      </c>
      <c r="C676" s="0" t="s">
        <v>57</v>
      </c>
      <c r="D676" s="0" t="n">
        <v>231192</v>
      </c>
      <c r="E676" s="0" t="n">
        <v>1</v>
      </c>
      <c r="F676" s="0" t="s">
        <v>329</v>
      </c>
      <c r="G676" s="0" t="s">
        <v>3650</v>
      </c>
      <c r="I676" s="0" t="s">
        <v>2499</v>
      </c>
    </row>
    <row r="677" customFormat="false" ht="15" hidden="false" customHeight="false" outlineLevel="0" collapsed="false">
      <c r="A677" s="0" t="s">
        <v>138</v>
      </c>
      <c r="B677" s="0" t="n">
        <v>2019</v>
      </c>
      <c r="C677" s="0" t="s">
        <v>58</v>
      </c>
      <c r="D677" s="0" t="n">
        <v>207318</v>
      </c>
      <c r="E677" s="0" t="n">
        <v>1</v>
      </c>
      <c r="F677" s="0" t="s">
        <v>329</v>
      </c>
      <c r="G677" s="0" t="s">
        <v>3650</v>
      </c>
      <c r="I677" s="0" t="s">
        <v>2500</v>
      </c>
    </row>
    <row r="678" customFormat="false" ht="15" hidden="false" customHeight="false" outlineLevel="0" collapsed="false">
      <c r="A678" s="0" t="s">
        <v>138</v>
      </c>
      <c r="B678" s="0" t="n">
        <v>2019</v>
      </c>
      <c r="C678" s="0" t="s">
        <v>59</v>
      </c>
      <c r="D678" s="0" t="n">
        <v>1324297</v>
      </c>
      <c r="E678" s="0" t="n">
        <v>1</v>
      </c>
      <c r="F678" s="0" t="s">
        <v>329</v>
      </c>
      <c r="G678" s="0" t="s">
        <v>3650</v>
      </c>
      <c r="I678" s="0" t="s">
        <v>2501</v>
      </c>
    </row>
    <row r="679" customFormat="false" ht="15" hidden="false" customHeight="false" outlineLevel="0" collapsed="false">
      <c r="A679" s="0" t="s">
        <v>138</v>
      </c>
      <c r="B679" s="0" t="n">
        <v>2019</v>
      </c>
      <c r="C679" s="0" t="s">
        <v>60</v>
      </c>
      <c r="D679" s="0" t="n">
        <v>595298</v>
      </c>
      <c r="E679" s="0" t="n">
        <v>1</v>
      </c>
      <c r="F679" s="0" t="s">
        <v>329</v>
      </c>
      <c r="G679" s="0" t="s">
        <v>3650</v>
      </c>
      <c r="I679" s="0" t="s">
        <v>2502</v>
      </c>
    </row>
    <row r="680" customFormat="false" ht="15" hidden="false" customHeight="false" outlineLevel="0" collapsed="false">
      <c r="A680" s="0" t="s">
        <v>138</v>
      </c>
      <c r="B680" s="0" t="n">
        <v>2019</v>
      </c>
      <c r="C680" s="0" t="s">
        <v>61</v>
      </c>
      <c r="D680" s="0" t="n">
        <v>44685</v>
      </c>
      <c r="E680" s="0" t="n">
        <v>1</v>
      </c>
      <c r="F680" s="0" t="s">
        <v>329</v>
      </c>
      <c r="G680" s="0" t="s">
        <v>3650</v>
      </c>
      <c r="I680" s="0" t="s">
        <v>2505</v>
      </c>
    </row>
    <row r="681" customFormat="false" ht="15" hidden="false" customHeight="false" outlineLevel="0" collapsed="false">
      <c r="A681" s="0" t="s">
        <v>138</v>
      </c>
      <c r="B681" s="0" t="n">
        <v>2019</v>
      </c>
      <c r="C681" s="0" t="s">
        <v>62</v>
      </c>
      <c r="D681" s="0" t="n">
        <v>550613</v>
      </c>
      <c r="E681" s="0" t="n">
        <v>1</v>
      </c>
      <c r="F681" s="0" t="s">
        <v>329</v>
      </c>
      <c r="G681" s="0" t="s">
        <v>3650</v>
      </c>
      <c r="I681" s="0" t="s">
        <v>2506</v>
      </c>
    </row>
    <row r="682" customFormat="false" ht="15" hidden="false" customHeight="false" outlineLevel="0" collapsed="false">
      <c r="A682" s="0" t="s">
        <v>138</v>
      </c>
      <c r="B682" s="0" t="n">
        <v>2019</v>
      </c>
      <c r="C682" s="0" t="s">
        <v>63</v>
      </c>
      <c r="D682" s="0" t="n">
        <v>-504</v>
      </c>
      <c r="E682" s="0" t="n">
        <v>1</v>
      </c>
      <c r="F682" s="0" t="s">
        <v>329</v>
      </c>
      <c r="G682" s="0" t="s">
        <v>3650</v>
      </c>
      <c r="I682" s="0" t="s">
        <v>2509</v>
      </c>
    </row>
    <row r="683" customFormat="false" ht="15" hidden="false" customHeight="false" outlineLevel="0" collapsed="false">
      <c r="A683" s="0" t="s">
        <v>138</v>
      </c>
      <c r="B683" s="0" t="n">
        <v>2019</v>
      </c>
      <c r="C683" s="0" t="s">
        <v>557</v>
      </c>
      <c r="D683" s="0" t="n">
        <v>-688</v>
      </c>
      <c r="E683" s="0" t="n">
        <v>1</v>
      </c>
      <c r="F683" s="0" t="s">
        <v>329</v>
      </c>
      <c r="G683" s="0" t="s">
        <v>3650</v>
      </c>
      <c r="I683" s="0" t="s">
        <v>2511</v>
      </c>
    </row>
    <row r="684" customFormat="false" ht="15" hidden="false" customHeight="false" outlineLevel="0" collapsed="false">
      <c r="A684" s="0" t="s">
        <v>138</v>
      </c>
      <c r="B684" s="0" t="n">
        <v>2019</v>
      </c>
      <c r="C684" s="0" t="s">
        <v>710</v>
      </c>
      <c r="D684" s="0" t="n">
        <v>184</v>
      </c>
      <c r="E684" s="0" t="n">
        <v>1</v>
      </c>
      <c r="F684" s="0" t="s">
        <v>329</v>
      </c>
      <c r="G684" s="0" t="s">
        <v>3650</v>
      </c>
      <c r="I684" s="0" t="s">
        <v>2510</v>
      </c>
    </row>
    <row r="685" customFormat="false" ht="15" hidden="false" customHeight="false" outlineLevel="0" collapsed="false">
      <c r="A685" s="0" t="s">
        <v>138</v>
      </c>
      <c r="B685" s="0" t="n">
        <v>2019</v>
      </c>
      <c r="C685" s="0" t="s">
        <v>64</v>
      </c>
      <c r="D685" s="0" t="n">
        <v>34760</v>
      </c>
      <c r="E685" s="0" t="n">
        <v>1</v>
      </c>
      <c r="F685" s="0" t="s">
        <v>329</v>
      </c>
      <c r="G685" s="0" t="s">
        <v>3650</v>
      </c>
      <c r="I685" s="0" t="s">
        <v>2521</v>
      </c>
    </row>
    <row r="686" customFormat="false" ht="15" hidden="false" customHeight="false" outlineLevel="0" collapsed="false">
      <c r="A686" s="0" t="s">
        <v>138</v>
      </c>
      <c r="B686" s="0" t="n">
        <v>2019</v>
      </c>
      <c r="C686" s="0" t="s">
        <v>69</v>
      </c>
      <c r="D686" s="0" t="n">
        <v>15.91</v>
      </c>
      <c r="E686" s="0" t="n">
        <v>1</v>
      </c>
      <c r="F686" s="0" t="s">
        <v>329</v>
      </c>
      <c r="G686" s="0" t="s">
        <v>3650</v>
      </c>
      <c r="I686" s="0" t="s">
        <v>2512</v>
      </c>
    </row>
    <row r="687" customFormat="false" ht="15" hidden="false" customHeight="false" outlineLevel="0" collapsed="false">
      <c r="A687" s="0" t="s">
        <v>138</v>
      </c>
      <c r="B687" s="0" t="n">
        <v>2019</v>
      </c>
      <c r="C687" s="0" t="s">
        <v>591</v>
      </c>
      <c r="D687" s="0" t="n">
        <v>19.73</v>
      </c>
      <c r="E687" s="0" t="n">
        <v>1</v>
      </c>
      <c r="F687" s="0" t="s">
        <v>329</v>
      </c>
      <c r="G687" s="0" t="s">
        <v>3650</v>
      </c>
      <c r="I687" s="0" t="s">
        <v>2517</v>
      </c>
    </row>
    <row r="688" customFormat="false" ht="15" hidden="false" customHeight="false" outlineLevel="0" collapsed="false">
      <c r="A688" s="0" t="s">
        <v>138</v>
      </c>
      <c r="B688" s="0" t="n">
        <v>2019</v>
      </c>
      <c r="C688" s="0" t="s">
        <v>70</v>
      </c>
      <c r="D688" s="0" t="n">
        <v>15</v>
      </c>
      <c r="E688" s="0" t="n">
        <v>1</v>
      </c>
      <c r="F688" s="0" t="s">
        <v>329</v>
      </c>
      <c r="G688" s="0" t="s">
        <v>3650</v>
      </c>
      <c r="I688" s="0" t="s">
        <v>2520</v>
      </c>
    </row>
    <row r="689" customFormat="false" ht="15" hidden="false" customHeight="false" outlineLevel="0" collapsed="false">
      <c r="A689" s="0" t="s">
        <v>138</v>
      </c>
      <c r="B689" s="0" t="n">
        <v>2019</v>
      </c>
      <c r="C689" s="0" t="s">
        <v>65</v>
      </c>
      <c r="D689" s="0" t="n">
        <v>139997</v>
      </c>
      <c r="E689" s="0" t="n">
        <v>1</v>
      </c>
      <c r="F689" s="0" t="s">
        <v>329</v>
      </c>
      <c r="G689" s="0" t="s">
        <v>3650</v>
      </c>
      <c r="I689" s="0" t="s">
        <v>2515</v>
      </c>
    </row>
    <row r="690" customFormat="false" ht="15" hidden="false" customHeight="false" outlineLevel="0" collapsed="false">
      <c r="A690" s="0" t="s">
        <v>138</v>
      </c>
      <c r="B690" s="0" t="n">
        <v>2019</v>
      </c>
      <c r="C690" s="0" t="s">
        <v>66</v>
      </c>
      <c r="D690" s="0" t="n">
        <v>880146</v>
      </c>
      <c r="E690" s="0" t="n">
        <v>1</v>
      </c>
      <c r="F690" s="0" t="s">
        <v>329</v>
      </c>
      <c r="G690" s="0" t="s">
        <v>3650</v>
      </c>
      <c r="I690" s="0" t="s">
        <v>2516</v>
      </c>
    </row>
    <row r="691" customFormat="false" ht="15" hidden="false" customHeight="false" outlineLevel="0" collapsed="false">
      <c r="A691" s="0" t="s">
        <v>138</v>
      </c>
      <c r="B691" s="0" t="n">
        <v>2019</v>
      </c>
      <c r="C691" s="0" t="s">
        <v>595</v>
      </c>
      <c r="D691" s="0" t="n">
        <v>173634</v>
      </c>
      <c r="E691" s="0" t="n">
        <v>1</v>
      </c>
      <c r="F691" s="0" t="s">
        <v>329</v>
      </c>
      <c r="G691" s="0" t="s">
        <v>3650</v>
      </c>
      <c r="I691" s="0" t="s">
        <v>2518</v>
      </c>
    </row>
    <row r="692" customFormat="false" ht="15" hidden="false" customHeight="false" outlineLevel="0" collapsed="false">
      <c r="A692" s="0" t="s">
        <v>138</v>
      </c>
      <c r="B692" s="0" t="n">
        <v>2019</v>
      </c>
      <c r="C692" s="0" t="s">
        <v>711</v>
      </c>
      <c r="D692" s="0" t="n">
        <v>33637</v>
      </c>
      <c r="E692" s="0" t="n">
        <v>1</v>
      </c>
      <c r="F692" s="0" t="s">
        <v>329</v>
      </c>
      <c r="G692" s="0" t="s">
        <v>3650</v>
      </c>
      <c r="I692" s="0" t="s">
        <v>2519</v>
      </c>
    </row>
    <row r="693" customFormat="false" ht="15" hidden="false" customHeight="false" outlineLevel="0" collapsed="false">
      <c r="A693" s="0" t="s">
        <v>138</v>
      </c>
      <c r="B693" s="0" t="n">
        <v>2019</v>
      </c>
      <c r="C693" s="0" t="s">
        <v>67</v>
      </c>
      <c r="D693" s="0" t="n">
        <v>58769</v>
      </c>
      <c r="E693" s="0" t="n">
        <v>1</v>
      </c>
      <c r="F693" s="0" t="s">
        <v>329</v>
      </c>
      <c r="G693" s="0" t="s">
        <v>3650</v>
      </c>
      <c r="I693" s="0" t="s">
        <v>2522</v>
      </c>
    </row>
    <row r="694" customFormat="false" ht="15" hidden="false" customHeight="false" outlineLevel="0" collapsed="false">
      <c r="A694" s="0" t="s">
        <v>138</v>
      </c>
      <c r="B694" s="0" t="n">
        <v>2019</v>
      </c>
      <c r="C694" s="0" t="s">
        <v>68</v>
      </c>
      <c r="D694" s="0" t="n">
        <v>16198</v>
      </c>
      <c r="E694" s="0" t="n">
        <v>1</v>
      </c>
      <c r="F694" s="0" t="s">
        <v>329</v>
      </c>
      <c r="G694" s="0" t="s">
        <v>3650</v>
      </c>
      <c r="I694" s="0" t="s">
        <v>2523</v>
      </c>
    </row>
    <row r="695" customFormat="false" ht="15" hidden="false" customHeight="false" outlineLevel="0" collapsed="false">
      <c r="A695" s="0" t="s">
        <v>138</v>
      </c>
      <c r="B695" s="0" t="n">
        <v>2019</v>
      </c>
      <c r="C695" s="0" t="s">
        <v>402</v>
      </c>
      <c r="D695" s="0" t="n">
        <v>24746</v>
      </c>
      <c r="E695" s="0" t="n">
        <v>1</v>
      </c>
      <c r="F695" s="0" t="s">
        <v>329</v>
      </c>
      <c r="G695" s="0" t="s">
        <v>3650</v>
      </c>
      <c r="I695" s="0" t="s">
        <v>2507</v>
      </c>
    </row>
    <row r="696" customFormat="false" ht="15" hidden="false" customHeight="false" outlineLevel="0" collapsed="false">
      <c r="A696" s="0" t="s">
        <v>138</v>
      </c>
      <c r="B696" s="0" t="n">
        <v>2019</v>
      </c>
      <c r="C696" s="0" t="s">
        <v>670</v>
      </c>
      <c r="D696" s="0" t="n">
        <v>159861</v>
      </c>
      <c r="E696" s="0" t="n">
        <v>1</v>
      </c>
      <c r="F696" s="0" t="s">
        <v>329</v>
      </c>
      <c r="G696" s="0" t="s">
        <v>3650</v>
      </c>
      <c r="I696" s="0" t="s">
        <v>2508</v>
      </c>
    </row>
    <row r="697" customFormat="false" ht="15" hidden="false" customHeight="false" outlineLevel="0" collapsed="false">
      <c r="A697" s="0" t="s">
        <v>138</v>
      </c>
      <c r="B697" s="0" t="n">
        <v>2020</v>
      </c>
      <c r="C697" s="0" t="s">
        <v>54</v>
      </c>
      <c r="D697" s="0" t="n">
        <v>24653</v>
      </c>
      <c r="E697" s="0" t="n">
        <v>1</v>
      </c>
      <c r="F697" s="0" t="s">
        <v>329</v>
      </c>
      <c r="G697" s="0" t="s">
        <v>3650</v>
      </c>
      <c r="I697" s="0" t="s">
        <v>2525</v>
      </c>
    </row>
    <row r="698" customFormat="false" ht="15" hidden="false" customHeight="false" outlineLevel="0" collapsed="false">
      <c r="A698" s="0" t="s">
        <v>138</v>
      </c>
      <c r="B698" s="0" t="n">
        <v>2020</v>
      </c>
      <c r="C698" s="0" t="s">
        <v>55</v>
      </c>
      <c r="D698" s="0" t="n">
        <v>2073758</v>
      </c>
      <c r="E698" s="0" t="n">
        <v>1</v>
      </c>
      <c r="F698" s="0" t="s">
        <v>329</v>
      </c>
      <c r="G698" s="0" t="s">
        <v>3650</v>
      </c>
      <c r="I698" s="0" t="s">
        <v>2526</v>
      </c>
    </row>
    <row r="699" customFormat="false" ht="15" hidden="false" customHeight="false" outlineLevel="0" collapsed="false">
      <c r="A699" s="0" t="s">
        <v>138</v>
      </c>
      <c r="B699" s="0" t="n">
        <v>2020</v>
      </c>
      <c r="C699" s="0" t="s">
        <v>56</v>
      </c>
      <c r="D699" s="0" t="n">
        <v>1826237</v>
      </c>
      <c r="E699" s="0" t="n">
        <v>1</v>
      </c>
      <c r="F699" s="0" t="s">
        <v>329</v>
      </c>
      <c r="G699" s="0" t="s">
        <v>3650</v>
      </c>
      <c r="I699" s="0" t="s">
        <v>2527</v>
      </c>
    </row>
    <row r="700" customFormat="false" ht="15" hidden="false" customHeight="false" outlineLevel="0" collapsed="false">
      <c r="A700" s="0" t="s">
        <v>138</v>
      </c>
      <c r="B700" s="0" t="n">
        <v>2020</v>
      </c>
      <c r="C700" s="0" t="s">
        <v>57</v>
      </c>
      <c r="D700" s="0" t="n">
        <v>247521</v>
      </c>
      <c r="E700" s="0" t="n">
        <v>1</v>
      </c>
      <c r="F700" s="0" t="s">
        <v>329</v>
      </c>
      <c r="G700" s="0" t="s">
        <v>3650</v>
      </c>
      <c r="I700" s="0" t="s">
        <v>2528</v>
      </c>
    </row>
    <row r="701" customFormat="false" ht="15" hidden="false" customHeight="false" outlineLevel="0" collapsed="false">
      <c r="A701" s="0" t="s">
        <v>138</v>
      </c>
      <c r="B701" s="0" t="n">
        <v>2020</v>
      </c>
      <c r="C701" s="0" t="s">
        <v>58</v>
      </c>
      <c r="D701" s="0" t="n">
        <v>-35912</v>
      </c>
      <c r="E701" s="0" t="n">
        <v>1</v>
      </c>
      <c r="F701" s="0" t="s">
        <v>329</v>
      </c>
      <c r="G701" s="0" t="s">
        <v>3650</v>
      </c>
      <c r="I701" s="0" t="s">
        <v>2529</v>
      </c>
    </row>
    <row r="702" customFormat="false" ht="15" hidden="false" customHeight="false" outlineLevel="0" collapsed="false">
      <c r="A702" s="0" t="s">
        <v>138</v>
      </c>
      <c r="B702" s="0" t="n">
        <v>2020</v>
      </c>
      <c r="C702" s="0" t="s">
        <v>59</v>
      </c>
      <c r="D702" s="0" t="n">
        <v>1711739</v>
      </c>
      <c r="E702" s="0" t="n">
        <v>1</v>
      </c>
      <c r="F702" s="0" t="s">
        <v>329</v>
      </c>
      <c r="G702" s="0" t="s">
        <v>3650</v>
      </c>
      <c r="I702" s="0" t="s">
        <v>2530</v>
      </c>
    </row>
    <row r="703" customFormat="false" ht="15" hidden="false" customHeight="false" outlineLevel="0" collapsed="false">
      <c r="A703" s="0" t="s">
        <v>138</v>
      </c>
      <c r="B703" s="0" t="n">
        <v>2020</v>
      </c>
      <c r="C703" s="0" t="s">
        <v>60</v>
      </c>
      <c r="D703" s="0" t="n">
        <v>736712</v>
      </c>
      <c r="E703" s="0" t="n">
        <v>1</v>
      </c>
      <c r="F703" s="0" t="s">
        <v>329</v>
      </c>
      <c r="G703" s="0" t="s">
        <v>3650</v>
      </c>
      <c r="I703" s="0" t="s">
        <v>2531</v>
      </c>
    </row>
    <row r="704" customFormat="false" ht="15" hidden="false" customHeight="false" outlineLevel="0" collapsed="false">
      <c r="A704" s="0" t="s">
        <v>138</v>
      </c>
      <c r="B704" s="0" t="n">
        <v>2020</v>
      </c>
      <c r="C704" s="0" t="s">
        <v>61</v>
      </c>
      <c r="D704" s="0" t="n">
        <v>43909</v>
      </c>
      <c r="E704" s="0" t="n">
        <v>1</v>
      </c>
      <c r="F704" s="0" t="s">
        <v>329</v>
      </c>
      <c r="G704" s="0" t="s">
        <v>3650</v>
      </c>
      <c r="I704" s="0" t="s">
        <v>2532</v>
      </c>
    </row>
    <row r="705" customFormat="false" ht="15" hidden="false" customHeight="false" outlineLevel="0" collapsed="false">
      <c r="A705" s="0" t="s">
        <v>138</v>
      </c>
      <c r="B705" s="0" t="n">
        <v>2020</v>
      </c>
      <c r="C705" s="0" t="s">
        <v>62</v>
      </c>
      <c r="D705" s="0" t="n">
        <v>692803</v>
      </c>
      <c r="E705" s="0" t="n">
        <v>1</v>
      </c>
      <c r="F705" s="0" t="s">
        <v>329</v>
      </c>
      <c r="G705" s="0" t="s">
        <v>3650</v>
      </c>
      <c r="I705" s="0" t="s">
        <v>2533</v>
      </c>
    </row>
    <row r="706" customFormat="false" ht="15" hidden="false" customHeight="false" outlineLevel="0" collapsed="false">
      <c r="A706" s="0" t="s">
        <v>138</v>
      </c>
      <c r="B706" s="0" t="n">
        <v>2020</v>
      </c>
      <c r="C706" s="0" t="s">
        <v>63</v>
      </c>
      <c r="D706" s="0" t="n">
        <v>-2559</v>
      </c>
      <c r="E706" s="0" t="n">
        <v>1</v>
      </c>
      <c r="F706" s="0" t="s">
        <v>329</v>
      </c>
      <c r="G706" s="0" t="s">
        <v>3650</v>
      </c>
      <c r="I706" s="0" t="s">
        <v>2536</v>
      </c>
    </row>
    <row r="707" customFormat="false" ht="15" hidden="false" customHeight="false" outlineLevel="0" collapsed="false">
      <c r="A707" s="0" t="s">
        <v>138</v>
      </c>
      <c r="B707" s="0" t="n">
        <v>2020</v>
      </c>
      <c r="C707" s="0" t="s">
        <v>557</v>
      </c>
      <c r="D707" s="0" t="n">
        <v>-306</v>
      </c>
      <c r="E707" s="0" t="n">
        <v>1</v>
      </c>
      <c r="F707" s="0" t="s">
        <v>329</v>
      </c>
      <c r="G707" s="0" t="s">
        <v>3650</v>
      </c>
      <c r="I707" s="0" t="s">
        <v>2538</v>
      </c>
    </row>
    <row r="708" customFormat="false" ht="15" hidden="false" customHeight="false" outlineLevel="0" collapsed="false">
      <c r="A708" s="0" t="s">
        <v>138</v>
      </c>
      <c r="B708" s="0" t="n">
        <v>2020</v>
      </c>
      <c r="C708" s="0" t="s">
        <v>710</v>
      </c>
      <c r="D708" s="0" t="n">
        <v>-2253</v>
      </c>
      <c r="E708" s="0" t="n">
        <v>1</v>
      </c>
      <c r="F708" s="0" t="s">
        <v>329</v>
      </c>
      <c r="G708" s="0" t="s">
        <v>3650</v>
      </c>
      <c r="I708" s="0" t="s">
        <v>2537</v>
      </c>
    </row>
    <row r="709" customFormat="false" ht="15" hidden="false" customHeight="false" outlineLevel="0" collapsed="false">
      <c r="A709" s="0" t="s">
        <v>138</v>
      </c>
      <c r="B709" s="0" t="n">
        <v>2020</v>
      </c>
      <c r="C709" s="0" t="s">
        <v>69</v>
      </c>
      <c r="D709" s="0" t="n">
        <v>15.76</v>
      </c>
      <c r="E709" s="0" t="n">
        <v>1</v>
      </c>
      <c r="F709" s="0" t="s">
        <v>329</v>
      </c>
      <c r="G709" s="0" t="s">
        <v>3650</v>
      </c>
      <c r="I709" s="0" t="s">
        <v>2539</v>
      </c>
    </row>
    <row r="710" customFormat="false" ht="15" hidden="false" customHeight="false" outlineLevel="0" collapsed="false">
      <c r="A710" s="0" t="s">
        <v>138</v>
      </c>
      <c r="B710" s="0" t="n">
        <v>2020</v>
      </c>
      <c r="C710" s="0" t="s">
        <v>591</v>
      </c>
      <c r="D710" s="0" t="n">
        <v>17.46</v>
      </c>
      <c r="E710" s="0" t="n">
        <v>1</v>
      </c>
      <c r="F710" s="0" t="s">
        <v>329</v>
      </c>
      <c r="G710" s="0" t="s">
        <v>3650</v>
      </c>
      <c r="I710" s="0" t="s">
        <v>2542</v>
      </c>
    </row>
    <row r="711" customFormat="false" ht="15" hidden="false" customHeight="false" outlineLevel="0" collapsed="false">
      <c r="A711" s="0" t="s">
        <v>138</v>
      </c>
      <c r="B711" s="0" t="n">
        <v>2020</v>
      </c>
      <c r="C711" s="0" t="s">
        <v>70</v>
      </c>
      <c r="D711" s="0" t="n">
        <v>15</v>
      </c>
      <c r="E711" s="0" t="n">
        <v>1</v>
      </c>
      <c r="F711" s="0" t="s">
        <v>329</v>
      </c>
      <c r="G711" s="0" t="s">
        <v>3650</v>
      </c>
      <c r="I711" s="0" t="s">
        <v>2545</v>
      </c>
    </row>
    <row r="712" customFormat="false" ht="15" hidden="false" customHeight="false" outlineLevel="0" collapsed="false">
      <c r="A712" s="0" t="s">
        <v>138</v>
      </c>
      <c r="B712" s="0" t="n">
        <v>2020</v>
      </c>
      <c r="C712" s="0" t="s">
        <v>65</v>
      </c>
      <c r="D712" s="0" t="n">
        <v>156168</v>
      </c>
      <c r="E712" s="0" t="n">
        <v>1</v>
      </c>
      <c r="F712" s="0" t="s">
        <v>329</v>
      </c>
      <c r="G712" s="0" t="s">
        <v>3650</v>
      </c>
      <c r="I712" s="0" t="s">
        <v>2540</v>
      </c>
    </row>
    <row r="713" customFormat="false" ht="15" hidden="false" customHeight="false" outlineLevel="0" collapsed="false">
      <c r="A713" s="0" t="s">
        <v>138</v>
      </c>
      <c r="B713" s="0" t="n">
        <v>2020</v>
      </c>
      <c r="C713" s="0" t="s">
        <v>66</v>
      </c>
      <c r="D713" s="0" t="n">
        <v>990958</v>
      </c>
      <c r="E713" s="0" t="n">
        <v>1</v>
      </c>
      <c r="F713" s="0" t="s">
        <v>329</v>
      </c>
      <c r="G713" s="0" t="s">
        <v>3650</v>
      </c>
      <c r="I713" s="0" t="s">
        <v>2541</v>
      </c>
    </row>
    <row r="714" customFormat="false" ht="15" hidden="false" customHeight="false" outlineLevel="0" collapsed="false">
      <c r="A714" s="0" t="s">
        <v>138</v>
      </c>
      <c r="B714" s="0" t="n">
        <v>2020</v>
      </c>
      <c r="C714" s="0" t="s">
        <v>595</v>
      </c>
      <c r="D714" s="0" t="n">
        <v>172986</v>
      </c>
      <c r="E714" s="0" t="n">
        <v>1</v>
      </c>
      <c r="F714" s="0" t="s">
        <v>329</v>
      </c>
      <c r="G714" s="0" t="s">
        <v>3650</v>
      </c>
      <c r="I714" s="0" t="s">
        <v>2543</v>
      </c>
    </row>
    <row r="715" customFormat="false" ht="15" hidden="false" customHeight="false" outlineLevel="0" collapsed="false">
      <c r="A715" s="0" t="s">
        <v>138</v>
      </c>
      <c r="B715" s="0" t="n">
        <v>2020</v>
      </c>
      <c r="C715" s="0" t="s">
        <v>711</v>
      </c>
      <c r="D715" s="0" t="n">
        <v>16818</v>
      </c>
      <c r="E715" s="0" t="n">
        <v>1</v>
      </c>
      <c r="F715" s="0" t="s">
        <v>329</v>
      </c>
      <c r="G715" s="0" t="s">
        <v>3650</v>
      </c>
      <c r="I715" s="0" t="s">
        <v>2544</v>
      </c>
    </row>
    <row r="716" customFormat="false" ht="15" hidden="false" customHeight="false" outlineLevel="0" collapsed="false">
      <c r="A716" s="0" t="s">
        <v>138</v>
      </c>
      <c r="B716" s="0" t="n">
        <v>2020</v>
      </c>
      <c r="C716" s="0" t="s">
        <v>73</v>
      </c>
      <c r="D716" s="0" t="n">
        <v>0</v>
      </c>
      <c r="E716" s="0" t="n">
        <v>1</v>
      </c>
      <c r="F716" s="0" t="s">
        <v>329</v>
      </c>
      <c r="G716" s="0" t="s">
        <v>3650</v>
      </c>
      <c r="I716" s="0" t="s">
        <v>304</v>
      </c>
    </row>
    <row r="717" customFormat="false" ht="15" hidden="false" customHeight="false" outlineLevel="0" collapsed="false">
      <c r="A717" s="0" t="s">
        <v>138</v>
      </c>
      <c r="B717" s="0" t="n">
        <v>2020</v>
      </c>
      <c r="C717" s="0" t="s">
        <v>67</v>
      </c>
      <c r="D717" s="0" t="n">
        <v>61895</v>
      </c>
      <c r="E717" s="0" t="n">
        <v>1</v>
      </c>
      <c r="F717" s="0" t="s">
        <v>329</v>
      </c>
      <c r="G717" s="0" t="s">
        <v>3650</v>
      </c>
      <c r="I717" s="0" t="s">
        <v>2546</v>
      </c>
    </row>
    <row r="718" customFormat="false" ht="15" hidden="false" customHeight="false" outlineLevel="0" collapsed="false">
      <c r="A718" s="0" t="s">
        <v>138</v>
      </c>
      <c r="B718" s="0" t="n">
        <v>2020</v>
      </c>
      <c r="C718" s="0" t="s">
        <v>68</v>
      </c>
      <c r="D718" s="0" t="n">
        <v>22564</v>
      </c>
      <c r="E718" s="0" t="n">
        <v>1</v>
      </c>
      <c r="F718" s="0" t="s">
        <v>329</v>
      </c>
      <c r="G718" s="0" t="s">
        <v>3650</v>
      </c>
      <c r="I718" s="0" t="s">
        <v>2547</v>
      </c>
    </row>
    <row r="719" customFormat="false" ht="15" hidden="false" customHeight="false" outlineLevel="0" collapsed="false">
      <c r="A719" s="0" t="s">
        <v>138</v>
      </c>
      <c r="B719" s="0" t="n">
        <v>2020</v>
      </c>
      <c r="C719" s="0" t="s">
        <v>402</v>
      </c>
      <c r="D719" s="0" t="n">
        <v>25425</v>
      </c>
      <c r="E719" s="0" t="n">
        <v>1</v>
      </c>
      <c r="F719" s="0" t="s">
        <v>329</v>
      </c>
      <c r="G719" s="0" t="s">
        <v>3650</v>
      </c>
      <c r="I719" s="0" t="s">
        <v>2534</v>
      </c>
    </row>
    <row r="720" customFormat="false" ht="15" hidden="false" customHeight="false" outlineLevel="0" collapsed="false">
      <c r="A720" s="0" t="s">
        <v>138</v>
      </c>
      <c r="B720" s="0" t="n">
        <v>2020</v>
      </c>
      <c r="C720" s="0" t="s">
        <v>670</v>
      </c>
      <c r="D720" s="0" t="n">
        <v>156885</v>
      </c>
      <c r="E720" s="0" t="n">
        <v>1</v>
      </c>
      <c r="F720" s="0" t="s">
        <v>329</v>
      </c>
      <c r="G720" s="0" t="s">
        <v>3650</v>
      </c>
      <c r="I720" s="0" t="s">
        <v>2535</v>
      </c>
    </row>
    <row r="721" customFormat="false" ht="15" hidden="false" customHeight="false" outlineLevel="0" collapsed="false">
      <c r="A721" s="0" t="s">
        <v>138</v>
      </c>
      <c r="B721" s="0" t="n">
        <v>2021</v>
      </c>
      <c r="C721" s="0" t="s">
        <v>54</v>
      </c>
      <c r="D721" s="0" t="n">
        <v>19180</v>
      </c>
      <c r="E721" s="0" t="n">
        <v>1</v>
      </c>
      <c r="F721" s="0" t="s">
        <v>329</v>
      </c>
      <c r="G721" s="0" t="s">
        <v>3650</v>
      </c>
      <c r="I721" s="0" t="s">
        <v>2548</v>
      </c>
    </row>
    <row r="722" customFormat="false" ht="15" hidden="false" customHeight="false" outlineLevel="0" collapsed="false">
      <c r="A722" s="0" t="s">
        <v>138</v>
      </c>
      <c r="B722" s="0" t="n">
        <v>2021</v>
      </c>
      <c r="C722" s="0" t="s">
        <v>55</v>
      </c>
      <c r="D722" s="0" t="n">
        <v>2567441</v>
      </c>
      <c r="E722" s="0" t="n">
        <v>1</v>
      </c>
      <c r="F722" s="0" t="s">
        <v>329</v>
      </c>
      <c r="G722" s="0" t="s">
        <v>3650</v>
      </c>
      <c r="I722" s="0" t="s">
        <v>2550</v>
      </c>
    </row>
    <row r="723" customFormat="false" ht="15" hidden="false" customHeight="false" outlineLevel="0" collapsed="false">
      <c r="A723" s="0" t="s">
        <v>138</v>
      </c>
      <c r="B723" s="0" t="n">
        <v>2021</v>
      </c>
      <c r="C723" s="0" t="s">
        <v>56</v>
      </c>
      <c r="D723" s="0" t="n">
        <v>2315954</v>
      </c>
      <c r="E723" s="0" t="n">
        <v>1</v>
      </c>
      <c r="F723" s="0" t="s">
        <v>329</v>
      </c>
      <c r="G723" s="0" t="s">
        <v>3650</v>
      </c>
      <c r="I723" s="0" t="s">
        <v>2551</v>
      </c>
    </row>
    <row r="724" customFormat="false" ht="15" hidden="false" customHeight="false" outlineLevel="0" collapsed="false">
      <c r="A724" s="0" t="s">
        <v>138</v>
      </c>
      <c r="B724" s="0" t="n">
        <v>2021</v>
      </c>
      <c r="C724" s="0" t="s">
        <v>57</v>
      </c>
      <c r="D724" s="0" t="n">
        <v>251487</v>
      </c>
      <c r="E724" s="0" t="n">
        <v>1</v>
      </c>
      <c r="F724" s="0" t="s">
        <v>329</v>
      </c>
      <c r="G724" s="0" t="s">
        <v>3650</v>
      </c>
      <c r="I724" s="0" t="s">
        <v>2552</v>
      </c>
    </row>
    <row r="725" customFormat="false" ht="15" hidden="false" customHeight="false" outlineLevel="0" collapsed="false">
      <c r="A725" s="0" t="s">
        <v>138</v>
      </c>
      <c r="B725" s="0" t="n">
        <v>2021</v>
      </c>
      <c r="C725" s="0" t="s">
        <v>58</v>
      </c>
      <c r="D725" s="0" t="n">
        <v>252140</v>
      </c>
      <c r="E725" s="0" t="n">
        <v>1</v>
      </c>
      <c r="F725" s="0" t="s">
        <v>329</v>
      </c>
      <c r="G725" s="0" t="s">
        <v>3650</v>
      </c>
      <c r="I725" s="0" t="s">
        <v>2553</v>
      </c>
    </row>
    <row r="726" customFormat="false" ht="15" hidden="false" customHeight="false" outlineLevel="0" collapsed="false">
      <c r="A726" s="0" t="s">
        <v>138</v>
      </c>
      <c r="B726" s="0" t="n">
        <v>2021</v>
      </c>
      <c r="C726" s="0" t="s">
        <v>59</v>
      </c>
      <c r="D726" s="0" t="n">
        <v>2073758</v>
      </c>
      <c r="E726" s="0" t="n">
        <v>1</v>
      </c>
      <c r="F726" s="0" t="s">
        <v>329</v>
      </c>
      <c r="G726" s="0" t="s">
        <v>3650</v>
      </c>
      <c r="I726" s="0" t="s">
        <v>2554</v>
      </c>
    </row>
    <row r="727" customFormat="false" ht="15" hidden="false" customHeight="false" outlineLevel="0" collapsed="false">
      <c r="A727" s="0" t="s">
        <v>138</v>
      </c>
      <c r="B727" s="0" t="n">
        <v>2021</v>
      </c>
      <c r="C727" s="0" t="s">
        <v>60</v>
      </c>
      <c r="D727" s="0" t="n">
        <v>899106</v>
      </c>
      <c r="E727" s="0" t="n">
        <v>1</v>
      </c>
      <c r="F727" s="0" t="s">
        <v>329</v>
      </c>
      <c r="G727" s="0" t="s">
        <v>3650</v>
      </c>
      <c r="I727" s="0" t="s">
        <v>2555</v>
      </c>
    </row>
    <row r="728" customFormat="false" ht="15" hidden="false" customHeight="false" outlineLevel="0" collapsed="false">
      <c r="A728" s="0" t="s">
        <v>138</v>
      </c>
      <c r="B728" s="0" t="n">
        <v>2021</v>
      </c>
      <c r="C728" s="0" t="s">
        <v>61</v>
      </c>
      <c r="D728" s="0" t="n">
        <v>30266</v>
      </c>
      <c r="E728" s="0" t="n">
        <v>1</v>
      </c>
      <c r="F728" s="0" t="s">
        <v>329</v>
      </c>
      <c r="G728" s="0" t="s">
        <v>3650</v>
      </c>
      <c r="I728" s="0" t="s">
        <v>2557</v>
      </c>
    </row>
    <row r="729" customFormat="false" ht="15" hidden="false" customHeight="false" outlineLevel="0" collapsed="false">
      <c r="A729" s="0" t="s">
        <v>138</v>
      </c>
      <c r="B729" s="0" t="n">
        <v>2021</v>
      </c>
      <c r="C729" s="0" t="s">
        <v>62</v>
      </c>
      <c r="D729" s="0" t="n">
        <v>868840</v>
      </c>
      <c r="E729" s="0" t="n">
        <v>1</v>
      </c>
      <c r="F729" s="0" t="s">
        <v>329</v>
      </c>
      <c r="G729" s="0" t="s">
        <v>3650</v>
      </c>
      <c r="I729" s="0" t="s">
        <v>2558</v>
      </c>
    </row>
    <row r="730" customFormat="false" ht="15" hidden="false" customHeight="false" outlineLevel="0" collapsed="false">
      <c r="A730" s="0" t="s">
        <v>138</v>
      </c>
      <c r="B730" s="0" t="n">
        <v>2021</v>
      </c>
      <c r="C730" s="0" t="s">
        <v>63</v>
      </c>
      <c r="D730" s="0" t="n">
        <v>286</v>
      </c>
      <c r="E730" s="0" t="n">
        <v>1</v>
      </c>
      <c r="F730" s="0" t="s">
        <v>329</v>
      </c>
      <c r="G730" s="0" t="s">
        <v>3650</v>
      </c>
      <c r="I730" s="0" t="s">
        <v>2561</v>
      </c>
    </row>
    <row r="731" customFormat="false" ht="15" hidden="false" customHeight="false" outlineLevel="0" collapsed="false">
      <c r="A731" s="0" t="s">
        <v>138</v>
      </c>
      <c r="B731" s="0" t="n">
        <v>2021</v>
      </c>
      <c r="C731" s="0" t="s">
        <v>557</v>
      </c>
      <c r="D731" s="0" t="n">
        <v>320</v>
      </c>
      <c r="E731" s="0" t="n">
        <v>1</v>
      </c>
      <c r="F731" s="0" t="s">
        <v>329</v>
      </c>
      <c r="G731" s="0" t="s">
        <v>3650</v>
      </c>
      <c r="I731" s="0" t="s">
        <v>2563</v>
      </c>
    </row>
    <row r="732" customFormat="false" ht="15" hidden="false" customHeight="false" outlineLevel="0" collapsed="false">
      <c r="A732" s="0" t="s">
        <v>138</v>
      </c>
      <c r="B732" s="0" t="n">
        <v>2021</v>
      </c>
      <c r="C732" s="0" t="s">
        <v>710</v>
      </c>
      <c r="D732" s="0" t="n">
        <v>-34</v>
      </c>
      <c r="E732" s="0" t="n">
        <v>1</v>
      </c>
      <c r="F732" s="0" t="s">
        <v>329</v>
      </c>
      <c r="G732" s="0" t="s">
        <v>3650</v>
      </c>
      <c r="I732" s="0" t="s">
        <v>2562</v>
      </c>
    </row>
    <row r="733" customFormat="false" ht="15" hidden="false" customHeight="false" outlineLevel="0" collapsed="false">
      <c r="A733" s="0" t="s">
        <v>138</v>
      </c>
      <c r="B733" s="0" t="n">
        <v>2021</v>
      </c>
      <c r="C733" s="0" t="s">
        <v>64</v>
      </c>
      <c r="D733" s="0" t="n">
        <v>38660</v>
      </c>
      <c r="E733" s="0" t="n">
        <v>1</v>
      </c>
      <c r="F733" s="0" t="s">
        <v>329</v>
      </c>
      <c r="G733" s="0" t="s">
        <v>3650</v>
      </c>
      <c r="I733" s="0" t="s">
        <v>2568</v>
      </c>
    </row>
    <row r="734" customFormat="false" ht="15" hidden="false" customHeight="false" outlineLevel="0" collapsed="false">
      <c r="A734" s="0" t="s">
        <v>138</v>
      </c>
      <c r="B734" s="0" t="n">
        <v>2021</v>
      </c>
      <c r="C734" s="0" t="s">
        <v>69</v>
      </c>
      <c r="D734" s="0" t="n">
        <v>14.61</v>
      </c>
      <c r="E734" s="0" t="n">
        <v>1</v>
      </c>
      <c r="F734" s="0" t="s">
        <v>329</v>
      </c>
      <c r="G734" s="0" t="s">
        <v>3650</v>
      </c>
      <c r="I734" s="0" t="s">
        <v>2564</v>
      </c>
    </row>
    <row r="735" customFormat="false" ht="15" hidden="false" customHeight="false" outlineLevel="0" collapsed="false">
      <c r="A735" s="0" t="s">
        <v>138</v>
      </c>
      <c r="B735" s="0" t="n">
        <v>2021</v>
      </c>
      <c r="C735" s="0" t="s">
        <v>65</v>
      </c>
      <c r="D735" s="0" t="n">
        <v>156040</v>
      </c>
      <c r="E735" s="0" t="n">
        <v>1</v>
      </c>
      <c r="F735" s="0" t="s">
        <v>329</v>
      </c>
      <c r="G735" s="0" t="s">
        <v>3650</v>
      </c>
      <c r="I735" s="0" t="s">
        <v>2566</v>
      </c>
    </row>
    <row r="736" customFormat="false" ht="15" hidden="false" customHeight="false" outlineLevel="0" collapsed="false">
      <c r="A736" s="0" t="s">
        <v>138</v>
      </c>
      <c r="B736" s="0" t="n">
        <v>2021</v>
      </c>
      <c r="C736" s="0" t="s">
        <v>66</v>
      </c>
      <c r="D736" s="0" t="n">
        <v>1068135</v>
      </c>
      <c r="E736" s="0" t="n">
        <v>1</v>
      </c>
      <c r="F736" s="0" t="s">
        <v>329</v>
      </c>
      <c r="G736" s="0" t="s">
        <v>3650</v>
      </c>
      <c r="I736" s="0" t="s">
        <v>2567</v>
      </c>
    </row>
    <row r="737" customFormat="false" ht="15" hidden="false" customHeight="false" outlineLevel="0" collapsed="false">
      <c r="A737" s="0" t="s">
        <v>138</v>
      </c>
      <c r="B737" s="0" t="n">
        <v>2021</v>
      </c>
      <c r="C737" s="0" t="s">
        <v>67</v>
      </c>
      <c r="D737" s="0" t="n">
        <v>62064</v>
      </c>
      <c r="E737" s="0" t="n">
        <v>1</v>
      </c>
      <c r="F737" s="0" t="s">
        <v>329</v>
      </c>
      <c r="G737" s="0" t="s">
        <v>3650</v>
      </c>
      <c r="I737" s="0" t="s">
        <v>2569</v>
      </c>
    </row>
    <row r="738" customFormat="false" ht="15" hidden="false" customHeight="false" outlineLevel="0" collapsed="false">
      <c r="A738" s="0" t="s">
        <v>138</v>
      </c>
      <c r="B738" s="0" t="n">
        <v>2021</v>
      </c>
      <c r="C738" s="0" t="s">
        <v>68</v>
      </c>
      <c r="D738" s="0" t="n">
        <v>13274</v>
      </c>
      <c r="E738" s="0" t="n">
        <v>1</v>
      </c>
      <c r="F738" s="0" t="s">
        <v>329</v>
      </c>
      <c r="G738" s="0" t="s">
        <v>3650</v>
      </c>
      <c r="I738" s="0" t="s">
        <v>2570</v>
      </c>
    </row>
    <row r="739" customFormat="false" ht="15" hidden="false" customHeight="false" outlineLevel="0" collapsed="false">
      <c r="A739" s="0" t="s">
        <v>138</v>
      </c>
      <c r="B739" s="0" t="n">
        <v>2021</v>
      </c>
      <c r="C739" s="0" t="s">
        <v>402</v>
      </c>
      <c r="D739" s="0" t="n">
        <v>20532</v>
      </c>
      <c r="E739" s="0" t="n">
        <v>1</v>
      </c>
      <c r="F739" s="0" t="s">
        <v>329</v>
      </c>
      <c r="G739" s="0" t="s">
        <v>3650</v>
      </c>
      <c r="I739" s="0" t="s">
        <v>2559</v>
      </c>
    </row>
    <row r="740" customFormat="false" ht="15" hidden="false" customHeight="false" outlineLevel="0" collapsed="false">
      <c r="A740" s="0" t="s">
        <v>138</v>
      </c>
      <c r="B740" s="0" t="n">
        <v>2021</v>
      </c>
      <c r="C740" s="0" t="s">
        <v>670</v>
      </c>
      <c r="D740" s="0" t="n">
        <v>175006</v>
      </c>
      <c r="E740" s="0" t="n">
        <v>1</v>
      </c>
      <c r="F740" s="0" t="s">
        <v>329</v>
      </c>
      <c r="G740" s="0" t="s">
        <v>3650</v>
      </c>
      <c r="I740" s="0" t="s">
        <v>2560</v>
      </c>
    </row>
    <row r="741" customFormat="false" ht="15" hidden="false" customHeight="false" outlineLevel="0" collapsed="false">
      <c r="A741" s="0" t="s">
        <v>138</v>
      </c>
      <c r="B741" s="0" t="n">
        <v>2022</v>
      </c>
      <c r="C741" s="0" t="s">
        <v>54</v>
      </c>
      <c r="D741" s="0" t="n">
        <v>29009</v>
      </c>
      <c r="E741" s="0" t="n">
        <v>1</v>
      </c>
      <c r="F741" s="0" t="s">
        <v>329</v>
      </c>
      <c r="G741" s="0" t="s">
        <v>3650</v>
      </c>
      <c r="I741" s="0" t="s">
        <v>2572</v>
      </c>
    </row>
    <row r="742" customFormat="false" ht="15" hidden="false" customHeight="false" outlineLevel="0" collapsed="false">
      <c r="A742" s="0" t="s">
        <v>138</v>
      </c>
      <c r="B742" s="0" t="n">
        <v>2022</v>
      </c>
      <c r="C742" s="0" t="s">
        <v>55</v>
      </c>
      <c r="D742" s="0" t="n">
        <v>2793674</v>
      </c>
      <c r="E742" s="0" t="n">
        <v>1</v>
      </c>
      <c r="F742" s="0" t="s">
        <v>329</v>
      </c>
      <c r="G742" s="0" t="s">
        <v>3650</v>
      </c>
      <c r="I742" s="0" t="s">
        <v>2573</v>
      </c>
    </row>
    <row r="743" customFormat="false" ht="15" hidden="false" customHeight="false" outlineLevel="0" collapsed="false">
      <c r="A743" s="0" t="s">
        <v>138</v>
      </c>
      <c r="B743" s="0" t="n">
        <v>2022</v>
      </c>
      <c r="C743" s="0" t="s">
        <v>56</v>
      </c>
      <c r="D743" s="0" t="n">
        <v>2503824</v>
      </c>
      <c r="E743" s="0" t="n">
        <v>1</v>
      </c>
      <c r="F743" s="0" t="s">
        <v>329</v>
      </c>
      <c r="G743" s="0" t="s">
        <v>3650</v>
      </c>
      <c r="I743" s="0" t="s">
        <v>2574</v>
      </c>
    </row>
    <row r="744" customFormat="false" ht="15" hidden="false" customHeight="false" outlineLevel="0" collapsed="false">
      <c r="A744" s="0" t="s">
        <v>138</v>
      </c>
      <c r="B744" s="0" t="n">
        <v>2022</v>
      </c>
      <c r="C744" s="0" t="s">
        <v>57</v>
      </c>
      <c r="D744" s="0" t="n">
        <v>289850</v>
      </c>
      <c r="E744" s="0" t="n">
        <v>1</v>
      </c>
      <c r="F744" s="0" t="s">
        <v>329</v>
      </c>
      <c r="G744" s="0" t="s">
        <v>3650</v>
      </c>
      <c r="I744" s="0" t="s">
        <v>2575</v>
      </c>
    </row>
    <row r="745" customFormat="false" ht="15" hidden="false" customHeight="false" outlineLevel="0" collapsed="false">
      <c r="A745" s="0" t="s">
        <v>138</v>
      </c>
      <c r="B745" s="0" t="n">
        <v>2022</v>
      </c>
      <c r="C745" s="0" t="s">
        <v>58</v>
      </c>
      <c r="D745" s="0" t="n">
        <v>80277</v>
      </c>
      <c r="E745" s="0" t="n">
        <v>1</v>
      </c>
      <c r="F745" s="0" t="s">
        <v>329</v>
      </c>
      <c r="G745" s="0" t="s">
        <v>3650</v>
      </c>
      <c r="I745" s="0" t="s">
        <v>2576</v>
      </c>
    </row>
    <row r="746" customFormat="false" ht="15" hidden="false" customHeight="false" outlineLevel="0" collapsed="false">
      <c r="A746" s="0" t="s">
        <v>138</v>
      </c>
      <c r="B746" s="0" t="n">
        <v>2022</v>
      </c>
      <c r="C746" s="0" t="s">
        <v>59</v>
      </c>
      <c r="D746" s="0" t="n">
        <v>2567441</v>
      </c>
      <c r="E746" s="0" t="n">
        <v>1</v>
      </c>
      <c r="F746" s="0" t="s">
        <v>329</v>
      </c>
      <c r="G746" s="0" t="s">
        <v>3650</v>
      </c>
      <c r="I746" s="0" t="s">
        <v>2577</v>
      </c>
    </row>
    <row r="747" customFormat="false" ht="15" hidden="false" customHeight="false" outlineLevel="0" collapsed="false">
      <c r="A747" s="0" t="s">
        <v>138</v>
      </c>
      <c r="B747" s="0" t="n">
        <v>2022</v>
      </c>
      <c r="C747" s="0" t="s">
        <v>60</v>
      </c>
      <c r="D747" s="0" t="n">
        <v>1000903</v>
      </c>
      <c r="E747" s="0" t="n">
        <v>1</v>
      </c>
      <c r="F747" s="0" t="s">
        <v>329</v>
      </c>
      <c r="G747" s="0" t="s">
        <v>3650</v>
      </c>
      <c r="I747" s="0" t="s">
        <v>2578</v>
      </c>
    </row>
    <row r="748" customFormat="false" ht="15" hidden="false" customHeight="false" outlineLevel="0" collapsed="false">
      <c r="A748" s="0" t="s">
        <v>138</v>
      </c>
      <c r="B748" s="0" t="n">
        <v>2022</v>
      </c>
      <c r="C748" s="0" t="s">
        <v>61</v>
      </c>
      <c r="D748" s="0" t="n">
        <v>32015</v>
      </c>
      <c r="E748" s="0" t="n">
        <v>1</v>
      </c>
      <c r="F748" s="0" t="s">
        <v>329</v>
      </c>
      <c r="G748" s="0" t="s">
        <v>3650</v>
      </c>
      <c r="I748" s="0" t="s">
        <v>2579</v>
      </c>
    </row>
    <row r="749" customFormat="false" ht="15" hidden="false" customHeight="false" outlineLevel="0" collapsed="false">
      <c r="A749" s="0" t="s">
        <v>138</v>
      </c>
      <c r="B749" s="0" t="n">
        <v>2022</v>
      </c>
      <c r="C749" s="0" t="s">
        <v>62</v>
      </c>
      <c r="D749" s="0" t="n">
        <v>968888</v>
      </c>
      <c r="E749" s="0" t="n">
        <v>1</v>
      </c>
      <c r="F749" s="0" t="s">
        <v>329</v>
      </c>
      <c r="G749" s="0" t="s">
        <v>3650</v>
      </c>
      <c r="I749" s="0" t="s">
        <v>2580</v>
      </c>
    </row>
    <row r="750" customFormat="false" ht="15" hidden="false" customHeight="false" outlineLevel="0" collapsed="false">
      <c r="A750" s="0" t="s">
        <v>138</v>
      </c>
      <c r="B750" s="0" t="n">
        <v>2022</v>
      </c>
      <c r="C750" s="0" t="s">
        <v>63</v>
      </c>
      <c r="D750" s="0" t="n">
        <v>4475</v>
      </c>
      <c r="E750" s="0" t="n">
        <v>1</v>
      </c>
      <c r="F750" s="0" t="s">
        <v>329</v>
      </c>
      <c r="G750" s="0" t="s">
        <v>3650</v>
      </c>
      <c r="I750" s="0" t="s">
        <v>2583</v>
      </c>
    </row>
    <row r="751" customFormat="false" ht="15" hidden="false" customHeight="false" outlineLevel="0" collapsed="false">
      <c r="A751" s="0" t="s">
        <v>138</v>
      </c>
      <c r="B751" s="0" t="n">
        <v>2022</v>
      </c>
      <c r="C751" s="0" t="s">
        <v>557</v>
      </c>
      <c r="D751" s="0" t="n">
        <v>1266</v>
      </c>
      <c r="E751" s="0" t="n">
        <v>1</v>
      </c>
      <c r="F751" s="0" t="s">
        <v>329</v>
      </c>
      <c r="G751" s="0" t="s">
        <v>3650</v>
      </c>
      <c r="I751" s="0" t="s">
        <v>2585</v>
      </c>
    </row>
    <row r="752" customFormat="false" ht="15" hidden="false" customHeight="false" outlineLevel="0" collapsed="false">
      <c r="A752" s="0" t="s">
        <v>138</v>
      </c>
      <c r="B752" s="0" t="n">
        <v>2022</v>
      </c>
      <c r="C752" s="0" t="s">
        <v>710</v>
      </c>
      <c r="D752" s="0" t="n">
        <v>3209</v>
      </c>
      <c r="E752" s="0" t="n">
        <v>1</v>
      </c>
      <c r="F752" s="0" t="s">
        <v>329</v>
      </c>
      <c r="G752" s="0" t="s">
        <v>3650</v>
      </c>
      <c r="I752" s="0" t="s">
        <v>2584</v>
      </c>
    </row>
    <row r="753" customFormat="false" ht="15" hidden="false" customHeight="false" outlineLevel="0" collapsed="false">
      <c r="A753" s="0" t="s">
        <v>138</v>
      </c>
      <c r="B753" s="0" t="n">
        <v>2022</v>
      </c>
      <c r="C753" s="0" t="s">
        <v>64</v>
      </c>
      <c r="D753" s="0" t="n">
        <v>40276</v>
      </c>
      <c r="E753" s="0" t="n">
        <v>1</v>
      </c>
      <c r="F753" s="0" t="s">
        <v>329</v>
      </c>
      <c r="G753" s="0" t="s">
        <v>3650</v>
      </c>
      <c r="I753" s="0" t="s">
        <v>2591</v>
      </c>
    </row>
    <row r="754" customFormat="false" ht="15" hidden="false" customHeight="false" outlineLevel="0" collapsed="false">
      <c r="A754" s="0" t="s">
        <v>138</v>
      </c>
      <c r="B754" s="0" t="n">
        <v>2022</v>
      </c>
      <c r="C754" s="0" t="s">
        <v>69</v>
      </c>
      <c r="D754" s="0" t="n">
        <v>14.42</v>
      </c>
      <c r="E754" s="0" t="n">
        <v>1</v>
      </c>
      <c r="F754" s="0" t="s">
        <v>329</v>
      </c>
      <c r="G754" s="0" t="s">
        <v>3650</v>
      </c>
      <c r="I754" s="0" t="s">
        <v>2586</v>
      </c>
    </row>
    <row r="755" customFormat="false" ht="15" hidden="false" customHeight="false" outlineLevel="0" collapsed="false">
      <c r="A755" s="0" t="s">
        <v>138</v>
      </c>
      <c r="B755" s="0" t="n">
        <v>2022</v>
      </c>
      <c r="C755" s="0" t="s">
        <v>70</v>
      </c>
      <c r="D755" s="0" t="n">
        <v>10</v>
      </c>
      <c r="E755" s="0" t="n">
        <v>1</v>
      </c>
      <c r="F755" s="0" t="s">
        <v>329</v>
      </c>
      <c r="G755" s="0" t="s">
        <v>3650</v>
      </c>
      <c r="I755" s="0" t="s">
        <v>2589</v>
      </c>
    </row>
    <row r="756" customFormat="false" ht="15" hidden="false" customHeight="false" outlineLevel="0" collapsed="false">
      <c r="A756" s="0" t="s">
        <v>138</v>
      </c>
      <c r="B756" s="0" t="n">
        <v>2022</v>
      </c>
      <c r="C756" s="0" t="s">
        <v>65</v>
      </c>
      <c r="D756" s="0" t="n">
        <v>180613</v>
      </c>
      <c r="E756" s="0" t="n">
        <v>1</v>
      </c>
      <c r="F756" s="0" t="s">
        <v>329</v>
      </c>
      <c r="G756" s="0" t="s">
        <v>3650</v>
      </c>
      <c r="I756" s="0" t="s">
        <v>2587</v>
      </c>
    </row>
    <row r="757" customFormat="false" ht="15" hidden="false" customHeight="false" outlineLevel="0" collapsed="false">
      <c r="A757" s="0" t="s">
        <v>138</v>
      </c>
      <c r="B757" s="0" t="n">
        <v>2022</v>
      </c>
      <c r="C757" s="0" t="s">
        <v>66</v>
      </c>
      <c r="D757" s="0" t="n">
        <v>1252579</v>
      </c>
      <c r="E757" s="0" t="n">
        <v>1</v>
      </c>
      <c r="F757" s="0" t="s">
        <v>329</v>
      </c>
      <c r="G757" s="0" t="s">
        <v>3650</v>
      </c>
      <c r="I757" s="0" t="s">
        <v>2588</v>
      </c>
    </row>
    <row r="758" customFormat="false" ht="15" hidden="false" customHeight="false" outlineLevel="0" collapsed="false">
      <c r="A758" s="0" t="s">
        <v>138</v>
      </c>
      <c r="B758" s="0" t="n">
        <v>2022</v>
      </c>
      <c r="C758" s="0" t="s">
        <v>73</v>
      </c>
      <c r="D758" s="0" t="n">
        <v>0</v>
      </c>
      <c r="E758" s="0" t="n">
        <v>1</v>
      </c>
      <c r="F758" s="0" t="s">
        <v>329</v>
      </c>
      <c r="G758" s="0" t="s">
        <v>3650</v>
      </c>
      <c r="I758" s="0" t="s">
        <v>305</v>
      </c>
    </row>
    <row r="759" customFormat="false" ht="15" hidden="false" customHeight="false" outlineLevel="0" collapsed="false">
      <c r="A759" s="0" t="s">
        <v>138</v>
      </c>
      <c r="B759" s="0" t="n">
        <v>2022</v>
      </c>
      <c r="C759" s="0" t="s">
        <v>67</v>
      </c>
      <c r="D759" s="0" t="n">
        <v>74070</v>
      </c>
      <c r="E759" s="0" t="n">
        <v>1</v>
      </c>
      <c r="F759" s="0" t="s">
        <v>329</v>
      </c>
      <c r="G759" s="0" t="s">
        <v>3650</v>
      </c>
      <c r="I759" s="0" t="s">
        <v>2592</v>
      </c>
    </row>
    <row r="760" customFormat="false" ht="15" hidden="false" customHeight="false" outlineLevel="0" collapsed="false">
      <c r="A760" s="0" t="s">
        <v>138</v>
      </c>
      <c r="B760" s="0" t="n">
        <v>2022</v>
      </c>
      <c r="C760" s="0" t="s">
        <v>402</v>
      </c>
      <c r="D760" s="0" t="n">
        <v>30206</v>
      </c>
      <c r="E760" s="0" t="n">
        <v>1</v>
      </c>
      <c r="F760" s="0" t="s">
        <v>329</v>
      </c>
      <c r="G760" s="0" t="s">
        <v>3650</v>
      </c>
      <c r="I760" s="0" t="s">
        <v>2581</v>
      </c>
    </row>
    <row r="761" customFormat="false" ht="15" hidden="false" customHeight="false" outlineLevel="0" collapsed="false">
      <c r="A761" s="0" t="s">
        <v>138</v>
      </c>
      <c r="B761" s="0" t="n">
        <v>2022</v>
      </c>
      <c r="C761" s="0" t="s">
        <v>670</v>
      </c>
      <c r="D761" s="0" t="n">
        <v>208171</v>
      </c>
      <c r="E761" s="0" t="n">
        <v>1</v>
      </c>
      <c r="F761" s="0" t="s">
        <v>329</v>
      </c>
      <c r="G761" s="0" t="s">
        <v>3650</v>
      </c>
      <c r="I761" s="0" t="s">
        <v>2582</v>
      </c>
    </row>
    <row r="762" customFormat="false" ht="15" hidden="false" customHeight="false" outlineLevel="0" collapsed="false">
      <c r="A762" s="0" t="s">
        <v>152</v>
      </c>
      <c r="B762" s="0" t="n">
        <v>2018</v>
      </c>
      <c r="C762" s="0" t="s">
        <v>54</v>
      </c>
      <c r="D762" s="0" t="n">
        <v>-7695.32</v>
      </c>
      <c r="E762" s="0" t="n">
        <v>1</v>
      </c>
      <c r="F762" s="0" t="s">
        <v>329</v>
      </c>
      <c r="G762" s="0" t="s">
        <v>3650</v>
      </c>
      <c r="I762" s="0" t="s">
        <v>1959</v>
      </c>
    </row>
    <row r="763" customFormat="false" ht="15" hidden="false" customHeight="false" outlineLevel="0" collapsed="false">
      <c r="A763" s="0" t="s">
        <v>152</v>
      </c>
      <c r="B763" s="0" t="n">
        <v>2018</v>
      </c>
      <c r="C763" s="0" t="s">
        <v>55</v>
      </c>
      <c r="D763" s="0" t="n">
        <v>210800.841</v>
      </c>
      <c r="E763" s="0" t="n">
        <v>1</v>
      </c>
      <c r="F763" s="0" t="s">
        <v>329</v>
      </c>
      <c r="G763" s="0" t="s">
        <v>3650</v>
      </c>
      <c r="I763" s="0" t="s">
        <v>1969</v>
      </c>
    </row>
    <row r="764" customFormat="false" ht="15" hidden="false" customHeight="false" outlineLevel="0" collapsed="false">
      <c r="A764" s="0" t="s">
        <v>152</v>
      </c>
      <c r="B764" s="0" t="n">
        <v>2018</v>
      </c>
      <c r="C764" s="0" t="s">
        <v>56</v>
      </c>
      <c r="D764" s="0" t="n">
        <v>495175.495</v>
      </c>
      <c r="E764" s="0" t="n">
        <v>1</v>
      </c>
      <c r="F764" s="0" t="s">
        <v>329</v>
      </c>
      <c r="G764" s="0" t="s">
        <v>3650</v>
      </c>
      <c r="I764" s="0" t="s">
        <v>1971</v>
      </c>
    </row>
    <row r="765" customFormat="false" ht="15" hidden="false" customHeight="false" outlineLevel="0" collapsed="false">
      <c r="A765" s="0" t="s">
        <v>152</v>
      </c>
      <c r="B765" s="0" t="n">
        <v>2018</v>
      </c>
      <c r="C765" s="0" t="s">
        <v>57</v>
      </c>
      <c r="D765" s="0" t="n">
        <v>-284374.654</v>
      </c>
      <c r="E765" s="0" t="n">
        <v>1</v>
      </c>
      <c r="F765" s="0" t="s">
        <v>329</v>
      </c>
      <c r="G765" s="0" t="s">
        <v>3650</v>
      </c>
      <c r="I765" s="0" t="s">
        <v>1970</v>
      </c>
    </row>
    <row r="766" customFormat="false" ht="15" hidden="false" customHeight="false" outlineLevel="0" collapsed="false">
      <c r="A766" s="0" t="s">
        <v>152</v>
      </c>
      <c r="B766" s="0" t="n">
        <v>2018</v>
      </c>
      <c r="C766" s="0" t="s">
        <v>58</v>
      </c>
      <c r="D766" s="0" t="n">
        <v>-442.603</v>
      </c>
      <c r="E766" s="0" t="n">
        <v>1</v>
      </c>
      <c r="F766" s="0" t="s">
        <v>329</v>
      </c>
      <c r="G766" s="0" t="s">
        <v>3650</v>
      </c>
      <c r="I766" s="0" t="s">
        <v>1958</v>
      </c>
    </row>
    <row r="767" customFormat="false" ht="15" hidden="false" customHeight="false" outlineLevel="0" collapsed="false">
      <c r="A767" s="0" t="s">
        <v>152</v>
      </c>
      <c r="B767" s="0" t="n">
        <v>2018</v>
      </c>
      <c r="C767" s="0" t="s">
        <v>60</v>
      </c>
      <c r="D767" s="0" t="n">
        <v>44841.156</v>
      </c>
      <c r="E767" s="0" t="n">
        <v>1</v>
      </c>
      <c r="F767" s="0" t="s">
        <v>329</v>
      </c>
      <c r="G767" s="0" t="s">
        <v>3650</v>
      </c>
      <c r="I767" s="0" t="s">
        <v>1945</v>
      </c>
    </row>
    <row r="768" customFormat="false" ht="15" hidden="false" customHeight="false" outlineLevel="0" collapsed="false">
      <c r="A768" s="0" t="s">
        <v>152</v>
      </c>
      <c r="B768" s="0" t="n">
        <v>2018</v>
      </c>
      <c r="C768" s="0" t="s">
        <v>61</v>
      </c>
      <c r="D768" s="0" t="n">
        <v>744.197</v>
      </c>
      <c r="E768" s="0" t="n">
        <v>1</v>
      </c>
      <c r="F768" s="0" t="s">
        <v>329</v>
      </c>
      <c r="G768" s="0" t="s">
        <v>3650</v>
      </c>
      <c r="I768" s="0" t="s">
        <v>1951</v>
      </c>
    </row>
    <row r="769" customFormat="false" ht="15" hidden="false" customHeight="false" outlineLevel="0" collapsed="false">
      <c r="A769" s="0" t="s">
        <v>152</v>
      </c>
      <c r="B769" s="0" t="n">
        <v>2018</v>
      </c>
      <c r="C769" s="0" t="s">
        <v>63</v>
      </c>
      <c r="D769" s="0" t="n">
        <v>5958.492</v>
      </c>
      <c r="E769" s="0" t="n">
        <v>1</v>
      </c>
      <c r="F769" s="0" t="s">
        <v>329</v>
      </c>
      <c r="G769" s="0" t="s">
        <v>3650</v>
      </c>
      <c r="I769" s="0" t="s">
        <v>1950</v>
      </c>
    </row>
    <row r="770" customFormat="false" ht="15" hidden="false" customHeight="false" outlineLevel="0" collapsed="false">
      <c r="A770" s="0" t="s">
        <v>152</v>
      </c>
      <c r="B770" s="0" t="n">
        <v>2018</v>
      </c>
      <c r="C770" s="0" t="s">
        <v>69</v>
      </c>
      <c r="D770" s="0" t="n">
        <v>-214.8</v>
      </c>
      <c r="E770" s="0" t="n">
        <v>1</v>
      </c>
      <c r="F770" s="0" t="s">
        <v>329</v>
      </c>
      <c r="G770" s="0" t="s">
        <v>3668</v>
      </c>
      <c r="H770" s="0" t="s">
        <v>3669</v>
      </c>
      <c r="I770" s="0" t="s">
        <v>1935</v>
      </c>
    </row>
    <row r="771" customFormat="false" ht="15" hidden="false" customHeight="false" outlineLevel="0" collapsed="false">
      <c r="A771" s="0" t="s">
        <v>152</v>
      </c>
      <c r="B771" s="0" t="n">
        <v>2018</v>
      </c>
      <c r="C771" s="0" t="s">
        <v>591</v>
      </c>
      <c r="D771" s="0" t="n">
        <v>-213.68</v>
      </c>
      <c r="E771" s="0" t="n">
        <v>1</v>
      </c>
      <c r="F771" s="0" t="s">
        <v>329</v>
      </c>
      <c r="G771" s="0" t="s">
        <v>3650</v>
      </c>
      <c r="I771" s="0" t="s">
        <v>1942</v>
      </c>
    </row>
    <row r="772" customFormat="false" ht="15" hidden="false" customHeight="false" outlineLevel="0" collapsed="false">
      <c r="A772" s="0" t="s">
        <v>152</v>
      </c>
      <c r="B772" s="0" t="n">
        <v>2018</v>
      </c>
      <c r="C772" s="0" t="s">
        <v>70</v>
      </c>
      <c r="D772" s="0" t="n">
        <v>10</v>
      </c>
      <c r="E772" s="0" t="n">
        <v>1</v>
      </c>
      <c r="F772" s="0" t="s">
        <v>329</v>
      </c>
      <c r="G772" s="0" t="s">
        <v>3650</v>
      </c>
      <c r="I772" s="0" t="s">
        <v>1940</v>
      </c>
    </row>
    <row r="773" customFormat="false" ht="15" hidden="false" customHeight="false" outlineLevel="0" collapsed="false">
      <c r="A773" s="0" t="s">
        <v>152</v>
      </c>
      <c r="B773" s="0" t="n">
        <v>2019</v>
      </c>
      <c r="C773" s="0" t="s">
        <v>54</v>
      </c>
      <c r="D773" s="0" t="n">
        <v>3383.189</v>
      </c>
      <c r="E773" s="0" t="n">
        <v>1</v>
      </c>
      <c r="F773" s="0" t="s">
        <v>329</v>
      </c>
      <c r="G773" s="0" t="s">
        <v>3650</v>
      </c>
      <c r="I773" s="0" t="s">
        <v>1990</v>
      </c>
    </row>
    <row r="774" customFormat="false" ht="15" hidden="false" customHeight="false" outlineLevel="0" collapsed="false">
      <c r="A774" s="0" t="s">
        <v>152</v>
      </c>
      <c r="B774" s="0" t="n">
        <v>2019</v>
      </c>
      <c r="C774" s="0" t="s">
        <v>55</v>
      </c>
      <c r="D774" s="0" t="n">
        <v>293052.07</v>
      </c>
      <c r="E774" s="0" t="n">
        <v>1</v>
      </c>
      <c r="F774" s="0" t="s">
        <v>329</v>
      </c>
      <c r="G774" s="0" t="s">
        <v>3650</v>
      </c>
      <c r="I774" s="0" t="s">
        <v>1994</v>
      </c>
    </row>
    <row r="775" customFormat="false" ht="15" hidden="false" customHeight="false" outlineLevel="0" collapsed="false">
      <c r="A775" s="0" t="s">
        <v>152</v>
      </c>
      <c r="B775" s="0" t="n">
        <v>2019</v>
      </c>
      <c r="C775" s="0" t="s">
        <v>56</v>
      </c>
      <c r="D775" s="0" t="n">
        <v>571907.958</v>
      </c>
      <c r="E775" s="0" t="n">
        <v>1</v>
      </c>
      <c r="F775" s="0" t="s">
        <v>329</v>
      </c>
      <c r="G775" s="0" t="s">
        <v>3650</v>
      </c>
      <c r="I775" s="0" t="s">
        <v>1996</v>
      </c>
    </row>
    <row r="776" customFormat="false" ht="15" hidden="false" customHeight="false" outlineLevel="0" collapsed="false">
      <c r="A776" s="0" t="s">
        <v>152</v>
      </c>
      <c r="B776" s="0" t="n">
        <v>2019</v>
      </c>
      <c r="C776" s="0" t="s">
        <v>57</v>
      </c>
      <c r="D776" s="0" t="n">
        <v>-278855.888</v>
      </c>
      <c r="E776" s="0" t="n">
        <v>1</v>
      </c>
      <c r="F776" s="0" t="s">
        <v>329</v>
      </c>
      <c r="G776" s="0" t="s">
        <v>3650</v>
      </c>
      <c r="I776" s="0" t="s">
        <v>1995</v>
      </c>
    </row>
    <row r="777" customFormat="false" ht="15" hidden="false" customHeight="false" outlineLevel="0" collapsed="false">
      <c r="A777" s="0" t="s">
        <v>152</v>
      </c>
      <c r="B777" s="0" t="n">
        <v>2019</v>
      </c>
      <c r="C777" s="0" t="s">
        <v>58</v>
      </c>
      <c r="D777" s="0" t="n">
        <v>-39427.662</v>
      </c>
      <c r="E777" s="0" t="n">
        <v>1</v>
      </c>
      <c r="F777" s="0" t="s">
        <v>329</v>
      </c>
      <c r="G777" s="0" t="s">
        <v>3650</v>
      </c>
      <c r="I777" s="0" t="s">
        <v>1989</v>
      </c>
    </row>
    <row r="778" customFormat="false" ht="15" hidden="false" customHeight="false" outlineLevel="0" collapsed="false">
      <c r="A778" s="0" t="s">
        <v>152</v>
      </c>
      <c r="B778" s="0" t="n">
        <v>2019</v>
      </c>
      <c r="C778" s="0" t="s">
        <v>59</v>
      </c>
      <c r="D778" s="0" t="n">
        <v>210800.841</v>
      </c>
      <c r="E778" s="0" t="n">
        <v>1</v>
      </c>
      <c r="F778" s="0" t="s">
        <v>329</v>
      </c>
      <c r="G778" s="0" t="s">
        <v>3651</v>
      </c>
      <c r="I778" s="0" t="s">
        <v>1969</v>
      </c>
    </row>
    <row r="779" customFormat="false" ht="15" hidden="false" customHeight="false" outlineLevel="0" collapsed="false">
      <c r="A779" s="0" t="s">
        <v>152</v>
      </c>
      <c r="B779" s="0" t="n">
        <v>2019</v>
      </c>
      <c r="C779" s="0" t="s">
        <v>60</v>
      </c>
      <c r="D779" s="0" t="n">
        <v>106913.813</v>
      </c>
      <c r="E779" s="0" t="n">
        <v>1</v>
      </c>
      <c r="F779" s="0" t="s">
        <v>329</v>
      </c>
      <c r="G779" s="0" t="s">
        <v>3650</v>
      </c>
      <c r="I779" s="0" t="s">
        <v>1983</v>
      </c>
    </row>
    <row r="780" customFormat="false" ht="15" hidden="false" customHeight="false" outlineLevel="0" collapsed="false">
      <c r="A780" s="0" t="s">
        <v>152</v>
      </c>
      <c r="B780" s="0" t="n">
        <v>2019</v>
      </c>
      <c r="C780" s="0" t="s">
        <v>61</v>
      </c>
      <c r="D780" s="0" t="n">
        <v>2896.088</v>
      </c>
      <c r="E780" s="0" t="n">
        <v>1</v>
      </c>
      <c r="F780" s="0" t="s">
        <v>329</v>
      </c>
      <c r="G780" s="0" t="s">
        <v>3650</v>
      </c>
      <c r="I780" s="0" t="s">
        <v>1987</v>
      </c>
    </row>
    <row r="781" customFormat="false" ht="15" hidden="false" customHeight="false" outlineLevel="0" collapsed="false">
      <c r="A781" s="0" t="s">
        <v>152</v>
      </c>
      <c r="B781" s="0" t="n">
        <v>2019</v>
      </c>
      <c r="C781" s="0" t="s">
        <v>63</v>
      </c>
      <c r="D781" s="0" t="n">
        <v>1921.923</v>
      </c>
      <c r="E781" s="0" t="n">
        <v>1</v>
      </c>
      <c r="F781" s="0" t="s">
        <v>329</v>
      </c>
      <c r="G781" s="0" t="s">
        <v>3650</v>
      </c>
      <c r="I781" s="0" t="s">
        <v>1986</v>
      </c>
    </row>
    <row r="782" customFormat="false" ht="15" hidden="false" customHeight="false" outlineLevel="0" collapsed="false">
      <c r="A782" s="0" t="s">
        <v>152</v>
      </c>
      <c r="B782" s="0" t="n">
        <v>2019</v>
      </c>
      <c r="C782" s="0" t="s">
        <v>69</v>
      </c>
      <c r="D782" s="0" t="n">
        <v>-201.59</v>
      </c>
      <c r="E782" s="0" t="n">
        <v>1</v>
      </c>
      <c r="F782" s="0" t="s">
        <v>329</v>
      </c>
      <c r="G782" s="0" t="s">
        <v>3668</v>
      </c>
      <c r="H782" s="0" t="s">
        <v>3670</v>
      </c>
      <c r="I782" s="0" t="s">
        <v>1976</v>
      </c>
    </row>
    <row r="783" customFormat="false" ht="15" hidden="false" customHeight="false" outlineLevel="0" collapsed="false">
      <c r="A783" s="0" t="s">
        <v>152</v>
      </c>
      <c r="B783" s="0" t="n">
        <v>2019</v>
      </c>
      <c r="C783" s="0" t="s">
        <v>591</v>
      </c>
      <c r="D783" s="0" t="n">
        <v>-200.88</v>
      </c>
      <c r="E783" s="0" t="n">
        <v>1</v>
      </c>
      <c r="F783" s="0" t="s">
        <v>329</v>
      </c>
      <c r="G783" s="0" t="s">
        <v>3650</v>
      </c>
      <c r="I783" s="0" t="s">
        <v>1978</v>
      </c>
    </row>
    <row r="784" customFormat="false" ht="15" hidden="false" customHeight="false" outlineLevel="0" collapsed="false">
      <c r="A784" s="0" t="s">
        <v>152</v>
      </c>
      <c r="B784" s="0" t="n">
        <v>2019</v>
      </c>
      <c r="C784" s="0" t="s">
        <v>70</v>
      </c>
      <c r="D784" s="0" t="n">
        <v>10</v>
      </c>
      <c r="E784" s="0" t="n">
        <v>1</v>
      </c>
      <c r="F784" s="0" t="s">
        <v>329</v>
      </c>
      <c r="G784" s="0" t="s">
        <v>3650</v>
      </c>
      <c r="I784" s="0" t="s">
        <v>1977</v>
      </c>
    </row>
    <row r="785" customFormat="false" ht="15" hidden="false" customHeight="false" outlineLevel="0" collapsed="false">
      <c r="A785" s="0" t="s">
        <v>152</v>
      </c>
      <c r="B785" s="0" t="n">
        <v>2019</v>
      </c>
      <c r="C785" s="0" t="s">
        <v>73</v>
      </c>
      <c r="D785" s="0" t="n">
        <v>1</v>
      </c>
      <c r="E785" s="0" t="n">
        <v>2</v>
      </c>
      <c r="F785" s="0" t="s">
        <v>329</v>
      </c>
      <c r="G785" s="0" t="s">
        <v>3650</v>
      </c>
      <c r="I785" s="0" t="s">
        <v>3671</v>
      </c>
    </row>
    <row r="786" customFormat="false" ht="15" hidden="false" customHeight="false" outlineLevel="0" collapsed="false">
      <c r="A786" s="0" t="s">
        <v>154</v>
      </c>
      <c r="B786" s="0" t="n">
        <v>2014</v>
      </c>
      <c r="C786" s="0" t="s">
        <v>54</v>
      </c>
      <c r="D786" s="0" t="n">
        <v>2372.445</v>
      </c>
      <c r="E786" s="0" t="n">
        <v>1</v>
      </c>
      <c r="F786" s="0" t="s">
        <v>329</v>
      </c>
      <c r="G786" s="0" t="s">
        <v>3650</v>
      </c>
      <c r="I786" s="0" t="s">
        <v>2030</v>
      </c>
    </row>
    <row r="787" customFormat="false" ht="15" hidden="false" customHeight="false" outlineLevel="0" collapsed="false">
      <c r="A787" s="0" t="s">
        <v>154</v>
      </c>
      <c r="B787" s="0" t="n">
        <v>2014</v>
      </c>
      <c r="C787" s="0" t="s">
        <v>55</v>
      </c>
      <c r="D787" s="0" t="n">
        <v>382562.312</v>
      </c>
      <c r="E787" s="0" t="n">
        <v>1</v>
      </c>
      <c r="F787" s="0" t="s">
        <v>329</v>
      </c>
      <c r="G787" s="0" t="s">
        <v>3650</v>
      </c>
      <c r="I787" s="0" t="s">
        <v>2034</v>
      </c>
    </row>
    <row r="788" customFormat="false" ht="15" hidden="false" customHeight="false" outlineLevel="0" collapsed="false">
      <c r="A788" s="0" t="s">
        <v>154</v>
      </c>
      <c r="B788" s="0" t="n">
        <v>2014</v>
      </c>
      <c r="C788" s="0" t="s">
        <v>56</v>
      </c>
      <c r="D788" s="0" t="n">
        <v>338793.663</v>
      </c>
      <c r="E788" s="0" t="n">
        <v>1</v>
      </c>
      <c r="F788" s="0" t="s">
        <v>329</v>
      </c>
      <c r="G788" s="0" t="s">
        <v>3650</v>
      </c>
      <c r="I788" s="0" t="s">
        <v>2035</v>
      </c>
    </row>
    <row r="789" customFormat="false" ht="15" hidden="false" customHeight="false" outlineLevel="0" collapsed="false">
      <c r="A789" s="0" t="s">
        <v>154</v>
      </c>
      <c r="B789" s="0" t="n">
        <v>2014</v>
      </c>
      <c r="C789" s="0" t="s">
        <v>57</v>
      </c>
      <c r="D789" s="0" t="n">
        <v>43768.649</v>
      </c>
      <c r="E789" s="0" t="n">
        <v>1</v>
      </c>
      <c r="F789" s="0" t="s">
        <v>329</v>
      </c>
      <c r="G789" s="0" t="s">
        <v>3650</v>
      </c>
      <c r="I789" s="0" t="s">
        <v>2036</v>
      </c>
    </row>
    <row r="790" customFormat="false" ht="15" hidden="false" customHeight="false" outlineLevel="0" collapsed="false">
      <c r="A790" s="0" t="s">
        <v>154</v>
      </c>
      <c r="B790" s="0" t="n">
        <v>2014</v>
      </c>
      <c r="C790" s="0" t="s">
        <v>58</v>
      </c>
      <c r="D790" s="0" t="n">
        <v>-40148.459</v>
      </c>
      <c r="E790" s="0" t="n">
        <v>1</v>
      </c>
      <c r="F790" s="0" t="s">
        <v>329</v>
      </c>
      <c r="G790" s="0" t="s">
        <v>3650</v>
      </c>
      <c r="I790" s="0" t="s">
        <v>2039</v>
      </c>
    </row>
    <row r="791" customFormat="false" ht="15" hidden="false" customHeight="false" outlineLevel="0" collapsed="false">
      <c r="A791" s="0" t="s">
        <v>154</v>
      </c>
      <c r="B791" s="0" t="n">
        <v>2014</v>
      </c>
      <c r="C791" s="0" t="s">
        <v>60</v>
      </c>
      <c r="D791" s="0" t="n">
        <v>152292.015</v>
      </c>
      <c r="E791" s="0" t="n">
        <v>1</v>
      </c>
      <c r="F791" s="0" t="s">
        <v>329</v>
      </c>
      <c r="G791" s="0" t="s">
        <v>3650</v>
      </c>
      <c r="I791" s="0" t="s">
        <v>2145</v>
      </c>
    </row>
    <row r="792" customFormat="false" ht="15" hidden="false" customHeight="false" outlineLevel="0" collapsed="false">
      <c r="A792" s="0" t="s">
        <v>154</v>
      </c>
      <c r="B792" s="0" t="n">
        <v>2014</v>
      </c>
      <c r="C792" s="0" t="s">
        <v>61</v>
      </c>
      <c r="D792" s="0" t="n">
        <v>2998.166</v>
      </c>
      <c r="E792" s="0" t="n">
        <v>1</v>
      </c>
      <c r="F792" s="0" t="s">
        <v>329</v>
      </c>
      <c r="G792" s="0" t="s">
        <v>3650</v>
      </c>
      <c r="I792" s="0" t="s">
        <v>2147</v>
      </c>
    </row>
    <row r="793" customFormat="false" ht="15" hidden="false" customHeight="false" outlineLevel="0" collapsed="false">
      <c r="A793" s="0" t="s">
        <v>154</v>
      </c>
      <c r="B793" s="0" t="n">
        <v>2014</v>
      </c>
      <c r="C793" s="0" t="s">
        <v>63</v>
      </c>
      <c r="D793" s="0" t="n">
        <v>88.173</v>
      </c>
      <c r="E793" s="0" t="n">
        <v>1</v>
      </c>
      <c r="F793" s="0" t="s">
        <v>329</v>
      </c>
      <c r="G793" s="0" t="s">
        <v>3650</v>
      </c>
      <c r="I793" s="0" t="s">
        <v>2032</v>
      </c>
    </row>
    <row r="794" customFormat="false" ht="15" hidden="false" customHeight="false" outlineLevel="0" collapsed="false">
      <c r="A794" s="0" t="s">
        <v>154</v>
      </c>
      <c r="B794" s="0" t="n">
        <v>2014</v>
      </c>
      <c r="C794" s="0" t="s">
        <v>266</v>
      </c>
      <c r="D794" s="0" t="n">
        <v>2.49</v>
      </c>
      <c r="E794" s="0" t="n">
        <v>1</v>
      </c>
      <c r="F794" s="0" t="s">
        <v>329</v>
      </c>
      <c r="G794" s="0" t="s">
        <v>3650</v>
      </c>
      <c r="I794" s="0" t="s">
        <v>2162</v>
      </c>
    </row>
    <row r="795" customFormat="false" ht="15" hidden="false" customHeight="false" outlineLevel="0" collapsed="false">
      <c r="A795" s="0" t="s">
        <v>154</v>
      </c>
      <c r="B795" s="0" t="n">
        <v>2014</v>
      </c>
      <c r="C795" s="0" t="s">
        <v>69</v>
      </c>
      <c r="D795" s="0" t="n">
        <v>18.22</v>
      </c>
      <c r="E795" s="0" t="n">
        <v>1</v>
      </c>
      <c r="F795" s="0" t="s">
        <v>329</v>
      </c>
      <c r="G795" s="0" t="s">
        <v>3650</v>
      </c>
      <c r="I795" s="0" t="s">
        <v>2158</v>
      </c>
    </row>
    <row r="796" customFormat="false" ht="15" hidden="false" customHeight="false" outlineLevel="0" collapsed="false">
      <c r="A796" s="0" t="s">
        <v>154</v>
      </c>
      <c r="B796" s="0" t="n">
        <v>2015</v>
      </c>
      <c r="C796" s="0" t="s">
        <v>54</v>
      </c>
      <c r="D796" s="0" t="n">
        <v>2273.205</v>
      </c>
      <c r="E796" s="0" t="n">
        <v>1</v>
      </c>
      <c r="F796" s="0" t="s">
        <v>329</v>
      </c>
      <c r="G796" s="0" t="s">
        <v>3650</v>
      </c>
      <c r="I796" s="0" t="s">
        <v>1870</v>
      </c>
    </row>
    <row r="797" customFormat="false" ht="15" hidden="false" customHeight="false" outlineLevel="0" collapsed="false">
      <c r="A797" s="0" t="s">
        <v>154</v>
      </c>
      <c r="B797" s="0" t="n">
        <v>2015</v>
      </c>
      <c r="C797" s="0" t="s">
        <v>55</v>
      </c>
      <c r="D797" s="0" t="n">
        <v>396743.314</v>
      </c>
      <c r="E797" s="0" t="n">
        <v>1</v>
      </c>
      <c r="F797" s="0" t="s">
        <v>329</v>
      </c>
      <c r="G797" s="0" t="s">
        <v>3650</v>
      </c>
      <c r="I797" s="0" t="s">
        <v>1871</v>
      </c>
    </row>
    <row r="798" customFormat="false" ht="15" hidden="false" customHeight="false" outlineLevel="0" collapsed="false">
      <c r="A798" s="0" t="s">
        <v>154</v>
      </c>
      <c r="B798" s="0" t="n">
        <v>2015</v>
      </c>
      <c r="C798" s="0" t="s">
        <v>56</v>
      </c>
      <c r="D798" s="0" t="n">
        <v>350679.204</v>
      </c>
      <c r="E798" s="0" t="n">
        <v>1</v>
      </c>
      <c r="F798" s="0" t="s">
        <v>329</v>
      </c>
      <c r="G798" s="0" t="s">
        <v>3650</v>
      </c>
      <c r="I798" s="0" t="s">
        <v>1873</v>
      </c>
    </row>
    <row r="799" customFormat="false" ht="15" hidden="false" customHeight="false" outlineLevel="0" collapsed="false">
      <c r="A799" s="0" t="s">
        <v>154</v>
      </c>
      <c r="B799" s="0" t="n">
        <v>2015</v>
      </c>
      <c r="C799" s="0" t="s">
        <v>57</v>
      </c>
      <c r="D799" s="0" t="n">
        <v>46064.11</v>
      </c>
      <c r="E799" s="0" t="n">
        <v>1</v>
      </c>
      <c r="F799" s="0" t="s">
        <v>329</v>
      </c>
      <c r="G799" s="0" t="s">
        <v>3650</v>
      </c>
      <c r="I799" s="0" t="s">
        <v>1872</v>
      </c>
    </row>
    <row r="800" customFormat="false" ht="15" hidden="false" customHeight="false" outlineLevel="0" collapsed="false">
      <c r="A800" s="0" t="s">
        <v>154</v>
      </c>
      <c r="B800" s="0" t="n">
        <v>2015</v>
      </c>
      <c r="C800" s="0" t="s">
        <v>58</v>
      </c>
      <c r="D800" s="0" t="n">
        <v>14676.273</v>
      </c>
      <c r="E800" s="0" t="n">
        <v>1</v>
      </c>
      <c r="F800" s="0" t="s">
        <v>329</v>
      </c>
      <c r="G800" s="0" t="s">
        <v>3650</v>
      </c>
      <c r="I800" s="0" t="s">
        <v>1869</v>
      </c>
    </row>
    <row r="801" customFormat="false" ht="15" hidden="false" customHeight="false" outlineLevel="0" collapsed="false">
      <c r="A801" s="0" t="s">
        <v>154</v>
      </c>
      <c r="B801" s="0" t="n">
        <v>2015</v>
      </c>
      <c r="C801" s="0" t="s">
        <v>59</v>
      </c>
      <c r="D801" s="0" t="n">
        <v>382562.312</v>
      </c>
      <c r="E801" s="0" t="n">
        <v>1</v>
      </c>
      <c r="F801" s="0" t="s">
        <v>329</v>
      </c>
      <c r="G801" s="0" t="s">
        <v>3651</v>
      </c>
      <c r="I801" s="0" t="s">
        <v>2034</v>
      </c>
    </row>
    <row r="802" customFormat="false" ht="15" hidden="false" customHeight="false" outlineLevel="0" collapsed="false">
      <c r="A802" s="0" t="s">
        <v>154</v>
      </c>
      <c r="B802" s="0" t="n">
        <v>2015</v>
      </c>
      <c r="C802" s="0" t="s">
        <v>60</v>
      </c>
      <c r="D802" s="0" t="n">
        <v>188022.922</v>
      </c>
      <c r="E802" s="0" t="n">
        <v>1</v>
      </c>
      <c r="F802" s="0" t="s">
        <v>329</v>
      </c>
      <c r="G802" s="0" t="s">
        <v>3650</v>
      </c>
      <c r="I802" s="0" t="s">
        <v>2153</v>
      </c>
    </row>
    <row r="803" customFormat="false" ht="15" hidden="false" customHeight="false" outlineLevel="0" collapsed="false">
      <c r="A803" s="0" t="s">
        <v>154</v>
      </c>
      <c r="B803" s="0" t="n">
        <v>2015</v>
      </c>
      <c r="C803" s="0" t="s">
        <v>61</v>
      </c>
      <c r="D803" s="0" t="n">
        <v>2426.332</v>
      </c>
      <c r="E803" s="0" t="n">
        <v>1</v>
      </c>
      <c r="F803" s="0" t="s">
        <v>329</v>
      </c>
      <c r="G803" s="0" t="s">
        <v>3650</v>
      </c>
      <c r="I803" s="0" t="s">
        <v>2154</v>
      </c>
    </row>
    <row r="804" customFormat="false" ht="15" hidden="false" customHeight="false" outlineLevel="0" collapsed="false">
      <c r="A804" s="0" t="s">
        <v>154</v>
      </c>
      <c r="B804" s="0" t="n">
        <v>2015</v>
      </c>
      <c r="C804" s="0" t="s">
        <v>63</v>
      </c>
      <c r="D804" s="0" t="n">
        <v>-77.64</v>
      </c>
      <c r="E804" s="0" t="n">
        <v>1</v>
      </c>
      <c r="F804" s="0" t="s">
        <v>329</v>
      </c>
      <c r="G804" s="0" t="s">
        <v>3650</v>
      </c>
      <c r="I804" s="0" t="s">
        <v>1866</v>
      </c>
    </row>
    <row r="805" customFormat="false" ht="15" hidden="false" customHeight="false" outlineLevel="0" collapsed="false">
      <c r="A805" s="0" t="s">
        <v>154</v>
      </c>
      <c r="B805" s="0" t="n">
        <v>2015</v>
      </c>
      <c r="C805" s="0" t="s">
        <v>266</v>
      </c>
      <c r="D805" s="0" t="n">
        <v>2.67</v>
      </c>
      <c r="E805" s="0" t="n">
        <v>1</v>
      </c>
      <c r="F805" s="0" t="s">
        <v>329</v>
      </c>
      <c r="G805" s="0" t="s">
        <v>3650</v>
      </c>
      <c r="I805" s="0" t="s">
        <v>2166</v>
      </c>
    </row>
    <row r="806" customFormat="false" ht="15" hidden="false" customHeight="false" outlineLevel="0" collapsed="false">
      <c r="A806" s="0" t="s">
        <v>154</v>
      </c>
      <c r="B806" s="0" t="n">
        <v>2015</v>
      </c>
      <c r="C806" s="0" t="s">
        <v>69</v>
      </c>
      <c r="D806" s="0" t="n">
        <v>15.09</v>
      </c>
      <c r="E806" s="0" t="n">
        <v>1</v>
      </c>
      <c r="F806" s="0" t="s">
        <v>329</v>
      </c>
      <c r="G806" s="0" t="s">
        <v>3650</v>
      </c>
      <c r="I806" s="0" t="s">
        <v>2164</v>
      </c>
    </row>
    <row r="807" customFormat="false" ht="15" hidden="false" customHeight="false" outlineLevel="0" collapsed="false">
      <c r="A807" s="0" t="s">
        <v>154</v>
      </c>
      <c r="B807" s="0" t="n">
        <v>2016</v>
      </c>
      <c r="C807" s="0" t="s">
        <v>54</v>
      </c>
      <c r="D807" s="0" t="n">
        <v>2591.8</v>
      </c>
      <c r="E807" s="0" t="n">
        <v>1</v>
      </c>
      <c r="F807" s="0" t="s">
        <v>329</v>
      </c>
      <c r="G807" s="0" t="s">
        <v>3650</v>
      </c>
      <c r="I807" s="0" t="s">
        <v>1879</v>
      </c>
    </row>
    <row r="808" customFormat="false" ht="15" hidden="false" customHeight="false" outlineLevel="0" collapsed="false">
      <c r="A808" s="0" t="s">
        <v>154</v>
      </c>
      <c r="B808" s="0" t="n">
        <v>2016</v>
      </c>
      <c r="C808" s="0" t="s">
        <v>55</v>
      </c>
      <c r="D808" s="0" t="n">
        <v>421221.036</v>
      </c>
      <c r="E808" s="0" t="n">
        <v>1</v>
      </c>
      <c r="F808" s="0" t="s">
        <v>329</v>
      </c>
      <c r="G808" s="0" t="s">
        <v>3650</v>
      </c>
      <c r="I808" s="0" t="s">
        <v>1880</v>
      </c>
    </row>
    <row r="809" customFormat="false" ht="15" hidden="false" customHeight="false" outlineLevel="0" collapsed="false">
      <c r="A809" s="0" t="s">
        <v>154</v>
      </c>
      <c r="B809" s="0" t="n">
        <v>2016</v>
      </c>
      <c r="C809" s="0" t="s">
        <v>56</v>
      </c>
      <c r="D809" s="0" t="n">
        <v>372719.082</v>
      </c>
      <c r="E809" s="0" t="n">
        <v>1</v>
      </c>
      <c r="F809" s="0" t="s">
        <v>329</v>
      </c>
      <c r="G809" s="0" t="s">
        <v>3650</v>
      </c>
      <c r="I809" s="0" t="s">
        <v>1882</v>
      </c>
    </row>
    <row r="810" customFormat="false" ht="15" hidden="false" customHeight="false" outlineLevel="0" collapsed="false">
      <c r="A810" s="0" t="s">
        <v>154</v>
      </c>
      <c r="B810" s="0" t="n">
        <v>2016</v>
      </c>
      <c r="C810" s="0" t="s">
        <v>57</v>
      </c>
      <c r="D810" s="0" t="n">
        <v>48501.954</v>
      </c>
      <c r="E810" s="0" t="n">
        <v>1</v>
      </c>
      <c r="F810" s="0" t="s">
        <v>329</v>
      </c>
      <c r="G810" s="0" t="s">
        <v>3650</v>
      </c>
      <c r="I810" s="0" t="s">
        <v>1881</v>
      </c>
    </row>
    <row r="811" customFormat="false" ht="15" hidden="false" customHeight="false" outlineLevel="0" collapsed="false">
      <c r="A811" s="0" t="s">
        <v>154</v>
      </c>
      <c r="B811" s="0" t="n">
        <v>2016</v>
      </c>
      <c r="C811" s="0" t="s">
        <v>58</v>
      </c>
      <c r="D811" s="0" t="n">
        <v>15892.427</v>
      </c>
      <c r="E811" s="0" t="n">
        <v>1</v>
      </c>
      <c r="F811" s="0" t="s">
        <v>329</v>
      </c>
      <c r="G811" s="0" t="s">
        <v>3650</v>
      </c>
      <c r="I811" s="0" t="s">
        <v>1878</v>
      </c>
    </row>
    <row r="812" customFormat="false" ht="15" hidden="false" customHeight="false" outlineLevel="0" collapsed="false">
      <c r="A812" s="0" t="s">
        <v>154</v>
      </c>
      <c r="B812" s="0" t="n">
        <v>2016</v>
      </c>
      <c r="C812" s="0" t="s">
        <v>59</v>
      </c>
      <c r="D812" s="0" t="n">
        <v>396743.314</v>
      </c>
      <c r="E812" s="0" t="n">
        <v>1</v>
      </c>
      <c r="F812" s="0" t="s">
        <v>329</v>
      </c>
      <c r="G812" s="0" t="s">
        <v>3651</v>
      </c>
      <c r="I812" s="0" t="s">
        <v>1871</v>
      </c>
    </row>
    <row r="813" customFormat="false" ht="15" hidden="false" customHeight="false" outlineLevel="0" collapsed="false">
      <c r="A813" s="0" t="s">
        <v>154</v>
      </c>
      <c r="B813" s="0" t="n">
        <v>2016</v>
      </c>
      <c r="C813" s="0" t="s">
        <v>63</v>
      </c>
      <c r="D813" s="0" t="n">
        <v>412.401</v>
      </c>
      <c r="E813" s="0" t="n">
        <v>1</v>
      </c>
      <c r="F813" s="0" t="s">
        <v>329</v>
      </c>
      <c r="G813" s="0" t="s">
        <v>3650</v>
      </c>
      <c r="I813" s="0" t="s">
        <v>1876</v>
      </c>
    </row>
    <row r="814" customFormat="false" ht="15" hidden="false" customHeight="false" outlineLevel="0" collapsed="false">
      <c r="A814" s="0" t="s">
        <v>154</v>
      </c>
      <c r="B814" s="0" t="n">
        <v>2016</v>
      </c>
      <c r="C814" s="0" t="s">
        <v>73</v>
      </c>
      <c r="D814" s="0" t="n">
        <v>0</v>
      </c>
      <c r="E814" s="0" t="n">
        <v>1</v>
      </c>
      <c r="F814" s="0" t="s">
        <v>329</v>
      </c>
      <c r="G814" s="0" t="s">
        <v>3650</v>
      </c>
      <c r="I814" s="0" t="s">
        <v>306</v>
      </c>
    </row>
    <row r="815" customFormat="false" ht="15" hidden="false" customHeight="false" outlineLevel="0" collapsed="false">
      <c r="A815" s="0" t="s">
        <v>154</v>
      </c>
      <c r="B815" s="0" t="n">
        <v>2017</v>
      </c>
      <c r="C815" s="0" t="s">
        <v>54</v>
      </c>
      <c r="D815" s="0" t="n">
        <v>2301.158</v>
      </c>
      <c r="E815" s="0" t="n">
        <v>1</v>
      </c>
      <c r="F815" s="0" t="s">
        <v>329</v>
      </c>
      <c r="G815" s="0" t="s">
        <v>3650</v>
      </c>
      <c r="I815" s="0" t="s">
        <v>1899</v>
      </c>
    </row>
    <row r="816" customFormat="false" ht="15" hidden="false" customHeight="false" outlineLevel="0" collapsed="false">
      <c r="A816" s="0" t="s">
        <v>154</v>
      </c>
      <c r="B816" s="0" t="n">
        <v>2017</v>
      </c>
      <c r="C816" s="0" t="s">
        <v>55</v>
      </c>
      <c r="D816" s="0" t="n">
        <v>384779.809</v>
      </c>
      <c r="E816" s="0" t="n">
        <v>1</v>
      </c>
      <c r="F816" s="0" t="s">
        <v>329</v>
      </c>
      <c r="G816" s="0" t="s">
        <v>3650</v>
      </c>
      <c r="I816" s="0" t="s">
        <v>1902</v>
      </c>
    </row>
    <row r="817" customFormat="false" ht="15" hidden="false" customHeight="false" outlineLevel="0" collapsed="false">
      <c r="A817" s="0" t="s">
        <v>154</v>
      </c>
      <c r="B817" s="0" t="n">
        <v>2017</v>
      </c>
      <c r="C817" s="0" t="s">
        <v>56</v>
      </c>
      <c r="D817" s="0" t="n">
        <v>335087.669</v>
      </c>
      <c r="E817" s="0" t="n">
        <v>1</v>
      </c>
      <c r="F817" s="0" t="s">
        <v>329</v>
      </c>
      <c r="G817" s="0" t="s">
        <v>3650</v>
      </c>
      <c r="I817" s="0" t="s">
        <v>1904</v>
      </c>
    </row>
    <row r="818" customFormat="false" ht="15" hidden="false" customHeight="false" outlineLevel="0" collapsed="false">
      <c r="A818" s="0" t="s">
        <v>154</v>
      </c>
      <c r="B818" s="0" t="n">
        <v>2017</v>
      </c>
      <c r="C818" s="0" t="s">
        <v>57</v>
      </c>
      <c r="D818" s="0" t="n">
        <v>49692.14</v>
      </c>
      <c r="E818" s="0" t="n">
        <v>1</v>
      </c>
      <c r="F818" s="0" t="s">
        <v>329</v>
      </c>
      <c r="G818" s="0" t="s">
        <v>3650</v>
      </c>
      <c r="I818" s="0" t="s">
        <v>1903</v>
      </c>
    </row>
    <row r="819" customFormat="false" ht="15" hidden="false" customHeight="false" outlineLevel="0" collapsed="false">
      <c r="A819" s="0" t="s">
        <v>154</v>
      </c>
      <c r="B819" s="0" t="n">
        <v>2017</v>
      </c>
      <c r="C819" s="0" t="s">
        <v>58</v>
      </c>
      <c r="D819" s="0" t="n">
        <v>-25950.964</v>
      </c>
      <c r="E819" s="0" t="n">
        <v>1</v>
      </c>
      <c r="F819" s="0" t="s">
        <v>329</v>
      </c>
      <c r="G819" s="0" t="s">
        <v>3650</v>
      </c>
      <c r="I819" s="0" t="s">
        <v>1898</v>
      </c>
    </row>
    <row r="820" customFormat="false" ht="15" hidden="false" customHeight="false" outlineLevel="0" collapsed="false">
      <c r="A820" s="0" t="s">
        <v>154</v>
      </c>
      <c r="B820" s="0" t="n">
        <v>2017</v>
      </c>
      <c r="C820" s="0" t="s">
        <v>59</v>
      </c>
      <c r="D820" s="0" t="n">
        <v>421221.036</v>
      </c>
      <c r="E820" s="0" t="n">
        <v>1</v>
      </c>
      <c r="F820" s="0" t="s">
        <v>329</v>
      </c>
      <c r="G820" s="0" t="s">
        <v>3651</v>
      </c>
      <c r="I820" s="0" t="s">
        <v>1880</v>
      </c>
    </row>
    <row r="821" customFormat="false" ht="15" hidden="false" customHeight="false" outlineLevel="0" collapsed="false">
      <c r="A821" s="0" t="s">
        <v>154</v>
      </c>
      <c r="B821" s="0" t="n">
        <v>2017</v>
      </c>
      <c r="C821" s="0" t="s">
        <v>60</v>
      </c>
      <c r="D821" s="0" t="n">
        <v>220076.031</v>
      </c>
      <c r="E821" s="0" t="n">
        <v>1</v>
      </c>
      <c r="F821" s="0" t="s">
        <v>329</v>
      </c>
      <c r="G821" s="0" t="s">
        <v>3650</v>
      </c>
      <c r="I821" s="0" t="s">
        <v>1888</v>
      </c>
    </row>
    <row r="822" customFormat="false" ht="15" hidden="false" customHeight="false" outlineLevel="0" collapsed="false">
      <c r="A822" s="0" t="s">
        <v>154</v>
      </c>
      <c r="B822" s="0" t="n">
        <v>2017</v>
      </c>
      <c r="C822" s="0" t="s">
        <v>61</v>
      </c>
      <c r="D822" s="0" t="n">
        <v>4236.001</v>
      </c>
      <c r="E822" s="0" t="n">
        <v>1</v>
      </c>
      <c r="F822" s="0" t="s">
        <v>329</v>
      </c>
      <c r="G822" s="0" t="s">
        <v>3650</v>
      </c>
      <c r="I822" s="0" t="s">
        <v>1894</v>
      </c>
    </row>
    <row r="823" customFormat="false" ht="15" hidden="false" customHeight="false" outlineLevel="0" collapsed="false">
      <c r="A823" s="0" t="s">
        <v>154</v>
      </c>
      <c r="B823" s="0" t="n">
        <v>2017</v>
      </c>
      <c r="C823" s="0" t="s">
        <v>63</v>
      </c>
      <c r="D823" s="0" t="n">
        <v>2179.798</v>
      </c>
      <c r="E823" s="0" t="n">
        <v>1</v>
      </c>
      <c r="F823" s="0" t="s">
        <v>329</v>
      </c>
      <c r="G823" s="0" t="s">
        <v>3650</v>
      </c>
      <c r="I823" s="0" t="s">
        <v>1891</v>
      </c>
    </row>
    <row r="824" customFormat="false" ht="15" hidden="false" customHeight="false" outlineLevel="0" collapsed="false">
      <c r="A824" s="0" t="s">
        <v>154</v>
      </c>
      <c r="B824" s="0" t="n">
        <v>2017</v>
      </c>
      <c r="C824" s="0" t="s">
        <v>266</v>
      </c>
      <c r="D824" s="0" t="n">
        <v>3.52</v>
      </c>
      <c r="E824" s="0" t="n">
        <v>1</v>
      </c>
      <c r="F824" s="0" t="s">
        <v>329</v>
      </c>
      <c r="G824" s="0" t="s">
        <v>3650</v>
      </c>
      <c r="I824" s="0" t="s">
        <v>1895</v>
      </c>
    </row>
    <row r="825" customFormat="false" ht="15" hidden="false" customHeight="false" outlineLevel="0" collapsed="false">
      <c r="A825" s="0" t="s">
        <v>154</v>
      </c>
      <c r="B825" s="0" t="n">
        <v>2017</v>
      </c>
      <c r="C825" s="0" t="s">
        <v>69</v>
      </c>
      <c r="D825" s="0" t="n">
        <v>14.32</v>
      </c>
      <c r="E825" s="0" t="n">
        <v>1</v>
      </c>
      <c r="F825" s="0" t="s">
        <v>329</v>
      </c>
      <c r="G825" s="0" t="s">
        <v>3650</v>
      </c>
      <c r="I825" s="0" t="s">
        <v>1883</v>
      </c>
    </row>
    <row r="826" customFormat="false" ht="15" hidden="false" customHeight="false" outlineLevel="0" collapsed="false">
      <c r="A826" s="0" t="s">
        <v>154</v>
      </c>
      <c r="B826" s="0" t="n">
        <v>2017</v>
      </c>
      <c r="C826" s="0" t="s">
        <v>71</v>
      </c>
      <c r="D826" s="0" t="n">
        <v>26.25</v>
      </c>
      <c r="E826" s="0" t="n">
        <v>1</v>
      </c>
      <c r="F826" s="0" t="s">
        <v>329</v>
      </c>
      <c r="G826" s="0" t="s">
        <v>3650</v>
      </c>
      <c r="I826" s="0" t="s">
        <v>1892</v>
      </c>
    </row>
    <row r="827" customFormat="false" ht="15" hidden="false" customHeight="false" outlineLevel="0" collapsed="false">
      <c r="A827" s="0" t="s">
        <v>154</v>
      </c>
      <c r="B827" s="0" t="n">
        <v>2018</v>
      </c>
      <c r="C827" s="0" t="s">
        <v>54</v>
      </c>
      <c r="D827" s="0" t="n">
        <v>3359.259</v>
      </c>
      <c r="E827" s="0" t="n">
        <v>1</v>
      </c>
      <c r="F827" s="0" t="s">
        <v>329</v>
      </c>
      <c r="G827" s="0" t="s">
        <v>3650</v>
      </c>
      <c r="I827" s="0" t="s">
        <v>1925</v>
      </c>
    </row>
    <row r="828" customFormat="false" ht="15" hidden="false" customHeight="false" outlineLevel="0" collapsed="false">
      <c r="A828" s="0" t="s">
        <v>154</v>
      </c>
      <c r="B828" s="0" t="n">
        <v>2018</v>
      </c>
      <c r="C828" s="0" t="s">
        <v>55</v>
      </c>
      <c r="D828" s="0" t="n">
        <v>477915.742</v>
      </c>
      <c r="E828" s="0" t="n">
        <v>1</v>
      </c>
      <c r="F828" s="0" t="s">
        <v>329</v>
      </c>
      <c r="G828" s="0" t="s">
        <v>3650</v>
      </c>
      <c r="I828" s="0" t="s">
        <v>1932</v>
      </c>
    </row>
    <row r="829" customFormat="false" ht="15" hidden="false" customHeight="false" outlineLevel="0" collapsed="false">
      <c r="A829" s="0" t="s">
        <v>154</v>
      </c>
      <c r="B829" s="0" t="n">
        <v>2018</v>
      </c>
      <c r="C829" s="0" t="s">
        <v>56</v>
      </c>
      <c r="D829" s="0" t="n">
        <v>426916.863</v>
      </c>
      <c r="E829" s="0" t="n">
        <v>1</v>
      </c>
      <c r="F829" s="0" t="s">
        <v>329</v>
      </c>
      <c r="G829" s="0" t="s">
        <v>3650</v>
      </c>
      <c r="I829" s="0" t="s">
        <v>1934</v>
      </c>
    </row>
    <row r="830" customFormat="false" ht="15" hidden="false" customHeight="false" outlineLevel="0" collapsed="false">
      <c r="A830" s="0" t="s">
        <v>154</v>
      </c>
      <c r="B830" s="0" t="n">
        <v>2018</v>
      </c>
      <c r="C830" s="0" t="s">
        <v>57</v>
      </c>
      <c r="D830" s="0" t="n">
        <v>50998.879</v>
      </c>
      <c r="E830" s="0" t="n">
        <v>1</v>
      </c>
      <c r="F830" s="0" t="s">
        <v>329</v>
      </c>
      <c r="G830" s="0" t="s">
        <v>3650</v>
      </c>
      <c r="I830" s="0" t="s">
        <v>1933</v>
      </c>
    </row>
    <row r="831" customFormat="false" ht="15" hidden="false" customHeight="false" outlineLevel="0" collapsed="false">
      <c r="A831" s="0" t="s">
        <v>154</v>
      </c>
      <c r="B831" s="0" t="n">
        <v>2018</v>
      </c>
      <c r="C831" s="0" t="s">
        <v>58</v>
      </c>
      <c r="D831" s="0" t="n">
        <v>49309.182</v>
      </c>
      <c r="E831" s="0" t="n">
        <v>1</v>
      </c>
      <c r="F831" s="0" t="s">
        <v>329</v>
      </c>
      <c r="G831" s="0" t="s">
        <v>3650</v>
      </c>
      <c r="I831" s="0" t="s">
        <v>1924</v>
      </c>
    </row>
    <row r="832" customFormat="false" ht="15" hidden="false" customHeight="false" outlineLevel="0" collapsed="false">
      <c r="A832" s="0" t="s">
        <v>154</v>
      </c>
      <c r="B832" s="0" t="n">
        <v>2018</v>
      </c>
      <c r="C832" s="0" t="s">
        <v>59</v>
      </c>
      <c r="D832" s="0" t="n">
        <v>384779.809</v>
      </c>
      <c r="E832" s="0" t="n">
        <v>1</v>
      </c>
      <c r="F832" s="0" t="s">
        <v>329</v>
      </c>
      <c r="G832" s="0" t="s">
        <v>3651</v>
      </c>
      <c r="I832" s="0" t="s">
        <v>1902</v>
      </c>
    </row>
    <row r="833" customFormat="false" ht="15" hidden="false" customHeight="false" outlineLevel="0" collapsed="false">
      <c r="A833" s="0" t="s">
        <v>154</v>
      </c>
      <c r="B833" s="0" t="n">
        <v>2018</v>
      </c>
      <c r="C833" s="0" t="s">
        <v>60</v>
      </c>
      <c r="D833" s="0" t="n">
        <v>261583.723</v>
      </c>
      <c r="E833" s="0" t="n">
        <v>1</v>
      </c>
      <c r="F833" s="0" t="s">
        <v>329</v>
      </c>
      <c r="G833" s="0" t="s">
        <v>3650</v>
      </c>
      <c r="I833" s="0" t="s">
        <v>1916</v>
      </c>
    </row>
    <row r="834" customFormat="false" ht="15" hidden="false" customHeight="false" outlineLevel="0" collapsed="false">
      <c r="A834" s="0" t="s">
        <v>154</v>
      </c>
      <c r="B834" s="0" t="n">
        <v>2018</v>
      </c>
      <c r="C834" s="0" t="s">
        <v>61</v>
      </c>
      <c r="D834" s="0" t="n">
        <v>9394.11</v>
      </c>
      <c r="E834" s="0" t="n">
        <v>1</v>
      </c>
      <c r="F834" s="0" t="s">
        <v>329</v>
      </c>
      <c r="G834" s="0" t="s">
        <v>3650</v>
      </c>
      <c r="I834" s="0" t="s">
        <v>1921</v>
      </c>
    </row>
    <row r="835" customFormat="false" ht="15" hidden="false" customHeight="false" outlineLevel="0" collapsed="false">
      <c r="A835" s="0" t="s">
        <v>154</v>
      </c>
      <c r="B835" s="0" t="n">
        <v>2018</v>
      </c>
      <c r="C835" s="0" t="s">
        <v>63</v>
      </c>
      <c r="D835" s="0" t="n">
        <v>3510.537</v>
      </c>
      <c r="E835" s="0" t="n">
        <v>1</v>
      </c>
      <c r="F835" s="0" t="s">
        <v>329</v>
      </c>
      <c r="G835" s="0" t="s">
        <v>3650</v>
      </c>
      <c r="I835" s="0" t="s">
        <v>1919</v>
      </c>
    </row>
    <row r="836" customFormat="false" ht="15" hidden="false" customHeight="false" outlineLevel="0" collapsed="false">
      <c r="A836" s="0" t="s">
        <v>154</v>
      </c>
      <c r="B836" s="0" t="n">
        <v>2018</v>
      </c>
      <c r="C836" s="0" t="s">
        <v>266</v>
      </c>
      <c r="D836" s="0" t="n">
        <v>4.98</v>
      </c>
      <c r="E836" s="0" t="n">
        <v>1</v>
      </c>
      <c r="F836" s="0" t="s">
        <v>329</v>
      </c>
      <c r="G836" s="0" t="s">
        <v>3650</v>
      </c>
      <c r="I836" s="0" t="s">
        <v>1922</v>
      </c>
    </row>
    <row r="837" customFormat="false" ht="15" hidden="false" customHeight="false" outlineLevel="0" collapsed="false">
      <c r="A837" s="0" t="s">
        <v>154</v>
      </c>
      <c r="B837" s="0" t="n">
        <v>2018</v>
      </c>
      <c r="C837" s="0" t="s">
        <v>69</v>
      </c>
      <c r="D837" s="0" t="n">
        <v>18.01</v>
      </c>
      <c r="E837" s="0" t="n">
        <v>1</v>
      </c>
      <c r="F837" s="0" t="s">
        <v>329</v>
      </c>
      <c r="G837" s="0" t="s">
        <v>3650</v>
      </c>
      <c r="I837" s="0" t="s">
        <v>1910</v>
      </c>
    </row>
    <row r="838" customFormat="false" ht="15" hidden="false" customHeight="false" outlineLevel="0" collapsed="false">
      <c r="A838" s="0" t="s">
        <v>154</v>
      </c>
      <c r="B838" s="0" t="n">
        <v>2018</v>
      </c>
      <c r="C838" s="0" t="s">
        <v>71</v>
      </c>
      <c r="D838" s="0" t="n">
        <v>34.64</v>
      </c>
      <c r="E838" s="0" t="n">
        <v>1</v>
      </c>
      <c r="F838" s="0" t="s">
        <v>329</v>
      </c>
      <c r="G838" s="0" t="s">
        <v>3650</v>
      </c>
      <c r="I838" s="0" t="s">
        <v>1920</v>
      </c>
    </row>
    <row r="839" customFormat="false" ht="15" hidden="false" customHeight="false" outlineLevel="0" collapsed="false">
      <c r="A839" s="0" t="s">
        <v>154</v>
      </c>
      <c r="B839" s="0" t="n">
        <v>2018</v>
      </c>
      <c r="C839" s="0" t="s">
        <v>73</v>
      </c>
      <c r="D839" s="0" t="n">
        <v>0</v>
      </c>
      <c r="E839" s="0" t="n">
        <v>1</v>
      </c>
      <c r="F839" s="0" t="s">
        <v>329</v>
      </c>
      <c r="G839" s="0" t="s">
        <v>3650</v>
      </c>
      <c r="I839" s="0" t="s">
        <v>1912</v>
      </c>
    </row>
    <row r="840" customFormat="false" ht="15" hidden="false" customHeight="false" outlineLevel="0" collapsed="false">
      <c r="A840" s="0" t="s">
        <v>154</v>
      </c>
      <c r="B840" s="0" t="n">
        <v>2019</v>
      </c>
      <c r="C840" s="0" t="s">
        <v>54</v>
      </c>
      <c r="D840" s="0" t="n">
        <v>5210.748</v>
      </c>
      <c r="E840" s="0" t="n">
        <v>1</v>
      </c>
      <c r="F840" s="0" t="s">
        <v>329</v>
      </c>
      <c r="G840" s="0" t="s">
        <v>3650</v>
      </c>
      <c r="I840" s="0" t="s">
        <v>2382</v>
      </c>
    </row>
    <row r="841" customFormat="false" ht="15" hidden="false" customHeight="false" outlineLevel="0" collapsed="false">
      <c r="A841" s="0" t="s">
        <v>154</v>
      </c>
      <c r="B841" s="0" t="n">
        <v>2019</v>
      </c>
      <c r="C841" s="0" t="s">
        <v>55</v>
      </c>
      <c r="D841" s="0" t="n">
        <v>704955.604</v>
      </c>
      <c r="E841" s="0" t="n">
        <v>1</v>
      </c>
      <c r="F841" s="0" t="s">
        <v>329</v>
      </c>
      <c r="G841" s="0" t="s">
        <v>3650</v>
      </c>
      <c r="I841" s="0" t="s">
        <v>2389</v>
      </c>
    </row>
    <row r="842" customFormat="false" ht="15" hidden="false" customHeight="false" outlineLevel="0" collapsed="false">
      <c r="A842" s="0" t="s">
        <v>154</v>
      </c>
      <c r="B842" s="0" t="n">
        <v>2019</v>
      </c>
      <c r="C842" s="0" t="s">
        <v>56</v>
      </c>
      <c r="D842" s="0" t="n">
        <v>649598.753</v>
      </c>
      <c r="E842" s="0" t="n">
        <v>1</v>
      </c>
      <c r="F842" s="0" t="s">
        <v>329</v>
      </c>
      <c r="G842" s="0" t="s">
        <v>3650</v>
      </c>
      <c r="I842" s="0" t="s">
        <v>2390</v>
      </c>
    </row>
    <row r="843" customFormat="false" ht="15" hidden="false" customHeight="false" outlineLevel="0" collapsed="false">
      <c r="A843" s="0" t="s">
        <v>154</v>
      </c>
      <c r="B843" s="0" t="n">
        <v>2019</v>
      </c>
      <c r="C843" s="0" t="s">
        <v>57</v>
      </c>
      <c r="D843" s="0" t="n">
        <v>55356.851</v>
      </c>
      <c r="E843" s="0" t="n">
        <v>1</v>
      </c>
      <c r="F843" s="0" t="s">
        <v>329</v>
      </c>
      <c r="G843" s="0" t="s">
        <v>3650</v>
      </c>
      <c r="I843" s="0" t="s">
        <v>2391</v>
      </c>
    </row>
    <row r="844" customFormat="false" ht="15" hidden="false" customHeight="false" outlineLevel="0" collapsed="false">
      <c r="A844" s="0" t="s">
        <v>154</v>
      </c>
      <c r="B844" s="0" t="n">
        <v>2019</v>
      </c>
      <c r="C844" s="0" t="s">
        <v>58</v>
      </c>
      <c r="D844" s="0" t="n">
        <v>107380.822</v>
      </c>
      <c r="E844" s="0" t="n">
        <v>1</v>
      </c>
      <c r="F844" s="0" t="s">
        <v>329</v>
      </c>
      <c r="G844" s="0" t="s">
        <v>3650</v>
      </c>
      <c r="I844" s="0" t="s">
        <v>2394</v>
      </c>
    </row>
    <row r="845" customFormat="false" ht="15" hidden="false" customHeight="false" outlineLevel="0" collapsed="false">
      <c r="A845" s="0" t="s">
        <v>154</v>
      </c>
      <c r="B845" s="0" t="n">
        <v>2019</v>
      </c>
      <c r="C845" s="0" t="s">
        <v>59</v>
      </c>
      <c r="D845" s="0" t="n">
        <v>477915.742</v>
      </c>
      <c r="E845" s="0" t="n">
        <v>1</v>
      </c>
      <c r="F845" s="0" t="s">
        <v>329</v>
      </c>
      <c r="G845" s="0" t="s">
        <v>3651</v>
      </c>
      <c r="I845" s="0" t="s">
        <v>1932</v>
      </c>
    </row>
    <row r="846" customFormat="false" ht="15" hidden="false" customHeight="false" outlineLevel="0" collapsed="false">
      <c r="A846" s="0" t="s">
        <v>154</v>
      </c>
      <c r="B846" s="0" t="n">
        <v>2019</v>
      </c>
      <c r="C846" s="0" t="s">
        <v>60</v>
      </c>
      <c r="D846" s="0" t="n">
        <v>301368.302</v>
      </c>
      <c r="E846" s="0" t="n">
        <v>1</v>
      </c>
      <c r="F846" s="0" t="s">
        <v>329</v>
      </c>
      <c r="G846" s="0" t="s">
        <v>3650</v>
      </c>
      <c r="I846" s="0" t="s">
        <v>2421</v>
      </c>
    </row>
    <row r="847" customFormat="false" ht="15" hidden="false" customHeight="false" outlineLevel="0" collapsed="false">
      <c r="A847" s="0" t="s">
        <v>154</v>
      </c>
      <c r="B847" s="0" t="n">
        <v>2019</v>
      </c>
      <c r="C847" s="0" t="s">
        <v>61</v>
      </c>
      <c r="D847" s="0" t="n">
        <v>12128.432</v>
      </c>
      <c r="E847" s="0" t="n">
        <v>1</v>
      </c>
      <c r="F847" s="0" t="s">
        <v>329</v>
      </c>
      <c r="G847" s="0" t="s">
        <v>3650</v>
      </c>
      <c r="I847" s="0" t="s">
        <v>2422</v>
      </c>
    </row>
    <row r="848" customFormat="false" ht="15" hidden="false" customHeight="false" outlineLevel="0" collapsed="false">
      <c r="A848" s="0" t="s">
        <v>154</v>
      </c>
      <c r="B848" s="0" t="n">
        <v>2019</v>
      </c>
      <c r="C848" s="0" t="s">
        <v>62</v>
      </c>
      <c r="D848" s="0" t="n">
        <v>289239.87</v>
      </c>
      <c r="E848" s="0" t="n">
        <v>1</v>
      </c>
      <c r="F848" s="0" t="s">
        <v>329</v>
      </c>
      <c r="G848" s="0" t="s">
        <v>3650</v>
      </c>
      <c r="I848" s="0" t="s">
        <v>2392</v>
      </c>
    </row>
    <row r="849" customFormat="false" ht="15" hidden="false" customHeight="false" outlineLevel="0" collapsed="false">
      <c r="A849" s="0" t="s">
        <v>154</v>
      </c>
      <c r="B849" s="0" t="n">
        <v>2019</v>
      </c>
      <c r="C849" s="0" t="s">
        <v>63</v>
      </c>
      <c r="D849" s="0" t="n">
        <v>6130.6</v>
      </c>
      <c r="E849" s="0" t="n">
        <v>1</v>
      </c>
      <c r="F849" s="0" t="s">
        <v>329</v>
      </c>
      <c r="G849" s="0" t="s">
        <v>3650</v>
      </c>
      <c r="I849" s="0" t="s">
        <v>2384</v>
      </c>
    </row>
    <row r="850" customFormat="false" ht="15" hidden="false" customHeight="false" outlineLevel="0" collapsed="false">
      <c r="A850" s="0" t="s">
        <v>154</v>
      </c>
      <c r="B850" s="0" t="n">
        <v>2019</v>
      </c>
      <c r="C850" s="0" t="s">
        <v>69</v>
      </c>
      <c r="D850" s="0" t="n">
        <v>13.6</v>
      </c>
      <c r="E850" s="0" t="n">
        <v>1</v>
      </c>
      <c r="F850" s="0" t="s">
        <v>329</v>
      </c>
      <c r="G850" s="0" t="s">
        <v>3650</v>
      </c>
      <c r="I850" s="0" t="s">
        <v>2433</v>
      </c>
    </row>
    <row r="851" customFormat="false" ht="15" hidden="false" customHeight="false" outlineLevel="0" collapsed="false">
      <c r="A851" s="0" t="s">
        <v>154</v>
      </c>
      <c r="B851" s="0" t="n">
        <v>2019</v>
      </c>
      <c r="C851" s="0" t="s">
        <v>65</v>
      </c>
      <c r="D851" s="0" t="n">
        <v>33853.301</v>
      </c>
      <c r="E851" s="0" t="n">
        <v>1</v>
      </c>
      <c r="F851" s="0" t="s">
        <v>329</v>
      </c>
      <c r="G851" s="0" t="s">
        <v>3650</v>
      </c>
      <c r="I851" s="0" t="s">
        <v>2431</v>
      </c>
    </row>
    <row r="852" customFormat="false" ht="15" hidden="false" customHeight="false" outlineLevel="0" collapsed="false">
      <c r="A852" s="0" t="s">
        <v>154</v>
      </c>
      <c r="B852" s="0" t="n">
        <v>2019</v>
      </c>
      <c r="C852" s="0" t="s">
        <v>66</v>
      </c>
      <c r="D852" s="0" t="n">
        <v>248951.162</v>
      </c>
      <c r="E852" s="0" t="n">
        <v>1</v>
      </c>
      <c r="F852" s="0" t="s">
        <v>329</v>
      </c>
      <c r="G852" s="0" t="s">
        <v>3650</v>
      </c>
      <c r="I852" s="0" t="s">
        <v>2432</v>
      </c>
    </row>
    <row r="853" customFormat="false" ht="15" hidden="false" customHeight="false" outlineLevel="0" collapsed="false">
      <c r="A853" s="0" t="s">
        <v>154</v>
      </c>
      <c r="B853" s="0" t="n">
        <v>2019</v>
      </c>
      <c r="C853" s="0" t="s">
        <v>68</v>
      </c>
      <c r="D853" s="0" t="n">
        <v>4646.11</v>
      </c>
      <c r="E853" s="0" t="n">
        <v>1</v>
      </c>
      <c r="F853" s="0" t="s">
        <v>329</v>
      </c>
      <c r="G853" s="0" t="s">
        <v>3650</v>
      </c>
      <c r="I853" s="0" t="s">
        <v>2423</v>
      </c>
    </row>
    <row r="854" customFormat="false" ht="15" hidden="false" customHeight="false" outlineLevel="0" collapsed="false">
      <c r="A854" s="0" t="s">
        <v>154</v>
      </c>
      <c r="B854" s="0" t="n">
        <v>2019</v>
      </c>
      <c r="C854" s="0" t="s">
        <v>402</v>
      </c>
      <c r="D854" s="0" t="n">
        <v>6770.828</v>
      </c>
      <c r="E854" s="0" t="n">
        <v>1</v>
      </c>
      <c r="F854" s="0" t="s">
        <v>329</v>
      </c>
      <c r="G854" s="0" t="s">
        <v>3650</v>
      </c>
      <c r="I854" s="0" t="s">
        <v>2383</v>
      </c>
    </row>
    <row r="855" customFormat="false" ht="15" hidden="false" customHeight="false" outlineLevel="0" collapsed="false">
      <c r="A855" s="0" t="s">
        <v>154</v>
      </c>
      <c r="B855" s="0" t="n">
        <v>2020</v>
      </c>
      <c r="C855" s="0" t="s">
        <v>54</v>
      </c>
      <c r="D855" s="0" t="n">
        <v>4592.217</v>
      </c>
      <c r="E855" s="0" t="n">
        <v>1</v>
      </c>
      <c r="F855" s="0" t="s">
        <v>329</v>
      </c>
      <c r="G855" s="0" t="s">
        <v>3650</v>
      </c>
      <c r="I855" s="0" t="s">
        <v>2379</v>
      </c>
    </row>
    <row r="856" customFormat="false" ht="15" hidden="false" customHeight="false" outlineLevel="0" collapsed="false">
      <c r="A856" s="0" t="s">
        <v>154</v>
      </c>
      <c r="B856" s="0" t="n">
        <v>2020</v>
      </c>
      <c r="C856" s="0" t="s">
        <v>55</v>
      </c>
      <c r="D856" s="0" t="n">
        <v>968582.084</v>
      </c>
      <c r="E856" s="0" t="n">
        <v>1</v>
      </c>
      <c r="F856" s="0" t="s">
        <v>329</v>
      </c>
      <c r="G856" s="0" t="s">
        <v>3650</v>
      </c>
      <c r="I856" s="0" t="s">
        <v>2385</v>
      </c>
    </row>
    <row r="857" customFormat="false" ht="15" hidden="false" customHeight="false" outlineLevel="0" collapsed="false">
      <c r="A857" s="0" t="s">
        <v>154</v>
      </c>
      <c r="B857" s="0" t="n">
        <v>2020</v>
      </c>
      <c r="C857" s="0" t="s">
        <v>56</v>
      </c>
      <c r="D857" s="0" t="n">
        <v>909229.251</v>
      </c>
      <c r="E857" s="0" t="n">
        <v>1</v>
      </c>
      <c r="F857" s="0" t="s">
        <v>329</v>
      </c>
      <c r="G857" s="0" t="s">
        <v>3650</v>
      </c>
      <c r="I857" s="0" t="s">
        <v>2386</v>
      </c>
    </row>
    <row r="858" customFormat="false" ht="15" hidden="false" customHeight="false" outlineLevel="0" collapsed="false">
      <c r="A858" s="0" t="s">
        <v>154</v>
      </c>
      <c r="B858" s="0" t="n">
        <v>2020</v>
      </c>
      <c r="C858" s="0" t="s">
        <v>57</v>
      </c>
      <c r="D858" s="0" t="n">
        <v>59352.833</v>
      </c>
      <c r="E858" s="0" t="n">
        <v>1</v>
      </c>
      <c r="F858" s="0" t="s">
        <v>329</v>
      </c>
      <c r="G858" s="0" t="s">
        <v>3650</v>
      </c>
      <c r="I858" s="0" t="s">
        <v>2387</v>
      </c>
    </row>
    <row r="859" customFormat="false" ht="15" hidden="false" customHeight="false" outlineLevel="0" collapsed="false">
      <c r="A859" s="0" t="s">
        <v>154</v>
      </c>
      <c r="B859" s="0" t="n">
        <v>2020</v>
      </c>
      <c r="C859" s="0" t="s">
        <v>58</v>
      </c>
      <c r="D859" s="0" t="n">
        <v>46804.348</v>
      </c>
      <c r="E859" s="0" t="n">
        <v>1</v>
      </c>
      <c r="F859" s="0" t="s">
        <v>329</v>
      </c>
      <c r="G859" s="0" t="s">
        <v>3650</v>
      </c>
      <c r="I859" s="0" t="s">
        <v>2393</v>
      </c>
    </row>
    <row r="860" customFormat="false" ht="15" hidden="false" customHeight="false" outlineLevel="0" collapsed="false">
      <c r="A860" s="0" t="s">
        <v>154</v>
      </c>
      <c r="B860" s="0" t="n">
        <v>2020</v>
      </c>
      <c r="C860" s="0" t="s">
        <v>59</v>
      </c>
      <c r="D860" s="0" t="n">
        <v>704955.604</v>
      </c>
      <c r="E860" s="0" t="n">
        <v>1</v>
      </c>
      <c r="F860" s="0" t="s">
        <v>329</v>
      </c>
      <c r="G860" s="0" t="s">
        <v>3651</v>
      </c>
      <c r="I860" s="0" t="s">
        <v>2389</v>
      </c>
    </row>
    <row r="861" customFormat="false" ht="15" hidden="false" customHeight="false" outlineLevel="0" collapsed="false">
      <c r="A861" s="0" t="s">
        <v>154</v>
      </c>
      <c r="B861" s="0" t="n">
        <v>2020</v>
      </c>
      <c r="C861" s="0" t="s">
        <v>60</v>
      </c>
      <c r="D861" s="0" t="n">
        <v>375039.658</v>
      </c>
      <c r="E861" s="0" t="n">
        <v>1</v>
      </c>
      <c r="F861" s="0" t="s">
        <v>329</v>
      </c>
      <c r="G861" s="0" t="s">
        <v>3650</v>
      </c>
      <c r="I861" s="0" t="s">
        <v>2417</v>
      </c>
    </row>
    <row r="862" customFormat="false" ht="15" hidden="false" customHeight="false" outlineLevel="0" collapsed="false">
      <c r="A862" s="0" t="s">
        <v>154</v>
      </c>
      <c r="B862" s="0" t="n">
        <v>2020</v>
      </c>
      <c r="C862" s="0" t="s">
        <v>61</v>
      </c>
      <c r="D862" s="0" t="n">
        <v>14963.578</v>
      </c>
      <c r="E862" s="0" t="n">
        <v>1</v>
      </c>
      <c r="F862" s="0" t="s">
        <v>329</v>
      </c>
      <c r="G862" s="0" t="s">
        <v>3650</v>
      </c>
      <c r="I862" s="0" t="s">
        <v>2419</v>
      </c>
    </row>
    <row r="863" customFormat="false" ht="15" hidden="false" customHeight="false" outlineLevel="0" collapsed="false">
      <c r="A863" s="0" t="s">
        <v>154</v>
      </c>
      <c r="B863" s="0" t="n">
        <v>2020</v>
      </c>
      <c r="C863" s="0" t="s">
        <v>62</v>
      </c>
      <c r="D863" s="0" t="n">
        <v>360076.079</v>
      </c>
      <c r="E863" s="0" t="n">
        <v>1</v>
      </c>
      <c r="F863" s="0" t="s">
        <v>329</v>
      </c>
      <c r="G863" s="0" t="s">
        <v>3650</v>
      </c>
      <c r="I863" s="0" t="s">
        <v>2388</v>
      </c>
    </row>
    <row r="864" customFormat="false" ht="15" hidden="false" customHeight="false" outlineLevel="0" collapsed="false">
      <c r="A864" s="0" t="s">
        <v>154</v>
      </c>
      <c r="B864" s="0" t="n">
        <v>2020</v>
      </c>
      <c r="C864" s="0" t="s">
        <v>63</v>
      </c>
      <c r="D864" s="0" t="n">
        <v>5635.165</v>
      </c>
      <c r="E864" s="0" t="n">
        <v>1</v>
      </c>
      <c r="F864" s="0" t="s">
        <v>329</v>
      </c>
      <c r="G864" s="0" t="s">
        <v>3650</v>
      </c>
      <c r="I864" s="0" t="s">
        <v>2381</v>
      </c>
    </row>
    <row r="865" customFormat="false" ht="15" hidden="false" customHeight="false" outlineLevel="0" collapsed="false">
      <c r="A865" s="0" t="s">
        <v>154</v>
      </c>
      <c r="B865" s="0" t="n">
        <v>2020</v>
      </c>
      <c r="C865" s="0" t="s">
        <v>69</v>
      </c>
      <c r="D865" s="0" t="n">
        <v>15.01</v>
      </c>
      <c r="E865" s="0" t="n">
        <v>1</v>
      </c>
      <c r="F865" s="0" t="s">
        <v>329</v>
      </c>
      <c r="G865" s="0" t="s">
        <v>3650</v>
      </c>
      <c r="I865" s="0" t="s">
        <v>2430</v>
      </c>
    </row>
    <row r="866" customFormat="false" ht="15" hidden="false" customHeight="false" outlineLevel="0" collapsed="false">
      <c r="A866" s="0" t="s">
        <v>154</v>
      </c>
      <c r="B866" s="0" t="n">
        <v>2020</v>
      </c>
      <c r="C866" s="0" t="s">
        <v>65</v>
      </c>
      <c r="D866" s="0" t="n">
        <v>41760.881</v>
      </c>
      <c r="E866" s="0" t="n">
        <v>1</v>
      </c>
      <c r="F866" s="0" t="s">
        <v>329</v>
      </c>
      <c r="G866" s="0" t="s">
        <v>3650</v>
      </c>
      <c r="I866" s="0" t="s">
        <v>2427</v>
      </c>
    </row>
    <row r="867" customFormat="false" ht="15" hidden="false" customHeight="false" outlineLevel="0" collapsed="false">
      <c r="A867" s="0" t="s">
        <v>154</v>
      </c>
      <c r="B867" s="0" t="n">
        <v>2020</v>
      </c>
      <c r="C867" s="0" t="s">
        <v>66</v>
      </c>
      <c r="D867" s="0" t="n">
        <v>278133.743</v>
      </c>
      <c r="E867" s="0" t="n">
        <v>1</v>
      </c>
      <c r="F867" s="0" t="s">
        <v>329</v>
      </c>
      <c r="G867" s="0" t="s">
        <v>3650</v>
      </c>
      <c r="I867" s="0" t="s">
        <v>2429</v>
      </c>
    </row>
    <row r="868" customFormat="false" ht="15" hidden="false" customHeight="false" outlineLevel="0" collapsed="false">
      <c r="A868" s="0" t="s">
        <v>154</v>
      </c>
      <c r="B868" s="0" t="n">
        <v>2020</v>
      </c>
      <c r="C868" s="0" t="s">
        <v>73</v>
      </c>
      <c r="D868" s="0" t="n">
        <v>0</v>
      </c>
      <c r="E868" s="0" t="n">
        <v>1</v>
      </c>
      <c r="F868" s="0" t="s">
        <v>329</v>
      </c>
      <c r="G868" s="0" t="s">
        <v>3650</v>
      </c>
      <c r="I868" s="0" t="s">
        <v>307</v>
      </c>
    </row>
    <row r="869" customFormat="false" ht="15" hidden="false" customHeight="false" outlineLevel="0" collapsed="false">
      <c r="A869" s="0" t="s">
        <v>154</v>
      </c>
      <c r="B869" s="0" t="n">
        <v>2020</v>
      </c>
      <c r="C869" s="0" t="s">
        <v>68</v>
      </c>
      <c r="D869" s="0" t="n">
        <v>5411.37</v>
      </c>
      <c r="E869" s="0" t="n">
        <v>1</v>
      </c>
      <c r="F869" s="0" t="s">
        <v>329</v>
      </c>
      <c r="G869" s="0" t="s">
        <v>3650</v>
      </c>
      <c r="I869" s="0" t="s">
        <v>2420</v>
      </c>
    </row>
    <row r="870" customFormat="false" ht="15" hidden="false" customHeight="false" outlineLevel="0" collapsed="false">
      <c r="A870" s="0" t="s">
        <v>154</v>
      </c>
      <c r="B870" s="0" t="n">
        <v>2020</v>
      </c>
      <c r="C870" s="0" t="s">
        <v>402</v>
      </c>
      <c r="D870" s="0" t="n">
        <v>5946.523</v>
      </c>
      <c r="E870" s="0" t="n">
        <v>1</v>
      </c>
      <c r="F870" s="0" t="s">
        <v>329</v>
      </c>
      <c r="G870" s="0" t="s">
        <v>3650</v>
      </c>
      <c r="I870" s="0" t="s">
        <v>2380</v>
      </c>
    </row>
    <row r="871" customFormat="false" ht="15" hidden="false" customHeight="false" outlineLevel="0" collapsed="false">
      <c r="A871" s="0" t="s">
        <v>154</v>
      </c>
      <c r="B871" s="0" t="n">
        <v>2021</v>
      </c>
      <c r="C871" s="0" t="s">
        <v>54</v>
      </c>
      <c r="D871" s="0" t="n">
        <v>8933.202</v>
      </c>
      <c r="E871" s="0" t="n">
        <v>1</v>
      </c>
      <c r="F871" s="0" t="s">
        <v>329</v>
      </c>
      <c r="G871" s="0" t="s">
        <v>3650</v>
      </c>
      <c r="I871" s="0" t="s">
        <v>715</v>
      </c>
    </row>
    <row r="872" customFormat="false" ht="15" hidden="false" customHeight="false" outlineLevel="0" collapsed="false">
      <c r="A872" s="0" t="s">
        <v>154</v>
      </c>
      <c r="B872" s="0" t="n">
        <v>2021</v>
      </c>
      <c r="C872" s="0" t="s">
        <v>55</v>
      </c>
      <c r="D872" s="0" t="n">
        <v>1164517.865</v>
      </c>
      <c r="E872" s="0" t="n">
        <v>1</v>
      </c>
      <c r="F872" s="0" t="s">
        <v>329</v>
      </c>
      <c r="G872" s="0" t="s">
        <v>3650</v>
      </c>
      <c r="I872" s="0" t="s">
        <v>716</v>
      </c>
    </row>
    <row r="873" customFormat="false" ht="15" hidden="false" customHeight="false" outlineLevel="0" collapsed="false">
      <c r="A873" s="0" t="s">
        <v>154</v>
      </c>
      <c r="B873" s="0" t="n">
        <v>2021</v>
      </c>
      <c r="C873" s="0" t="s">
        <v>56</v>
      </c>
      <c r="D873" s="0" t="n">
        <v>1094153.52</v>
      </c>
      <c r="E873" s="0" t="n">
        <v>1</v>
      </c>
      <c r="F873" s="0" t="s">
        <v>329</v>
      </c>
      <c r="G873" s="0" t="s">
        <v>3650</v>
      </c>
      <c r="I873" s="0" t="s">
        <v>717</v>
      </c>
    </row>
    <row r="874" customFormat="false" ht="15" hidden="false" customHeight="false" outlineLevel="0" collapsed="false">
      <c r="A874" s="0" t="s">
        <v>154</v>
      </c>
      <c r="B874" s="0" t="n">
        <v>2021</v>
      </c>
      <c r="C874" s="0" t="s">
        <v>57</v>
      </c>
      <c r="D874" s="0" t="n">
        <v>70364.344</v>
      </c>
      <c r="E874" s="0" t="n">
        <v>1</v>
      </c>
      <c r="F874" s="0" t="s">
        <v>329</v>
      </c>
      <c r="G874" s="0" t="s">
        <v>3650</v>
      </c>
      <c r="I874" s="0" t="s">
        <v>718</v>
      </c>
    </row>
    <row r="875" customFormat="false" ht="15" hidden="false" customHeight="false" outlineLevel="0" collapsed="false">
      <c r="A875" s="0" t="s">
        <v>154</v>
      </c>
      <c r="B875" s="0" t="n">
        <v>2021</v>
      </c>
      <c r="C875" s="0" t="s">
        <v>58</v>
      </c>
      <c r="D875" s="0" t="n">
        <v>9851.888</v>
      </c>
      <c r="E875" s="0" t="n">
        <v>1</v>
      </c>
      <c r="F875" s="0" t="s">
        <v>329</v>
      </c>
      <c r="G875" s="0" t="s">
        <v>3650</v>
      </c>
      <c r="I875" s="0" t="s">
        <v>719</v>
      </c>
    </row>
    <row r="876" customFormat="false" ht="15" hidden="false" customHeight="false" outlineLevel="0" collapsed="false">
      <c r="A876" s="0" t="s">
        <v>154</v>
      </c>
      <c r="B876" s="0" t="n">
        <v>2021</v>
      </c>
      <c r="C876" s="0" t="s">
        <v>59</v>
      </c>
      <c r="D876" s="0" t="n">
        <v>968582.084</v>
      </c>
      <c r="E876" s="0" t="n">
        <v>1</v>
      </c>
      <c r="F876" s="0" t="s">
        <v>329</v>
      </c>
      <c r="G876" s="0" t="s">
        <v>3650</v>
      </c>
      <c r="I876" s="0" t="s">
        <v>720</v>
      </c>
    </row>
    <row r="877" customFormat="false" ht="15" hidden="false" customHeight="false" outlineLevel="0" collapsed="false">
      <c r="A877" s="0" t="s">
        <v>154</v>
      </c>
      <c r="B877" s="0" t="n">
        <v>2021</v>
      </c>
      <c r="C877" s="0" t="s">
        <v>60</v>
      </c>
      <c r="D877" s="0" t="n">
        <v>435551.971</v>
      </c>
      <c r="E877" s="0" t="n">
        <v>1</v>
      </c>
      <c r="F877" s="0" t="s">
        <v>329</v>
      </c>
      <c r="G877" s="0" t="s">
        <v>3650</v>
      </c>
      <c r="I877" s="0" t="s">
        <v>721</v>
      </c>
    </row>
    <row r="878" customFormat="false" ht="15" hidden="false" customHeight="false" outlineLevel="0" collapsed="false">
      <c r="A878" s="0" t="s">
        <v>154</v>
      </c>
      <c r="B878" s="0" t="n">
        <v>2021</v>
      </c>
      <c r="C878" s="0" t="s">
        <v>61</v>
      </c>
      <c r="D878" s="0" t="n">
        <v>16687.668</v>
      </c>
      <c r="E878" s="0" t="n">
        <v>1</v>
      </c>
      <c r="F878" s="0" t="s">
        <v>329</v>
      </c>
      <c r="G878" s="0" t="s">
        <v>3650</v>
      </c>
      <c r="I878" s="0" t="s">
        <v>722</v>
      </c>
    </row>
    <row r="879" customFormat="false" ht="15" hidden="false" customHeight="false" outlineLevel="0" collapsed="false">
      <c r="A879" s="0" t="s">
        <v>154</v>
      </c>
      <c r="B879" s="0" t="n">
        <v>2021</v>
      </c>
      <c r="C879" s="0" t="s">
        <v>62</v>
      </c>
      <c r="D879" s="0" t="n">
        <v>418864.303</v>
      </c>
      <c r="E879" s="0" t="n">
        <v>1</v>
      </c>
      <c r="F879" s="0" t="s">
        <v>329</v>
      </c>
      <c r="G879" s="0" t="s">
        <v>3650</v>
      </c>
      <c r="I879" s="0" t="s">
        <v>723</v>
      </c>
    </row>
    <row r="880" customFormat="false" ht="15" hidden="false" customHeight="false" outlineLevel="0" collapsed="false">
      <c r="A880" s="0" t="s">
        <v>154</v>
      </c>
      <c r="B880" s="0" t="n">
        <v>2021</v>
      </c>
      <c r="C880" s="0" t="s">
        <v>63</v>
      </c>
      <c r="D880" s="0" t="n">
        <v>2104.393</v>
      </c>
      <c r="E880" s="0" t="n">
        <v>1</v>
      </c>
      <c r="F880" s="0" t="s">
        <v>329</v>
      </c>
      <c r="G880" s="0" t="s">
        <v>3650</v>
      </c>
      <c r="I880" s="0" t="s">
        <v>724</v>
      </c>
    </row>
    <row r="881" customFormat="false" ht="15" hidden="false" customHeight="false" outlineLevel="0" collapsed="false">
      <c r="A881" s="0" t="s">
        <v>154</v>
      </c>
      <c r="B881" s="0" t="n">
        <v>2021</v>
      </c>
      <c r="C881" s="0" t="s">
        <v>64</v>
      </c>
      <c r="D881" s="0" t="n">
        <v>21263.336</v>
      </c>
      <c r="E881" s="0" t="n">
        <v>1</v>
      </c>
      <c r="F881" s="0" t="s">
        <v>329</v>
      </c>
      <c r="G881" s="0" t="s">
        <v>3650</v>
      </c>
      <c r="I881" s="0" t="s">
        <v>725</v>
      </c>
    </row>
    <row r="882" customFormat="false" ht="15" hidden="false" customHeight="false" outlineLevel="0" collapsed="false">
      <c r="A882" s="0" t="s">
        <v>154</v>
      </c>
      <c r="B882" s="0" t="n">
        <v>2021</v>
      </c>
      <c r="C882" s="0" t="s">
        <v>69</v>
      </c>
      <c r="D882" s="0" t="n">
        <v>11.71</v>
      </c>
      <c r="E882" s="0" t="n">
        <v>1</v>
      </c>
      <c r="F882" s="0" t="s">
        <v>329</v>
      </c>
      <c r="G882" s="0" t="s">
        <v>3650</v>
      </c>
      <c r="I882" s="0" t="s">
        <v>727</v>
      </c>
    </row>
    <row r="883" customFormat="false" ht="15" hidden="false" customHeight="false" outlineLevel="0" collapsed="false">
      <c r="A883" s="0" t="s">
        <v>154</v>
      </c>
      <c r="B883" s="0" t="n">
        <v>2021</v>
      </c>
      <c r="C883" s="0" t="s">
        <v>65</v>
      </c>
      <c r="D883" s="0" t="n">
        <v>40009.725</v>
      </c>
      <c r="E883" s="0" t="n">
        <v>1</v>
      </c>
      <c r="F883" s="0" t="s">
        <v>329</v>
      </c>
      <c r="G883" s="0" t="s">
        <v>3650</v>
      </c>
      <c r="I883" s="0" t="s">
        <v>728</v>
      </c>
    </row>
    <row r="884" customFormat="false" ht="15" hidden="false" customHeight="false" outlineLevel="0" collapsed="false">
      <c r="A884" s="0" t="s">
        <v>154</v>
      </c>
      <c r="B884" s="0" t="n">
        <v>2021</v>
      </c>
      <c r="C884" s="0" t="s">
        <v>66</v>
      </c>
      <c r="D884" s="0" t="n">
        <v>346012.969</v>
      </c>
      <c r="E884" s="0" t="n">
        <v>1</v>
      </c>
      <c r="F884" s="0" t="s">
        <v>329</v>
      </c>
      <c r="G884" s="0" t="s">
        <v>3650</v>
      </c>
      <c r="I884" s="0" t="s">
        <v>729</v>
      </c>
    </row>
    <row r="885" customFormat="false" ht="15" hidden="false" customHeight="false" outlineLevel="0" collapsed="false">
      <c r="A885" s="0" t="s">
        <v>154</v>
      </c>
      <c r="B885" s="0" t="n">
        <v>2021</v>
      </c>
      <c r="C885" s="0" t="s">
        <v>68</v>
      </c>
      <c r="D885" s="0" t="n">
        <v>11225.979</v>
      </c>
      <c r="E885" s="0" t="n">
        <v>1</v>
      </c>
      <c r="F885" s="0" t="s">
        <v>329</v>
      </c>
      <c r="G885" s="0" t="s">
        <v>3650</v>
      </c>
      <c r="I885" s="0" t="s">
        <v>730</v>
      </c>
    </row>
    <row r="886" customFormat="false" ht="15" hidden="false" customHeight="false" outlineLevel="0" collapsed="false">
      <c r="A886" s="0" t="s">
        <v>154</v>
      </c>
      <c r="B886" s="0" t="n">
        <v>2021</v>
      </c>
      <c r="C886" s="0" t="s">
        <v>402</v>
      </c>
      <c r="D886" s="0" t="n">
        <v>12384.142</v>
      </c>
      <c r="E886" s="0" t="n">
        <v>1</v>
      </c>
      <c r="F886" s="0" t="s">
        <v>329</v>
      </c>
      <c r="G886" s="0" t="s">
        <v>3650</v>
      </c>
      <c r="I886" s="0" t="s">
        <v>731</v>
      </c>
    </row>
    <row r="887" customFormat="false" ht="15" hidden="false" customHeight="false" outlineLevel="0" collapsed="false">
      <c r="A887" s="0" t="s">
        <v>154</v>
      </c>
      <c r="B887" s="0" t="n">
        <v>2022</v>
      </c>
      <c r="C887" s="0" t="s">
        <v>54</v>
      </c>
      <c r="D887" s="0" t="n">
        <v>11214.027</v>
      </c>
      <c r="E887" s="0" t="n">
        <v>1</v>
      </c>
      <c r="F887" s="0" t="s">
        <v>329</v>
      </c>
      <c r="G887" s="0" t="s">
        <v>3650</v>
      </c>
      <c r="I887" s="0" t="s">
        <v>2395</v>
      </c>
    </row>
    <row r="888" customFormat="false" ht="15" hidden="false" customHeight="false" outlineLevel="0" collapsed="false">
      <c r="A888" s="0" t="s">
        <v>154</v>
      </c>
      <c r="B888" s="0" t="n">
        <v>2022</v>
      </c>
      <c r="C888" s="0" t="s">
        <v>55</v>
      </c>
      <c r="D888" s="0" t="n">
        <v>1433703.656</v>
      </c>
      <c r="E888" s="0" t="n">
        <v>1</v>
      </c>
      <c r="F888" s="0" t="s">
        <v>329</v>
      </c>
      <c r="G888" s="0" t="s">
        <v>3650</v>
      </c>
      <c r="I888" s="0" t="s">
        <v>2400</v>
      </c>
    </row>
    <row r="889" customFormat="false" ht="15" hidden="false" customHeight="false" outlineLevel="0" collapsed="false">
      <c r="A889" s="0" t="s">
        <v>154</v>
      </c>
      <c r="B889" s="0" t="n">
        <v>2022</v>
      </c>
      <c r="C889" s="0" t="s">
        <v>56</v>
      </c>
      <c r="D889" s="0" t="n">
        <v>1351080.98</v>
      </c>
      <c r="E889" s="0" t="n">
        <v>1</v>
      </c>
      <c r="F889" s="0" t="s">
        <v>329</v>
      </c>
      <c r="G889" s="0" t="s">
        <v>3650</v>
      </c>
      <c r="I889" s="0" t="s">
        <v>2401</v>
      </c>
    </row>
    <row r="890" customFormat="false" ht="15" hidden="false" customHeight="false" outlineLevel="0" collapsed="false">
      <c r="A890" s="0" t="s">
        <v>154</v>
      </c>
      <c r="B890" s="0" t="n">
        <v>2022</v>
      </c>
      <c r="C890" s="0" t="s">
        <v>57</v>
      </c>
      <c r="D890" s="0" t="n">
        <v>82622.676</v>
      </c>
      <c r="E890" s="0" t="n">
        <v>1</v>
      </c>
      <c r="F890" s="0" t="s">
        <v>329</v>
      </c>
      <c r="G890" s="0" t="s">
        <v>3650</v>
      </c>
      <c r="I890" s="0" t="s">
        <v>2402</v>
      </c>
    </row>
    <row r="891" customFormat="false" ht="15" hidden="false" customHeight="false" outlineLevel="0" collapsed="false">
      <c r="A891" s="0" t="s">
        <v>154</v>
      </c>
      <c r="B891" s="0" t="n">
        <v>2022</v>
      </c>
      <c r="C891" s="0" t="s">
        <v>58</v>
      </c>
      <c r="D891" s="0" t="n">
        <v>179324.77</v>
      </c>
      <c r="E891" s="0" t="n">
        <v>1</v>
      </c>
      <c r="F891" s="0" t="s">
        <v>329</v>
      </c>
      <c r="G891" s="0" t="s">
        <v>3650</v>
      </c>
      <c r="I891" s="0" t="s">
        <v>2404</v>
      </c>
    </row>
    <row r="892" customFormat="false" ht="15" hidden="false" customHeight="false" outlineLevel="0" collapsed="false">
      <c r="A892" s="0" t="s">
        <v>154</v>
      </c>
      <c r="B892" s="0" t="n">
        <v>2022</v>
      </c>
      <c r="C892" s="0" t="s">
        <v>60</v>
      </c>
      <c r="D892" s="0" t="n">
        <v>539372.013</v>
      </c>
      <c r="E892" s="0" t="n">
        <v>1</v>
      </c>
      <c r="F892" s="0" t="s">
        <v>329</v>
      </c>
      <c r="G892" s="0" t="s">
        <v>3650</v>
      </c>
      <c r="I892" s="0" t="s">
        <v>2424</v>
      </c>
    </row>
    <row r="893" customFormat="false" ht="15" hidden="false" customHeight="false" outlineLevel="0" collapsed="false">
      <c r="A893" s="0" t="s">
        <v>154</v>
      </c>
      <c r="B893" s="0" t="n">
        <v>2022</v>
      </c>
      <c r="C893" s="0" t="s">
        <v>61</v>
      </c>
      <c r="D893" s="0" t="n">
        <v>17941.317</v>
      </c>
      <c r="E893" s="0" t="n">
        <v>1</v>
      </c>
      <c r="F893" s="0" t="s">
        <v>329</v>
      </c>
      <c r="G893" s="0" t="s">
        <v>3650</v>
      </c>
      <c r="I893" s="0" t="s">
        <v>2425</v>
      </c>
    </row>
    <row r="894" customFormat="false" ht="15" hidden="false" customHeight="false" outlineLevel="0" collapsed="false">
      <c r="A894" s="0" t="s">
        <v>154</v>
      </c>
      <c r="B894" s="0" t="n">
        <v>2022</v>
      </c>
      <c r="C894" s="0" t="s">
        <v>62</v>
      </c>
      <c r="D894" s="0" t="n">
        <v>521430.696</v>
      </c>
      <c r="E894" s="0" t="n">
        <v>1</v>
      </c>
      <c r="F894" s="0" t="s">
        <v>329</v>
      </c>
      <c r="G894" s="0" t="s">
        <v>3650</v>
      </c>
      <c r="I894" s="0" t="s">
        <v>2403</v>
      </c>
    </row>
    <row r="895" customFormat="false" ht="15" hidden="false" customHeight="false" outlineLevel="0" collapsed="false">
      <c r="A895" s="0" t="s">
        <v>154</v>
      </c>
      <c r="B895" s="0" t="n">
        <v>2022</v>
      </c>
      <c r="C895" s="0" t="s">
        <v>63</v>
      </c>
      <c r="D895" s="0" t="n">
        <v>4762.274</v>
      </c>
      <c r="E895" s="0" t="n">
        <v>1</v>
      </c>
      <c r="F895" s="0" t="s">
        <v>329</v>
      </c>
      <c r="G895" s="0" t="s">
        <v>3650</v>
      </c>
      <c r="H895" s="0" t="s">
        <v>3672</v>
      </c>
      <c r="I895" s="0" t="s">
        <v>2399</v>
      </c>
    </row>
    <row r="896" customFormat="false" ht="15" hidden="false" customHeight="false" outlineLevel="0" collapsed="false">
      <c r="A896" s="0" t="s">
        <v>154</v>
      </c>
      <c r="B896" s="0" t="n">
        <v>2022</v>
      </c>
      <c r="C896" s="0" t="s">
        <v>69</v>
      </c>
      <c r="D896" s="0" t="n">
        <v>12.74</v>
      </c>
      <c r="E896" s="0" t="n">
        <v>1</v>
      </c>
      <c r="F896" s="0" t="s">
        <v>329</v>
      </c>
      <c r="G896" s="0" t="s">
        <v>3650</v>
      </c>
      <c r="I896" s="0" t="s">
        <v>2437</v>
      </c>
    </row>
    <row r="897" customFormat="false" ht="15" hidden="false" customHeight="false" outlineLevel="0" collapsed="false">
      <c r="A897" s="0" t="s">
        <v>154</v>
      </c>
      <c r="B897" s="0" t="n">
        <v>2022</v>
      </c>
      <c r="C897" s="0" t="s">
        <v>65</v>
      </c>
      <c r="D897" s="0" t="n">
        <v>59144.646</v>
      </c>
      <c r="E897" s="0" t="n">
        <v>1</v>
      </c>
      <c r="F897" s="0" t="s">
        <v>329</v>
      </c>
      <c r="G897" s="0" t="s">
        <v>3650</v>
      </c>
      <c r="I897" s="0" t="s">
        <v>2434</v>
      </c>
    </row>
    <row r="898" customFormat="false" ht="15" hidden="false" customHeight="false" outlineLevel="0" collapsed="false">
      <c r="A898" s="0" t="s">
        <v>154</v>
      </c>
      <c r="B898" s="0" t="n">
        <v>2022</v>
      </c>
      <c r="C898" s="0" t="s">
        <v>66</v>
      </c>
      <c r="D898" s="0" t="n">
        <v>464338.153</v>
      </c>
      <c r="E898" s="0" t="n">
        <v>1</v>
      </c>
      <c r="F898" s="0" t="s">
        <v>329</v>
      </c>
      <c r="G898" s="0" t="s">
        <v>3650</v>
      </c>
      <c r="I898" s="0" t="s">
        <v>2436</v>
      </c>
    </row>
    <row r="899" customFormat="false" ht="15" hidden="false" customHeight="false" outlineLevel="0" collapsed="false">
      <c r="A899" s="0" t="s">
        <v>154</v>
      </c>
      <c r="B899" s="0" t="n">
        <v>2022</v>
      </c>
      <c r="C899" s="0" t="s">
        <v>73</v>
      </c>
      <c r="D899" s="0" t="n">
        <v>0</v>
      </c>
      <c r="E899" s="0" t="n">
        <v>1</v>
      </c>
      <c r="F899" s="0" t="s">
        <v>329</v>
      </c>
      <c r="G899" s="0" t="s">
        <v>3650</v>
      </c>
      <c r="I899" s="0" t="s">
        <v>308</v>
      </c>
    </row>
    <row r="900" customFormat="false" ht="15" hidden="false" customHeight="false" outlineLevel="0" collapsed="false">
      <c r="A900" s="0" t="s">
        <v>154</v>
      </c>
      <c r="B900" s="0" t="n">
        <v>2022</v>
      </c>
      <c r="C900" s="0" t="s">
        <v>68</v>
      </c>
      <c r="D900" s="0" t="n">
        <v>12600.451</v>
      </c>
      <c r="E900" s="0" t="n">
        <v>1</v>
      </c>
      <c r="F900" s="0" t="s">
        <v>329</v>
      </c>
      <c r="G900" s="0" t="s">
        <v>3650</v>
      </c>
      <c r="I900" s="0" t="s">
        <v>2426</v>
      </c>
    </row>
    <row r="901" customFormat="false" ht="15" hidden="false" customHeight="false" outlineLevel="0" collapsed="false">
      <c r="A901" s="0" t="s">
        <v>154</v>
      </c>
      <c r="B901" s="0" t="n">
        <v>2022</v>
      </c>
      <c r="C901" s="0" t="s">
        <v>402</v>
      </c>
      <c r="D901" s="0" t="n">
        <v>14746.008</v>
      </c>
      <c r="E901" s="0" t="n">
        <v>1</v>
      </c>
      <c r="F901" s="0" t="s">
        <v>329</v>
      </c>
      <c r="G901" s="0" t="s">
        <v>3650</v>
      </c>
      <c r="I901" s="0" t="s">
        <v>2398</v>
      </c>
    </row>
    <row r="902" customFormat="false" ht="15" hidden="false" customHeight="false" outlineLevel="0" collapsed="false">
      <c r="A902" s="0" t="s">
        <v>163</v>
      </c>
      <c r="B902" s="0" t="n">
        <v>2014</v>
      </c>
      <c r="C902" s="0" t="s">
        <v>54</v>
      </c>
      <c r="D902" s="0" t="n">
        <v>92479</v>
      </c>
      <c r="E902" s="0" t="n">
        <v>1</v>
      </c>
      <c r="F902" s="0" t="s">
        <v>329</v>
      </c>
      <c r="G902" s="0" t="s">
        <v>3650</v>
      </c>
      <c r="I902" s="0" t="s">
        <v>2057</v>
      </c>
    </row>
    <row r="903" customFormat="false" ht="15" hidden="false" customHeight="false" outlineLevel="0" collapsed="false">
      <c r="A903" s="0" t="s">
        <v>163</v>
      </c>
      <c r="B903" s="0" t="n">
        <v>2014</v>
      </c>
      <c r="C903" s="0" t="s">
        <v>55</v>
      </c>
      <c r="D903" s="0" t="n">
        <v>3423819</v>
      </c>
      <c r="E903" s="0" t="n">
        <v>1</v>
      </c>
      <c r="F903" s="0" t="s">
        <v>329</v>
      </c>
      <c r="G903" s="0" t="s">
        <v>3650</v>
      </c>
      <c r="I903" s="0" t="s">
        <v>2062</v>
      </c>
    </row>
    <row r="904" customFormat="false" ht="15" hidden="false" customHeight="false" outlineLevel="0" collapsed="false">
      <c r="A904" s="0" t="s">
        <v>163</v>
      </c>
      <c r="B904" s="0" t="n">
        <v>2014</v>
      </c>
      <c r="C904" s="0" t="s">
        <v>56</v>
      </c>
      <c r="D904" s="0" t="n">
        <v>2911112</v>
      </c>
      <c r="E904" s="0" t="n">
        <v>1</v>
      </c>
      <c r="F904" s="0" t="s">
        <v>329</v>
      </c>
      <c r="G904" s="0" t="s">
        <v>3650</v>
      </c>
      <c r="I904" s="0" t="s">
        <v>2063</v>
      </c>
    </row>
    <row r="905" customFormat="false" ht="15" hidden="false" customHeight="false" outlineLevel="0" collapsed="false">
      <c r="A905" s="0" t="s">
        <v>163</v>
      </c>
      <c r="B905" s="0" t="n">
        <v>2014</v>
      </c>
      <c r="C905" s="0" t="s">
        <v>57</v>
      </c>
      <c r="D905" s="0" t="n">
        <v>512707</v>
      </c>
      <c r="E905" s="0" t="n">
        <v>1</v>
      </c>
      <c r="F905" s="0" t="s">
        <v>329</v>
      </c>
      <c r="G905" s="0" t="s">
        <v>3650</v>
      </c>
      <c r="I905" s="0" t="s">
        <v>2064</v>
      </c>
    </row>
    <row r="906" customFormat="false" ht="15" hidden="false" customHeight="false" outlineLevel="0" collapsed="false">
      <c r="A906" s="0" t="s">
        <v>163</v>
      </c>
      <c r="B906" s="0" t="n">
        <v>2014</v>
      </c>
      <c r="C906" s="0" t="s">
        <v>58</v>
      </c>
      <c r="D906" s="0" t="n">
        <v>-145986</v>
      </c>
      <c r="E906" s="0" t="n">
        <v>1</v>
      </c>
      <c r="F906" s="0" t="s">
        <v>329</v>
      </c>
      <c r="G906" s="0" t="s">
        <v>3650</v>
      </c>
      <c r="I906" s="0" t="s">
        <v>2067</v>
      </c>
    </row>
    <row r="907" customFormat="false" ht="15" hidden="false" customHeight="false" outlineLevel="0" collapsed="false">
      <c r="A907" s="0" t="s">
        <v>163</v>
      </c>
      <c r="B907" s="0" t="n">
        <v>2014</v>
      </c>
      <c r="C907" s="0" t="s">
        <v>60</v>
      </c>
      <c r="D907" s="0" t="n">
        <v>1605581</v>
      </c>
      <c r="E907" s="0" t="n">
        <v>1</v>
      </c>
      <c r="F907" s="0" t="s">
        <v>329</v>
      </c>
      <c r="G907" s="0" t="s">
        <v>3650</v>
      </c>
      <c r="I907" s="0" t="s">
        <v>2068</v>
      </c>
    </row>
    <row r="908" customFormat="false" ht="15" hidden="false" customHeight="false" outlineLevel="0" collapsed="false">
      <c r="A908" s="0" t="s">
        <v>163</v>
      </c>
      <c r="B908" s="0" t="n">
        <v>2014</v>
      </c>
      <c r="C908" s="0" t="s">
        <v>61</v>
      </c>
      <c r="D908" s="0" t="n">
        <v>25331</v>
      </c>
      <c r="E908" s="0" t="n">
        <v>1</v>
      </c>
      <c r="F908" s="0" t="s">
        <v>329</v>
      </c>
      <c r="G908" s="0" t="s">
        <v>3650</v>
      </c>
      <c r="I908" s="0" t="s">
        <v>2070</v>
      </c>
    </row>
    <row r="909" customFormat="false" ht="15" hidden="false" customHeight="false" outlineLevel="0" collapsed="false">
      <c r="A909" s="0" t="s">
        <v>163</v>
      </c>
      <c r="B909" s="0" t="n">
        <v>2014</v>
      </c>
      <c r="C909" s="0" t="s">
        <v>63</v>
      </c>
      <c r="D909" s="0" t="n">
        <v>12392</v>
      </c>
      <c r="E909" s="0" t="n">
        <v>1</v>
      </c>
      <c r="F909" s="0" t="s">
        <v>329</v>
      </c>
      <c r="G909" s="0" t="s">
        <v>3650</v>
      </c>
      <c r="I909" s="0" t="s">
        <v>2060</v>
      </c>
    </row>
    <row r="910" customFormat="false" ht="15" hidden="false" customHeight="false" outlineLevel="0" collapsed="false">
      <c r="A910" s="0" t="s">
        <v>163</v>
      </c>
      <c r="B910" s="0" t="n">
        <v>2014</v>
      </c>
      <c r="C910" s="0" t="s">
        <v>64</v>
      </c>
      <c r="D910" s="0" t="n">
        <v>26407</v>
      </c>
      <c r="E910" s="0" t="n">
        <v>1</v>
      </c>
      <c r="F910" s="0" t="s">
        <v>329</v>
      </c>
      <c r="G910" s="0" t="s">
        <v>3650</v>
      </c>
      <c r="I910" s="0" t="s">
        <v>2073</v>
      </c>
    </row>
    <row r="911" customFormat="false" ht="15" hidden="false" customHeight="false" outlineLevel="0" collapsed="false">
      <c r="A911" s="0" t="s">
        <v>163</v>
      </c>
      <c r="B911" s="0" t="n">
        <v>2014</v>
      </c>
      <c r="C911" s="0" t="s">
        <v>69</v>
      </c>
      <c r="D911" s="0" t="n">
        <v>19</v>
      </c>
      <c r="E911" s="0" t="n">
        <v>1</v>
      </c>
      <c r="F911" s="0" t="s">
        <v>329</v>
      </c>
      <c r="G911" s="0" t="s">
        <v>3650</v>
      </c>
      <c r="I911" s="0" t="s">
        <v>2074</v>
      </c>
    </row>
    <row r="912" customFormat="false" ht="15" hidden="false" customHeight="false" outlineLevel="0" collapsed="false">
      <c r="A912" s="0" t="s">
        <v>163</v>
      </c>
      <c r="B912" s="0" t="n">
        <v>2015</v>
      </c>
      <c r="C912" s="0" t="s">
        <v>54</v>
      </c>
      <c r="D912" s="0" t="n">
        <v>98784</v>
      </c>
      <c r="E912" s="0" t="n">
        <v>1</v>
      </c>
      <c r="F912" s="0" t="s">
        <v>329</v>
      </c>
      <c r="G912" s="0" t="s">
        <v>3650</v>
      </c>
      <c r="I912" s="0" t="s">
        <v>2078</v>
      </c>
    </row>
    <row r="913" customFormat="false" ht="15" hidden="false" customHeight="false" outlineLevel="0" collapsed="false">
      <c r="A913" s="0" t="s">
        <v>163</v>
      </c>
      <c r="B913" s="0" t="n">
        <v>2015</v>
      </c>
      <c r="C913" s="0" t="s">
        <v>55</v>
      </c>
      <c r="D913" s="0" t="n">
        <v>3750327</v>
      </c>
      <c r="E913" s="0" t="n">
        <v>1</v>
      </c>
      <c r="F913" s="0" t="s">
        <v>329</v>
      </c>
      <c r="G913" s="0" t="s">
        <v>3650</v>
      </c>
      <c r="I913" s="0" t="s">
        <v>2081</v>
      </c>
    </row>
    <row r="914" customFormat="false" ht="15" hidden="false" customHeight="false" outlineLevel="0" collapsed="false">
      <c r="A914" s="0" t="s">
        <v>163</v>
      </c>
      <c r="B914" s="0" t="n">
        <v>2015</v>
      </c>
      <c r="C914" s="0" t="s">
        <v>56</v>
      </c>
      <c r="D914" s="0" t="n">
        <v>3203381</v>
      </c>
      <c r="E914" s="0" t="n">
        <v>1</v>
      </c>
      <c r="F914" s="0" t="s">
        <v>329</v>
      </c>
      <c r="G914" s="0" t="s">
        <v>3650</v>
      </c>
      <c r="I914" s="0" t="s">
        <v>2082</v>
      </c>
    </row>
    <row r="915" customFormat="false" ht="15" hidden="false" customHeight="false" outlineLevel="0" collapsed="false">
      <c r="A915" s="0" t="s">
        <v>163</v>
      </c>
      <c r="B915" s="0" t="n">
        <v>2015</v>
      </c>
      <c r="C915" s="0" t="s">
        <v>57</v>
      </c>
      <c r="D915" s="0" t="n">
        <v>546946</v>
      </c>
      <c r="E915" s="0" t="n">
        <v>1</v>
      </c>
      <c r="F915" s="0" t="s">
        <v>329</v>
      </c>
      <c r="G915" s="0" t="s">
        <v>3650</v>
      </c>
      <c r="I915" s="0" t="s">
        <v>2083</v>
      </c>
    </row>
    <row r="916" customFormat="false" ht="15" hidden="false" customHeight="false" outlineLevel="0" collapsed="false">
      <c r="A916" s="0" t="s">
        <v>163</v>
      </c>
      <c r="B916" s="0" t="n">
        <v>2015</v>
      </c>
      <c r="C916" s="0" t="s">
        <v>58</v>
      </c>
      <c r="D916" s="0" t="n">
        <v>-415396</v>
      </c>
      <c r="E916" s="0" t="n">
        <v>1</v>
      </c>
      <c r="F916" s="0" t="s">
        <v>329</v>
      </c>
      <c r="G916" s="0" t="s">
        <v>3650</v>
      </c>
      <c r="I916" s="0" t="s">
        <v>2086</v>
      </c>
    </row>
    <row r="917" customFormat="false" ht="15" hidden="false" customHeight="false" outlineLevel="0" collapsed="false">
      <c r="A917" s="0" t="s">
        <v>163</v>
      </c>
      <c r="B917" s="0" t="n">
        <v>2015</v>
      </c>
      <c r="C917" s="0" t="s">
        <v>59</v>
      </c>
      <c r="D917" s="0" t="n">
        <v>3423819</v>
      </c>
      <c r="E917" s="0" t="n">
        <v>1</v>
      </c>
      <c r="F917" s="0" t="s">
        <v>329</v>
      </c>
      <c r="G917" s="0" t="s">
        <v>3651</v>
      </c>
      <c r="I917" s="0" t="s">
        <v>2062</v>
      </c>
    </row>
    <row r="918" customFormat="false" ht="15" hidden="false" customHeight="false" outlineLevel="0" collapsed="false">
      <c r="A918" s="0" t="s">
        <v>163</v>
      </c>
      <c r="B918" s="0" t="n">
        <v>2015</v>
      </c>
      <c r="C918" s="0" t="s">
        <v>60</v>
      </c>
      <c r="D918" s="0" t="n">
        <v>1884941</v>
      </c>
      <c r="E918" s="0" t="n">
        <v>1</v>
      </c>
      <c r="F918" s="0" t="s">
        <v>329</v>
      </c>
      <c r="G918" s="0" t="s">
        <v>3650</v>
      </c>
      <c r="I918" s="0" t="s">
        <v>2087</v>
      </c>
    </row>
    <row r="919" customFormat="false" ht="15" hidden="false" customHeight="false" outlineLevel="0" collapsed="false">
      <c r="A919" s="0" t="s">
        <v>163</v>
      </c>
      <c r="B919" s="0" t="n">
        <v>2015</v>
      </c>
      <c r="C919" s="0" t="s">
        <v>61</v>
      </c>
      <c r="D919" s="0" t="n">
        <v>35716</v>
      </c>
      <c r="E919" s="0" t="n">
        <v>1</v>
      </c>
      <c r="F919" s="0" t="s">
        <v>329</v>
      </c>
      <c r="G919" s="0" t="s">
        <v>3650</v>
      </c>
      <c r="I919" s="0" t="s">
        <v>2088</v>
      </c>
    </row>
    <row r="920" customFormat="false" ht="15" hidden="false" customHeight="false" outlineLevel="0" collapsed="false">
      <c r="A920" s="0" t="s">
        <v>163</v>
      </c>
      <c r="B920" s="0" t="n">
        <v>2015</v>
      </c>
      <c r="C920" s="0" t="s">
        <v>63</v>
      </c>
      <c r="D920" s="0" t="n">
        <v>11091</v>
      </c>
      <c r="E920" s="0" t="n">
        <v>1</v>
      </c>
      <c r="F920" s="0" t="s">
        <v>329</v>
      </c>
      <c r="G920" s="0" t="s">
        <v>3650</v>
      </c>
      <c r="I920" s="0" t="s">
        <v>2080</v>
      </c>
    </row>
    <row r="921" customFormat="false" ht="15" hidden="false" customHeight="false" outlineLevel="0" collapsed="false">
      <c r="A921" s="0" t="s">
        <v>163</v>
      </c>
      <c r="B921" s="0" t="n">
        <v>2015</v>
      </c>
      <c r="C921" s="0" t="s">
        <v>64</v>
      </c>
      <c r="D921" s="0" t="n">
        <v>30871</v>
      </c>
      <c r="E921" s="0" t="n">
        <v>1</v>
      </c>
      <c r="F921" s="0" t="s">
        <v>329</v>
      </c>
      <c r="G921" s="0" t="s">
        <v>3650</v>
      </c>
      <c r="I921" s="0" t="s">
        <v>2091</v>
      </c>
    </row>
    <row r="922" customFormat="false" ht="15" hidden="false" customHeight="false" outlineLevel="0" collapsed="false">
      <c r="A922" s="0" t="s">
        <v>163</v>
      </c>
      <c r="B922" s="0" t="n">
        <v>2015</v>
      </c>
      <c r="C922" s="0" t="s">
        <v>69</v>
      </c>
      <c r="D922" s="0" t="n">
        <v>20</v>
      </c>
      <c r="E922" s="0" t="n">
        <v>1</v>
      </c>
      <c r="F922" s="0" t="s">
        <v>329</v>
      </c>
      <c r="G922" s="0" t="s">
        <v>3650</v>
      </c>
      <c r="I922" s="0" t="s">
        <v>2092</v>
      </c>
    </row>
    <row r="923" customFormat="false" ht="15" hidden="false" customHeight="false" outlineLevel="0" collapsed="false">
      <c r="A923" s="0" t="s">
        <v>163</v>
      </c>
      <c r="B923" s="0" t="n">
        <v>2016</v>
      </c>
      <c r="C923" s="0" t="s">
        <v>54</v>
      </c>
      <c r="D923" s="0" t="n">
        <v>119285</v>
      </c>
      <c r="E923" s="0" t="n">
        <v>1</v>
      </c>
      <c r="F923" s="0" t="s">
        <v>329</v>
      </c>
      <c r="G923" s="0" t="s">
        <v>3650</v>
      </c>
      <c r="I923" s="0" t="s">
        <v>733</v>
      </c>
    </row>
    <row r="924" customFormat="false" ht="15" hidden="false" customHeight="false" outlineLevel="0" collapsed="false">
      <c r="A924" s="0" t="s">
        <v>163</v>
      </c>
      <c r="B924" s="0" t="n">
        <v>2016</v>
      </c>
      <c r="C924" s="0" t="s">
        <v>55</v>
      </c>
      <c r="D924" s="0" t="n">
        <v>4283736</v>
      </c>
      <c r="E924" s="0" t="n">
        <v>1</v>
      </c>
      <c r="F924" s="0" t="s">
        <v>329</v>
      </c>
      <c r="G924" s="0" t="s">
        <v>3650</v>
      </c>
      <c r="I924" s="0" t="s">
        <v>734</v>
      </c>
    </row>
    <row r="925" customFormat="false" ht="15" hidden="false" customHeight="false" outlineLevel="0" collapsed="false">
      <c r="A925" s="0" t="s">
        <v>163</v>
      </c>
      <c r="B925" s="0" t="n">
        <v>2016</v>
      </c>
      <c r="C925" s="0" t="s">
        <v>56</v>
      </c>
      <c r="D925" s="0" t="n">
        <v>3667383</v>
      </c>
      <c r="E925" s="0" t="n">
        <v>1</v>
      </c>
      <c r="F925" s="0" t="s">
        <v>329</v>
      </c>
      <c r="G925" s="0" t="s">
        <v>3650</v>
      </c>
      <c r="I925" s="0" t="s">
        <v>735</v>
      </c>
    </row>
    <row r="926" customFormat="false" ht="15" hidden="false" customHeight="false" outlineLevel="0" collapsed="false">
      <c r="A926" s="0" t="s">
        <v>163</v>
      </c>
      <c r="B926" s="0" t="n">
        <v>2016</v>
      </c>
      <c r="C926" s="0" t="s">
        <v>57</v>
      </c>
      <c r="D926" s="0" t="n">
        <v>616353</v>
      </c>
      <c r="E926" s="0" t="n">
        <v>1</v>
      </c>
      <c r="F926" s="0" t="s">
        <v>329</v>
      </c>
      <c r="G926" s="0" t="s">
        <v>3650</v>
      </c>
      <c r="I926" s="0" t="s">
        <v>736</v>
      </c>
    </row>
    <row r="927" customFormat="false" ht="15" hidden="false" customHeight="false" outlineLevel="0" collapsed="false">
      <c r="A927" s="0" t="s">
        <v>163</v>
      </c>
      <c r="B927" s="0" t="n">
        <v>2016</v>
      </c>
      <c r="C927" s="0" t="s">
        <v>58</v>
      </c>
      <c r="D927" s="0" t="n">
        <v>-104917</v>
      </c>
      <c r="E927" s="0" t="n">
        <v>1</v>
      </c>
      <c r="F927" s="0" t="s">
        <v>329</v>
      </c>
      <c r="G927" s="0" t="s">
        <v>3650</v>
      </c>
      <c r="I927" s="0" t="s">
        <v>737</v>
      </c>
    </row>
    <row r="928" customFormat="false" ht="15" hidden="false" customHeight="false" outlineLevel="0" collapsed="false">
      <c r="A928" s="0" t="s">
        <v>163</v>
      </c>
      <c r="B928" s="0" t="n">
        <v>2016</v>
      </c>
      <c r="C928" s="0" t="s">
        <v>59</v>
      </c>
      <c r="D928" s="0" t="n">
        <v>3750327</v>
      </c>
      <c r="E928" s="0" t="n">
        <v>1</v>
      </c>
      <c r="F928" s="0" t="s">
        <v>329</v>
      </c>
      <c r="G928" s="0" t="s">
        <v>3650</v>
      </c>
      <c r="I928" s="0" t="s">
        <v>738</v>
      </c>
    </row>
    <row r="929" customFormat="false" ht="15" hidden="false" customHeight="false" outlineLevel="0" collapsed="false">
      <c r="A929" s="0" t="s">
        <v>163</v>
      </c>
      <c r="B929" s="0" t="n">
        <v>2016</v>
      </c>
      <c r="C929" s="0" t="s">
        <v>60</v>
      </c>
      <c r="D929" s="0" t="n">
        <v>2193224</v>
      </c>
      <c r="E929" s="0" t="n">
        <v>1</v>
      </c>
      <c r="F929" s="0" t="s">
        <v>329</v>
      </c>
      <c r="G929" s="0" t="s">
        <v>3650</v>
      </c>
      <c r="I929" s="0" t="s">
        <v>739</v>
      </c>
    </row>
    <row r="930" customFormat="false" ht="15" hidden="false" customHeight="false" outlineLevel="0" collapsed="false">
      <c r="A930" s="0" t="s">
        <v>163</v>
      </c>
      <c r="B930" s="0" t="n">
        <v>2016</v>
      </c>
      <c r="C930" s="0" t="s">
        <v>61</v>
      </c>
      <c r="D930" s="0" t="n">
        <v>55092</v>
      </c>
      <c r="E930" s="0" t="n">
        <v>1</v>
      </c>
      <c r="F930" s="0" t="s">
        <v>329</v>
      </c>
      <c r="G930" s="0" t="s">
        <v>3650</v>
      </c>
      <c r="I930" s="0" t="s">
        <v>740</v>
      </c>
    </row>
    <row r="931" customFormat="false" ht="15" hidden="false" customHeight="false" outlineLevel="0" collapsed="false">
      <c r="A931" s="0" t="s">
        <v>163</v>
      </c>
      <c r="B931" s="0" t="n">
        <v>2016</v>
      </c>
      <c r="C931" s="0" t="s">
        <v>62</v>
      </c>
      <c r="D931" s="0" t="n">
        <v>2138132</v>
      </c>
      <c r="E931" s="0" t="n">
        <v>1</v>
      </c>
      <c r="F931" s="0" t="s">
        <v>329</v>
      </c>
      <c r="G931" s="0" t="s">
        <v>3650</v>
      </c>
      <c r="I931" s="0" t="s">
        <v>741</v>
      </c>
    </row>
    <row r="932" customFormat="false" ht="15" hidden="false" customHeight="false" outlineLevel="0" collapsed="false">
      <c r="A932" s="0" t="s">
        <v>163</v>
      </c>
      <c r="B932" s="0" t="n">
        <v>2016</v>
      </c>
      <c r="C932" s="0" t="s">
        <v>63</v>
      </c>
      <c r="D932" s="0" t="n">
        <v>26295</v>
      </c>
      <c r="E932" s="0" t="n">
        <v>1</v>
      </c>
      <c r="F932" s="0" t="s">
        <v>329</v>
      </c>
      <c r="G932" s="0" t="s">
        <v>3650</v>
      </c>
      <c r="I932" s="0" t="s">
        <v>742</v>
      </c>
    </row>
    <row r="933" customFormat="false" ht="15" hidden="false" customHeight="false" outlineLevel="0" collapsed="false">
      <c r="A933" s="0" t="s">
        <v>163</v>
      </c>
      <c r="B933" s="0" t="n">
        <v>2016</v>
      </c>
      <c r="C933" s="0" t="s">
        <v>64</v>
      </c>
      <c r="D933" s="0" t="n">
        <v>57577</v>
      </c>
      <c r="E933" s="0" t="n">
        <v>1</v>
      </c>
      <c r="F933" s="0" t="s">
        <v>329</v>
      </c>
      <c r="G933" s="0" t="s">
        <v>3650</v>
      </c>
      <c r="I933" s="0" t="s">
        <v>743</v>
      </c>
    </row>
    <row r="934" customFormat="false" ht="15" hidden="false" customHeight="false" outlineLevel="0" collapsed="false">
      <c r="A934" s="0" t="s">
        <v>163</v>
      </c>
      <c r="B934" s="0" t="n">
        <v>2016</v>
      </c>
      <c r="C934" s="0" t="s">
        <v>69</v>
      </c>
      <c r="D934" s="0" t="n">
        <v>22</v>
      </c>
      <c r="E934" s="0" t="n">
        <v>1</v>
      </c>
      <c r="F934" s="0" t="s">
        <v>329</v>
      </c>
      <c r="G934" s="0" t="s">
        <v>3650</v>
      </c>
      <c r="I934" s="0" t="s">
        <v>744</v>
      </c>
    </row>
    <row r="935" customFormat="false" ht="15" hidden="false" customHeight="false" outlineLevel="0" collapsed="false">
      <c r="A935" s="0" t="s">
        <v>163</v>
      </c>
      <c r="B935" s="0" t="n">
        <v>2016</v>
      </c>
      <c r="C935" s="0" t="s">
        <v>65</v>
      </c>
      <c r="D935" s="0" t="n">
        <v>565277</v>
      </c>
      <c r="E935" s="0" t="n">
        <v>1</v>
      </c>
      <c r="F935" s="0" t="s">
        <v>329</v>
      </c>
      <c r="G935" s="0" t="s">
        <v>3650</v>
      </c>
      <c r="I935" s="0" t="s">
        <v>745</v>
      </c>
    </row>
    <row r="936" customFormat="false" ht="15" hidden="false" customHeight="false" outlineLevel="0" collapsed="false">
      <c r="A936" s="0" t="s">
        <v>163</v>
      </c>
      <c r="B936" s="0" t="n">
        <v>2016</v>
      </c>
      <c r="C936" s="0" t="s">
        <v>66</v>
      </c>
      <c r="D936" s="0" t="n">
        <v>2624643</v>
      </c>
      <c r="E936" s="0" t="n">
        <v>1</v>
      </c>
      <c r="F936" s="0" t="s">
        <v>329</v>
      </c>
      <c r="G936" s="0" t="s">
        <v>3650</v>
      </c>
      <c r="I936" s="0" t="s">
        <v>746</v>
      </c>
    </row>
    <row r="937" customFormat="false" ht="15" hidden="false" customHeight="false" outlineLevel="0" collapsed="false">
      <c r="A937" s="0" t="s">
        <v>163</v>
      </c>
      <c r="B937" s="0" t="n">
        <v>2016</v>
      </c>
      <c r="C937" s="0" t="s">
        <v>402</v>
      </c>
      <c r="D937" s="0" t="n">
        <v>139927</v>
      </c>
      <c r="E937" s="0" t="n">
        <v>1</v>
      </c>
      <c r="F937" s="0" t="s">
        <v>329</v>
      </c>
      <c r="G937" s="0" t="s">
        <v>3650</v>
      </c>
      <c r="I937" s="0" t="s">
        <v>747</v>
      </c>
    </row>
    <row r="938" customFormat="false" ht="15" hidden="false" customHeight="false" outlineLevel="0" collapsed="false">
      <c r="A938" s="0" t="s">
        <v>163</v>
      </c>
      <c r="B938" s="0" t="n">
        <v>2016</v>
      </c>
      <c r="C938" s="0" t="s">
        <v>404</v>
      </c>
      <c r="D938" s="0" t="n">
        <v>17607</v>
      </c>
      <c r="E938" s="0" t="n">
        <v>1</v>
      </c>
      <c r="F938" s="0" t="s">
        <v>329</v>
      </c>
      <c r="G938" s="0" t="s">
        <v>3650</v>
      </c>
      <c r="I938" s="0" t="s">
        <v>748</v>
      </c>
    </row>
    <row r="939" customFormat="false" ht="15" hidden="false" customHeight="false" outlineLevel="0" collapsed="false">
      <c r="A939" s="0" t="s">
        <v>163</v>
      </c>
      <c r="B939" s="0" t="n">
        <v>2016</v>
      </c>
      <c r="C939" s="0" t="s">
        <v>406</v>
      </c>
      <c r="D939" s="0" t="n">
        <v>37485</v>
      </c>
      <c r="E939" s="0" t="n">
        <v>1</v>
      </c>
      <c r="F939" s="0" t="s">
        <v>329</v>
      </c>
      <c r="G939" s="0" t="s">
        <v>3650</v>
      </c>
      <c r="I939" s="0" t="s">
        <v>749</v>
      </c>
    </row>
    <row r="940" customFormat="false" ht="15" hidden="false" customHeight="false" outlineLevel="0" collapsed="false">
      <c r="A940" s="0" t="s">
        <v>163</v>
      </c>
      <c r="B940" s="0" t="n">
        <v>2017</v>
      </c>
      <c r="C940" s="0" t="s">
        <v>54</v>
      </c>
      <c r="D940" s="0" t="n">
        <v>157145</v>
      </c>
      <c r="E940" s="0" t="n">
        <v>1</v>
      </c>
      <c r="F940" s="0" t="s">
        <v>329</v>
      </c>
      <c r="G940" s="0" t="s">
        <v>3650</v>
      </c>
      <c r="I940" s="0" t="s">
        <v>750</v>
      </c>
    </row>
    <row r="941" customFormat="false" ht="15" hidden="false" customHeight="false" outlineLevel="0" collapsed="false">
      <c r="A941" s="0" t="s">
        <v>163</v>
      </c>
      <c r="B941" s="0" t="n">
        <v>2017</v>
      </c>
      <c r="C941" s="0" t="s">
        <v>55</v>
      </c>
      <c r="D941" s="0" t="n">
        <v>4833658</v>
      </c>
      <c r="E941" s="0" t="n">
        <v>1</v>
      </c>
      <c r="F941" s="0" t="s">
        <v>329</v>
      </c>
      <c r="G941" s="0" t="s">
        <v>3650</v>
      </c>
      <c r="I941" s="0" t="s">
        <v>751</v>
      </c>
    </row>
    <row r="942" customFormat="false" ht="15" hidden="false" customHeight="false" outlineLevel="0" collapsed="false">
      <c r="A942" s="0" t="s">
        <v>163</v>
      </c>
      <c r="B942" s="0" t="n">
        <v>2017</v>
      </c>
      <c r="C942" s="0" t="s">
        <v>56</v>
      </c>
      <c r="D942" s="0" t="n">
        <v>4126133</v>
      </c>
      <c r="E942" s="0" t="n">
        <v>1</v>
      </c>
      <c r="F942" s="0" t="s">
        <v>329</v>
      </c>
      <c r="G942" s="0" t="s">
        <v>3650</v>
      </c>
      <c r="I942" s="0" t="s">
        <v>752</v>
      </c>
    </row>
    <row r="943" customFormat="false" ht="15" hidden="false" customHeight="false" outlineLevel="0" collapsed="false">
      <c r="A943" s="0" t="s">
        <v>163</v>
      </c>
      <c r="B943" s="0" t="n">
        <v>2017</v>
      </c>
      <c r="C943" s="0" t="s">
        <v>57</v>
      </c>
      <c r="D943" s="0" t="n">
        <v>707525</v>
      </c>
      <c r="E943" s="0" t="n">
        <v>1</v>
      </c>
      <c r="F943" s="0" t="s">
        <v>329</v>
      </c>
      <c r="G943" s="0" t="s">
        <v>3650</v>
      </c>
      <c r="I943" s="0" t="s">
        <v>753</v>
      </c>
    </row>
    <row r="944" customFormat="false" ht="15" hidden="false" customHeight="false" outlineLevel="0" collapsed="false">
      <c r="A944" s="0" t="s">
        <v>163</v>
      </c>
      <c r="B944" s="0" t="n">
        <v>2017</v>
      </c>
      <c r="C944" s="0" t="s">
        <v>58</v>
      </c>
      <c r="D944" s="0" t="n">
        <v>-255750</v>
      </c>
      <c r="E944" s="0" t="n">
        <v>1</v>
      </c>
      <c r="F944" s="0" t="s">
        <v>329</v>
      </c>
      <c r="G944" s="0" t="s">
        <v>3650</v>
      </c>
      <c r="I944" s="0" t="s">
        <v>754</v>
      </c>
    </row>
    <row r="945" customFormat="false" ht="15" hidden="false" customHeight="false" outlineLevel="0" collapsed="false">
      <c r="A945" s="0" t="s">
        <v>163</v>
      </c>
      <c r="B945" s="0" t="n">
        <v>2017</v>
      </c>
      <c r="C945" s="0" t="s">
        <v>59</v>
      </c>
      <c r="D945" s="0" t="n">
        <v>4283736</v>
      </c>
      <c r="E945" s="0" t="n">
        <v>1</v>
      </c>
      <c r="F945" s="0" t="s">
        <v>329</v>
      </c>
      <c r="G945" s="0" t="s">
        <v>3650</v>
      </c>
      <c r="I945" s="0" t="s">
        <v>755</v>
      </c>
    </row>
    <row r="946" customFormat="false" ht="15" hidden="false" customHeight="false" outlineLevel="0" collapsed="false">
      <c r="A946" s="0" t="s">
        <v>163</v>
      </c>
      <c r="B946" s="0" t="n">
        <v>2017</v>
      </c>
      <c r="C946" s="0" t="s">
        <v>60</v>
      </c>
      <c r="D946" s="0" t="n">
        <v>2117069</v>
      </c>
      <c r="E946" s="0" t="n">
        <v>1</v>
      </c>
      <c r="F946" s="0" t="s">
        <v>329</v>
      </c>
      <c r="G946" s="0" t="s">
        <v>3650</v>
      </c>
      <c r="I946" s="0" t="s">
        <v>756</v>
      </c>
    </row>
    <row r="947" customFormat="false" ht="15" hidden="false" customHeight="false" outlineLevel="0" collapsed="false">
      <c r="A947" s="0" t="s">
        <v>163</v>
      </c>
      <c r="B947" s="0" t="n">
        <v>2017</v>
      </c>
      <c r="C947" s="0" t="s">
        <v>61</v>
      </c>
      <c r="D947" s="0" t="n">
        <v>136605</v>
      </c>
      <c r="E947" s="0" t="n">
        <v>1</v>
      </c>
      <c r="F947" s="0" t="s">
        <v>329</v>
      </c>
      <c r="G947" s="0" t="s">
        <v>3650</v>
      </c>
      <c r="I947" s="0" t="s">
        <v>757</v>
      </c>
    </row>
    <row r="948" customFormat="false" ht="15" hidden="false" customHeight="false" outlineLevel="0" collapsed="false">
      <c r="A948" s="0" t="s">
        <v>163</v>
      </c>
      <c r="B948" s="0" t="n">
        <v>2017</v>
      </c>
      <c r="C948" s="0" t="s">
        <v>62</v>
      </c>
      <c r="D948" s="0" t="n">
        <v>1980464</v>
      </c>
      <c r="E948" s="0" t="n">
        <v>1</v>
      </c>
      <c r="F948" s="0" t="s">
        <v>329</v>
      </c>
      <c r="G948" s="0" t="s">
        <v>3650</v>
      </c>
      <c r="I948" s="0" t="s">
        <v>758</v>
      </c>
    </row>
    <row r="949" customFormat="false" ht="15" hidden="false" customHeight="false" outlineLevel="0" collapsed="false">
      <c r="A949" s="0" t="s">
        <v>163</v>
      </c>
      <c r="B949" s="0" t="n">
        <v>2017</v>
      </c>
      <c r="C949" s="0" t="s">
        <v>63</v>
      </c>
      <c r="D949" s="0" t="n">
        <v>95244</v>
      </c>
      <c r="E949" s="0" t="n">
        <v>1</v>
      </c>
      <c r="F949" s="0" t="s">
        <v>329</v>
      </c>
      <c r="G949" s="0" t="s">
        <v>3650</v>
      </c>
      <c r="I949" s="0" t="s">
        <v>759</v>
      </c>
    </row>
    <row r="950" customFormat="false" ht="15" hidden="false" customHeight="false" outlineLevel="0" collapsed="false">
      <c r="A950" s="0" t="s">
        <v>163</v>
      </c>
      <c r="B950" s="0" t="n">
        <v>2017</v>
      </c>
      <c r="C950" s="0" t="s">
        <v>64</v>
      </c>
      <c r="D950" s="0" t="n">
        <v>91738</v>
      </c>
      <c r="E950" s="0" t="n">
        <v>1</v>
      </c>
      <c r="F950" s="0" t="s">
        <v>329</v>
      </c>
      <c r="G950" s="0" t="s">
        <v>3650</v>
      </c>
      <c r="I950" s="0" t="s">
        <v>760</v>
      </c>
    </row>
    <row r="951" customFormat="false" ht="15" hidden="false" customHeight="false" outlineLevel="0" collapsed="false">
      <c r="A951" s="0" t="s">
        <v>163</v>
      </c>
      <c r="B951" s="0" t="n">
        <v>2017</v>
      </c>
      <c r="C951" s="0" t="s">
        <v>69</v>
      </c>
      <c r="D951" s="0" t="n">
        <v>24</v>
      </c>
      <c r="E951" s="0" t="n">
        <v>1</v>
      </c>
      <c r="F951" s="0" t="s">
        <v>329</v>
      </c>
      <c r="G951" s="0" t="s">
        <v>3650</v>
      </c>
      <c r="I951" s="0" t="s">
        <v>761</v>
      </c>
    </row>
    <row r="952" customFormat="false" ht="15" hidden="false" customHeight="false" outlineLevel="0" collapsed="false">
      <c r="A952" s="0" t="s">
        <v>163</v>
      </c>
      <c r="B952" s="0" t="n">
        <v>2017</v>
      </c>
      <c r="C952" s="0" t="s">
        <v>65</v>
      </c>
      <c r="D952" s="0" t="n">
        <v>652237</v>
      </c>
      <c r="E952" s="0" t="n">
        <v>1</v>
      </c>
      <c r="F952" s="0" t="s">
        <v>329</v>
      </c>
      <c r="G952" s="0" t="s">
        <v>3650</v>
      </c>
      <c r="I952" s="0" t="s">
        <v>762</v>
      </c>
    </row>
    <row r="953" customFormat="false" ht="15" hidden="false" customHeight="false" outlineLevel="0" collapsed="false">
      <c r="A953" s="0" t="s">
        <v>163</v>
      </c>
      <c r="B953" s="0" t="n">
        <v>2017</v>
      </c>
      <c r="C953" s="0" t="s">
        <v>66</v>
      </c>
      <c r="D953" s="0" t="n">
        <v>2670248</v>
      </c>
      <c r="E953" s="0" t="n">
        <v>1</v>
      </c>
      <c r="F953" s="0" t="s">
        <v>329</v>
      </c>
      <c r="G953" s="0" t="s">
        <v>3650</v>
      </c>
      <c r="I953" s="0" t="s">
        <v>763</v>
      </c>
    </row>
    <row r="954" customFormat="false" ht="15" hidden="false" customHeight="false" outlineLevel="0" collapsed="false">
      <c r="A954" s="0" t="s">
        <v>163</v>
      </c>
      <c r="B954" s="0" t="n">
        <v>2017</v>
      </c>
      <c r="C954" s="0" t="s">
        <v>402</v>
      </c>
      <c r="D954" s="0" t="n">
        <v>173563</v>
      </c>
      <c r="E954" s="0" t="n">
        <v>1</v>
      </c>
      <c r="F954" s="0" t="s">
        <v>329</v>
      </c>
      <c r="G954" s="0" t="s">
        <v>3650</v>
      </c>
      <c r="I954" s="0" t="s">
        <v>764</v>
      </c>
    </row>
    <row r="955" customFormat="false" ht="15" hidden="false" customHeight="false" outlineLevel="0" collapsed="false">
      <c r="A955" s="0" t="s">
        <v>163</v>
      </c>
      <c r="B955" s="0" t="n">
        <v>2017</v>
      </c>
      <c r="C955" s="0" t="s">
        <v>404</v>
      </c>
      <c r="D955" s="0" t="n">
        <v>68443</v>
      </c>
      <c r="E955" s="0" t="n">
        <v>1</v>
      </c>
      <c r="F955" s="0" t="s">
        <v>329</v>
      </c>
      <c r="G955" s="0" t="s">
        <v>3650</v>
      </c>
      <c r="I955" s="0" t="s">
        <v>765</v>
      </c>
    </row>
    <row r="956" customFormat="false" ht="15" hidden="false" customHeight="false" outlineLevel="0" collapsed="false">
      <c r="A956" s="0" t="s">
        <v>163</v>
      </c>
      <c r="B956" s="0" t="n">
        <v>2017</v>
      </c>
      <c r="C956" s="0" t="s">
        <v>406</v>
      </c>
      <c r="D956" s="0" t="n">
        <v>68162</v>
      </c>
      <c r="E956" s="0" t="n">
        <v>1</v>
      </c>
      <c r="F956" s="0" t="s">
        <v>329</v>
      </c>
      <c r="G956" s="0" t="s">
        <v>3650</v>
      </c>
      <c r="I956" s="0" t="s">
        <v>766</v>
      </c>
    </row>
    <row r="957" customFormat="false" ht="15" hidden="false" customHeight="false" outlineLevel="0" collapsed="false">
      <c r="A957" s="0" t="s">
        <v>163</v>
      </c>
      <c r="B957" s="0" t="n">
        <v>2018</v>
      </c>
      <c r="C957" s="0" t="s">
        <v>54</v>
      </c>
      <c r="D957" s="0" t="n">
        <v>165480</v>
      </c>
      <c r="E957" s="0" t="n">
        <v>1</v>
      </c>
      <c r="F957" s="0" t="s">
        <v>329</v>
      </c>
      <c r="G957" s="0" t="s">
        <v>3650</v>
      </c>
      <c r="I957" s="0" t="s">
        <v>767</v>
      </c>
    </row>
    <row r="958" customFormat="false" ht="15" hidden="false" customHeight="false" outlineLevel="0" collapsed="false">
      <c r="A958" s="0" t="s">
        <v>163</v>
      </c>
      <c r="B958" s="0" t="n">
        <v>2018</v>
      </c>
      <c r="C958" s="0" t="s">
        <v>55</v>
      </c>
      <c r="D958" s="0" t="n">
        <v>4955445</v>
      </c>
      <c r="E958" s="0" t="n">
        <v>1</v>
      </c>
      <c r="F958" s="0" t="s">
        <v>329</v>
      </c>
      <c r="G958" s="0" t="s">
        <v>3650</v>
      </c>
      <c r="I958" s="0" t="s">
        <v>768</v>
      </c>
    </row>
    <row r="959" customFormat="false" ht="15" hidden="false" customHeight="false" outlineLevel="0" collapsed="false">
      <c r="A959" s="0" t="s">
        <v>163</v>
      </c>
      <c r="B959" s="0" t="n">
        <v>2018</v>
      </c>
      <c r="C959" s="0" t="s">
        <v>56</v>
      </c>
      <c r="D959" s="0" t="n">
        <v>4280413</v>
      </c>
      <c r="E959" s="0" t="n">
        <v>1</v>
      </c>
      <c r="F959" s="0" t="s">
        <v>329</v>
      </c>
      <c r="G959" s="0" t="s">
        <v>3650</v>
      </c>
      <c r="I959" s="0" t="s">
        <v>769</v>
      </c>
    </row>
    <row r="960" customFormat="false" ht="15" hidden="false" customHeight="false" outlineLevel="0" collapsed="false">
      <c r="A960" s="0" t="s">
        <v>163</v>
      </c>
      <c r="B960" s="0" t="n">
        <v>2018</v>
      </c>
      <c r="C960" s="0" t="s">
        <v>57</v>
      </c>
      <c r="D960" s="0" t="n">
        <v>675032</v>
      </c>
      <c r="E960" s="0" t="n">
        <v>1</v>
      </c>
      <c r="F960" s="0" t="s">
        <v>329</v>
      </c>
      <c r="G960" s="0" t="s">
        <v>3650</v>
      </c>
      <c r="I960" s="0" t="s">
        <v>770</v>
      </c>
    </row>
    <row r="961" customFormat="false" ht="15" hidden="false" customHeight="false" outlineLevel="0" collapsed="false">
      <c r="A961" s="0" t="s">
        <v>163</v>
      </c>
      <c r="B961" s="0" t="n">
        <v>2018</v>
      </c>
      <c r="C961" s="0" t="s">
        <v>58</v>
      </c>
      <c r="D961" s="0" t="n">
        <v>184314</v>
      </c>
      <c r="E961" s="0" t="n">
        <v>1</v>
      </c>
      <c r="F961" s="0" t="s">
        <v>329</v>
      </c>
      <c r="G961" s="0" t="s">
        <v>3650</v>
      </c>
      <c r="I961" s="0" t="s">
        <v>771</v>
      </c>
    </row>
    <row r="962" customFormat="false" ht="15" hidden="false" customHeight="false" outlineLevel="0" collapsed="false">
      <c r="A962" s="0" t="s">
        <v>163</v>
      </c>
      <c r="B962" s="0" t="n">
        <v>2018</v>
      </c>
      <c r="C962" s="0" t="s">
        <v>59</v>
      </c>
      <c r="D962" s="0" t="n">
        <v>4833658</v>
      </c>
      <c r="E962" s="0" t="n">
        <v>1</v>
      </c>
      <c r="F962" s="0" t="s">
        <v>329</v>
      </c>
      <c r="G962" s="0" t="s">
        <v>3650</v>
      </c>
      <c r="I962" s="0" t="s">
        <v>772</v>
      </c>
    </row>
    <row r="963" customFormat="false" ht="15" hidden="false" customHeight="false" outlineLevel="0" collapsed="false">
      <c r="A963" s="0" t="s">
        <v>163</v>
      </c>
      <c r="B963" s="0" t="n">
        <v>2018</v>
      </c>
      <c r="C963" s="0" t="s">
        <v>60</v>
      </c>
      <c r="D963" s="0" t="n">
        <v>1921064</v>
      </c>
      <c r="E963" s="0" t="n">
        <v>1</v>
      </c>
      <c r="F963" s="0" t="s">
        <v>329</v>
      </c>
      <c r="G963" s="0" t="s">
        <v>3650</v>
      </c>
      <c r="I963" s="0" t="s">
        <v>773</v>
      </c>
    </row>
    <row r="964" customFormat="false" ht="15" hidden="false" customHeight="false" outlineLevel="0" collapsed="false">
      <c r="A964" s="0" t="s">
        <v>163</v>
      </c>
      <c r="B964" s="0" t="n">
        <v>2018</v>
      </c>
      <c r="C964" s="0" t="s">
        <v>61</v>
      </c>
      <c r="D964" s="0" t="n">
        <v>184998</v>
      </c>
      <c r="E964" s="0" t="n">
        <v>1</v>
      </c>
      <c r="F964" s="0" t="s">
        <v>329</v>
      </c>
      <c r="G964" s="0" t="s">
        <v>3650</v>
      </c>
      <c r="I964" s="0" t="s">
        <v>774</v>
      </c>
    </row>
    <row r="965" customFormat="false" ht="15" hidden="false" customHeight="false" outlineLevel="0" collapsed="false">
      <c r="A965" s="0" t="s">
        <v>163</v>
      </c>
      <c r="B965" s="0" t="n">
        <v>2018</v>
      </c>
      <c r="C965" s="0" t="s">
        <v>62</v>
      </c>
      <c r="D965" s="0" t="n">
        <v>1736066</v>
      </c>
      <c r="E965" s="0" t="n">
        <v>1</v>
      </c>
      <c r="F965" s="0" t="s">
        <v>329</v>
      </c>
      <c r="G965" s="0" t="s">
        <v>3650</v>
      </c>
      <c r="I965" s="0" t="s">
        <v>775</v>
      </c>
    </row>
    <row r="966" customFormat="false" ht="15" hidden="false" customHeight="false" outlineLevel="0" collapsed="false">
      <c r="A966" s="0" t="s">
        <v>163</v>
      </c>
      <c r="B966" s="0" t="n">
        <v>2018</v>
      </c>
      <c r="C966" s="0" t="s">
        <v>63</v>
      </c>
      <c r="D966" s="0" t="n">
        <v>15313</v>
      </c>
      <c r="E966" s="0" t="n">
        <v>1</v>
      </c>
      <c r="F966" s="0" t="s">
        <v>329</v>
      </c>
      <c r="G966" s="0" t="s">
        <v>3650</v>
      </c>
      <c r="I966" s="0" t="s">
        <v>776</v>
      </c>
    </row>
    <row r="967" customFormat="false" ht="15" hidden="false" customHeight="false" outlineLevel="0" collapsed="false">
      <c r="A967" s="0" t="s">
        <v>163</v>
      </c>
      <c r="B967" s="0" t="n">
        <v>2018</v>
      </c>
      <c r="C967" s="0" t="s">
        <v>64</v>
      </c>
      <c r="D967" s="0" t="n">
        <v>92630</v>
      </c>
      <c r="E967" s="0" t="n">
        <v>1</v>
      </c>
      <c r="F967" s="0" t="s">
        <v>329</v>
      </c>
      <c r="G967" s="0" t="s">
        <v>3650</v>
      </c>
      <c r="I967" s="0" t="s">
        <v>777</v>
      </c>
    </row>
    <row r="968" customFormat="false" ht="15" hidden="false" customHeight="false" outlineLevel="0" collapsed="false">
      <c r="A968" s="0" t="s">
        <v>163</v>
      </c>
      <c r="B968" s="0" t="n">
        <v>2018</v>
      </c>
      <c r="C968" s="0" t="s">
        <v>69</v>
      </c>
      <c r="D968" s="0" t="n">
        <v>24</v>
      </c>
      <c r="E968" s="0" t="n">
        <v>1</v>
      </c>
      <c r="F968" s="0" t="s">
        <v>329</v>
      </c>
      <c r="G968" s="0" t="s">
        <v>3650</v>
      </c>
      <c r="I968" s="0" t="s">
        <v>778</v>
      </c>
    </row>
    <row r="969" customFormat="false" ht="15" hidden="false" customHeight="false" outlineLevel="0" collapsed="false">
      <c r="A969" s="0" t="s">
        <v>163</v>
      </c>
      <c r="B969" s="0" t="n">
        <v>2018</v>
      </c>
      <c r="C969" s="0" t="s">
        <v>591</v>
      </c>
      <c r="D969" s="0" t="n">
        <v>26</v>
      </c>
      <c r="E969" s="0" t="n">
        <v>1</v>
      </c>
      <c r="F969" s="0" t="s">
        <v>329</v>
      </c>
      <c r="G969" s="0" t="s">
        <v>3650</v>
      </c>
      <c r="I969" s="0" t="s">
        <v>779</v>
      </c>
    </row>
    <row r="970" customFormat="false" ht="15" hidden="false" customHeight="false" outlineLevel="0" collapsed="false">
      <c r="A970" s="0" t="s">
        <v>163</v>
      </c>
      <c r="B970" s="0" t="n">
        <v>2018</v>
      </c>
      <c r="C970" s="0" t="s">
        <v>65</v>
      </c>
      <c r="D970" s="0" t="n">
        <v>641524</v>
      </c>
      <c r="E970" s="0" t="n">
        <v>1</v>
      </c>
      <c r="F970" s="0" t="s">
        <v>329</v>
      </c>
      <c r="G970" s="0" t="s">
        <v>3650</v>
      </c>
      <c r="I970" s="0" t="s">
        <v>780</v>
      </c>
    </row>
    <row r="971" customFormat="false" ht="15" hidden="false" customHeight="false" outlineLevel="0" collapsed="false">
      <c r="A971" s="0" t="s">
        <v>163</v>
      </c>
      <c r="B971" s="0" t="n">
        <v>2018</v>
      </c>
      <c r="C971" s="0" t="s">
        <v>66</v>
      </c>
      <c r="D971" s="0" t="n">
        <v>2690329</v>
      </c>
      <c r="E971" s="0" t="n">
        <v>1</v>
      </c>
      <c r="F971" s="0" t="s">
        <v>329</v>
      </c>
      <c r="G971" s="0" t="s">
        <v>3650</v>
      </c>
      <c r="I971" s="0" t="s">
        <v>781</v>
      </c>
    </row>
    <row r="972" customFormat="false" ht="15" hidden="false" customHeight="false" outlineLevel="0" collapsed="false">
      <c r="A972" s="0" t="s">
        <v>163</v>
      </c>
      <c r="B972" s="0" t="n">
        <v>2018</v>
      </c>
      <c r="C972" s="0" t="s">
        <v>595</v>
      </c>
      <c r="D972" s="0" t="n">
        <v>703653</v>
      </c>
      <c r="E972" s="0" t="n">
        <v>1</v>
      </c>
      <c r="F972" s="0" t="s">
        <v>329</v>
      </c>
      <c r="G972" s="0" t="s">
        <v>3650</v>
      </c>
      <c r="I972" s="0" t="s">
        <v>782</v>
      </c>
    </row>
    <row r="973" customFormat="false" ht="15" hidden="false" customHeight="false" outlineLevel="0" collapsed="false">
      <c r="A973" s="0" t="s">
        <v>163</v>
      </c>
      <c r="B973" s="0" t="n">
        <v>2018</v>
      </c>
      <c r="C973" s="0" t="s">
        <v>402</v>
      </c>
      <c r="D973" s="0" t="n">
        <v>192107</v>
      </c>
      <c r="E973" s="0" t="n">
        <v>1</v>
      </c>
      <c r="F973" s="0" t="s">
        <v>329</v>
      </c>
      <c r="G973" s="0" t="s">
        <v>3650</v>
      </c>
      <c r="I973" s="0" t="s">
        <v>783</v>
      </c>
    </row>
    <row r="974" customFormat="false" ht="15" hidden="false" customHeight="false" outlineLevel="0" collapsed="false">
      <c r="A974" s="0" t="s">
        <v>163</v>
      </c>
      <c r="B974" s="0" t="n">
        <v>2019</v>
      </c>
      <c r="C974" s="0" t="s">
        <v>54</v>
      </c>
      <c r="D974" s="0" t="n">
        <v>178003</v>
      </c>
      <c r="E974" s="0" t="n">
        <v>1</v>
      </c>
      <c r="F974" s="0" t="s">
        <v>329</v>
      </c>
      <c r="G974" s="0" t="s">
        <v>3650</v>
      </c>
      <c r="I974" s="0" t="s">
        <v>784</v>
      </c>
    </row>
    <row r="975" customFormat="false" ht="15" hidden="false" customHeight="false" outlineLevel="0" collapsed="false">
      <c r="A975" s="0" t="s">
        <v>163</v>
      </c>
      <c r="B975" s="0" t="n">
        <v>2019</v>
      </c>
      <c r="C975" s="0" t="s">
        <v>55</v>
      </c>
      <c r="D975" s="0" t="n">
        <v>5435073</v>
      </c>
      <c r="E975" s="0" t="n">
        <v>1</v>
      </c>
      <c r="F975" s="0" t="s">
        <v>329</v>
      </c>
      <c r="G975" s="0" t="s">
        <v>3650</v>
      </c>
      <c r="I975" s="0" t="s">
        <v>785</v>
      </c>
    </row>
    <row r="976" customFormat="false" ht="15" hidden="false" customHeight="false" outlineLevel="0" collapsed="false">
      <c r="A976" s="0" t="s">
        <v>163</v>
      </c>
      <c r="B976" s="0" t="n">
        <v>2019</v>
      </c>
      <c r="C976" s="0" t="s">
        <v>56</v>
      </c>
      <c r="D976" s="0" t="n">
        <v>4656078</v>
      </c>
      <c r="E976" s="0" t="n">
        <v>1</v>
      </c>
      <c r="F976" s="0" t="s">
        <v>329</v>
      </c>
      <c r="G976" s="0" t="s">
        <v>3650</v>
      </c>
      <c r="I976" s="0" t="s">
        <v>786</v>
      </c>
    </row>
    <row r="977" customFormat="false" ht="15" hidden="false" customHeight="false" outlineLevel="0" collapsed="false">
      <c r="A977" s="0" t="s">
        <v>163</v>
      </c>
      <c r="B977" s="0" t="n">
        <v>2019</v>
      </c>
      <c r="C977" s="0" t="s">
        <v>57</v>
      </c>
      <c r="D977" s="0" t="n">
        <v>778995</v>
      </c>
      <c r="E977" s="0" t="n">
        <v>1</v>
      </c>
      <c r="F977" s="0" t="s">
        <v>329</v>
      </c>
      <c r="G977" s="0" t="s">
        <v>3650</v>
      </c>
      <c r="I977" s="0" t="s">
        <v>787</v>
      </c>
    </row>
    <row r="978" customFormat="false" ht="15" hidden="false" customHeight="false" outlineLevel="0" collapsed="false">
      <c r="A978" s="0" t="s">
        <v>163</v>
      </c>
      <c r="B978" s="0" t="n">
        <v>2019</v>
      </c>
      <c r="C978" s="0" t="s">
        <v>58</v>
      </c>
      <c r="D978" s="0" t="n">
        <v>390093</v>
      </c>
      <c r="E978" s="0" t="n">
        <v>1</v>
      </c>
      <c r="F978" s="0" t="s">
        <v>329</v>
      </c>
      <c r="G978" s="0" t="s">
        <v>3650</v>
      </c>
      <c r="I978" s="0" t="s">
        <v>788</v>
      </c>
    </row>
    <row r="979" customFormat="false" ht="15" hidden="false" customHeight="false" outlineLevel="0" collapsed="false">
      <c r="A979" s="0" t="s">
        <v>163</v>
      </c>
      <c r="B979" s="0" t="n">
        <v>2019</v>
      </c>
      <c r="C979" s="0" t="s">
        <v>59</v>
      </c>
      <c r="D979" s="0" t="n">
        <v>4955445</v>
      </c>
      <c r="E979" s="0" t="n">
        <v>1</v>
      </c>
      <c r="F979" s="0" t="s">
        <v>329</v>
      </c>
      <c r="G979" s="0" t="s">
        <v>3650</v>
      </c>
      <c r="I979" s="0" t="s">
        <v>789</v>
      </c>
    </row>
    <row r="980" customFormat="false" ht="15" hidden="false" customHeight="false" outlineLevel="0" collapsed="false">
      <c r="A980" s="0" t="s">
        <v>163</v>
      </c>
      <c r="B980" s="0" t="n">
        <v>2019</v>
      </c>
      <c r="C980" s="0" t="s">
        <v>60</v>
      </c>
      <c r="D980" s="0" t="n">
        <v>2390651</v>
      </c>
      <c r="E980" s="0" t="n">
        <v>1</v>
      </c>
      <c r="F980" s="0" t="s">
        <v>329</v>
      </c>
      <c r="G980" s="0" t="s">
        <v>3650</v>
      </c>
      <c r="I980" s="0" t="s">
        <v>790</v>
      </c>
    </row>
    <row r="981" customFormat="false" ht="15" hidden="false" customHeight="false" outlineLevel="0" collapsed="false">
      <c r="A981" s="0" t="s">
        <v>163</v>
      </c>
      <c r="B981" s="0" t="n">
        <v>2019</v>
      </c>
      <c r="C981" s="0" t="s">
        <v>61</v>
      </c>
      <c r="D981" s="0" t="n">
        <v>151179</v>
      </c>
      <c r="E981" s="0" t="n">
        <v>1</v>
      </c>
      <c r="F981" s="0" t="s">
        <v>329</v>
      </c>
      <c r="G981" s="0" t="s">
        <v>3650</v>
      </c>
      <c r="I981" s="0" t="s">
        <v>791</v>
      </c>
    </row>
    <row r="982" customFormat="false" ht="15" hidden="false" customHeight="false" outlineLevel="0" collapsed="false">
      <c r="A982" s="0" t="s">
        <v>163</v>
      </c>
      <c r="B982" s="0" t="n">
        <v>2019</v>
      </c>
      <c r="C982" s="0" t="s">
        <v>62</v>
      </c>
      <c r="D982" s="0" t="n">
        <v>2239472</v>
      </c>
      <c r="E982" s="0" t="n">
        <v>1</v>
      </c>
      <c r="F982" s="0" t="s">
        <v>329</v>
      </c>
      <c r="G982" s="0" t="s">
        <v>3650</v>
      </c>
      <c r="I982" s="0" t="s">
        <v>792</v>
      </c>
    </row>
    <row r="983" customFormat="false" ht="15" hidden="false" customHeight="false" outlineLevel="0" collapsed="false">
      <c r="A983" s="0" t="s">
        <v>163</v>
      </c>
      <c r="B983" s="0" t="n">
        <v>2019</v>
      </c>
      <c r="C983" s="0" t="s">
        <v>63</v>
      </c>
      <c r="D983" s="0" t="n">
        <v>23393</v>
      </c>
      <c r="E983" s="0" t="n">
        <v>1</v>
      </c>
      <c r="F983" s="0" t="s">
        <v>329</v>
      </c>
      <c r="G983" s="0" t="s">
        <v>3650</v>
      </c>
      <c r="I983" s="0" t="s">
        <v>793</v>
      </c>
    </row>
    <row r="984" customFormat="false" ht="15" hidden="false" customHeight="false" outlineLevel="0" collapsed="false">
      <c r="A984" s="0" t="s">
        <v>163</v>
      </c>
      <c r="B984" s="0" t="n">
        <v>2019</v>
      </c>
      <c r="C984" s="0" t="s">
        <v>64</v>
      </c>
      <c r="D984" s="0" t="n">
        <v>99457</v>
      </c>
      <c r="E984" s="0" t="n">
        <v>1</v>
      </c>
      <c r="F984" s="0" t="s">
        <v>329</v>
      </c>
      <c r="G984" s="0" t="s">
        <v>3650</v>
      </c>
      <c r="I984" s="0" t="s">
        <v>794</v>
      </c>
    </row>
    <row r="985" customFormat="false" ht="15" hidden="false" customHeight="false" outlineLevel="0" collapsed="false">
      <c r="A985" s="0" t="s">
        <v>163</v>
      </c>
      <c r="B985" s="0" t="n">
        <v>2019</v>
      </c>
      <c r="C985" s="0" t="s">
        <v>69</v>
      </c>
      <c r="D985" s="0" t="n">
        <v>20</v>
      </c>
      <c r="E985" s="0" t="n">
        <v>1</v>
      </c>
      <c r="F985" s="0" t="s">
        <v>329</v>
      </c>
      <c r="G985" s="0" t="s">
        <v>3650</v>
      </c>
      <c r="I985" s="0" t="s">
        <v>795</v>
      </c>
    </row>
    <row r="986" customFormat="false" ht="15" hidden="false" customHeight="false" outlineLevel="0" collapsed="false">
      <c r="A986" s="0" t="s">
        <v>163</v>
      </c>
      <c r="B986" s="0" t="n">
        <v>2019</v>
      </c>
      <c r="C986" s="0" t="s">
        <v>591</v>
      </c>
      <c r="D986" s="0" t="n">
        <v>21</v>
      </c>
      <c r="E986" s="0" t="n">
        <v>1</v>
      </c>
      <c r="F986" s="0" t="s">
        <v>329</v>
      </c>
      <c r="G986" s="0" t="s">
        <v>3650</v>
      </c>
      <c r="I986" s="0" t="s">
        <v>796</v>
      </c>
    </row>
    <row r="987" customFormat="false" ht="15" hidden="false" customHeight="false" outlineLevel="0" collapsed="false">
      <c r="A987" s="0" t="s">
        <v>163</v>
      </c>
      <c r="B987" s="0" t="n">
        <v>2019</v>
      </c>
      <c r="C987" s="0" t="s">
        <v>65</v>
      </c>
      <c r="D987" s="0" t="n">
        <v>717901</v>
      </c>
      <c r="E987" s="0" t="n">
        <v>1</v>
      </c>
      <c r="F987" s="0" t="s">
        <v>329</v>
      </c>
      <c r="G987" s="0" t="s">
        <v>3650</v>
      </c>
      <c r="I987" s="0" t="s">
        <v>797</v>
      </c>
    </row>
    <row r="988" customFormat="false" ht="15" hidden="false" customHeight="false" outlineLevel="0" collapsed="false">
      <c r="A988" s="0" t="s">
        <v>163</v>
      </c>
      <c r="B988" s="0" t="n">
        <v>2019</v>
      </c>
      <c r="C988" s="0" t="s">
        <v>66</v>
      </c>
      <c r="D988" s="0" t="n">
        <v>3669402</v>
      </c>
      <c r="E988" s="0" t="n">
        <v>1</v>
      </c>
      <c r="F988" s="0" t="s">
        <v>329</v>
      </c>
      <c r="G988" s="0" t="s">
        <v>3650</v>
      </c>
      <c r="I988" s="0" t="s">
        <v>798</v>
      </c>
    </row>
    <row r="989" customFormat="false" ht="15" hidden="false" customHeight="false" outlineLevel="0" collapsed="false">
      <c r="A989" s="0" t="s">
        <v>163</v>
      </c>
      <c r="B989" s="0" t="n">
        <v>2019</v>
      </c>
      <c r="C989" s="0" t="s">
        <v>595</v>
      </c>
      <c r="D989" s="0" t="n">
        <v>759321</v>
      </c>
      <c r="E989" s="0" t="n">
        <v>1</v>
      </c>
      <c r="F989" s="0" t="s">
        <v>329</v>
      </c>
      <c r="G989" s="0" t="s">
        <v>3650</v>
      </c>
      <c r="I989" s="0" t="s">
        <v>799</v>
      </c>
    </row>
    <row r="990" customFormat="false" ht="15" hidden="false" customHeight="false" outlineLevel="0" collapsed="false">
      <c r="A990" s="0" t="s">
        <v>163</v>
      </c>
      <c r="B990" s="0" t="n">
        <v>2019</v>
      </c>
      <c r="C990" s="0" t="s">
        <v>73</v>
      </c>
      <c r="D990" s="0" t="n">
        <v>0</v>
      </c>
      <c r="E990" s="0" t="n">
        <v>1</v>
      </c>
      <c r="F990" s="0" t="s">
        <v>329</v>
      </c>
      <c r="G990" s="0" t="s">
        <v>3650</v>
      </c>
      <c r="I990" s="0" t="s">
        <v>800</v>
      </c>
    </row>
    <row r="991" customFormat="false" ht="15" hidden="false" customHeight="false" outlineLevel="0" collapsed="false">
      <c r="A991" s="0" t="s">
        <v>163</v>
      </c>
      <c r="B991" s="0" t="n">
        <v>2019</v>
      </c>
      <c r="C991" s="0" t="s">
        <v>402</v>
      </c>
      <c r="D991" s="0" t="n">
        <v>200020</v>
      </c>
      <c r="E991" s="0" t="n">
        <v>1</v>
      </c>
      <c r="F991" s="0" t="s">
        <v>329</v>
      </c>
      <c r="G991" s="0" t="s">
        <v>3650</v>
      </c>
      <c r="I991" s="0" t="s">
        <v>801</v>
      </c>
    </row>
    <row r="992" customFormat="false" ht="15" hidden="false" customHeight="false" outlineLevel="0" collapsed="false">
      <c r="A992" s="0" t="s">
        <v>163</v>
      </c>
      <c r="B992" s="0" t="n">
        <v>2020</v>
      </c>
      <c r="C992" s="0" t="s">
        <v>54</v>
      </c>
      <c r="D992" s="0" t="n">
        <v>197852</v>
      </c>
      <c r="E992" s="0" t="n">
        <v>1</v>
      </c>
      <c r="F992" s="0" t="s">
        <v>329</v>
      </c>
      <c r="G992" s="0" t="s">
        <v>3650</v>
      </c>
      <c r="I992" s="0" t="s">
        <v>802</v>
      </c>
    </row>
    <row r="993" customFormat="false" ht="15" hidden="false" customHeight="false" outlineLevel="0" collapsed="false">
      <c r="A993" s="0" t="s">
        <v>163</v>
      </c>
      <c r="B993" s="0" t="n">
        <v>2020</v>
      </c>
      <c r="C993" s="0" t="s">
        <v>55</v>
      </c>
      <c r="D993" s="0" t="n">
        <v>7124987</v>
      </c>
      <c r="E993" s="0" t="n">
        <v>1</v>
      </c>
      <c r="F993" s="0" t="s">
        <v>329</v>
      </c>
      <c r="G993" s="0" t="s">
        <v>3650</v>
      </c>
      <c r="I993" s="0" t="s">
        <v>803</v>
      </c>
    </row>
    <row r="994" customFormat="false" ht="15" hidden="false" customHeight="false" outlineLevel="0" collapsed="false">
      <c r="A994" s="0" t="s">
        <v>163</v>
      </c>
      <c r="B994" s="0" t="n">
        <v>2020</v>
      </c>
      <c r="C994" s="0" t="s">
        <v>56</v>
      </c>
      <c r="D994" s="0" t="n">
        <v>6219755</v>
      </c>
      <c r="E994" s="0" t="n">
        <v>1</v>
      </c>
      <c r="F994" s="0" t="s">
        <v>329</v>
      </c>
      <c r="G994" s="0" t="s">
        <v>3650</v>
      </c>
      <c r="I994" s="0" t="s">
        <v>804</v>
      </c>
    </row>
    <row r="995" customFormat="false" ht="15" hidden="false" customHeight="false" outlineLevel="0" collapsed="false">
      <c r="A995" s="0" t="s">
        <v>163</v>
      </c>
      <c r="B995" s="0" t="n">
        <v>2020</v>
      </c>
      <c r="C995" s="0" t="s">
        <v>57</v>
      </c>
      <c r="D995" s="0" t="n">
        <v>905232</v>
      </c>
      <c r="E995" s="0" t="n">
        <v>1</v>
      </c>
      <c r="F995" s="0" t="s">
        <v>329</v>
      </c>
      <c r="G995" s="0" t="s">
        <v>3650</v>
      </c>
      <c r="I995" s="0" t="s">
        <v>805</v>
      </c>
    </row>
    <row r="996" customFormat="false" ht="15" hidden="false" customHeight="false" outlineLevel="0" collapsed="false">
      <c r="A996" s="0" t="s">
        <v>163</v>
      </c>
      <c r="B996" s="0" t="n">
        <v>2020</v>
      </c>
      <c r="C996" s="0" t="s">
        <v>58</v>
      </c>
      <c r="D996" s="0" t="n">
        <v>65920</v>
      </c>
      <c r="E996" s="0" t="n">
        <v>1</v>
      </c>
      <c r="F996" s="0" t="s">
        <v>329</v>
      </c>
      <c r="G996" s="0" t="s">
        <v>3650</v>
      </c>
      <c r="I996" s="0" t="s">
        <v>806</v>
      </c>
    </row>
    <row r="997" customFormat="false" ht="15" hidden="false" customHeight="false" outlineLevel="0" collapsed="false">
      <c r="A997" s="0" t="s">
        <v>163</v>
      </c>
      <c r="B997" s="0" t="n">
        <v>2020</v>
      </c>
      <c r="C997" s="0" t="s">
        <v>59</v>
      </c>
      <c r="D997" s="0" t="n">
        <v>5435073</v>
      </c>
      <c r="E997" s="0" t="n">
        <v>1</v>
      </c>
      <c r="F997" s="0" t="s">
        <v>329</v>
      </c>
      <c r="G997" s="0" t="s">
        <v>3650</v>
      </c>
      <c r="I997" s="0" t="s">
        <v>807</v>
      </c>
    </row>
    <row r="998" customFormat="false" ht="15" hidden="false" customHeight="false" outlineLevel="0" collapsed="false">
      <c r="A998" s="0" t="s">
        <v>163</v>
      </c>
      <c r="B998" s="0" t="n">
        <v>2020</v>
      </c>
      <c r="C998" s="0" t="s">
        <v>60</v>
      </c>
      <c r="D998" s="0" t="n">
        <v>2772663</v>
      </c>
      <c r="E998" s="0" t="n">
        <v>1</v>
      </c>
      <c r="F998" s="0" t="s">
        <v>329</v>
      </c>
      <c r="G998" s="0" t="s">
        <v>3650</v>
      </c>
      <c r="I998" s="0" t="s">
        <v>808</v>
      </c>
    </row>
    <row r="999" customFormat="false" ht="15" hidden="false" customHeight="false" outlineLevel="0" collapsed="false">
      <c r="A999" s="0" t="s">
        <v>163</v>
      </c>
      <c r="B999" s="0" t="n">
        <v>2020</v>
      </c>
      <c r="C999" s="0" t="s">
        <v>61</v>
      </c>
      <c r="D999" s="0" t="n">
        <v>132866</v>
      </c>
      <c r="E999" s="0" t="n">
        <v>1</v>
      </c>
      <c r="F999" s="0" t="s">
        <v>329</v>
      </c>
      <c r="G999" s="0" t="s">
        <v>3650</v>
      </c>
      <c r="I999" s="0" t="s">
        <v>809</v>
      </c>
    </row>
    <row r="1000" customFormat="false" ht="15" hidden="false" customHeight="false" outlineLevel="0" collapsed="false">
      <c r="A1000" s="0" t="s">
        <v>163</v>
      </c>
      <c r="B1000" s="0" t="n">
        <v>2020</v>
      </c>
      <c r="C1000" s="0" t="s">
        <v>62</v>
      </c>
      <c r="D1000" s="0" t="n">
        <v>2639797</v>
      </c>
      <c r="E1000" s="0" t="n">
        <v>1</v>
      </c>
      <c r="F1000" s="0" t="s">
        <v>329</v>
      </c>
      <c r="G1000" s="0" t="s">
        <v>3650</v>
      </c>
      <c r="I1000" s="0" t="s">
        <v>810</v>
      </c>
    </row>
    <row r="1001" customFormat="false" ht="15" hidden="false" customHeight="false" outlineLevel="0" collapsed="false">
      <c r="A1001" s="0" t="s">
        <v>163</v>
      </c>
      <c r="B1001" s="0" t="n">
        <v>2020</v>
      </c>
      <c r="C1001" s="0" t="s">
        <v>63</v>
      </c>
      <c r="D1001" s="0" t="n">
        <v>37237</v>
      </c>
      <c r="E1001" s="0" t="n">
        <v>1</v>
      </c>
      <c r="F1001" s="0" t="s">
        <v>329</v>
      </c>
      <c r="G1001" s="0" t="s">
        <v>3650</v>
      </c>
      <c r="I1001" s="0" t="s">
        <v>811</v>
      </c>
    </row>
    <row r="1002" customFormat="false" ht="15" hidden="false" customHeight="false" outlineLevel="0" collapsed="false">
      <c r="A1002" s="0" t="s">
        <v>163</v>
      </c>
      <c r="B1002" s="0" t="n">
        <v>2020</v>
      </c>
      <c r="C1002" s="0" t="s">
        <v>73</v>
      </c>
      <c r="D1002" s="0" t="n">
        <v>0</v>
      </c>
      <c r="E1002" s="0" t="n">
        <v>1</v>
      </c>
      <c r="F1002" s="0" t="s">
        <v>329</v>
      </c>
      <c r="G1002" s="0" t="s">
        <v>3650</v>
      </c>
      <c r="I1002" s="0" t="s">
        <v>812</v>
      </c>
    </row>
    <row r="1003" customFormat="false" ht="15" hidden="false" customHeight="false" outlineLevel="0" collapsed="false">
      <c r="A1003" s="0" t="s">
        <v>163</v>
      </c>
      <c r="B1003" s="0" t="n">
        <v>2020</v>
      </c>
      <c r="C1003" s="0" t="s">
        <v>402</v>
      </c>
      <c r="D1003" s="0" t="n">
        <v>210007</v>
      </c>
      <c r="E1003" s="0" t="n">
        <v>1</v>
      </c>
      <c r="F1003" s="0" t="s">
        <v>329</v>
      </c>
      <c r="G1003" s="0" t="s">
        <v>3650</v>
      </c>
      <c r="I1003" s="0" t="s">
        <v>813</v>
      </c>
    </row>
    <row r="1004" customFormat="false" ht="15" hidden="false" customHeight="false" outlineLevel="0" collapsed="false">
      <c r="A1004" s="0" t="s">
        <v>163</v>
      </c>
      <c r="B1004" s="0" t="n">
        <v>2021</v>
      </c>
      <c r="C1004" s="0" t="s">
        <v>54</v>
      </c>
      <c r="D1004" s="0" t="n">
        <v>233133</v>
      </c>
      <c r="E1004" s="0" t="n">
        <v>1</v>
      </c>
      <c r="F1004" s="0" t="s">
        <v>329</v>
      </c>
      <c r="G1004" s="0" t="s">
        <v>3650</v>
      </c>
      <c r="I1004" s="0" t="s">
        <v>2362</v>
      </c>
    </row>
    <row r="1005" customFormat="false" ht="15" hidden="false" customHeight="false" outlineLevel="0" collapsed="false">
      <c r="A1005" s="0" t="s">
        <v>163</v>
      </c>
      <c r="B1005" s="0" t="n">
        <v>2021</v>
      </c>
      <c r="C1005" s="0" t="s">
        <v>55</v>
      </c>
      <c r="D1005" s="0" t="n">
        <v>7872292</v>
      </c>
      <c r="E1005" s="0" t="n">
        <v>1</v>
      </c>
      <c r="F1005" s="0" t="s">
        <v>329</v>
      </c>
      <c r="G1005" s="0" t="s">
        <v>3650</v>
      </c>
      <c r="I1005" s="0" t="s">
        <v>2369</v>
      </c>
    </row>
    <row r="1006" customFormat="false" ht="15" hidden="false" customHeight="false" outlineLevel="0" collapsed="false">
      <c r="A1006" s="0" t="s">
        <v>163</v>
      </c>
      <c r="B1006" s="0" t="n">
        <v>2021</v>
      </c>
      <c r="C1006" s="0" t="s">
        <v>56</v>
      </c>
      <c r="D1006" s="0" t="n">
        <v>6822517</v>
      </c>
      <c r="E1006" s="0" t="n">
        <v>1</v>
      </c>
      <c r="F1006" s="0" t="s">
        <v>329</v>
      </c>
      <c r="G1006" s="0" t="s">
        <v>3650</v>
      </c>
      <c r="I1006" s="0" t="s">
        <v>2370</v>
      </c>
    </row>
    <row r="1007" customFormat="false" ht="15" hidden="false" customHeight="false" outlineLevel="0" collapsed="false">
      <c r="A1007" s="0" t="s">
        <v>163</v>
      </c>
      <c r="B1007" s="0" t="n">
        <v>2021</v>
      </c>
      <c r="C1007" s="0" t="s">
        <v>57</v>
      </c>
      <c r="D1007" s="0" t="n">
        <v>1049775</v>
      </c>
      <c r="E1007" s="0" t="n">
        <v>1</v>
      </c>
      <c r="F1007" s="0" t="s">
        <v>329</v>
      </c>
      <c r="G1007" s="0" t="s">
        <v>3650</v>
      </c>
      <c r="I1007" s="0" t="s">
        <v>2371</v>
      </c>
    </row>
    <row r="1008" customFormat="false" ht="15" hidden="false" customHeight="false" outlineLevel="0" collapsed="false">
      <c r="A1008" s="0" t="s">
        <v>163</v>
      </c>
      <c r="B1008" s="0" t="n">
        <v>2021</v>
      </c>
      <c r="C1008" s="0" t="s">
        <v>58</v>
      </c>
      <c r="D1008" s="0" t="n">
        <v>457857</v>
      </c>
      <c r="E1008" s="0" t="n">
        <v>1</v>
      </c>
      <c r="F1008" s="0" t="s">
        <v>329</v>
      </c>
      <c r="G1008" s="0" t="s">
        <v>3650</v>
      </c>
      <c r="I1008" s="0" t="s">
        <v>2374</v>
      </c>
    </row>
    <row r="1009" customFormat="false" ht="15" hidden="false" customHeight="false" outlineLevel="0" collapsed="false">
      <c r="A1009" s="0" t="s">
        <v>163</v>
      </c>
      <c r="B1009" s="0" t="n">
        <v>2021</v>
      </c>
      <c r="C1009" s="0" t="s">
        <v>60</v>
      </c>
      <c r="D1009" s="0" t="n">
        <v>3237973</v>
      </c>
      <c r="E1009" s="0" t="n">
        <v>1</v>
      </c>
      <c r="F1009" s="0" t="s">
        <v>329</v>
      </c>
      <c r="G1009" s="0" t="s">
        <v>3650</v>
      </c>
      <c r="I1009" s="0" t="s">
        <v>2377</v>
      </c>
    </row>
    <row r="1010" customFormat="false" ht="15" hidden="false" customHeight="false" outlineLevel="0" collapsed="false">
      <c r="A1010" s="0" t="s">
        <v>163</v>
      </c>
      <c r="B1010" s="0" t="n">
        <v>2021</v>
      </c>
      <c r="C1010" s="0" t="s">
        <v>61</v>
      </c>
      <c r="D1010" s="0" t="n">
        <v>138521</v>
      </c>
      <c r="E1010" s="0" t="n">
        <v>1</v>
      </c>
      <c r="F1010" s="0" t="s">
        <v>329</v>
      </c>
      <c r="G1010" s="0" t="s">
        <v>3650</v>
      </c>
      <c r="I1010" s="0" t="s">
        <v>2378</v>
      </c>
    </row>
    <row r="1011" customFormat="false" ht="15" hidden="false" customHeight="false" outlineLevel="0" collapsed="false">
      <c r="A1011" s="0" t="s">
        <v>163</v>
      </c>
      <c r="B1011" s="0" t="n">
        <v>2021</v>
      </c>
      <c r="C1011" s="0" t="s">
        <v>62</v>
      </c>
      <c r="D1011" s="0" t="n">
        <v>3099452</v>
      </c>
      <c r="E1011" s="0" t="n">
        <v>1</v>
      </c>
      <c r="F1011" s="0" t="s">
        <v>329</v>
      </c>
      <c r="G1011" s="0" t="s">
        <v>3650</v>
      </c>
      <c r="I1011" s="0" t="s">
        <v>2372</v>
      </c>
    </row>
    <row r="1012" customFormat="false" ht="15" hidden="false" customHeight="false" outlineLevel="0" collapsed="false">
      <c r="A1012" s="0" t="s">
        <v>163</v>
      </c>
      <c r="B1012" s="0" t="n">
        <v>2021</v>
      </c>
      <c r="C1012" s="0" t="s">
        <v>63</v>
      </c>
      <c r="D1012" s="0" t="n">
        <v>56175</v>
      </c>
      <c r="E1012" s="0" t="n">
        <v>1</v>
      </c>
      <c r="F1012" s="0" t="s">
        <v>329</v>
      </c>
      <c r="G1012" s="0" t="s">
        <v>3650</v>
      </c>
      <c r="I1012" s="0" t="s">
        <v>2364</v>
      </c>
    </row>
    <row r="1013" customFormat="false" ht="15" hidden="false" customHeight="false" outlineLevel="0" collapsed="false">
      <c r="A1013" s="0" t="s">
        <v>163</v>
      </c>
      <c r="B1013" s="0" t="n">
        <v>2021</v>
      </c>
      <c r="C1013" s="0" t="s">
        <v>69</v>
      </c>
      <c r="D1013" s="0" t="n">
        <v>20</v>
      </c>
      <c r="E1013" s="0" t="n">
        <v>1</v>
      </c>
      <c r="F1013" s="0" t="s">
        <v>329</v>
      </c>
      <c r="G1013" s="0" t="s">
        <v>3650</v>
      </c>
      <c r="I1013" s="0" t="s">
        <v>2416</v>
      </c>
    </row>
    <row r="1014" customFormat="false" ht="15" hidden="false" customHeight="false" outlineLevel="0" collapsed="false">
      <c r="A1014" s="0" t="s">
        <v>163</v>
      </c>
      <c r="B1014" s="0" t="n">
        <v>2021</v>
      </c>
      <c r="C1014" s="0" t="s">
        <v>65</v>
      </c>
      <c r="D1014" s="0" t="n">
        <v>985934</v>
      </c>
      <c r="E1014" s="0" t="n">
        <v>1</v>
      </c>
      <c r="F1014" s="0" t="s">
        <v>329</v>
      </c>
      <c r="G1014" s="0" t="s">
        <v>3650</v>
      </c>
      <c r="I1014" s="0" t="s">
        <v>2414</v>
      </c>
    </row>
    <row r="1015" customFormat="false" ht="15" hidden="false" customHeight="false" outlineLevel="0" collapsed="false">
      <c r="A1015" s="0" t="s">
        <v>163</v>
      </c>
      <c r="B1015" s="0" t="n">
        <v>2021</v>
      </c>
      <c r="C1015" s="0" t="s">
        <v>66</v>
      </c>
      <c r="D1015" s="0" t="n">
        <v>5032121</v>
      </c>
      <c r="E1015" s="0" t="n">
        <v>1</v>
      </c>
      <c r="F1015" s="0" t="s">
        <v>329</v>
      </c>
      <c r="G1015" s="0" t="s">
        <v>3650</v>
      </c>
      <c r="I1015" s="0" t="s">
        <v>2415</v>
      </c>
    </row>
    <row r="1016" customFormat="false" ht="15" hidden="false" customHeight="false" outlineLevel="0" collapsed="false">
      <c r="A1016" s="0" t="s">
        <v>163</v>
      </c>
      <c r="B1016" s="0" t="n">
        <v>2021</v>
      </c>
      <c r="C1016" s="0" t="s">
        <v>402</v>
      </c>
      <c r="D1016" s="0" t="n">
        <v>257167</v>
      </c>
      <c r="E1016" s="0" t="n">
        <v>1</v>
      </c>
      <c r="F1016" s="0" t="s">
        <v>329</v>
      </c>
      <c r="G1016" s="0" t="s">
        <v>3650</v>
      </c>
      <c r="I1016" s="0" t="s">
        <v>2363</v>
      </c>
    </row>
    <row r="1017" customFormat="false" ht="15" hidden="false" customHeight="false" outlineLevel="0" collapsed="false">
      <c r="A1017" s="0" t="s">
        <v>163</v>
      </c>
      <c r="B1017" s="0" t="n">
        <v>2022</v>
      </c>
      <c r="C1017" s="0" t="s">
        <v>54</v>
      </c>
      <c r="D1017" s="0" t="n">
        <v>234593</v>
      </c>
      <c r="E1017" s="0" t="n">
        <v>1</v>
      </c>
      <c r="F1017" s="0" t="s">
        <v>329</v>
      </c>
      <c r="G1017" s="0" t="s">
        <v>3650</v>
      </c>
      <c r="I1017" s="0" t="s">
        <v>2359</v>
      </c>
    </row>
    <row r="1018" customFormat="false" ht="15" hidden="false" customHeight="false" outlineLevel="0" collapsed="false">
      <c r="A1018" s="0" t="s">
        <v>163</v>
      </c>
      <c r="B1018" s="0" t="n">
        <v>2022</v>
      </c>
      <c r="C1018" s="0" t="s">
        <v>55</v>
      </c>
      <c r="D1018" s="0" t="n">
        <v>10570678</v>
      </c>
      <c r="E1018" s="0" t="n">
        <v>1</v>
      </c>
      <c r="F1018" s="0" t="s">
        <v>329</v>
      </c>
      <c r="G1018" s="0" t="s">
        <v>3650</v>
      </c>
      <c r="I1018" s="0" t="s">
        <v>2365</v>
      </c>
    </row>
    <row r="1019" customFormat="false" ht="15" hidden="false" customHeight="false" outlineLevel="0" collapsed="false">
      <c r="A1019" s="0" t="s">
        <v>163</v>
      </c>
      <c r="B1019" s="0" t="n">
        <v>2022</v>
      </c>
      <c r="C1019" s="0" t="s">
        <v>56</v>
      </c>
      <c r="D1019" s="0" t="n">
        <v>9375531</v>
      </c>
      <c r="E1019" s="0" t="n">
        <v>1</v>
      </c>
      <c r="F1019" s="0" t="s">
        <v>329</v>
      </c>
      <c r="G1019" s="0" t="s">
        <v>3650</v>
      </c>
      <c r="I1019" s="0" t="s">
        <v>2366</v>
      </c>
    </row>
    <row r="1020" customFormat="false" ht="15" hidden="false" customHeight="false" outlineLevel="0" collapsed="false">
      <c r="A1020" s="0" t="s">
        <v>163</v>
      </c>
      <c r="B1020" s="0" t="n">
        <v>2022</v>
      </c>
      <c r="C1020" s="0" t="s">
        <v>57</v>
      </c>
      <c r="D1020" s="0" t="n">
        <v>1195147</v>
      </c>
      <c r="E1020" s="0" t="n">
        <v>1</v>
      </c>
      <c r="F1020" s="0" t="s">
        <v>329</v>
      </c>
      <c r="G1020" s="0" t="s">
        <v>3650</v>
      </c>
      <c r="I1020" s="0" t="s">
        <v>2367</v>
      </c>
    </row>
    <row r="1021" customFormat="false" ht="15" hidden="false" customHeight="false" outlineLevel="0" collapsed="false">
      <c r="A1021" s="0" t="s">
        <v>163</v>
      </c>
      <c r="B1021" s="0" t="n">
        <v>2022</v>
      </c>
      <c r="C1021" s="0" t="s">
        <v>58</v>
      </c>
      <c r="D1021" s="0" t="n">
        <v>1279758</v>
      </c>
      <c r="E1021" s="0" t="n">
        <v>1</v>
      </c>
      <c r="F1021" s="0" t="s">
        <v>329</v>
      </c>
      <c r="G1021" s="0" t="s">
        <v>3650</v>
      </c>
      <c r="I1021" s="0" t="s">
        <v>2373</v>
      </c>
    </row>
    <row r="1022" customFormat="false" ht="15" hidden="false" customHeight="false" outlineLevel="0" collapsed="false">
      <c r="A1022" s="0" t="s">
        <v>163</v>
      </c>
      <c r="B1022" s="0" t="n">
        <v>2022</v>
      </c>
      <c r="C1022" s="0" t="s">
        <v>59</v>
      </c>
      <c r="D1022" s="0" t="n">
        <v>7872292</v>
      </c>
      <c r="E1022" s="0" t="n">
        <v>1</v>
      </c>
      <c r="F1022" s="0" t="s">
        <v>329</v>
      </c>
      <c r="G1022" s="0" t="s">
        <v>3651</v>
      </c>
      <c r="I1022" s="0" t="s">
        <v>2369</v>
      </c>
    </row>
    <row r="1023" customFormat="false" ht="15" hidden="false" customHeight="false" outlineLevel="0" collapsed="false">
      <c r="A1023" s="0" t="s">
        <v>163</v>
      </c>
      <c r="B1023" s="0" t="n">
        <v>2022</v>
      </c>
      <c r="C1023" s="0" t="s">
        <v>60</v>
      </c>
      <c r="D1023" s="0" t="n">
        <v>3838805</v>
      </c>
      <c r="E1023" s="0" t="n">
        <v>1</v>
      </c>
      <c r="F1023" s="0" t="s">
        <v>329</v>
      </c>
      <c r="G1023" s="0" t="s">
        <v>3650</v>
      </c>
      <c r="I1023" s="0" t="s">
        <v>2375</v>
      </c>
    </row>
    <row r="1024" customFormat="false" ht="15" hidden="false" customHeight="false" outlineLevel="0" collapsed="false">
      <c r="A1024" s="0" t="s">
        <v>163</v>
      </c>
      <c r="B1024" s="0" t="n">
        <v>2022</v>
      </c>
      <c r="C1024" s="0" t="s">
        <v>61</v>
      </c>
      <c r="D1024" s="0" t="n">
        <v>103129</v>
      </c>
      <c r="E1024" s="0" t="n">
        <v>1</v>
      </c>
      <c r="F1024" s="0" t="s">
        <v>329</v>
      </c>
      <c r="G1024" s="0" t="s">
        <v>3650</v>
      </c>
      <c r="I1024" s="0" t="s">
        <v>2376</v>
      </c>
    </row>
    <row r="1025" customFormat="false" ht="15" hidden="false" customHeight="false" outlineLevel="0" collapsed="false">
      <c r="A1025" s="0" t="s">
        <v>163</v>
      </c>
      <c r="B1025" s="0" t="n">
        <v>2022</v>
      </c>
      <c r="C1025" s="0" t="s">
        <v>62</v>
      </c>
      <c r="D1025" s="0" t="n">
        <v>3735676</v>
      </c>
      <c r="E1025" s="0" t="n">
        <v>1</v>
      </c>
      <c r="F1025" s="0" t="s">
        <v>329</v>
      </c>
      <c r="G1025" s="0" t="s">
        <v>3650</v>
      </c>
      <c r="I1025" s="0" t="s">
        <v>2368</v>
      </c>
    </row>
    <row r="1026" customFormat="false" ht="15" hidden="false" customHeight="false" outlineLevel="0" collapsed="false">
      <c r="A1026" s="0" t="s">
        <v>163</v>
      </c>
      <c r="B1026" s="0" t="n">
        <v>2022</v>
      </c>
      <c r="C1026" s="0" t="s">
        <v>63</v>
      </c>
      <c r="D1026" s="0" t="n">
        <v>61896</v>
      </c>
      <c r="E1026" s="0" t="n">
        <v>1</v>
      </c>
      <c r="F1026" s="0" t="s">
        <v>329</v>
      </c>
      <c r="G1026" s="0" t="s">
        <v>3650</v>
      </c>
      <c r="I1026" s="0" t="s">
        <v>2361</v>
      </c>
    </row>
    <row r="1027" customFormat="false" ht="15" hidden="false" customHeight="false" outlineLevel="0" collapsed="false">
      <c r="A1027" s="0" t="s">
        <v>163</v>
      </c>
      <c r="B1027" s="0" t="n">
        <v>2022</v>
      </c>
      <c r="C1027" s="0" t="s">
        <v>69</v>
      </c>
      <c r="D1027" s="0" t="n">
        <v>19</v>
      </c>
      <c r="E1027" s="0" t="n">
        <v>1</v>
      </c>
      <c r="F1027" s="0" t="s">
        <v>329</v>
      </c>
      <c r="G1027" s="0" t="s">
        <v>3650</v>
      </c>
      <c r="I1027" s="0" t="s">
        <v>2413</v>
      </c>
    </row>
    <row r="1028" customFormat="false" ht="15" hidden="false" customHeight="false" outlineLevel="0" collapsed="false">
      <c r="A1028" s="0" t="s">
        <v>163</v>
      </c>
      <c r="B1028" s="0" t="n">
        <v>2022</v>
      </c>
      <c r="C1028" s="0" t="s">
        <v>65</v>
      </c>
      <c r="D1028" s="0" t="n">
        <v>1042652</v>
      </c>
      <c r="E1028" s="0" t="n">
        <v>1</v>
      </c>
      <c r="F1028" s="0" t="s">
        <v>329</v>
      </c>
      <c r="G1028" s="0" t="s">
        <v>3650</v>
      </c>
      <c r="I1028" s="0" t="s">
        <v>2410</v>
      </c>
    </row>
    <row r="1029" customFormat="false" ht="15" hidden="false" customHeight="false" outlineLevel="0" collapsed="false">
      <c r="A1029" s="0" t="s">
        <v>163</v>
      </c>
      <c r="B1029" s="0" t="n">
        <v>2022</v>
      </c>
      <c r="C1029" s="0" t="s">
        <v>66</v>
      </c>
      <c r="D1029" s="0" t="n">
        <v>5488669</v>
      </c>
      <c r="E1029" s="0" t="n">
        <v>1</v>
      </c>
      <c r="F1029" s="0" t="s">
        <v>329</v>
      </c>
      <c r="G1029" s="0" t="s">
        <v>3650</v>
      </c>
      <c r="I1029" s="0" t="s">
        <v>2412</v>
      </c>
    </row>
    <row r="1030" customFormat="false" ht="15" hidden="false" customHeight="false" outlineLevel="0" collapsed="false">
      <c r="A1030" s="0" t="s">
        <v>163</v>
      </c>
      <c r="B1030" s="0" t="n">
        <v>2022</v>
      </c>
      <c r="C1030" s="0" t="s">
        <v>402</v>
      </c>
      <c r="D1030" s="0" t="n">
        <v>294050</v>
      </c>
      <c r="E1030" s="0" t="n">
        <v>1</v>
      </c>
      <c r="F1030" s="0" t="s">
        <v>329</v>
      </c>
      <c r="G1030" s="0" t="s">
        <v>3650</v>
      </c>
      <c r="I1030" s="0" t="s">
        <v>2360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3673</v>
      </c>
    </row>
    <row r="3" customFormat="false" ht="15" hidden="false" customHeight="false" outlineLevel="0" collapsed="false">
      <c r="A3" s="3" t="s">
        <v>3674</v>
      </c>
      <c r="B3" s="3" t="s">
        <v>919</v>
      </c>
      <c r="C3" s="3" t="s">
        <v>277</v>
      </c>
      <c r="D3" s="3" t="s">
        <v>1390</v>
      </c>
      <c r="E3" s="3" t="s">
        <v>50</v>
      </c>
      <c r="F3" s="3" t="s">
        <v>3675</v>
      </c>
      <c r="G3" s="3" t="s">
        <v>1499</v>
      </c>
      <c r="H3" s="3" t="s">
        <v>1498</v>
      </c>
      <c r="I3" s="3" t="s">
        <v>3676</v>
      </c>
      <c r="J3" s="3" t="s">
        <v>76</v>
      </c>
      <c r="K3" s="3" t="s">
        <v>3677</v>
      </c>
      <c r="L3" s="3" t="s">
        <v>3678</v>
      </c>
    </row>
    <row r="4" customFormat="false" ht="15" hidden="false" customHeight="false" outlineLevel="0" collapsed="false">
      <c r="A4" s="0" t="n">
        <v>1</v>
      </c>
      <c r="B4" s="0" t="s">
        <v>1187</v>
      </c>
      <c r="C4" s="0" t="s">
        <v>3679</v>
      </c>
      <c r="D4" s="0" t="n">
        <v>1</v>
      </c>
      <c r="E4" s="0" t="s">
        <v>138</v>
      </c>
      <c r="F4" s="0" t="s">
        <v>3680</v>
      </c>
      <c r="G4" s="0" t="s">
        <v>1548</v>
      </c>
      <c r="H4" s="0" t="s">
        <v>139</v>
      </c>
      <c r="J4" s="0" t="s">
        <v>1511</v>
      </c>
      <c r="K4" s="0" t="n">
        <v>0</v>
      </c>
      <c r="L4" s="0" t="s">
        <v>3681</v>
      </c>
    </row>
    <row r="5" customFormat="false" ht="15" hidden="false" customHeight="false" outlineLevel="0" collapsed="false">
      <c r="A5" s="0" t="n">
        <v>2</v>
      </c>
      <c r="B5" s="0" t="s">
        <v>967</v>
      </c>
      <c r="C5" s="0" t="s">
        <v>3679</v>
      </c>
      <c r="D5" s="0" t="n">
        <v>1</v>
      </c>
      <c r="E5" s="0" t="s">
        <v>138</v>
      </c>
      <c r="F5" s="0" t="s">
        <v>3682</v>
      </c>
      <c r="G5" s="0" t="s">
        <v>1551</v>
      </c>
      <c r="H5" s="0" t="s">
        <v>142</v>
      </c>
      <c r="J5" s="0" t="s">
        <v>1511</v>
      </c>
      <c r="K5" s="0" t="n">
        <v>0</v>
      </c>
      <c r="L5" s="0" t="s">
        <v>3681</v>
      </c>
    </row>
    <row r="6" customFormat="false" ht="15" hidden="false" customHeight="false" outlineLevel="0" collapsed="false">
      <c r="A6" s="0" t="n">
        <v>3</v>
      </c>
      <c r="B6" s="0" t="s">
        <v>975</v>
      </c>
      <c r="C6" s="0" t="s">
        <v>3679</v>
      </c>
      <c r="D6" s="0" t="n">
        <v>1</v>
      </c>
      <c r="E6" s="0" t="s">
        <v>138</v>
      </c>
      <c r="F6" s="0" t="s">
        <v>3683</v>
      </c>
      <c r="G6" s="0" t="s">
        <v>1554</v>
      </c>
      <c r="H6" s="0" t="s">
        <v>146</v>
      </c>
      <c r="J6" s="0" t="s">
        <v>1511</v>
      </c>
      <c r="K6" s="0" t="n">
        <v>0</v>
      </c>
      <c r="L6" s="0" t="s">
        <v>3681</v>
      </c>
    </row>
    <row r="7" customFormat="false" ht="15" hidden="false" customHeight="false" outlineLevel="0" collapsed="false">
      <c r="A7" s="0" t="n">
        <v>4</v>
      </c>
      <c r="B7" s="0" t="s">
        <v>982</v>
      </c>
      <c r="C7" s="0" t="s">
        <v>3679</v>
      </c>
      <c r="D7" s="0" t="n">
        <v>1</v>
      </c>
      <c r="E7" s="0" t="s">
        <v>138</v>
      </c>
      <c r="F7" s="0" t="s">
        <v>3684</v>
      </c>
      <c r="G7" s="0" t="s">
        <v>1556</v>
      </c>
      <c r="H7" s="0" t="s">
        <v>149</v>
      </c>
      <c r="J7" s="0" t="s">
        <v>1511</v>
      </c>
      <c r="K7" s="0" t="n">
        <v>0</v>
      </c>
      <c r="L7" s="0" t="s">
        <v>3681</v>
      </c>
    </row>
    <row r="8" customFormat="false" ht="15" hidden="false" customHeight="false" outlineLevel="0" collapsed="false">
      <c r="A8" s="0" t="n">
        <v>5</v>
      </c>
      <c r="B8" s="0" t="s">
        <v>1152</v>
      </c>
      <c r="C8" s="0" t="s">
        <v>3679</v>
      </c>
      <c r="D8" s="0" t="n">
        <v>1</v>
      </c>
      <c r="E8" s="0" t="s">
        <v>154</v>
      </c>
      <c r="F8" s="0" t="s">
        <v>3685</v>
      </c>
      <c r="G8" s="0" t="s">
        <v>1562</v>
      </c>
      <c r="H8" s="0" t="s">
        <v>155</v>
      </c>
      <c r="J8" s="0" t="s">
        <v>1511</v>
      </c>
      <c r="K8" s="0" t="n">
        <v>0</v>
      </c>
      <c r="L8" s="0" t="s">
        <v>3681</v>
      </c>
    </row>
    <row r="9" customFormat="false" ht="15" hidden="false" customHeight="false" outlineLevel="0" collapsed="false">
      <c r="A9" s="0" t="n">
        <v>6</v>
      </c>
      <c r="B9" s="0" t="s">
        <v>987</v>
      </c>
      <c r="C9" s="0" t="s">
        <v>3679</v>
      </c>
      <c r="D9" s="0" t="n">
        <v>1</v>
      </c>
      <c r="E9" s="0" t="s">
        <v>154</v>
      </c>
      <c r="F9" s="0" t="s">
        <v>3686</v>
      </c>
      <c r="G9" s="0" t="s">
        <v>1565</v>
      </c>
      <c r="H9" s="0" t="s">
        <v>157</v>
      </c>
      <c r="J9" s="0" t="s">
        <v>1511</v>
      </c>
      <c r="K9" s="0" t="n">
        <v>0</v>
      </c>
      <c r="L9" s="0" t="s">
        <v>3681</v>
      </c>
    </row>
    <row r="10" customFormat="false" ht="15" hidden="false" customHeight="false" outlineLevel="0" collapsed="false">
      <c r="A10" s="0" t="n">
        <v>7</v>
      </c>
      <c r="B10" s="0" t="s">
        <v>1171</v>
      </c>
      <c r="C10" s="0" t="s">
        <v>3679</v>
      </c>
      <c r="D10" s="0" t="n">
        <v>1</v>
      </c>
      <c r="E10" s="0" t="s">
        <v>154</v>
      </c>
      <c r="F10" s="0" t="s">
        <v>3682</v>
      </c>
      <c r="G10" s="0" t="s">
        <v>1567</v>
      </c>
      <c r="H10" s="0" t="s">
        <v>158</v>
      </c>
      <c r="J10" s="0" t="s">
        <v>1511</v>
      </c>
      <c r="K10" s="0" t="n">
        <v>0</v>
      </c>
      <c r="L10" s="0" t="s">
        <v>3681</v>
      </c>
    </row>
    <row r="11" customFormat="false" ht="15" hidden="false" customHeight="false" outlineLevel="0" collapsed="false">
      <c r="A11" s="0" t="n">
        <v>8</v>
      </c>
      <c r="B11" s="0" t="s">
        <v>993</v>
      </c>
      <c r="C11" s="0" t="s">
        <v>3679</v>
      </c>
      <c r="D11" s="0" t="n">
        <v>1</v>
      </c>
      <c r="E11" s="0" t="s">
        <v>154</v>
      </c>
      <c r="F11" s="0" t="s">
        <v>3683</v>
      </c>
      <c r="G11" s="0" t="s">
        <v>1570</v>
      </c>
      <c r="H11" s="0" t="s">
        <v>159</v>
      </c>
      <c r="J11" s="0" t="s">
        <v>1511</v>
      </c>
      <c r="K11" s="0" t="n">
        <v>0</v>
      </c>
      <c r="L11" s="0" t="s">
        <v>3681</v>
      </c>
    </row>
    <row r="12" customFormat="false" ht="15" hidden="false" customHeight="false" outlineLevel="0" collapsed="false">
      <c r="A12" s="0" t="n">
        <v>9</v>
      </c>
      <c r="B12" s="0" t="s">
        <v>1207</v>
      </c>
      <c r="C12" s="0" t="s">
        <v>3679</v>
      </c>
      <c r="D12" s="0" t="n">
        <v>1</v>
      </c>
      <c r="E12" s="0" t="s">
        <v>154</v>
      </c>
      <c r="F12" s="0" t="n">
        <v>2022</v>
      </c>
      <c r="G12" s="0" t="s">
        <v>1573</v>
      </c>
      <c r="H12" s="0" t="s">
        <v>162</v>
      </c>
      <c r="J12" s="0" t="s">
        <v>1511</v>
      </c>
      <c r="K12" s="0" t="n">
        <v>0</v>
      </c>
      <c r="L12" s="0" t="s">
        <v>3681</v>
      </c>
    </row>
    <row r="13" customFormat="false" ht="15" hidden="false" customHeight="false" outlineLevel="0" collapsed="false">
      <c r="A13" s="0" t="n">
        <v>10</v>
      </c>
      <c r="B13" s="0" t="s">
        <v>1000</v>
      </c>
      <c r="C13" s="0" t="s">
        <v>3679</v>
      </c>
      <c r="D13" s="0" t="n">
        <v>1</v>
      </c>
      <c r="E13" s="0" t="s">
        <v>154</v>
      </c>
      <c r="F13" s="0" t="s">
        <v>3687</v>
      </c>
      <c r="G13" s="0" t="s">
        <v>1606</v>
      </c>
      <c r="H13" s="0" t="s">
        <v>160</v>
      </c>
      <c r="J13" s="0" t="s">
        <v>1511</v>
      </c>
      <c r="K13" s="0" t="n">
        <v>0</v>
      </c>
      <c r="L13" s="0" t="s">
        <v>3688</v>
      </c>
    </row>
    <row r="14" customFormat="false" ht="15" hidden="false" customHeight="false" outlineLevel="0" collapsed="false">
      <c r="A14" s="0" t="n">
        <v>11</v>
      </c>
      <c r="B14" s="0" t="s">
        <v>3689</v>
      </c>
      <c r="C14" s="0" t="s">
        <v>3690</v>
      </c>
      <c r="D14" s="0" t="n">
        <v>1</v>
      </c>
      <c r="E14" s="0" t="s">
        <v>138</v>
      </c>
      <c r="F14" s="0" t="n">
        <v>2015</v>
      </c>
      <c r="I14" s="0" t="s">
        <v>3691</v>
      </c>
      <c r="J14" s="0" t="s">
        <v>3692</v>
      </c>
      <c r="K14" s="0" t="n">
        <v>1</v>
      </c>
      <c r="L14" s="0" t="s">
        <v>3693</v>
      </c>
    </row>
    <row r="15" customFormat="false" ht="15" hidden="false" customHeight="false" outlineLevel="0" collapsed="false">
      <c r="A15" s="0" t="n">
        <v>12</v>
      </c>
      <c r="B15" s="0" t="s">
        <v>3694</v>
      </c>
      <c r="C15" s="0" t="s">
        <v>3690</v>
      </c>
      <c r="D15" s="0" t="n">
        <v>1</v>
      </c>
      <c r="E15" s="0" t="s">
        <v>138</v>
      </c>
      <c r="F15" s="0" t="n">
        <v>2016</v>
      </c>
      <c r="I15" s="0" t="s">
        <v>3695</v>
      </c>
      <c r="J15" s="0" t="s">
        <v>3692</v>
      </c>
      <c r="K15" s="0" t="n">
        <v>1</v>
      </c>
      <c r="L15" s="0" t="s">
        <v>3693</v>
      </c>
    </row>
    <row r="16" customFormat="false" ht="15" hidden="false" customHeight="false" outlineLevel="0" collapsed="false">
      <c r="A16" s="0" t="n">
        <v>13</v>
      </c>
      <c r="B16" s="0" t="s">
        <v>3696</v>
      </c>
      <c r="C16" s="0" t="s">
        <v>3690</v>
      </c>
      <c r="D16" s="0" t="n">
        <v>1</v>
      </c>
      <c r="E16" s="0" t="s">
        <v>154</v>
      </c>
      <c r="F16" s="0" t="n">
        <v>2013</v>
      </c>
      <c r="I16" s="0" t="s">
        <v>3697</v>
      </c>
      <c r="J16" s="0" t="s">
        <v>3692</v>
      </c>
      <c r="K16" s="0" t="n">
        <v>1</v>
      </c>
      <c r="L16" s="0" t="s">
        <v>3698</v>
      </c>
    </row>
    <row r="17" customFormat="false" ht="15" hidden="false" customHeight="false" outlineLevel="0" collapsed="false">
      <c r="A17" s="0" t="n">
        <v>14</v>
      </c>
      <c r="B17" s="0" t="s">
        <v>953</v>
      </c>
      <c r="C17" s="0" t="s">
        <v>3679</v>
      </c>
      <c r="D17" s="0" t="n">
        <v>2</v>
      </c>
      <c r="E17" s="0" t="s">
        <v>116</v>
      </c>
      <c r="F17" s="0" t="s">
        <v>3699</v>
      </c>
      <c r="G17" s="0" t="s">
        <v>1591</v>
      </c>
      <c r="H17" s="0" t="s">
        <v>121</v>
      </c>
      <c r="J17" s="0" t="s">
        <v>1511</v>
      </c>
      <c r="K17" s="0" t="n">
        <v>0</v>
      </c>
      <c r="L17" s="0" t="s">
        <v>3700</v>
      </c>
    </row>
    <row r="18" customFormat="false" ht="15" hidden="false" customHeight="false" outlineLevel="0" collapsed="false">
      <c r="A18" s="0" t="n">
        <v>15</v>
      </c>
      <c r="B18" s="0" t="s">
        <v>962</v>
      </c>
      <c r="C18" s="0" t="s">
        <v>3679</v>
      </c>
      <c r="D18" s="0" t="n">
        <v>2</v>
      </c>
      <c r="E18" s="0" t="s">
        <v>116</v>
      </c>
      <c r="F18" s="0" t="s">
        <v>3687</v>
      </c>
      <c r="G18" s="0" t="s">
        <v>1586</v>
      </c>
      <c r="H18" s="0" t="s">
        <v>124</v>
      </c>
      <c r="J18" s="0" t="s">
        <v>1511</v>
      </c>
      <c r="K18" s="0" t="n">
        <v>0</v>
      </c>
      <c r="L18" s="0" t="s">
        <v>3701</v>
      </c>
    </row>
    <row r="19" customFormat="false" ht="15" hidden="false" customHeight="false" outlineLevel="0" collapsed="false">
      <c r="A19" s="0" t="n">
        <v>16</v>
      </c>
      <c r="B19" s="0" t="s">
        <v>1584</v>
      </c>
      <c r="C19" s="0" t="s">
        <v>3702</v>
      </c>
      <c r="D19" s="0" t="n">
        <v>2</v>
      </c>
      <c r="E19" s="0" t="s">
        <v>116</v>
      </c>
      <c r="G19" s="0" t="s">
        <v>1582</v>
      </c>
      <c r="H19" s="0" t="s">
        <v>1581</v>
      </c>
      <c r="J19" s="0" t="s">
        <v>1511</v>
      </c>
      <c r="K19" s="0" t="n">
        <v>1</v>
      </c>
      <c r="L19" s="0" t="s">
        <v>3703</v>
      </c>
    </row>
    <row r="20" customFormat="false" ht="15" hidden="false" customHeight="false" outlineLevel="0" collapsed="false">
      <c r="A20" s="0" t="n">
        <v>17</v>
      </c>
      <c r="B20" s="0" t="s">
        <v>1181</v>
      </c>
      <c r="C20" s="0" t="s">
        <v>3679</v>
      </c>
      <c r="D20" s="0" t="n">
        <v>3</v>
      </c>
      <c r="E20" s="0" t="s">
        <v>77</v>
      </c>
      <c r="F20" s="0" t="s">
        <v>3680</v>
      </c>
      <c r="G20" s="0" t="s">
        <v>1509</v>
      </c>
      <c r="H20" s="0" t="s">
        <v>80</v>
      </c>
      <c r="J20" s="0" t="s">
        <v>1511</v>
      </c>
      <c r="K20" s="0" t="n">
        <v>0</v>
      </c>
      <c r="L20" s="0" t="s">
        <v>3681</v>
      </c>
    </row>
    <row r="21" customFormat="false" ht="15" hidden="false" customHeight="false" outlineLevel="0" collapsed="false">
      <c r="A21" s="0" t="n">
        <v>18</v>
      </c>
      <c r="B21" s="0" t="s">
        <v>1199</v>
      </c>
      <c r="C21" s="0" t="s">
        <v>3679</v>
      </c>
      <c r="D21" s="0" t="n">
        <v>3</v>
      </c>
      <c r="E21" s="0" t="s">
        <v>104</v>
      </c>
      <c r="F21" s="0" t="s">
        <v>3680</v>
      </c>
      <c r="G21" s="0" t="s">
        <v>1522</v>
      </c>
      <c r="H21" s="0" t="s">
        <v>105</v>
      </c>
      <c r="J21" s="0" t="s">
        <v>1511</v>
      </c>
      <c r="K21" s="0" t="n">
        <v>0</v>
      </c>
      <c r="L21" s="0" t="s">
        <v>3681</v>
      </c>
    </row>
    <row r="22" customFormat="false" ht="15" hidden="false" customHeight="false" outlineLevel="0" collapsed="false">
      <c r="A22" s="0" t="n">
        <v>19</v>
      </c>
      <c r="B22" s="0" t="s">
        <v>1166</v>
      </c>
      <c r="C22" s="0" t="s">
        <v>3679</v>
      </c>
      <c r="D22" s="0" t="n">
        <v>3</v>
      </c>
      <c r="E22" s="0" t="s">
        <v>109</v>
      </c>
      <c r="F22" s="0" t="s">
        <v>3680</v>
      </c>
      <c r="G22" s="0" t="s">
        <v>1525</v>
      </c>
      <c r="H22" s="0" t="s">
        <v>110</v>
      </c>
      <c r="J22" s="0" t="s">
        <v>1511</v>
      </c>
      <c r="K22" s="0" t="n">
        <v>0</v>
      </c>
      <c r="L22" s="0" t="s">
        <v>3681</v>
      </c>
    </row>
    <row r="23" customFormat="false" ht="15" hidden="false" customHeight="false" outlineLevel="0" collapsed="false">
      <c r="A23" s="0" t="n">
        <v>20</v>
      </c>
      <c r="B23" s="0" t="s">
        <v>1189</v>
      </c>
      <c r="C23" s="0" t="s">
        <v>3679</v>
      </c>
      <c r="D23" s="0" t="n">
        <v>3</v>
      </c>
      <c r="E23" s="0" t="s">
        <v>163</v>
      </c>
      <c r="F23" s="0" t="s">
        <v>3685</v>
      </c>
      <c r="G23" s="0" t="s">
        <v>1576</v>
      </c>
      <c r="H23" s="0" t="s">
        <v>164</v>
      </c>
      <c r="J23" s="0" t="s">
        <v>1511</v>
      </c>
      <c r="K23" s="0" t="n">
        <v>0</v>
      </c>
      <c r="L23" s="0" t="s">
        <v>3681</v>
      </c>
    </row>
    <row r="24" customFormat="false" ht="15" hidden="false" customHeight="false" outlineLevel="0" collapsed="false">
      <c r="A24" s="0" t="n">
        <v>21</v>
      </c>
      <c r="B24" s="0" t="s">
        <v>1209</v>
      </c>
      <c r="C24" s="0" t="s">
        <v>3679</v>
      </c>
      <c r="D24" s="0" t="n">
        <v>3</v>
      </c>
      <c r="E24" s="0" t="s">
        <v>163</v>
      </c>
      <c r="F24" s="0" t="s">
        <v>3684</v>
      </c>
      <c r="G24" s="0" t="s">
        <v>1578</v>
      </c>
      <c r="H24" s="0" t="s">
        <v>175</v>
      </c>
      <c r="J24" s="0" t="s">
        <v>1511</v>
      </c>
      <c r="K24" s="0" t="n">
        <v>0</v>
      </c>
      <c r="L24" s="0" t="s">
        <v>3681</v>
      </c>
    </row>
    <row r="25" customFormat="false" ht="15" hidden="false" customHeight="false" outlineLevel="0" collapsed="false">
      <c r="A25" s="0" t="n">
        <v>22</v>
      </c>
      <c r="B25" s="0" t="s">
        <v>3704</v>
      </c>
      <c r="C25" s="0" t="s">
        <v>3690</v>
      </c>
      <c r="D25" s="0" t="n">
        <v>3</v>
      </c>
      <c r="E25" s="0" t="s">
        <v>77</v>
      </c>
      <c r="F25" s="0" t="n">
        <v>2017</v>
      </c>
      <c r="I25" s="0" t="s">
        <v>3705</v>
      </c>
      <c r="J25" s="0" t="s">
        <v>3692</v>
      </c>
      <c r="K25" s="0" t="n">
        <v>1</v>
      </c>
      <c r="L25" s="0" t="s">
        <v>3706</v>
      </c>
    </row>
    <row r="26" customFormat="false" ht="15" hidden="false" customHeight="false" outlineLevel="0" collapsed="false">
      <c r="A26" s="0" t="n">
        <v>23</v>
      </c>
      <c r="B26" s="0" t="s">
        <v>3707</v>
      </c>
      <c r="C26" s="0" t="s">
        <v>3690</v>
      </c>
      <c r="D26" s="0" t="n">
        <v>3</v>
      </c>
      <c r="E26" s="0" t="s">
        <v>77</v>
      </c>
      <c r="F26" s="0" t="n">
        <v>2018</v>
      </c>
      <c r="I26" s="0" t="s">
        <v>3708</v>
      </c>
      <c r="J26" s="0" t="s">
        <v>3692</v>
      </c>
      <c r="K26" s="0" t="n">
        <v>1</v>
      </c>
      <c r="L26" s="0" t="s">
        <v>3706</v>
      </c>
    </row>
    <row r="27" customFormat="false" ht="15" hidden="false" customHeight="false" outlineLevel="0" collapsed="false">
      <c r="A27" s="0" t="n">
        <v>24</v>
      </c>
      <c r="B27" s="0" t="s">
        <v>3709</v>
      </c>
      <c r="C27" s="0" t="s">
        <v>3690</v>
      </c>
      <c r="D27" s="0" t="n">
        <v>3</v>
      </c>
      <c r="E27" s="0" t="s">
        <v>77</v>
      </c>
      <c r="F27" s="0" t="n">
        <v>2019</v>
      </c>
      <c r="I27" s="0" t="s">
        <v>3710</v>
      </c>
      <c r="J27" s="0" t="s">
        <v>3692</v>
      </c>
      <c r="K27" s="0" t="n">
        <v>1</v>
      </c>
      <c r="L27" s="0" t="s">
        <v>3706</v>
      </c>
    </row>
    <row r="28" customFormat="false" ht="15" hidden="false" customHeight="false" outlineLevel="0" collapsed="false">
      <c r="A28" s="0" t="n">
        <v>25</v>
      </c>
      <c r="B28" s="0" t="s">
        <v>3711</v>
      </c>
      <c r="C28" s="0" t="s">
        <v>3690</v>
      </c>
      <c r="D28" s="0" t="n">
        <v>3</v>
      </c>
      <c r="E28" s="0" t="s">
        <v>104</v>
      </c>
      <c r="F28" s="0" t="n">
        <v>2017</v>
      </c>
      <c r="I28" s="0" t="s">
        <v>3712</v>
      </c>
      <c r="J28" s="0" t="s">
        <v>3692</v>
      </c>
      <c r="K28" s="0" t="n">
        <v>1</v>
      </c>
      <c r="L28" s="0" t="s">
        <v>3713</v>
      </c>
    </row>
    <row r="29" customFormat="false" ht="15" hidden="false" customHeight="false" outlineLevel="0" collapsed="false">
      <c r="A29" s="0" t="n">
        <v>26</v>
      </c>
      <c r="B29" s="0" t="s">
        <v>3714</v>
      </c>
      <c r="C29" s="0" t="s">
        <v>3690</v>
      </c>
      <c r="D29" s="0" t="n">
        <v>3</v>
      </c>
      <c r="E29" s="0" t="s">
        <v>104</v>
      </c>
      <c r="F29" s="0" t="n">
        <v>2018</v>
      </c>
      <c r="I29" s="0" t="s">
        <v>3715</v>
      </c>
      <c r="J29" s="0" t="s">
        <v>3692</v>
      </c>
      <c r="K29" s="0" t="n">
        <v>1</v>
      </c>
      <c r="L29" s="0" t="s">
        <v>3713</v>
      </c>
    </row>
    <row r="30" customFormat="false" ht="15" hidden="false" customHeight="false" outlineLevel="0" collapsed="false">
      <c r="A30" s="0" t="n">
        <v>27</v>
      </c>
      <c r="B30" s="0" t="s">
        <v>3716</v>
      </c>
      <c r="C30" s="0" t="s">
        <v>3690</v>
      </c>
      <c r="D30" s="0" t="n">
        <v>3</v>
      </c>
      <c r="E30" s="0" t="s">
        <v>104</v>
      </c>
      <c r="F30" s="0" t="n">
        <v>2019</v>
      </c>
      <c r="I30" s="0" t="s">
        <v>3717</v>
      </c>
      <c r="J30" s="0" t="s">
        <v>3692</v>
      </c>
      <c r="K30" s="0" t="n">
        <v>1</v>
      </c>
      <c r="L30" s="0" t="s">
        <v>3713</v>
      </c>
    </row>
    <row r="31" customFormat="false" ht="15" hidden="false" customHeight="false" outlineLevel="0" collapsed="false">
      <c r="A31" s="0" t="n">
        <v>28</v>
      </c>
      <c r="B31" s="0" t="s">
        <v>3718</v>
      </c>
      <c r="C31" s="0" t="s">
        <v>3690</v>
      </c>
      <c r="D31" s="0" t="n">
        <v>3</v>
      </c>
      <c r="E31" s="0" t="s">
        <v>109</v>
      </c>
      <c r="F31" s="0" t="n">
        <v>2017</v>
      </c>
      <c r="I31" s="0" t="s">
        <v>3719</v>
      </c>
      <c r="J31" s="0" t="s">
        <v>3692</v>
      </c>
      <c r="K31" s="0" t="n">
        <v>1</v>
      </c>
      <c r="L31" s="0" t="s">
        <v>3720</v>
      </c>
    </row>
    <row r="32" customFormat="false" ht="15" hidden="false" customHeight="false" outlineLevel="0" collapsed="false">
      <c r="A32" s="0" t="n">
        <v>29</v>
      </c>
      <c r="B32" s="0" t="s">
        <v>3721</v>
      </c>
      <c r="C32" s="0" t="s">
        <v>3690</v>
      </c>
      <c r="D32" s="0" t="n">
        <v>3</v>
      </c>
      <c r="E32" s="0" t="s">
        <v>109</v>
      </c>
      <c r="F32" s="0" t="n">
        <v>2018</v>
      </c>
      <c r="I32" s="0" t="s">
        <v>3722</v>
      </c>
      <c r="J32" s="0" t="s">
        <v>3692</v>
      </c>
      <c r="K32" s="0" t="n">
        <v>1</v>
      </c>
      <c r="L32" s="0" t="s">
        <v>3720</v>
      </c>
    </row>
    <row r="33" customFormat="false" ht="15" hidden="false" customHeight="false" outlineLevel="0" collapsed="false">
      <c r="A33" s="0" t="n">
        <v>30</v>
      </c>
      <c r="B33" s="0" t="s">
        <v>3723</v>
      </c>
      <c r="C33" s="0" t="s">
        <v>3690</v>
      </c>
      <c r="D33" s="0" t="n">
        <v>3</v>
      </c>
      <c r="E33" s="0" t="s">
        <v>109</v>
      </c>
      <c r="F33" s="0" t="n">
        <v>2019</v>
      </c>
      <c r="I33" s="0" t="s">
        <v>3724</v>
      </c>
      <c r="J33" s="0" t="s">
        <v>3692</v>
      </c>
      <c r="K33" s="0" t="n">
        <v>1</v>
      </c>
      <c r="L33" s="0" t="s">
        <v>3720</v>
      </c>
    </row>
    <row r="34" customFormat="false" ht="15" hidden="false" customHeight="false" outlineLevel="0" collapsed="false">
      <c r="A34" s="0" t="n">
        <v>31</v>
      </c>
      <c r="B34" s="0" t="s">
        <v>3725</v>
      </c>
      <c r="C34" s="0" t="s">
        <v>3690</v>
      </c>
      <c r="D34" s="0" t="n">
        <v>3</v>
      </c>
      <c r="E34" s="0" t="s">
        <v>163</v>
      </c>
      <c r="F34" s="0" t="n">
        <v>2017</v>
      </c>
      <c r="I34" s="0" t="s">
        <v>3726</v>
      </c>
      <c r="J34" s="0" t="s">
        <v>3692</v>
      </c>
      <c r="K34" s="0" t="n">
        <v>1</v>
      </c>
      <c r="L34" s="0" t="s">
        <v>3727</v>
      </c>
    </row>
    <row r="35" customFormat="false" ht="15" hidden="false" customHeight="false" outlineLevel="0" collapsed="false">
      <c r="A35" s="0" t="n">
        <v>32</v>
      </c>
      <c r="B35" s="0" t="s">
        <v>3728</v>
      </c>
      <c r="C35" s="0" t="s">
        <v>3690</v>
      </c>
      <c r="D35" s="0" t="n">
        <v>3</v>
      </c>
      <c r="E35" s="0" t="s">
        <v>163</v>
      </c>
      <c r="F35" s="0" t="n">
        <v>2018</v>
      </c>
      <c r="I35" s="0" t="s">
        <v>3729</v>
      </c>
      <c r="J35" s="0" t="s">
        <v>3692</v>
      </c>
      <c r="K35" s="0" t="n">
        <v>1</v>
      </c>
      <c r="L35" s="0" t="s">
        <v>3727</v>
      </c>
    </row>
    <row r="36" customFormat="false" ht="15" hidden="false" customHeight="false" outlineLevel="0" collapsed="false">
      <c r="A36" s="0" t="n">
        <v>33</v>
      </c>
      <c r="B36" s="0" t="s">
        <v>3730</v>
      </c>
      <c r="C36" s="0" t="s">
        <v>3690</v>
      </c>
      <c r="D36" s="0" t="n">
        <v>3</v>
      </c>
      <c r="E36" s="0" t="s">
        <v>163</v>
      </c>
      <c r="F36" s="0" t="n">
        <v>2019</v>
      </c>
      <c r="I36" s="0" t="s">
        <v>3731</v>
      </c>
      <c r="J36" s="0" t="s">
        <v>3692</v>
      </c>
      <c r="K36" s="0" t="n">
        <v>1</v>
      </c>
      <c r="L36" s="0" t="s">
        <v>3727</v>
      </c>
    </row>
    <row r="37" customFormat="false" ht="15" hidden="false" customHeight="false" outlineLevel="0" collapsed="false">
      <c r="A37" s="0" t="n">
        <v>34</v>
      </c>
      <c r="B37" s="0" t="s">
        <v>1117</v>
      </c>
      <c r="C37" s="0" t="s">
        <v>3679</v>
      </c>
      <c r="D37" s="0" t="n">
        <v>4</v>
      </c>
      <c r="E37" s="0" t="s">
        <v>116</v>
      </c>
      <c r="F37" s="0" t="n">
        <v>2018</v>
      </c>
      <c r="G37" s="0" t="s">
        <v>1595</v>
      </c>
      <c r="H37" s="0" t="s">
        <v>117</v>
      </c>
      <c r="J37" s="0" t="s">
        <v>1511</v>
      </c>
      <c r="K37" s="0" t="n">
        <v>0</v>
      </c>
      <c r="L37" s="0" t="s">
        <v>3732</v>
      </c>
    </row>
    <row r="38" customFormat="false" ht="15" hidden="false" customHeight="false" outlineLevel="0" collapsed="false">
      <c r="A38" s="0" t="n">
        <v>35</v>
      </c>
      <c r="B38" s="0" t="s">
        <v>1127</v>
      </c>
      <c r="C38" s="0" t="s">
        <v>3679</v>
      </c>
      <c r="D38" s="0" t="n">
        <v>4</v>
      </c>
      <c r="E38" s="0" t="s">
        <v>116</v>
      </c>
      <c r="F38" s="0" t="n">
        <v>2019</v>
      </c>
      <c r="G38" s="0" t="s">
        <v>1599</v>
      </c>
      <c r="H38" s="0" t="s">
        <v>119</v>
      </c>
      <c r="J38" s="0" t="s">
        <v>1511</v>
      </c>
      <c r="K38" s="0" t="n">
        <v>0</v>
      </c>
      <c r="L38" s="0" t="s">
        <v>3733</v>
      </c>
    </row>
    <row r="39" customFormat="false" ht="15" hidden="false" customHeight="false" outlineLevel="0" collapsed="false">
      <c r="A39" s="0" t="n">
        <v>36</v>
      </c>
      <c r="B39" s="0" t="s">
        <v>3734</v>
      </c>
      <c r="C39" s="0" t="s">
        <v>3690</v>
      </c>
      <c r="D39" s="0" t="n">
        <v>4</v>
      </c>
      <c r="E39" s="0" t="s">
        <v>1246</v>
      </c>
      <c r="F39" s="0" t="n">
        <v>2013</v>
      </c>
      <c r="I39" s="0" t="s">
        <v>3735</v>
      </c>
      <c r="J39" s="0" t="s">
        <v>3692</v>
      </c>
      <c r="K39" s="0" t="n">
        <v>1</v>
      </c>
      <c r="L39" s="0" t="s">
        <v>3736</v>
      </c>
    </row>
    <row r="40" customFormat="false" ht="15" hidden="false" customHeight="false" outlineLevel="0" collapsed="false">
      <c r="A40" s="0" t="n">
        <v>37</v>
      </c>
      <c r="B40" s="0" t="s">
        <v>3737</v>
      </c>
      <c r="C40" s="0" t="s">
        <v>3690</v>
      </c>
      <c r="D40" s="0" t="n">
        <v>4</v>
      </c>
      <c r="E40" s="0" t="s">
        <v>1246</v>
      </c>
      <c r="F40" s="0" t="n">
        <v>2014</v>
      </c>
      <c r="I40" s="0" t="s">
        <v>3738</v>
      </c>
      <c r="J40" s="0" t="s">
        <v>3692</v>
      </c>
      <c r="K40" s="0" t="n">
        <v>1</v>
      </c>
      <c r="L40" s="0" t="s">
        <v>3736</v>
      </c>
    </row>
    <row r="41" customFormat="false" ht="15" hidden="false" customHeight="false" outlineLevel="0" collapsed="false">
      <c r="A41" s="0" t="n">
        <v>38</v>
      </c>
      <c r="B41" s="0" t="s">
        <v>3739</v>
      </c>
      <c r="C41" s="0" t="s">
        <v>3690</v>
      </c>
      <c r="D41" s="0" t="n">
        <v>4</v>
      </c>
      <c r="E41" s="0" t="s">
        <v>1246</v>
      </c>
      <c r="F41" s="0" t="n">
        <v>2015</v>
      </c>
      <c r="I41" s="0" t="s">
        <v>3740</v>
      </c>
      <c r="J41" s="0" t="s">
        <v>3692</v>
      </c>
      <c r="K41" s="0" t="n">
        <v>1</v>
      </c>
      <c r="L41" s="0" t="s">
        <v>3741</v>
      </c>
    </row>
    <row r="42" customFormat="false" ht="15" hidden="false" customHeight="false" outlineLevel="0" collapsed="false">
      <c r="A42" s="0" t="n">
        <v>39</v>
      </c>
      <c r="B42" s="0" t="s">
        <v>3742</v>
      </c>
      <c r="C42" s="0" t="s">
        <v>3690</v>
      </c>
      <c r="D42" s="0" t="n">
        <v>4</v>
      </c>
      <c r="E42" s="0" t="s">
        <v>1246</v>
      </c>
      <c r="F42" s="0" t="n">
        <v>2016</v>
      </c>
      <c r="I42" s="0" t="s">
        <v>3743</v>
      </c>
      <c r="J42" s="0" t="s">
        <v>3692</v>
      </c>
      <c r="K42" s="0" t="n">
        <v>1</v>
      </c>
      <c r="L42" s="0" t="s">
        <v>3741</v>
      </c>
    </row>
    <row r="43" customFormat="false" ht="15" hidden="false" customHeight="false" outlineLevel="0" collapsed="false">
      <c r="A43" s="0" t="n">
        <v>40</v>
      </c>
      <c r="B43" s="0" t="s">
        <v>3744</v>
      </c>
      <c r="C43" s="0" t="s">
        <v>3690</v>
      </c>
      <c r="D43" s="0" t="n">
        <v>4</v>
      </c>
      <c r="E43" s="0" t="s">
        <v>1246</v>
      </c>
      <c r="F43" s="0" t="n">
        <v>2017</v>
      </c>
      <c r="I43" s="0" t="s">
        <v>3745</v>
      </c>
      <c r="J43" s="0" t="s">
        <v>3692</v>
      </c>
      <c r="K43" s="0" t="n">
        <v>1</v>
      </c>
      <c r="L43" s="0" t="s">
        <v>3741</v>
      </c>
    </row>
    <row r="44" customFormat="false" ht="15" hidden="false" customHeight="false" outlineLevel="0" collapsed="false">
      <c r="A44" s="0" t="n">
        <v>41</v>
      </c>
      <c r="B44" s="0" t="s">
        <v>3746</v>
      </c>
      <c r="C44" s="0" t="s">
        <v>3690</v>
      </c>
      <c r="D44" s="0" t="n">
        <v>4</v>
      </c>
      <c r="E44" s="0" t="s">
        <v>1246</v>
      </c>
      <c r="F44" s="0" t="n">
        <v>2018</v>
      </c>
      <c r="I44" s="0" t="s">
        <v>3747</v>
      </c>
      <c r="J44" s="0" t="s">
        <v>3692</v>
      </c>
      <c r="K44" s="0" t="n">
        <v>1</v>
      </c>
      <c r="L44" s="0" t="s">
        <v>3741</v>
      </c>
    </row>
    <row r="45" customFormat="false" ht="15" hidden="false" customHeight="false" outlineLevel="0" collapsed="false">
      <c r="A45" s="0" t="n">
        <v>42</v>
      </c>
      <c r="B45" s="0" t="s">
        <v>3748</v>
      </c>
      <c r="C45" s="0" t="s">
        <v>3690</v>
      </c>
      <c r="D45" s="0" t="n">
        <v>4</v>
      </c>
      <c r="E45" s="0" t="s">
        <v>1246</v>
      </c>
      <c r="F45" s="0" t="n">
        <v>2019</v>
      </c>
      <c r="I45" s="0" t="s">
        <v>3749</v>
      </c>
      <c r="J45" s="0" t="s">
        <v>3692</v>
      </c>
      <c r="K45" s="0" t="n">
        <v>1</v>
      </c>
      <c r="L45" s="0" t="s">
        <v>3741</v>
      </c>
    </row>
    <row r="46" customFormat="false" ht="15" hidden="false" customHeight="false" outlineLevel="0" collapsed="false">
      <c r="A46" s="0" t="n">
        <v>43</v>
      </c>
      <c r="B46" s="0" t="s">
        <v>3750</v>
      </c>
      <c r="C46" s="0" t="s">
        <v>3690</v>
      </c>
      <c r="D46" s="0" t="n">
        <v>4</v>
      </c>
      <c r="E46" s="0" t="s">
        <v>1246</v>
      </c>
      <c r="F46" s="0" t="n">
        <v>2020</v>
      </c>
      <c r="I46" s="0" t="s">
        <v>3751</v>
      </c>
      <c r="J46" s="0" t="s">
        <v>3692</v>
      </c>
      <c r="K46" s="0" t="n">
        <v>1</v>
      </c>
      <c r="L46" s="0" t="s">
        <v>3741</v>
      </c>
    </row>
    <row r="47" customFormat="false" ht="15" hidden="false" customHeight="false" outlineLevel="0" collapsed="false">
      <c r="A47" s="0" t="n">
        <v>44</v>
      </c>
      <c r="B47" s="0" t="s">
        <v>3752</v>
      </c>
      <c r="C47" s="0" t="s">
        <v>3690</v>
      </c>
      <c r="D47" s="0" t="n">
        <v>4</v>
      </c>
      <c r="E47" s="0" t="s">
        <v>1246</v>
      </c>
      <c r="F47" s="0" t="n">
        <v>2021</v>
      </c>
      <c r="I47" s="0" t="s">
        <v>3753</v>
      </c>
      <c r="J47" s="0" t="s">
        <v>3692</v>
      </c>
      <c r="K47" s="0" t="n">
        <v>1</v>
      </c>
      <c r="L47" s="0" t="s">
        <v>3741</v>
      </c>
    </row>
    <row r="48" customFormat="false" ht="15" hidden="false" customHeight="false" outlineLevel="0" collapsed="false">
      <c r="A48" s="0" t="n">
        <v>45</v>
      </c>
      <c r="B48" s="0" t="s">
        <v>3754</v>
      </c>
      <c r="C48" s="0" t="s">
        <v>3690</v>
      </c>
      <c r="D48" s="0" t="n">
        <v>4</v>
      </c>
      <c r="E48" s="0" t="s">
        <v>1246</v>
      </c>
      <c r="F48" s="0" t="n">
        <v>2022</v>
      </c>
      <c r="I48" s="0" t="s">
        <v>3755</v>
      </c>
      <c r="J48" s="0" t="s">
        <v>3692</v>
      </c>
      <c r="K48" s="0" t="n">
        <v>1</v>
      </c>
      <c r="L48" s="0" t="s">
        <v>3741</v>
      </c>
    </row>
    <row r="49" customFormat="false" ht="15" hidden="false" customHeight="false" outlineLevel="0" collapsed="false">
      <c r="A49" s="0" t="n">
        <v>46</v>
      </c>
      <c r="B49" s="0" t="s">
        <v>3756</v>
      </c>
      <c r="C49" s="0" t="s">
        <v>3690</v>
      </c>
      <c r="D49" s="0" t="n">
        <v>4</v>
      </c>
      <c r="E49" s="0" t="s">
        <v>116</v>
      </c>
      <c r="F49" s="0" t="n">
        <v>2013</v>
      </c>
      <c r="I49" s="0" t="s">
        <v>3757</v>
      </c>
      <c r="J49" s="0" t="s">
        <v>3692</v>
      </c>
      <c r="K49" s="0" t="n">
        <v>1</v>
      </c>
      <c r="L49" s="0" t="s">
        <v>3758</v>
      </c>
    </row>
    <row r="50" customFormat="false" ht="15" hidden="false" customHeight="false" outlineLevel="0" collapsed="false">
      <c r="A50" s="0" t="n">
        <v>47</v>
      </c>
      <c r="B50" s="0" t="s">
        <v>3759</v>
      </c>
      <c r="C50" s="0" t="s">
        <v>3690</v>
      </c>
      <c r="D50" s="0" t="n">
        <v>4</v>
      </c>
      <c r="E50" s="0" t="s">
        <v>116</v>
      </c>
      <c r="F50" s="0" t="n">
        <v>2014</v>
      </c>
      <c r="I50" s="0" t="s">
        <v>3760</v>
      </c>
      <c r="J50" s="0" t="s">
        <v>3692</v>
      </c>
      <c r="K50" s="0" t="n">
        <v>1</v>
      </c>
      <c r="L50" s="0" t="s">
        <v>3758</v>
      </c>
    </row>
    <row r="51" customFormat="false" ht="15" hidden="false" customHeight="false" outlineLevel="0" collapsed="false">
      <c r="A51" s="0" t="n">
        <v>48</v>
      </c>
      <c r="B51" s="0" t="s">
        <v>3761</v>
      </c>
      <c r="C51" s="0" t="s">
        <v>3690</v>
      </c>
      <c r="D51" s="0" t="n">
        <v>4</v>
      </c>
      <c r="E51" s="0" t="s">
        <v>116</v>
      </c>
      <c r="F51" s="0" t="n">
        <v>2015</v>
      </c>
      <c r="I51" s="0" t="s">
        <v>3762</v>
      </c>
      <c r="J51" s="0" t="s">
        <v>3692</v>
      </c>
      <c r="K51" s="0" t="n">
        <v>1</v>
      </c>
      <c r="L51" s="0" t="s">
        <v>3763</v>
      </c>
    </row>
    <row r="52" customFormat="false" ht="15" hidden="false" customHeight="false" outlineLevel="0" collapsed="false">
      <c r="A52" s="0" t="n">
        <v>49</v>
      </c>
      <c r="B52" s="0" t="s">
        <v>3764</v>
      </c>
      <c r="C52" s="0" t="s">
        <v>3690</v>
      </c>
      <c r="D52" s="0" t="n">
        <v>4</v>
      </c>
      <c r="E52" s="0" t="s">
        <v>116</v>
      </c>
      <c r="F52" s="0" t="n">
        <v>2016</v>
      </c>
      <c r="I52" s="0" t="s">
        <v>3765</v>
      </c>
      <c r="J52" s="0" t="s">
        <v>3692</v>
      </c>
      <c r="K52" s="0" t="n">
        <v>1</v>
      </c>
      <c r="L52" s="0" t="s">
        <v>3763</v>
      </c>
    </row>
    <row r="53" customFormat="false" ht="15" hidden="false" customHeight="false" outlineLevel="0" collapsed="false">
      <c r="A53" s="0" t="n">
        <v>50</v>
      </c>
      <c r="B53" s="0" t="s">
        <v>3766</v>
      </c>
      <c r="C53" s="0" t="s">
        <v>3690</v>
      </c>
      <c r="D53" s="0" t="n">
        <v>4</v>
      </c>
      <c r="E53" s="0" t="s">
        <v>116</v>
      </c>
      <c r="F53" s="0" t="n">
        <v>2017</v>
      </c>
      <c r="I53" s="0" t="s">
        <v>3767</v>
      </c>
      <c r="J53" s="0" t="s">
        <v>3692</v>
      </c>
      <c r="K53" s="0" t="n">
        <v>1</v>
      </c>
      <c r="L53" s="0" t="s">
        <v>3763</v>
      </c>
    </row>
    <row r="54" customFormat="false" ht="15" hidden="false" customHeight="false" outlineLevel="0" collapsed="false">
      <c r="A54" s="0" t="n">
        <v>51</v>
      </c>
      <c r="B54" s="0" t="s">
        <v>3768</v>
      </c>
      <c r="C54" s="0" t="s">
        <v>3690</v>
      </c>
      <c r="D54" s="0" t="n">
        <v>5</v>
      </c>
      <c r="E54" s="0" t="s">
        <v>77</v>
      </c>
      <c r="F54" s="0" t="n">
        <v>2015</v>
      </c>
      <c r="I54" s="0" t="s">
        <v>3769</v>
      </c>
      <c r="J54" s="0" t="s">
        <v>3692</v>
      </c>
      <c r="K54" s="0" t="n">
        <v>1</v>
      </c>
      <c r="L54" s="0" t="s">
        <v>3770</v>
      </c>
    </row>
    <row r="55" customFormat="false" ht="15" hidden="false" customHeight="false" outlineLevel="0" collapsed="false">
      <c r="A55" s="0" t="n">
        <v>52</v>
      </c>
      <c r="B55" s="0" t="s">
        <v>3771</v>
      </c>
      <c r="C55" s="0" t="s">
        <v>3690</v>
      </c>
      <c r="D55" s="0" t="n">
        <v>5</v>
      </c>
      <c r="E55" s="0" t="s">
        <v>77</v>
      </c>
      <c r="F55" s="0" t="n">
        <v>2016</v>
      </c>
      <c r="I55" s="0" t="s">
        <v>3772</v>
      </c>
      <c r="J55" s="0" t="s">
        <v>3692</v>
      </c>
      <c r="K55" s="0" t="n">
        <v>1</v>
      </c>
      <c r="L55" s="0" t="s">
        <v>3770</v>
      </c>
    </row>
    <row r="56" customFormat="false" ht="15" hidden="false" customHeight="false" outlineLevel="0" collapsed="false">
      <c r="A56" s="0" t="n">
        <v>53</v>
      </c>
      <c r="B56" s="0" t="s">
        <v>3773</v>
      </c>
      <c r="C56" s="0" t="s">
        <v>3690</v>
      </c>
      <c r="D56" s="0" t="n">
        <v>5</v>
      </c>
      <c r="E56" s="0" t="s">
        <v>77</v>
      </c>
      <c r="F56" s="0" t="n">
        <v>2020</v>
      </c>
      <c r="I56" s="0" t="s">
        <v>3774</v>
      </c>
      <c r="J56" s="0" t="s">
        <v>3692</v>
      </c>
      <c r="K56" s="0" t="n">
        <v>1</v>
      </c>
      <c r="L56" s="0" t="s">
        <v>3770</v>
      </c>
    </row>
    <row r="57" customFormat="false" ht="15" hidden="false" customHeight="false" outlineLevel="0" collapsed="false">
      <c r="A57" s="0" t="n">
        <v>54</v>
      </c>
      <c r="B57" s="0" t="s">
        <v>3775</v>
      </c>
      <c r="C57" s="0" t="s">
        <v>3690</v>
      </c>
      <c r="D57" s="0" t="n">
        <v>5</v>
      </c>
      <c r="E57" s="0" t="s">
        <v>77</v>
      </c>
      <c r="F57" s="0" t="n">
        <v>2021</v>
      </c>
      <c r="I57" s="0" t="s">
        <v>3776</v>
      </c>
      <c r="J57" s="0" t="s">
        <v>3692</v>
      </c>
      <c r="K57" s="0" t="n">
        <v>1</v>
      </c>
      <c r="L57" s="0" t="s">
        <v>3770</v>
      </c>
    </row>
    <row r="58" customFormat="false" ht="15" hidden="false" customHeight="false" outlineLevel="0" collapsed="false">
      <c r="A58" s="0" t="n">
        <v>55</v>
      </c>
      <c r="B58" s="0" t="s">
        <v>3777</v>
      </c>
      <c r="C58" s="0" t="s">
        <v>3690</v>
      </c>
      <c r="D58" s="0" t="n">
        <v>5</v>
      </c>
      <c r="E58" s="0" t="s">
        <v>77</v>
      </c>
      <c r="F58" s="0" t="n">
        <v>2022</v>
      </c>
      <c r="I58" s="0" t="s">
        <v>3778</v>
      </c>
      <c r="J58" s="0" t="s">
        <v>3692</v>
      </c>
      <c r="K58" s="0" t="n">
        <v>1</v>
      </c>
      <c r="L58" s="0" t="s">
        <v>3770</v>
      </c>
    </row>
    <row r="59" customFormat="false" ht="15" hidden="false" customHeight="false" outlineLevel="0" collapsed="false">
      <c r="A59" s="0" t="n">
        <v>56</v>
      </c>
      <c r="B59" s="0" t="s">
        <v>3779</v>
      </c>
      <c r="C59" s="0" t="s">
        <v>3690</v>
      </c>
      <c r="D59" s="0" t="n">
        <v>5</v>
      </c>
      <c r="E59" s="0" t="s">
        <v>104</v>
      </c>
      <c r="F59" s="0" t="n">
        <v>2015</v>
      </c>
      <c r="I59" s="0" t="s">
        <v>3780</v>
      </c>
      <c r="J59" s="0" t="s">
        <v>3692</v>
      </c>
      <c r="K59" s="0" t="n">
        <v>1</v>
      </c>
      <c r="L59" s="0" t="s">
        <v>3781</v>
      </c>
    </row>
    <row r="60" customFormat="false" ht="15" hidden="false" customHeight="false" outlineLevel="0" collapsed="false">
      <c r="A60" s="0" t="n">
        <v>57</v>
      </c>
      <c r="B60" s="0" t="s">
        <v>3782</v>
      </c>
      <c r="C60" s="0" t="s">
        <v>3690</v>
      </c>
      <c r="D60" s="0" t="n">
        <v>5</v>
      </c>
      <c r="E60" s="0" t="s">
        <v>104</v>
      </c>
      <c r="F60" s="0" t="n">
        <v>2016</v>
      </c>
      <c r="I60" s="0" t="s">
        <v>3783</v>
      </c>
      <c r="J60" s="0" t="s">
        <v>3692</v>
      </c>
      <c r="K60" s="0" t="n">
        <v>1</v>
      </c>
      <c r="L60" s="0" t="s">
        <v>3781</v>
      </c>
    </row>
    <row r="61" customFormat="false" ht="15" hidden="false" customHeight="false" outlineLevel="0" collapsed="false">
      <c r="A61" s="0" t="n">
        <v>58</v>
      </c>
      <c r="B61" s="0" t="s">
        <v>3784</v>
      </c>
      <c r="C61" s="0" t="s">
        <v>3690</v>
      </c>
      <c r="D61" s="0" t="n">
        <v>5</v>
      </c>
      <c r="E61" s="0" t="s">
        <v>104</v>
      </c>
      <c r="F61" s="0" t="n">
        <v>2020</v>
      </c>
      <c r="I61" s="0" t="s">
        <v>3785</v>
      </c>
      <c r="J61" s="0" t="s">
        <v>3692</v>
      </c>
      <c r="K61" s="0" t="n">
        <v>1</v>
      </c>
      <c r="L61" s="0" t="s">
        <v>3781</v>
      </c>
    </row>
    <row r="62" customFormat="false" ht="15" hidden="false" customHeight="false" outlineLevel="0" collapsed="false">
      <c r="A62" s="0" t="n">
        <v>59</v>
      </c>
      <c r="B62" s="0" t="s">
        <v>3786</v>
      </c>
      <c r="C62" s="0" t="s">
        <v>3690</v>
      </c>
      <c r="D62" s="0" t="n">
        <v>5</v>
      </c>
      <c r="E62" s="0" t="s">
        <v>104</v>
      </c>
      <c r="F62" s="0" t="n">
        <v>2021</v>
      </c>
      <c r="I62" s="0" t="s">
        <v>3787</v>
      </c>
      <c r="J62" s="0" t="s">
        <v>3692</v>
      </c>
      <c r="K62" s="0" t="n">
        <v>1</v>
      </c>
      <c r="L62" s="0" t="s">
        <v>3781</v>
      </c>
    </row>
    <row r="63" customFormat="false" ht="15" hidden="false" customHeight="false" outlineLevel="0" collapsed="false">
      <c r="A63" s="0" t="n">
        <v>60</v>
      </c>
      <c r="B63" s="0" t="s">
        <v>3788</v>
      </c>
      <c r="C63" s="0" t="s">
        <v>3690</v>
      </c>
      <c r="D63" s="0" t="n">
        <v>5</v>
      </c>
      <c r="E63" s="0" t="s">
        <v>104</v>
      </c>
      <c r="F63" s="0" t="n">
        <v>2022</v>
      </c>
      <c r="I63" s="0" t="s">
        <v>3789</v>
      </c>
      <c r="J63" s="0" t="s">
        <v>3692</v>
      </c>
      <c r="K63" s="0" t="n">
        <v>1</v>
      </c>
      <c r="L63" s="0" t="s">
        <v>3781</v>
      </c>
    </row>
    <row r="64" customFormat="false" ht="15" hidden="false" customHeight="false" outlineLevel="0" collapsed="false">
      <c r="A64" s="0" t="n">
        <v>61</v>
      </c>
      <c r="B64" s="0" t="s">
        <v>3790</v>
      </c>
      <c r="C64" s="0" t="s">
        <v>3690</v>
      </c>
      <c r="D64" s="0" t="n">
        <v>5</v>
      </c>
      <c r="E64" s="0" t="s">
        <v>109</v>
      </c>
      <c r="F64" s="0" t="n">
        <v>2015</v>
      </c>
      <c r="I64" s="0" t="s">
        <v>3791</v>
      </c>
      <c r="J64" s="0" t="s">
        <v>3692</v>
      </c>
      <c r="K64" s="0" t="n">
        <v>1</v>
      </c>
      <c r="L64" s="0" t="s">
        <v>3792</v>
      </c>
    </row>
    <row r="65" customFormat="false" ht="15" hidden="false" customHeight="false" outlineLevel="0" collapsed="false">
      <c r="A65" s="0" t="n">
        <v>62</v>
      </c>
      <c r="B65" s="0" t="s">
        <v>3793</v>
      </c>
      <c r="C65" s="0" t="s">
        <v>3690</v>
      </c>
      <c r="D65" s="0" t="n">
        <v>5</v>
      </c>
      <c r="E65" s="0" t="s">
        <v>109</v>
      </c>
      <c r="F65" s="0" t="n">
        <v>2016</v>
      </c>
      <c r="I65" s="0" t="s">
        <v>3794</v>
      </c>
      <c r="J65" s="0" t="s">
        <v>3692</v>
      </c>
      <c r="K65" s="0" t="n">
        <v>1</v>
      </c>
      <c r="L65" s="0" t="s">
        <v>3792</v>
      </c>
    </row>
    <row r="66" customFormat="false" ht="15" hidden="false" customHeight="false" outlineLevel="0" collapsed="false">
      <c r="A66" s="0" t="n">
        <v>63</v>
      </c>
      <c r="B66" s="0" t="s">
        <v>3795</v>
      </c>
      <c r="C66" s="0" t="s">
        <v>3690</v>
      </c>
      <c r="D66" s="0" t="n">
        <v>5</v>
      </c>
      <c r="E66" s="0" t="s">
        <v>109</v>
      </c>
      <c r="F66" s="0" t="n">
        <v>2020</v>
      </c>
      <c r="I66" s="0" t="s">
        <v>3796</v>
      </c>
      <c r="J66" s="0" t="s">
        <v>3692</v>
      </c>
      <c r="K66" s="0" t="n">
        <v>1</v>
      </c>
      <c r="L66" s="0" t="s">
        <v>3792</v>
      </c>
    </row>
    <row r="67" customFormat="false" ht="15" hidden="false" customHeight="false" outlineLevel="0" collapsed="false">
      <c r="A67" s="0" t="n">
        <v>64</v>
      </c>
      <c r="B67" s="0" t="s">
        <v>3797</v>
      </c>
      <c r="C67" s="0" t="s">
        <v>3690</v>
      </c>
      <c r="D67" s="0" t="n">
        <v>5</v>
      </c>
      <c r="E67" s="0" t="s">
        <v>109</v>
      </c>
      <c r="F67" s="0" t="n">
        <v>2021</v>
      </c>
      <c r="I67" s="0" t="s">
        <v>3798</v>
      </c>
      <c r="J67" s="0" t="s">
        <v>3692</v>
      </c>
      <c r="K67" s="0" t="n">
        <v>1</v>
      </c>
      <c r="L67" s="0" t="s">
        <v>3792</v>
      </c>
    </row>
    <row r="68" customFormat="false" ht="15" hidden="false" customHeight="false" outlineLevel="0" collapsed="false">
      <c r="A68" s="0" t="n">
        <v>65</v>
      </c>
      <c r="B68" s="0" t="s">
        <v>3799</v>
      </c>
      <c r="C68" s="0" t="s">
        <v>3690</v>
      </c>
      <c r="D68" s="0" t="n">
        <v>5</v>
      </c>
      <c r="E68" s="0" t="s">
        <v>109</v>
      </c>
      <c r="F68" s="0" t="n">
        <v>2022</v>
      </c>
      <c r="I68" s="0" t="s">
        <v>3800</v>
      </c>
      <c r="J68" s="0" t="s">
        <v>3692</v>
      </c>
      <c r="K68" s="0" t="n">
        <v>1</v>
      </c>
      <c r="L68" s="0" t="s">
        <v>3792</v>
      </c>
    </row>
    <row r="69" customFormat="false" ht="15" hidden="false" customHeight="false" outlineLevel="0" collapsed="false">
      <c r="A69" s="0" t="n">
        <v>66</v>
      </c>
      <c r="B69" s="0" t="s">
        <v>3801</v>
      </c>
      <c r="C69" s="0" t="s">
        <v>3690</v>
      </c>
      <c r="D69" s="0" t="n">
        <v>5</v>
      </c>
      <c r="E69" s="0" t="s">
        <v>163</v>
      </c>
      <c r="F69" s="0" t="n">
        <v>2013</v>
      </c>
      <c r="I69" s="0" t="s">
        <v>3802</v>
      </c>
      <c r="J69" s="0" t="s">
        <v>3692</v>
      </c>
      <c r="K69" s="0" t="n">
        <v>1</v>
      </c>
      <c r="L69" s="0" t="s">
        <v>3803</v>
      </c>
    </row>
    <row r="70" customFormat="false" ht="15" hidden="false" customHeight="false" outlineLevel="0" collapsed="false">
      <c r="A70" s="0" t="n">
        <v>67</v>
      </c>
      <c r="B70" s="0" t="s">
        <v>3804</v>
      </c>
      <c r="C70" s="0" t="s">
        <v>3690</v>
      </c>
      <c r="D70" s="0" t="n">
        <v>5</v>
      </c>
      <c r="E70" s="0" t="s">
        <v>163</v>
      </c>
      <c r="F70" s="0" t="n">
        <v>2016</v>
      </c>
      <c r="I70" s="0" t="s">
        <v>3805</v>
      </c>
      <c r="J70" s="0" t="s">
        <v>3692</v>
      </c>
      <c r="K70" s="0" t="n">
        <v>1</v>
      </c>
      <c r="L70" s="0" t="s">
        <v>3806</v>
      </c>
    </row>
    <row r="71" customFormat="false" ht="15" hidden="false" customHeight="false" outlineLevel="0" collapsed="false">
      <c r="A71" s="0" t="n">
        <v>68</v>
      </c>
      <c r="B71" s="0" t="s">
        <v>3807</v>
      </c>
      <c r="C71" s="0" t="s">
        <v>3690</v>
      </c>
      <c r="D71" s="0" t="n">
        <v>5</v>
      </c>
      <c r="E71" s="0" t="s">
        <v>163</v>
      </c>
      <c r="F71" s="0" t="n">
        <v>2020</v>
      </c>
      <c r="I71" s="0" t="s">
        <v>3808</v>
      </c>
      <c r="J71" s="0" t="s">
        <v>3692</v>
      </c>
      <c r="K71" s="0" t="n">
        <v>1</v>
      </c>
      <c r="L71" s="0" t="s">
        <v>3806</v>
      </c>
    </row>
    <row r="72" customFormat="false" ht="15" hidden="false" customHeight="false" outlineLevel="0" collapsed="false">
      <c r="A72" s="0" t="n">
        <v>69</v>
      </c>
      <c r="B72" s="0" t="s">
        <v>1194</v>
      </c>
      <c r="C72" s="0" t="s">
        <v>3679</v>
      </c>
      <c r="D72" s="0" t="n">
        <v>6</v>
      </c>
      <c r="E72" s="0" t="s">
        <v>83</v>
      </c>
      <c r="F72" s="0" t="s">
        <v>3809</v>
      </c>
      <c r="G72" s="0" t="s">
        <v>1514</v>
      </c>
      <c r="H72" s="0" t="s">
        <v>85</v>
      </c>
      <c r="J72" s="0" t="s">
        <v>1511</v>
      </c>
      <c r="K72" s="0" t="n">
        <v>0</v>
      </c>
      <c r="L72" s="0" t="s">
        <v>3681</v>
      </c>
    </row>
    <row r="73" customFormat="false" ht="15" hidden="false" customHeight="false" outlineLevel="0" collapsed="false">
      <c r="A73" s="0" t="n">
        <v>70</v>
      </c>
      <c r="B73" s="0" t="s">
        <v>1159</v>
      </c>
      <c r="C73" s="0" t="s">
        <v>3679</v>
      </c>
      <c r="D73" s="0" t="n">
        <v>6</v>
      </c>
      <c r="E73" s="0" t="s">
        <v>86</v>
      </c>
      <c r="F73" s="0" t="n">
        <v>2013</v>
      </c>
      <c r="G73" s="0" t="s">
        <v>1517</v>
      </c>
      <c r="H73" s="0" t="s">
        <v>87</v>
      </c>
      <c r="J73" s="0" t="s">
        <v>1511</v>
      </c>
      <c r="K73" s="0" t="n">
        <v>0</v>
      </c>
      <c r="L73" s="0" t="s">
        <v>3681</v>
      </c>
    </row>
    <row r="74" customFormat="false" ht="15" hidden="false" customHeight="false" outlineLevel="0" collapsed="false">
      <c r="A74" s="0" t="n">
        <v>71</v>
      </c>
      <c r="B74" s="0" t="s">
        <v>1004</v>
      </c>
      <c r="C74" s="0" t="s">
        <v>3679</v>
      </c>
      <c r="D74" s="0" t="n">
        <v>6</v>
      </c>
      <c r="E74" s="0" t="s">
        <v>86</v>
      </c>
      <c r="F74" s="0" t="s">
        <v>3810</v>
      </c>
      <c r="G74" s="0" t="s">
        <v>1520</v>
      </c>
      <c r="H74" s="0" t="s">
        <v>98</v>
      </c>
      <c r="J74" s="0" t="s">
        <v>1511</v>
      </c>
      <c r="K74" s="0" t="n">
        <v>0</v>
      </c>
      <c r="L74" s="0" t="s">
        <v>3681</v>
      </c>
    </row>
    <row r="75" customFormat="false" ht="15" hidden="false" customHeight="false" outlineLevel="0" collapsed="false">
      <c r="A75" s="0" t="n">
        <v>72</v>
      </c>
      <c r="B75" s="0" t="s">
        <v>1012</v>
      </c>
      <c r="C75" s="0" t="s">
        <v>3679</v>
      </c>
      <c r="D75" s="0" t="n">
        <v>6</v>
      </c>
      <c r="E75" s="0" t="s">
        <v>86</v>
      </c>
      <c r="F75" s="0" t="s">
        <v>3687</v>
      </c>
      <c r="G75" s="0" t="s">
        <v>1602</v>
      </c>
      <c r="H75" s="0" t="s">
        <v>101</v>
      </c>
      <c r="J75" s="0" t="s">
        <v>1511</v>
      </c>
      <c r="K75" s="0" t="n">
        <v>0</v>
      </c>
      <c r="L75" s="0" t="s">
        <v>3811</v>
      </c>
    </row>
    <row r="76" customFormat="false" ht="15" hidden="false" customHeight="false" outlineLevel="0" collapsed="false">
      <c r="A76" s="0" t="n">
        <v>73</v>
      </c>
      <c r="B76" s="0" t="s">
        <v>1019</v>
      </c>
      <c r="C76" s="0" t="s">
        <v>3679</v>
      </c>
      <c r="D76" s="0" t="n">
        <v>6</v>
      </c>
      <c r="E76" s="0" t="s">
        <v>126</v>
      </c>
      <c r="F76" s="0" t="s">
        <v>3680</v>
      </c>
      <c r="G76" s="0" t="s">
        <v>1528</v>
      </c>
      <c r="H76" s="0" t="s">
        <v>127</v>
      </c>
      <c r="J76" s="0" t="s">
        <v>1511</v>
      </c>
      <c r="K76" s="0" t="n">
        <v>0</v>
      </c>
      <c r="L76" s="0" t="s">
        <v>3681</v>
      </c>
    </row>
    <row r="77" customFormat="false" ht="15" hidden="false" customHeight="false" outlineLevel="0" collapsed="false">
      <c r="A77" s="0" t="n">
        <v>74</v>
      </c>
      <c r="B77" s="0" t="s">
        <v>1026</v>
      </c>
      <c r="C77" s="0" t="s">
        <v>3679</v>
      </c>
      <c r="D77" s="0" t="n">
        <v>6</v>
      </c>
      <c r="E77" s="0" t="s">
        <v>126</v>
      </c>
      <c r="F77" s="0" t="s">
        <v>3810</v>
      </c>
      <c r="G77" s="0" t="s">
        <v>1531</v>
      </c>
      <c r="H77" s="0" t="s">
        <v>128</v>
      </c>
      <c r="J77" s="0" t="s">
        <v>1511</v>
      </c>
      <c r="K77" s="0" t="n">
        <v>0</v>
      </c>
      <c r="L77" s="0" t="s">
        <v>3681</v>
      </c>
    </row>
    <row r="78" customFormat="false" ht="15" hidden="false" customHeight="false" outlineLevel="0" collapsed="false">
      <c r="A78" s="0" t="n">
        <v>75</v>
      </c>
      <c r="B78" s="0" t="s">
        <v>1212</v>
      </c>
      <c r="C78" s="0" t="s">
        <v>3679</v>
      </c>
      <c r="D78" s="0" t="n">
        <v>6</v>
      </c>
      <c r="E78" s="0" t="s">
        <v>129</v>
      </c>
      <c r="F78" s="0" t="s">
        <v>3680</v>
      </c>
      <c r="G78" s="0" t="s">
        <v>1534</v>
      </c>
      <c r="H78" s="0" t="s">
        <v>130</v>
      </c>
      <c r="J78" s="0" t="s">
        <v>1511</v>
      </c>
      <c r="K78" s="0" t="n">
        <v>0</v>
      </c>
      <c r="L78" s="0" t="s">
        <v>3681</v>
      </c>
    </row>
    <row r="79" customFormat="false" ht="15" hidden="false" customHeight="false" outlineLevel="0" collapsed="false">
      <c r="A79" s="0" t="n">
        <v>76</v>
      </c>
      <c r="B79" s="0" t="s">
        <v>1205</v>
      </c>
      <c r="C79" s="0" t="s">
        <v>3679</v>
      </c>
      <c r="D79" s="0" t="n">
        <v>6</v>
      </c>
      <c r="E79" s="0" t="s">
        <v>129</v>
      </c>
      <c r="F79" s="0" t="s">
        <v>3686</v>
      </c>
      <c r="G79" s="0" t="s">
        <v>1536</v>
      </c>
      <c r="H79" s="0" t="s">
        <v>131</v>
      </c>
      <c r="J79" s="0" t="s">
        <v>1511</v>
      </c>
      <c r="K79" s="0" t="n">
        <v>0</v>
      </c>
      <c r="L79" s="0" t="s">
        <v>3681</v>
      </c>
    </row>
    <row r="80" customFormat="false" ht="15" hidden="false" customHeight="false" outlineLevel="0" collapsed="false">
      <c r="A80" s="0" t="n">
        <v>77</v>
      </c>
      <c r="B80" s="0" t="s">
        <v>1192</v>
      </c>
      <c r="C80" s="0" t="s">
        <v>3679</v>
      </c>
      <c r="D80" s="0" t="n">
        <v>6</v>
      </c>
      <c r="E80" s="0" t="s">
        <v>129</v>
      </c>
      <c r="F80" s="0" t="s">
        <v>3682</v>
      </c>
      <c r="G80" s="0" t="s">
        <v>1539</v>
      </c>
      <c r="H80" s="0" t="s">
        <v>135</v>
      </c>
      <c r="J80" s="0" t="s">
        <v>1511</v>
      </c>
      <c r="K80" s="0" t="n">
        <v>0</v>
      </c>
      <c r="L80" s="0" t="s">
        <v>3681</v>
      </c>
    </row>
    <row r="81" customFormat="false" ht="15" hidden="false" customHeight="false" outlineLevel="0" collapsed="false">
      <c r="A81" s="0" t="n">
        <v>78</v>
      </c>
      <c r="B81" s="0" t="s">
        <v>1161</v>
      </c>
      <c r="C81" s="0" t="s">
        <v>3679</v>
      </c>
      <c r="D81" s="0" t="n">
        <v>6</v>
      </c>
      <c r="E81" s="0" t="s">
        <v>129</v>
      </c>
      <c r="F81" s="0" t="s">
        <v>3683</v>
      </c>
      <c r="G81" s="0" t="s">
        <v>1542</v>
      </c>
      <c r="H81" s="0" t="s">
        <v>136</v>
      </c>
      <c r="J81" s="0" t="s">
        <v>1511</v>
      </c>
      <c r="K81" s="0" t="n">
        <v>0</v>
      </c>
      <c r="L81" s="0" t="s">
        <v>3681</v>
      </c>
    </row>
    <row r="82" customFormat="false" ht="15" hidden="false" customHeight="false" outlineLevel="0" collapsed="false">
      <c r="A82" s="0" t="n">
        <v>79</v>
      </c>
      <c r="B82" s="0" t="s">
        <v>1185</v>
      </c>
      <c r="C82" s="0" t="s">
        <v>3679</v>
      </c>
      <c r="D82" s="0" t="n">
        <v>6</v>
      </c>
      <c r="E82" s="0" t="s">
        <v>129</v>
      </c>
      <c r="F82" s="0" t="s">
        <v>3684</v>
      </c>
      <c r="G82" s="0" t="s">
        <v>1545</v>
      </c>
      <c r="H82" s="0" t="s">
        <v>137</v>
      </c>
      <c r="J82" s="0" t="s">
        <v>1511</v>
      </c>
      <c r="K82" s="0" t="n">
        <v>0</v>
      </c>
      <c r="L82" s="0" t="s">
        <v>3681</v>
      </c>
    </row>
    <row r="83" customFormat="false" ht="15" hidden="false" customHeight="false" outlineLevel="0" collapsed="false">
      <c r="A83" s="0" t="n">
        <v>80</v>
      </c>
      <c r="B83" s="0" t="s">
        <v>1048</v>
      </c>
      <c r="C83" s="0" t="s">
        <v>3679</v>
      </c>
      <c r="D83" s="0" t="n">
        <v>6</v>
      </c>
      <c r="E83" s="0" t="s">
        <v>152</v>
      </c>
      <c r="F83" s="0" t="s">
        <v>3810</v>
      </c>
      <c r="G83" s="0" t="s">
        <v>1559</v>
      </c>
      <c r="H83" s="0" t="s">
        <v>153</v>
      </c>
      <c r="J83" s="0" t="s">
        <v>1511</v>
      </c>
      <c r="K83" s="0" t="n">
        <v>0</v>
      </c>
      <c r="L83" s="0" t="s">
        <v>3681</v>
      </c>
    </row>
    <row r="84" customFormat="false" ht="15" hidden="false" customHeight="false" outlineLevel="0" collapsed="false">
      <c r="A84" s="0" t="n">
        <v>81</v>
      </c>
      <c r="B84" s="0" t="s">
        <v>3812</v>
      </c>
      <c r="C84" s="0" t="s">
        <v>3690</v>
      </c>
      <c r="D84" s="0" t="n">
        <v>6</v>
      </c>
      <c r="E84" s="0" t="s">
        <v>83</v>
      </c>
      <c r="F84" s="0" t="n">
        <v>2013</v>
      </c>
      <c r="I84" s="0" t="s">
        <v>3813</v>
      </c>
      <c r="J84" s="0" t="s">
        <v>3692</v>
      </c>
      <c r="K84" s="0" t="n">
        <v>1</v>
      </c>
      <c r="L84" s="0" t="s">
        <v>3814</v>
      </c>
    </row>
    <row r="85" customFormat="false" ht="15" hidden="false" customHeight="false" outlineLevel="0" collapsed="false">
      <c r="A85" s="0" t="n">
        <v>82</v>
      </c>
      <c r="B85" s="0" t="s">
        <v>3815</v>
      </c>
      <c r="C85" s="0" t="s">
        <v>3690</v>
      </c>
      <c r="D85" s="0" t="n">
        <v>6</v>
      </c>
      <c r="E85" s="0" t="s">
        <v>83</v>
      </c>
      <c r="F85" s="0" t="n">
        <v>2014</v>
      </c>
      <c r="I85" s="0" t="s">
        <v>3816</v>
      </c>
      <c r="J85" s="0" t="s">
        <v>3692</v>
      </c>
      <c r="K85" s="0" t="n">
        <v>1</v>
      </c>
      <c r="L85" s="0" t="s">
        <v>3814</v>
      </c>
    </row>
    <row r="86" customFormat="false" ht="15" hidden="false" customHeight="false" outlineLevel="0" collapsed="false">
      <c r="A86" s="0" t="n">
        <v>83</v>
      </c>
      <c r="B86" s="0" t="s">
        <v>3817</v>
      </c>
      <c r="C86" s="0" t="s">
        <v>3690</v>
      </c>
      <c r="D86" s="0" t="n">
        <v>6</v>
      </c>
      <c r="E86" s="0" t="s">
        <v>83</v>
      </c>
      <c r="F86" s="0" t="n">
        <v>2015</v>
      </c>
      <c r="I86" s="0" t="s">
        <v>3818</v>
      </c>
      <c r="J86" s="0" t="s">
        <v>3692</v>
      </c>
      <c r="K86" s="0" t="n">
        <v>1</v>
      </c>
      <c r="L86" s="0" t="s">
        <v>3819</v>
      </c>
    </row>
    <row r="87" customFormat="false" ht="15" hidden="false" customHeight="false" outlineLevel="0" collapsed="false">
      <c r="A87" s="0" t="n">
        <v>84</v>
      </c>
      <c r="B87" s="0" t="s">
        <v>3820</v>
      </c>
      <c r="C87" s="0" t="s">
        <v>3690</v>
      </c>
      <c r="D87" s="0" t="n">
        <v>6</v>
      </c>
      <c r="E87" s="0" t="s">
        <v>83</v>
      </c>
      <c r="F87" s="0" t="n">
        <v>2018</v>
      </c>
      <c r="I87" s="0" t="s">
        <v>3821</v>
      </c>
      <c r="J87" s="0" t="s">
        <v>3692</v>
      </c>
      <c r="K87" s="0" t="n">
        <v>1</v>
      </c>
      <c r="L87" s="0" t="s">
        <v>3819</v>
      </c>
    </row>
    <row r="88" customFormat="false" ht="15" hidden="false" customHeight="false" outlineLevel="0" collapsed="false">
      <c r="A88" s="0" t="n">
        <v>85</v>
      </c>
      <c r="B88" s="0" t="s">
        <v>3822</v>
      </c>
      <c r="C88" s="0" t="s">
        <v>3690</v>
      </c>
      <c r="D88" s="0" t="n">
        <v>6</v>
      </c>
      <c r="E88" s="0" t="s">
        <v>83</v>
      </c>
      <c r="F88" s="0" t="n">
        <v>2019</v>
      </c>
      <c r="I88" s="0" t="s">
        <v>3823</v>
      </c>
      <c r="J88" s="0" t="s">
        <v>3692</v>
      </c>
      <c r="K88" s="0" t="n">
        <v>1</v>
      </c>
      <c r="L88" s="0" t="s">
        <v>3819</v>
      </c>
    </row>
    <row r="89" customFormat="false" ht="15" hidden="false" customHeight="false" outlineLevel="0" collapsed="false">
      <c r="A89" s="0" t="n">
        <v>86</v>
      </c>
      <c r="B89" s="0" t="s">
        <v>3824</v>
      </c>
      <c r="C89" s="0" t="s">
        <v>3690</v>
      </c>
      <c r="D89" s="0" t="n">
        <v>6</v>
      </c>
      <c r="E89" s="0" t="s">
        <v>83</v>
      </c>
      <c r="F89" s="0" t="n">
        <v>2020</v>
      </c>
      <c r="I89" s="0" t="s">
        <v>3825</v>
      </c>
      <c r="J89" s="0" t="s">
        <v>3692</v>
      </c>
      <c r="K89" s="0" t="n">
        <v>1</v>
      </c>
      <c r="L89" s="0" t="s">
        <v>3819</v>
      </c>
    </row>
    <row r="90" customFormat="false" ht="15" hidden="false" customHeight="false" outlineLevel="0" collapsed="false">
      <c r="A90" s="0" t="n">
        <v>87</v>
      </c>
      <c r="B90" s="0" t="s">
        <v>3826</v>
      </c>
      <c r="C90" s="0" t="s">
        <v>3690</v>
      </c>
      <c r="D90" s="0" t="n">
        <v>6</v>
      </c>
      <c r="E90" s="0" t="s">
        <v>83</v>
      </c>
      <c r="F90" s="0" t="n">
        <v>2021</v>
      </c>
      <c r="I90" s="0" t="s">
        <v>3827</v>
      </c>
      <c r="J90" s="0" t="s">
        <v>3692</v>
      </c>
      <c r="K90" s="0" t="n">
        <v>1</v>
      </c>
      <c r="L90" s="0" t="s">
        <v>3819</v>
      </c>
    </row>
    <row r="91" customFormat="false" ht="15" hidden="false" customHeight="false" outlineLevel="0" collapsed="false">
      <c r="A91" s="0" t="n">
        <v>88</v>
      </c>
      <c r="B91" s="0" t="s">
        <v>3828</v>
      </c>
      <c r="C91" s="0" t="s">
        <v>3690</v>
      </c>
      <c r="D91" s="0" t="n">
        <v>6</v>
      </c>
      <c r="E91" s="0" t="s">
        <v>83</v>
      </c>
      <c r="F91" s="0" t="n">
        <v>2022</v>
      </c>
      <c r="I91" s="0" t="s">
        <v>3829</v>
      </c>
      <c r="J91" s="0" t="s">
        <v>3692</v>
      </c>
      <c r="K91" s="0" t="n">
        <v>1</v>
      </c>
      <c r="L91" s="0" t="s">
        <v>3819</v>
      </c>
    </row>
    <row r="92" customFormat="false" ht="15" hidden="false" customHeight="false" outlineLevel="0" collapsed="false">
      <c r="A92" s="0" t="n">
        <v>89</v>
      </c>
      <c r="B92" s="0" t="s">
        <v>3830</v>
      </c>
      <c r="C92" s="0" t="s">
        <v>3690</v>
      </c>
      <c r="D92" s="0" t="n">
        <v>6</v>
      </c>
      <c r="E92" s="0" t="s">
        <v>86</v>
      </c>
      <c r="F92" s="0" t="n">
        <v>2014</v>
      </c>
      <c r="I92" s="0" t="s">
        <v>3831</v>
      </c>
      <c r="J92" s="0" t="s">
        <v>3692</v>
      </c>
      <c r="K92" s="0" t="n">
        <v>1</v>
      </c>
      <c r="L92" s="0" t="s">
        <v>3832</v>
      </c>
    </row>
    <row r="93" customFormat="false" ht="15" hidden="false" customHeight="false" outlineLevel="0" collapsed="false">
      <c r="A93" s="0" t="n">
        <v>90</v>
      </c>
      <c r="B93" s="0" t="s">
        <v>3833</v>
      </c>
      <c r="C93" s="0" t="s">
        <v>3690</v>
      </c>
      <c r="D93" s="0" t="n">
        <v>6</v>
      </c>
      <c r="E93" s="0" t="s">
        <v>86</v>
      </c>
      <c r="F93" s="0" t="n">
        <v>2015</v>
      </c>
      <c r="I93" s="0" t="s">
        <v>3834</v>
      </c>
      <c r="J93" s="0" t="s">
        <v>3692</v>
      </c>
      <c r="K93" s="0" t="n">
        <v>1</v>
      </c>
      <c r="L93" s="0" t="s">
        <v>3835</v>
      </c>
    </row>
    <row r="94" customFormat="false" ht="15" hidden="false" customHeight="false" outlineLevel="0" collapsed="false">
      <c r="A94" s="0" t="n">
        <v>91</v>
      </c>
      <c r="B94" s="0" t="s">
        <v>3836</v>
      </c>
      <c r="C94" s="0" t="s">
        <v>3690</v>
      </c>
      <c r="D94" s="0" t="n">
        <v>6</v>
      </c>
      <c r="E94" s="0" t="s">
        <v>86</v>
      </c>
      <c r="F94" s="0" t="n">
        <v>2016</v>
      </c>
      <c r="I94" s="0" t="s">
        <v>3837</v>
      </c>
      <c r="J94" s="0" t="s">
        <v>3692</v>
      </c>
      <c r="K94" s="0" t="n">
        <v>1</v>
      </c>
      <c r="L94" s="0" t="s">
        <v>3835</v>
      </c>
    </row>
    <row r="95" customFormat="false" ht="15" hidden="false" customHeight="false" outlineLevel="0" collapsed="false">
      <c r="A95" s="0" t="n">
        <v>92</v>
      </c>
      <c r="B95" s="0" t="s">
        <v>3838</v>
      </c>
      <c r="C95" s="0" t="s">
        <v>3690</v>
      </c>
      <c r="D95" s="0" t="n">
        <v>6</v>
      </c>
      <c r="E95" s="0" t="s">
        <v>86</v>
      </c>
      <c r="F95" s="0" t="n">
        <v>2017</v>
      </c>
      <c r="I95" s="0" t="s">
        <v>3839</v>
      </c>
      <c r="J95" s="0" t="s">
        <v>3692</v>
      </c>
      <c r="K95" s="0" t="n">
        <v>1</v>
      </c>
      <c r="L95" s="0" t="s">
        <v>3835</v>
      </c>
    </row>
    <row r="96" customFormat="false" ht="15" hidden="false" customHeight="false" outlineLevel="0" collapsed="false">
      <c r="A96" s="0" t="n">
        <v>93</v>
      </c>
      <c r="B96" s="0" t="s">
        <v>3840</v>
      </c>
      <c r="C96" s="0" t="s">
        <v>3690</v>
      </c>
      <c r="D96" s="0" t="n">
        <v>6</v>
      </c>
      <c r="E96" s="0" t="s">
        <v>86</v>
      </c>
      <c r="F96" s="0" t="n">
        <v>2020</v>
      </c>
      <c r="I96" s="0" t="s">
        <v>3841</v>
      </c>
      <c r="J96" s="0" t="s">
        <v>3692</v>
      </c>
      <c r="K96" s="0" t="n">
        <v>1</v>
      </c>
      <c r="L96" s="0" t="s">
        <v>3835</v>
      </c>
    </row>
    <row r="97" customFormat="false" ht="15" hidden="false" customHeight="false" outlineLevel="0" collapsed="false">
      <c r="A97" s="0" t="n">
        <v>94</v>
      </c>
      <c r="B97" s="0" t="s">
        <v>3842</v>
      </c>
      <c r="C97" s="0" t="s">
        <v>3690</v>
      </c>
      <c r="D97" s="0" t="n">
        <v>6</v>
      </c>
      <c r="E97" s="0" t="s">
        <v>126</v>
      </c>
      <c r="F97" s="0" t="n">
        <v>2015</v>
      </c>
      <c r="I97" s="0" t="s">
        <v>3843</v>
      </c>
      <c r="J97" s="0" t="s">
        <v>3692</v>
      </c>
      <c r="K97" s="0" t="n">
        <v>1</v>
      </c>
      <c r="L97" s="0" t="s">
        <v>3844</v>
      </c>
    </row>
    <row r="98" customFormat="false" ht="15" hidden="false" customHeight="false" outlineLevel="0" collapsed="false">
      <c r="A98" s="0" t="n">
        <v>95</v>
      </c>
      <c r="B98" s="0" t="s">
        <v>3845</v>
      </c>
      <c r="C98" s="0" t="s">
        <v>3690</v>
      </c>
      <c r="D98" s="0" t="n">
        <v>6</v>
      </c>
      <c r="E98" s="0" t="s">
        <v>126</v>
      </c>
      <c r="F98" s="0" t="n">
        <v>2016</v>
      </c>
      <c r="I98" s="0" t="s">
        <v>3846</v>
      </c>
      <c r="J98" s="0" t="s">
        <v>3692</v>
      </c>
      <c r="K98" s="0" t="n">
        <v>1</v>
      </c>
      <c r="L98" s="0" t="s">
        <v>3844</v>
      </c>
    </row>
    <row r="99" customFormat="false" ht="15" hidden="false" customHeight="false" outlineLevel="0" collapsed="false">
      <c r="A99" s="0" t="n">
        <v>96</v>
      </c>
      <c r="B99" s="0" t="s">
        <v>3847</v>
      </c>
      <c r="C99" s="0" t="s">
        <v>3690</v>
      </c>
      <c r="D99" s="0" t="n">
        <v>6</v>
      </c>
      <c r="E99" s="0" t="s">
        <v>126</v>
      </c>
      <c r="F99" s="0" t="n">
        <v>2017</v>
      </c>
      <c r="I99" s="0" t="s">
        <v>3848</v>
      </c>
      <c r="J99" s="0" t="s">
        <v>3692</v>
      </c>
      <c r="K99" s="0" t="n">
        <v>1</v>
      </c>
      <c r="L99" s="0" t="s">
        <v>3844</v>
      </c>
    </row>
    <row r="100" customFormat="false" ht="15" hidden="false" customHeight="false" outlineLevel="0" collapsed="false">
      <c r="A100" s="0" t="n">
        <v>97</v>
      </c>
      <c r="B100" s="0" t="s">
        <v>3849</v>
      </c>
      <c r="C100" s="0" t="s">
        <v>3690</v>
      </c>
      <c r="D100" s="0" t="n">
        <v>6</v>
      </c>
      <c r="E100" s="0" t="s">
        <v>126</v>
      </c>
      <c r="F100" s="0" t="n">
        <v>2020</v>
      </c>
      <c r="I100" s="0" t="s">
        <v>3850</v>
      </c>
      <c r="J100" s="0" t="s">
        <v>3692</v>
      </c>
      <c r="K100" s="0" t="n">
        <v>1</v>
      </c>
      <c r="L100" s="0" t="s">
        <v>3844</v>
      </c>
    </row>
    <row r="101" customFormat="false" ht="15" hidden="false" customHeight="false" outlineLevel="0" collapsed="false">
      <c r="A101" s="0" t="n">
        <v>98</v>
      </c>
      <c r="B101" s="0" t="s">
        <v>3851</v>
      </c>
      <c r="C101" s="0" t="s">
        <v>3690</v>
      </c>
      <c r="D101" s="0" t="n">
        <v>6</v>
      </c>
      <c r="E101" s="0" t="s">
        <v>126</v>
      </c>
      <c r="F101" s="0" t="n">
        <v>2021</v>
      </c>
      <c r="I101" s="0" t="s">
        <v>3852</v>
      </c>
      <c r="J101" s="0" t="s">
        <v>3692</v>
      </c>
      <c r="K101" s="0" t="n">
        <v>1</v>
      </c>
      <c r="L101" s="0" t="s">
        <v>3844</v>
      </c>
    </row>
    <row r="102" customFormat="false" ht="15" hidden="false" customHeight="false" outlineLevel="0" collapsed="false">
      <c r="A102" s="0" t="n">
        <v>99</v>
      </c>
      <c r="B102" s="0" t="s">
        <v>3853</v>
      </c>
      <c r="C102" s="0" t="s">
        <v>3690</v>
      </c>
      <c r="D102" s="0" t="n">
        <v>6</v>
      </c>
      <c r="E102" s="0" t="s">
        <v>126</v>
      </c>
      <c r="F102" s="0" t="n">
        <v>2022</v>
      </c>
      <c r="I102" s="0" t="s">
        <v>3854</v>
      </c>
      <c r="J102" s="0" t="s">
        <v>3692</v>
      </c>
      <c r="K102" s="0" t="n">
        <v>1</v>
      </c>
      <c r="L102" s="0" t="s">
        <v>3844</v>
      </c>
    </row>
    <row r="103" customFormat="false" ht="15" hidden="false" customHeight="false" outlineLevel="0" collapsed="false">
      <c r="A103" s="0" t="n">
        <v>100</v>
      </c>
      <c r="B103" s="0" t="s">
        <v>3855</v>
      </c>
      <c r="C103" s="0" t="s">
        <v>3690</v>
      </c>
      <c r="D103" s="0" t="n">
        <v>6</v>
      </c>
      <c r="E103" s="0" t="s">
        <v>152</v>
      </c>
      <c r="F103" s="0" t="n">
        <v>2013</v>
      </c>
      <c r="I103" s="0" t="s">
        <v>3856</v>
      </c>
      <c r="J103" s="0" t="s">
        <v>3692</v>
      </c>
      <c r="K103" s="0" t="n">
        <v>1</v>
      </c>
      <c r="L103" s="0" t="s">
        <v>3857</v>
      </c>
    </row>
    <row r="104" customFormat="false" ht="15" hidden="false" customHeight="false" outlineLevel="0" collapsed="false">
      <c r="A104" s="0" t="n">
        <v>101</v>
      </c>
      <c r="B104" s="0" t="s">
        <v>3858</v>
      </c>
      <c r="C104" s="0" t="s">
        <v>3690</v>
      </c>
      <c r="D104" s="0" t="n">
        <v>6</v>
      </c>
      <c r="E104" s="0" t="s">
        <v>152</v>
      </c>
      <c r="F104" s="0" t="n">
        <v>2014</v>
      </c>
      <c r="I104" s="0" t="s">
        <v>3859</v>
      </c>
      <c r="J104" s="0" t="s">
        <v>3692</v>
      </c>
      <c r="K104" s="0" t="n">
        <v>1</v>
      </c>
      <c r="L104" s="0" t="s">
        <v>3857</v>
      </c>
    </row>
    <row r="105" customFormat="false" ht="15" hidden="false" customHeight="false" outlineLevel="0" collapsed="false">
      <c r="A105" s="0" t="n">
        <v>102</v>
      </c>
      <c r="B105" s="0" t="s">
        <v>3860</v>
      </c>
      <c r="C105" s="0" t="s">
        <v>3690</v>
      </c>
      <c r="D105" s="0" t="n">
        <v>6</v>
      </c>
      <c r="E105" s="0" t="s">
        <v>152</v>
      </c>
      <c r="F105" s="0" t="n">
        <v>2015</v>
      </c>
      <c r="I105" s="0" t="s">
        <v>3861</v>
      </c>
      <c r="J105" s="0" t="s">
        <v>3692</v>
      </c>
      <c r="K105" s="0" t="n">
        <v>1</v>
      </c>
      <c r="L105" s="0" t="s">
        <v>3862</v>
      </c>
    </row>
    <row r="106" customFormat="false" ht="15" hidden="false" customHeight="false" outlineLevel="0" collapsed="false">
      <c r="A106" s="0" t="n">
        <v>103</v>
      </c>
      <c r="B106" s="0" t="s">
        <v>3863</v>
      </c>
      <c r="C106" s="0" t="s">
        <v>3690</v>
      </c>
      <c r="D106" s="0" t="n">
        <v>6</v>
      </c>
      <c r="E106" s="0" t="s">
        <v>152</v>
      </c>
      <c r="F106" s="0" t="n">
        <v>2016</v>
      </c>
      <c r="I106" s="0" t="s">
        <v>3864</v>
      </c>
      <c r="J106" s="0" t="s">
        <v>3692</v>
      </c>
      <c r="K106" s="0" t="n">
        <v>1</v>
      </c>
      <c r="L106" s="0" t="s">
        <v>3862</v>
      </c>
    </row>
    <row r="107" customFormat="false" ht="15" hidden="false" customHeight="false" outlineLevel="0" collapsed="false">
      <c r="A107" s="0" t="n">
        <v>104</v>
      </c>
      <c r="B107" s="0" t="s">
        <v>3865</v>
      </c>
      <c r="C107" s="0" t="s">
        <v>3690</v>
      </c>
      <c r="D107" s="0" t="n">
        <v>6</v>
      </c>
      <c r="E107" s="0" t="s">
        <v>152</v>
      </c>
      <c r="F107" s="0" t="n">
        <v>2017</v>
      </c>
      <c r="I107" s="0" t="s">
        <v>3866</v>
      </c>
      <c r="J107" s="0" t="s">
        <v>3692</v>
      </c>
      <c r="K107" s="0" t="n">
        <v>1</v>
      </c>
      <c r="L107" s="0" t="s">
        <v>3862</v>
      </c>
    </row>
    <row r="108" customFormat="false" ht="15" hidden="false" customHeight="false" outlineLevel="0" collapsed="false">
      <c r="A108" s="0" t="n">
        <v>105</v>
      </c>
      <c r="B108" s="0" t="s">
        <v>3867</v>
      </c>
      <c r="C108" s="0" t="s">
        <v>3690</v>
      </c>
      <c r="D108" s="0" t="n">
        <v>6</v>
      </c>
      <c r="E108" s="0" t="s">
        <v>152</v>
      </c>
      <c r="F108" s="0" t="n">
        <v>2020</v>
      </c>
      <c r="I108" s="0" t="s">
        <v>3868</v>
      </c>
      <c r="J108" s="0" t="s">
        <v>3692</v>
      </c>
      <c r="K108" s="0" t="n">
        <v>1</v>
      </c>
      <c r="L108" s="0" t="s">
        <v>3862</v>
      </c>
    </row>
    <row r="109" customFormat="false" ht="15" hidden="false" customHeight="false" outlineLevel="0" collapsed="false">
      <c r="A109" s="0" t="n">
        <v>106</v>
      </c>
      <c r="B109" s="0" t="s">
        <v>3869</v>
      </c>
      <c r="C109" s="0" t="s">
        <v>3690</v>
      </c>
      <c r="D109" s="0" t="n">
        <v>6</v>
      </c>
      <c r="E109" s="0" t="s">
        <v>152</v>
      </c>
      <c r="F109" s="0" t="n">
        <v>2021</v>
      </c>
      <c r="I109" s="0" t="s">
        <v>3870</v>
      </c>
      <c r="J109" s="0" t="s">
        <v>3692</v>
      </c>
      <c r="K109" s="0" t="n">
        <v>1</v>
      </c>
      <c r="L109" s="0" t="s">
        <v>3862</v>
      </c>
    </row>
    <row r="110" customFormat="false" ht="15" hidden="false" customHeight="false" outlineLevel="0" collapsed="false">
      <c r="A110" s="0" t="n">
        <v>107</v>
      </c>
      <c r="B110" s="0" t="s">
        <v>3871</v>
      </c>
      <c r="C110" s="0" t="s">
        <v>3690</v>
      </c>
      <c r="D110" s="0" t="n">
        <v>6</v>
      </c>
      <c r="E110" s="0" t="s">
        <v>152</v>
      </c>
      <c r="F110" s="0" t="n">
        <v>2022</v>
      </c>
      <c r="I110" s="0" t="s">
        <v>3872</v>
      </c>
      <c r="J110" s="0" t="s">
        <v>3692</v>
      </c>
      <c r="K110" s="0" t="n">
        <v>1</v>
      </c>
      <c r="L110" s="0" t="s">
        <v>3862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3873</v>
      </c>
    </row>
    <row r="3" customFormat="false" ht="15" hidden="false" customHeight="false" outlineLevel="0" collapsed="false">
      <c r="A3" s="3" t="s">
        <v>50</v>
      </c>
      <c r="B3" s="3" t="s">
        <v>51</v>
      </c>
      <c r="C3" s="3" t="s">
        <v>241</v>
      </c>
      <c r="D3" s="3" t="s">
        <v>216</v>
      </c>
      <c r="E3" s="3" t="s">
        <v>3874</v>
      </c>
      <c r="F3" s="3" t="s">
        <v>3875</v>
      </c>
      <c r="G3" s="3" t="s">
        <v>325</v>
      </c>
    </row>
    <row r="4" customFormat="false" ht="15" hidden="false" customHeight="false" outlineLevel="0" collapsed="false">
      <c r="A4" s="0" t="s">
        <v>77</v>
      </c>
      <c r="B4" s="0" t="n">
        <v>2015</v>
      </c>
      <c r="C4" s="0" t="s">
        <v>54</v>
      </c>
      <c r="D4" s="0" t="n">
        <v>58925</v>
      </c>
      <c r="E4" s="0" t="s">
        <v>3876</v>
      </c>
      <c r="G4" s="0" t="s">
        <v>3877</v>
      </c>
    </row>
    <row r="5" customFormat="false" ht="15" hidden="false" customHeight="false" outlineLevel="0" collapsed="false">
      <c r="A5" s="0" t="s">
        <v>77</v>
      </c>
      <c r="B5" s="0" t="n">
        <v>2015</v>
      </c>
      <c r="C5" s="0" t="s">
        <v>670</v>
      </c>
      <c r="D5" s="0" t="n">
        <v>302062</v>
      </c>
      <c r="E5" s="0" t="s">
        <v>3876</v>
      </c>
      <c r="G5" s="0" t="s">
        <v>3877</v>
      </c>
    </row>
    <row r="6" customFormat="false" ht="15" hidden="false" customHeight="false" outlineLevel="0" collapsed="false">
      <c r="A6" s="0" t="s">
        <v>77</v>
      </c>
      <c r="B6" s="0" t="n">
        <v>2015</v>
      </c>
      <c r="C6" s="0" t="s">
        <v>55</v>
      </c>
      <c r="D6" s="0" t="n">
        <v>2411944</v>
      </c>
      <c r="E6" s="0" t="s">
        <v>3876</v>
      </c>
      <c r="G6" s="0" t="s">
        <v>3877</v>
      </c>
    </row>
    <row r="7" customFormat="false" ht="15" hidden="false" customHeight="false" outlineLevel="0" collapsed="false">
      <c r="A7" s="0" t="s">
        <v>77</v>
      </c>
      <c r="B7" s="0" t="n">
        <v>2015</v>
      </c>
      <c r="C7" s="0" t="s">
        <v>60</v>
      </c>
      <c r="D7" s="0" t="n">
        <v>1243215</v>
      </c>
      <c r="E7" s="0" t="s">
        <v>3876</v>
      </c>
      <c r="G7" s="0" t="s">
        <v>3877</v>
      </c>
    </row>
    <row r="8" customFormat="false" ht="15" hidden="false" customHeight="false" outlineLevel="0" collapsed="false">
      <c r="A8" s="0" t="s">
        <v>77</v>
      </c>
      <c r="B8" s="0" t="n">
        <v>2015</v>
      </c>
      <c r="C8" s="0" t="s">
        <v>61</v>
      </c>
      <c r="D8" s="0" t="n">
        <v>26906</v>
      </c>
      <c r="E8" s="0" t="s">
        <v>3876</v>
      </c>
      <c r="G8" s="0" t="s">
        <v>3877</v>
      </c>
    </row>
    <row r="9" customFormat="false" ht="15" hidden="false" customHeight="false" outlineLevel="0" collapsed="false">
      <c r="A9" s="0" t="s">
        <v>77</v>
      </c>
      <c r="B9" s="0" t="n">
        <v>2015</v>
      </c>
      <c r="C9" s="0" t="s">
        <v>63</v>
      </c>
      <c r="D9" s="0" t="n">
        <v>13288</v>
      </c>
      <c r="E9" s="0" t="s">
        <v>3876</v>
      </c>
      <c r="G9" s="0" t="s">
        <v>3877</v>
      </c>
    </row>
    <row r="10" customFormat="false" ht="15" hidden="false" customHeight="false" outlineLevel="0" collapsed="false">
      <c r="A10" s="0" t="s">
        <v>77</v>
      </c>
      <c r="B10" s="0" t="n">
        <v>2015</v>
      </c>
      <c r="C10" s="0" t="s">
        <v>266</v>
      </c>
      <c r="D10" s="0" t="n">
        <v>1.5</v>
      </c>
      <c r="E10" s="0" t="s">
        <v>3876</v>
      </c>
      <c r="G10" s="0" t="s">
        <v>3877</v>
      </c>
    </row>
    <row r="11" customFormat="false" ht="15" hidden="false" customHeight="false" outlineLevel="0" collapsed="false">
      <c r="A11" s="0" t="s">
        <v>77</v>
      </c>
      <c r="B11" s="0" t="n">
        <v>2015</v>
      </c>
      <c r="C11" s="0" t="s">
        <v>69</v>
      </c>
      <c r="D11" s="0" t="n">
        <v>18</v>
      </c>
      <c r="E11" s="0" t="s">
        <v>3876</v>
      </c>
      <c r="G11" s="0" t="s">
        <v>3877</v>
      </c>
    </row>
    <row r="12" customFormat="false" ht="15" hidden="false" customHeight="false" outlineLevel="0" collapsed="false">
      <c r="A12" s="0" t="s">
        <v>77</v>
      </c>
      <c r="B12" s="0" t="n">
        <v>2015</v>
      </c>
      <c r="C12" s="0" t="s">
        <v>73</v>
      </c>
      <c r="D12" s="0" t="n">
        <v>0</v>
      </c>
      <c r="E12" s="0" t="s">
        <v>3876</v>
      </c>
      <c r="G12" s="0" t="s">
        <v>3877</v>
      </c>
    </row>
    <row r="13" customFormat="false" ht="15" hidden="false" customHeight="false" outlineLevel="0" collapsed="false">
      <c r="A13" s="0" t="s">
        <v>77</v>
      </c>
      <c r="B13" s="0" t="n">
        <v>2015</v>
      </c>
      <c r="C13" s="0" t="s">
        <v>920</v>
      </c>
      <c r="D13" s="0" t="s">
        <v>3878</v>
      </c>
      <c r="E13" s="0" t="s">
        <v>3876</v>
      </c>
      <c r="G13" s="0" t="s">
        <v>3877</v>
      </c>
    </row>
    <row r="14" customFormat="false" ht="15" hidden="false" customHeight="false" outlineLevel="0" collapsed="false">
      <c r="A14" s="0" t="s">
        <v>77</v>
      </c>
      <c r="B14" s="0" t="n">
        <v>2016</v>
      </c>
      <c r="C14" s="0" t="s">
        <v>54</v>
      </c>
      <c r="D14" s="0" t="n">
        <v>64026</v>
      </c>
      <c r="E14" s="0" t="s">
        <v>3876</v>
      </c>
      <c r="G14" s="0" t="s">
        <v>3877</v>
      </c>
    </row>
    <row r="15" customFormat="false" ht="15" hidden="false" customHeight="false" outlineLevel="0" collapsed="false">
      <c r="A15" s="0" t="s">
        <v>77</v>
      </c>
      <c r="B15" s="0" t="n">
        <v>2016</v>
      </c>
      <c r="C15" s="0" t="s">
        <v>670</v>
      </c>
      <c r="D15" s="0" t="n">
        <v>331001</v>
      </c>
      <c r="E15" s="0" t="s">
        <v>3876</v>
      </c>
      <c r="G15" s="0" t="s">
        <v>3877</v>
      </c>
    </row>
    <row r="16" customFormat="false" ht="15" hidden="false" customHeight="false" outlineLevel="0" collapsed="false">
      <c r="A16" s="0" t="s">
        <v>77</v>
      </c>
      <c r="B16" s="0" t="n">
        <v>2016</v>
      </c>
      <c r="C16" s="0" t="s">
        <v>55</v>
      </c>
      <c r="D16" s="0" t="n">
        <v>3094961</v>
      </c>
      <c r="E16" s="0" t="s">
        <v>3876</v>
      </c>
      <c r="G16" s="0" t="s">
        <v>3877</v>
      </c>
    </row>
    <row r="17" customFormat="false" ht="15" hidden="false" customHeight="false" outlineLevel="0" collapsed="false">
      <c r="A17" s="0" t="s">
        <v>77</v>
      </c>
      <c r="B17" s="0" t="n">
        <v>2016</v>
      </c>
      <c r="C17" s="0" t="s">
        <v>60</v>
      </c>
      <c r="D17" s="0" t="n">
        <v>1594562</v>
      </c>
      <c r="E17" s="0" t="s">
        <v>3876</v>
      </c>
      <c r="G17" s="0" t="s">
        <v>3877</v>
      </c>
    </row>
    <row r="18" customFormat="false" ht="15" hidden="false" customHeight="false" outlineLevel="0" collapsed="false">
      <c r="A18" s="0" t="s">
        <v>77</v>
      </c>
      <c r="B18" s="0" t="n">
        <v>2016</v>
      </c>
      <c r="C18" s="0" t="s">
        <v>61</v>
      </c>
      <c r="D18" s="0" t="n">
        <v>30276</v>
      </c>
      <c r="E18" s="0" t="s">
        <v>3876</v>
      </c>
      <c r="G18" s="0" t="s">
        <v>3877</v>
      </c>
    </row>
    <row r="19" customFormat="false" ht="15" hidden="false" customHeight="false" outlineLevel="0" collapsed="false">
      <c r="A19" s="0" t="s">
        <v>77</v>
      </c>
      <c r="B19" s="0" t="n">
        <v>2016</v>
      </c>
      <c r="C19" s="0" t="s">
        <v>63</v>
      </c>
      <c r="D19" s="0" t="n">
        <v>17641</v>
      </c>
      <c r="E19" s="0" t="s">
        <v>3876</v>
      </c>
      <c r="G19" s="0" t="s">
        <v>3877</v>
      </c>
    </row>
    <row r="20" customFormat="false" ht="15" hidden="false" customHeight="false" outlineLevel="0" collapsed="false">
      <c r="A20" s="0" t="s">
        <v>77</v>
      </c>
      <c r="B20" s="0" t="n">
        <v>2016</v>
      </c>
      <c r="C20" s="0" t="s">
        <v>266</v>
      </c>
      <c r="D20" s="0" t="n">
        <v>1.8</v>
      </c>
      <c r="E20" s="0" t="s">
        <v>3876</v>
      </c>
      <c r="G20" s="0" t="s">
        <v>3877</v>
      </c>
    </row>
    <row r="21" customFormat="false" ht="15" hidden="false" customHeight="false" outlineLevel="0" collapsed="false">
      <c r="A21" s="0" t="s">
        <v>77</v>
      </c>
      <c r="B21" s="0" t="n">
        <v>2016</v>
      </c>
      <c r="C21" s="0" t="s">
        <v>69</v>
      </c>
      <c r="D21" s="0" t="n">
        <v>19.55</v>
      </c>
      <c r="E21" s="0" t="s">
        <v>3876</v>
      </c>
      <c r="G21" s="0" t="s">
        <v>3877</v>
      </c>
    </row>
    <row r="22" customFormat="false" ht="15" hidden="false" customHeight="false" outlineLevel="0" collapsed="false">
      <c r="A22" s="0" t="s">
        <v>77</v>
      </c>
      <c r="B22" s="0" t="n">
        <v>2016</v>
      </c>
      <c r="C22" s="0" t="s">
        <v>73</v>
      </c>
      <c r="D22" s="0" t="n">
        <v>0</v>
      </c>
      <c r="E22" s="0" t="s">
        <v>3876</v>
      </c>
      <c r="G22" s="0" t="s">
        <v>3877</v>
      </c>
    </row>
    <row r="23" customFormat="false" ht="15" hidden="false" customHeight="false" outlineLevel="0" collapsed="false">
      <c r="A23" s="0" t="s">
        <v>77</v>
      </c>
      <c r="B23" s="0" t="n">
        <v>2016</v>
      </c>
      <c r="C23" s="0" t="s">
        <v>920</v>
      </c>
      <c r="D23" s="0" t="s">
        <v>3878</v>
      </c>
      <c r="E23" s="0" t="s">
        <v>3876</v>
      </c>
      <c r="G23" s="0" t="s">
        <v>3877</v>
      </c>
    </row>
    <row r="24" customFormat="false" ht="15" hidden="false" customHeight="false" outlineLevel="0" collapsed="false">
      <c r="A24" s="0" t="s">
        <v>77</v>
      </c>
      <c r="B24" s="0" t="n">
        <v>2017</v>
      </c>
      <c r="C24" s="0" t="s">
        <v>54</v>
      </c>
      <c r="D24" s="0" t="n">
        <v>53239</v>
      </c>
      <c r="E24" s="0" t="s">
        <v>3876</v>
      </c>
      <c r="G24" s="0" t="s">
        <v>3877</v>
      </c>
    </row>
    <row r="25" customFormat="false" ht="15" hidden="false" customHeight="false" outlineLevel="0" collapsed="false">
      <c r="A25" s="0" t="s">
        <v>77</v>
      </c>
      <c r="B25" s="0" t="n">
        <v>2017</v>
      </c>
      <c r="C25" s="0" t="s">
        <v>670</v>
      </c>
      <c r="D25" s="0" t="n">
        <v>398162</v>
      </c>
      <c r="E25" s="0" t="s">
        <v>3876</v>
      </c>
      <c r="G25" s="0" t="s">
        <v>3877</v>
      </c>
    </row>
    <row r="26" customFormat="false" ht="15" hidden="false" customHeight="false" outlineLevel="0" collapsed="false">
      <c r="A26" s="0" t="s">
        <v>77</v>
      </c>
      <c r="B26" s="0" t="n">
        <v>2017</v>
      </c>
      <c r="C26" s="0" t="s">
        <v>55</v>
      </c>
      <c r="D26" s="0" t="n">
        <v>3499684</v>
      </c>
      <c r="E26" s="0" t="s">
        <v>3876</v>
      </c>
      <c r="G26" s="0" t="s">
        <v>3877</v>
      </c>
    </row>
    <row r="27" customFormat="false" ht="15" hidden="false" customHeight="false" outlineLevel="0" collapsed="false">
      <c r="A27" s="0" t="s">
        <v>77</v>
      </c>
      <c r="B27" s="0" t="n">
        <v>2017</v>
      </c>
      <c r="C27" s="0" t="s">
        <v>60</v>
      </c>
      <c r="D27" s="0" t="n">
        <v>1827389</v>
      </c>
      <c r="E27" s="0" t="s">
        <v>3876</v>
      </c>
      <c r="G27" s="0" t="s">
        <v>3877</v>
      </c>
    </row>
    <row r="28" customFormat="false" ht="15" hidden="false" customHeight="false" outlineLevel="0" collapsed="false">
      <c r="A28" s="0" t="s">
        <v>77</v>
      </c>
      <c r="B28" s="0" t="n">
        <v>2017</v>
      </c>
      <c r="C28" s="0" t="s">
        <v>61</v>
      </c>
      <c r="D28" s="0" t="n">
        <v>56331</v>
      </c>
      <c r="E28" s="0" t="s">
        <v>3876</v>
      </c>
      <c r="G28" s="0" t="s">
        <v>3877</v>
      </c>
    </row>
    <row r="29" customFormat="false" ht="15" hidden="false" customHeight="false" outlineLevel="0" collapsed="false">
      <c r="A29" s="0" t="s">
        <v>77</v>
      </c>
      <c r="B29" s="0" t="n">
        <v>2017</v>
      </c>
      <c r="C29" s="0" t="s">
        <v>63</v>
      </c>
      <c r="D29" s="0" t="n">
        <v>29150</v>
      </c>
      <c r="E29" s="0" t="s">
        <v>3876</v>
      </c>
      <c r="G29" s="0" t="s">
        <v>3877</v>
      </c>
    </row>
    <row r="30" customFormat="false" ht="15" hidden="false" customHeight="false" outlineLevel="0" collapsed="false">
      <c r="A30" s="0" t="s">
        <v>77</v>
      </c>
      <c r="B30" s="0" t="n">
        <v>2017</v>
      </c>
      <c r="C30" s="0" t="s">
        <v>266</v>
      </c>
      <c r="D30" s="0" t="n">
        <v>4.28</v>
      </c>
      <c r="E30" s="0" t="s">
        <v>3876</v>
      </c>
      <c r="G30" s="0" t="s">
        <v>3877</v>
      </c>
    </row>
    <row r="31" customFormat="false" ht="15" hidden="false" customHeight="false" outlineLevel="0" collapsed="false">
      <c r="A31" s="0" t="s">
        <v>77</v>
      </c>
      <c r="B31" s="0" t="n">
        <v>2017</v>
      </c>
      <c r="C31" s="0" t="s">
        <v>69</v>
      </c>
      <c r="D31" s="0" t="n">
        <v>18.18</v>
      </c>
      <c r="E31" s="0" t="s">
        <v>3876</v>
      </c>
      <c r="G31" s="0" t="s">
        <v>3877</v>
      </c>
    </row>
    <row r="32" customFormat="false" ht="15" hidden="false" customHeight="false" outlineLevel="0" collapsed="false">
      <c r="A32" s="0" t="s">
        <v>77</v>
      </c>
      <c r="B32" s="0" t="n">
        <v>2017</v>
      </c>
      <c r="C32" s="0" t="s">
        <v>73</v>
      </c>
      <c r="D32" s="0" t="n">
        <v>0</v>
      </c>
      <c r="E32" s="0" t="s">
        <v>3876</v>
      </c>
      <c r="G32" s="0" t="s">
        <v>3877</v>
      </c>
    </row>
    <row r="33" customFormat="false" ht="15" hidden="false" customHeight="false" outlineLevel="0" collapsed="false">
      <c r="A33" s="0" t="s">
        <v>77</v>
      </c>
      <c r="B33" s="0" t="n">
        <v>2017</v>
      </c>
      <c r="C33" s="0" t="s">
        <v>920</v>
      </c>
      <c r="D33" s="0" t="s">
        <v>3878</v>
      </c>
      <c r="E33" s="0" t="s">
        <v>3876</v>
      </c>
      <c r="G33" s="0" t="s">
        <v>3877</v>
      </c>
    </row>
    <row r="34" customFormat="false" ht="15" hidden="false" customHeight="false" outlineLevel="0" collapsed="false">
      <c r="A34" s="0" t="s">
        <v>77</v>
      </c>
      <c r="B34" s="0" t="n">
        <v>2018</v>
      </c>
      <c r="C34" s="0" t="s">
        <v>54</v>
      </c>
      <c r="D34" s="0" t="n">
        <v>73596</v>
      </c>
      <c r="E34" s="0" t="s">
        <v>3876</v>
      </c>
      <c r="G34" s="0" t="s">
        <v>3877</v>
      </c>
    </row>
    <row r="35" customFormat="false" ht="15" hidden="false" customHeight="false" outlineLevel="0" collapsed="false">
      <c r="A35" s="0" t="s">
        <v>77</v>
      </c>
      <c r="B35" s="0" t="n">
        <v>2018</v>
      </c>
      <c r="C35" s="0" t="s">
        <v>670</v>
      </c>
      <c r="D35" s="0" t="n">
        <v>435743</v>
      </c>
      <c r="E35" s="0" t="s">
        <v>3876</v>
      </c>
      <c r="G35" s="0" t="s">
        <v>3877</v>
      </c>
    </row>
    <row r="36" customFormat="false" ht="15" hidden="false" customHeight="false" outlineLevel="0" collapsed="false">
      <c r="A36" s="0" t="s">
        <v>77</v>
      </c>
      <c r="B36" s="0" t="n">
        <v>2018</v>
      </c>
      <c r="C36" s="0" t="s">
        <v>55</v>
      </c>
      <c r="D36" s="0" t="n">
        <v>3968115</v>
      </c>
      <c r="E36" s="0" t="s">
        <v>3876</v>
      </c>
      <c r="G36" s="0" t="s">
        <v>3877</v>
      </c>
    </row>
    <row r="37" customFormat="false" ht="15" hidden="false" customHeight="false" outlineLevel="0" collapsed="false">
      <c r="A37" s="0" t="s">
        <v>77</v>
      </c>
      <c r="B37" s="0" t="n">
        <v>2018</v>
      </c>
      <c r="C37" s="0" t="s">
        <v>60</v>
      </c>
      <c r="D37" s="0" t="n">
        <v>1753772</v>
      </c>
      <c r="E37" s="0" t="s">
        <v>3876</v>
      </c>
      <c r="G37" s="0" t="s">
        <v>3877</v>
      </c>
    </row>
    <row r="38" customFormat="false" ht="15" hidden="false" customHeight="false" outlineLevel="0" collapsed="false">
      <c r="A38" s="0" t="s">
        <v>77</v>
      </c>
      <c r="B38" s="0" t="n">
        <v>2018</v>
      </c>
      <c r="C38" s="0" t="s">
        <v>61</v>
      </c>
      <c r="D38" s="0" t="n">
        <v>72010</v>
      </c>
      <c r="E38" s="0" t="s">
        <v>3876</v>
      </c>
      <c r="G38" s="0" t="s">
        <v>3877</v>
      </c>
    </row>
    <row r="39" customFormat="false" ht="15" hidden="false" customHeight="false" outlineLevel="0" collapsed="false">
      <c r="A39" s="0" t="s">
        <v>77</v>
      </c>
      <c r="B39" s="0" t="n">
        <v>2018</v>
      </c>
      <c r="C39" s="0" t="s">
        <v>63</v>
      </c>
      <c r="D39" s="0" t="n">
        <v>10702</v>
      </c>
      <c r="E39" s="0" t="s">
        <v>3876</v>
      </c>
      <c r="G39" s="0" t="s">
        <v>3877</v>
      </c>
    </row>
    <row r="40" customFormat="false" ht="15" hidden="false" customHeight="false" outlineLevel="0" collapsed="false">
      <c r="A40" s="0" t="s">
        <v>77</v>
      </c>
      <c r="B40" s="0" t="n">
        <v>2018</v>
      </c>
      <c r="C40" s="0" t="s">
        <v>266</v>
      </c>
      <c r="D40" s="0" t="n">
        <v>2.38</v>
      </c>
      <c r="E40" s="0" t="s">
        <v>3876</v>
      </c>
      <c r="G40" s="0" t="s">
        <v>3877</v>
      </c>
    </row>
    <row r="41" customFormat="false" ht="15" hidden="false" customHeight="false" outlineLevel="0" collapsed="false">
      <c r="A41" s="0" t="s">
        <v>77</v>
      </c>
      <c r="B41" s="0" t="n">
        <v>2018</v>
      </c>
      <c r="C41" s="0" t="s">
        <v>69</v>
      </c>
      <c r="D41" s="0" t="n">
        <v>16.34</v>
      </c>
      <c r="E41" s="0" t="s">
        <v>3876</v>
      </c>
      <c r="G41" s="0" t="s">
        <v>3877</v>
      </c>
    </row>
    <row r="42" customFormat="false" ht="15" hidden="false" customHeight="false" outlineLevel="0" collapsed="false">
      <c r="A42" s="0" t="s">
        <v>77</v>
      </c>
      <c r="B42" s="0" t="n">
        <v>2018</v>
      </c>
      <c r="C42" s="0" t="s">
        <v>73</v>
      </c>
      <c r="D42" s="0" t="n">
        <v>0</v>
      </c>
      <c r="E42" s="0" t="s">
        <v>3876</v>
      </c>
      <c r="G42" s="0" t="s">
        <v>3877</v>
      </c>
    </row>
    <row r="43" customFormat="false" ht="15" hidden="false" customHeight="false" outlineLevel="0" collapsed="false">
      <c r="A43" s="0" t="s">
        <v>77</v>
      </c>
      <c r="B43" s="0" t="n">
        <v>2018</v>
      </c>
      <c r="C43" s="0" t="s">
        <v>920</v>
      </c>
      <c r="D43" s="0" t="s">
        <v>3878</v>
      </c>
      <c r="E43" s="0" t="s">
        <v>3876</v>
      </c>
      <c r="G43" s="0" t="s">
        <v>3877</v>
      </c>
    </row>
    <row r="44" customFormat="false" ht="15" hidden="false" customHeight="false" outlineLevel="0" collapsed="false">
      <c r="A44" s="0" t="s">
        <v>77</v>
      </c>
      <c r="B44" s="0" t="n">
        <v>2019</v>
      </c>
      <c r="C44" s="0" t="s">
        <v>54</v>
      </c>
      <c r="D44" s="0" t="n">
        <v>73569</v>
      </c>
      <c r="E44" s="0" t="s">
        <v>3876</v>
      </c>
      <c r="G44" s="0" t="s">
        <v>3877</v>
      </c>
    </row>
    <row r="45" customFormat="false" ht="15" hidden="false" customHeight="false" outlineLevel="0" collapsed="false">
      <c r="A45" s="0" t="s">
        <v>77</v>
      </c>
      <c r="B45" s="0" t="n">
        <v>2019</v>
      </c>
      <c r="C45" s="0" t="s">
        <v>670</v>
      </c>
      <c r="D45" s="0" t="n">
        <v>576348</v>
      </c>
      <c r="E45" s="0" t="s">
        <v>3876</v>
      </c>
      <c r="G45" s="0" t="s">
        <v>3877</v>
      </c>
    </row>
    <row r="46" customFormat="false" ht="15" hidden="false" customHeight="false" outlineLevel="0" collapsed="false">
      <c r="A46" s="0" t="s">
        <v>77</v>
      </c>
      <c r="B46" s="0" t="n">
        <v>2019</v>
      </c>
      <c r="C46" s="0" t="s">
        <v>55</v>
      </c>
      <c r="D46" s="0" t="n">
        <v>6311041</v>
      </c>
      <c r="E46" s="0" t="s">
        <v>3876</v>
      </c>
      <c r="G46" s="0" t="s">
        <v>3877</v>
      </c>
    </row>
    <row r="47" customFormat="false" ht="15" hidden="false" customHeight="false" outlineLevel="0" collapsed="false">
      <c r="A47" s="0" t="s">
        <v>77</v>
      </c>
      <c r="B47" s="0" t="n">
        <v>2019</v>
      </c>
      <c r="C47" s="0" t="s">
        <v>60</v>
      </c>
      <c r="D47" s="0" t="n">
        <v>2662623</v>
      </c>
      <c r="E47" s="0" t="s">
        <v>3876</v>
      </c>
      <c r="G47" s="0" t="s">
        <v>3877</v>
      </c>
    </row>
    <row r="48" customFormat="false" ht="15" hidden="false" customHeight="false" outlineLevel="0" collapsed="false">
      <c r="A48" s="0" t="s">
        <v>77</v>
      </c>
      <c r="B48" s="0" t="n">
        <v>2019</v>
      </c>
      <c r="C48" s="0" t="s">
        <v>61</v>
      </c>
      <c r="D48" s="0" t="n">
        <v>180999</v>
      </c>
      <c r="E48" s="0" t="s">
        <v>3876</v>
      </c>
      <c r="G48" s="0" t="s">
        <v>3877</v>
      </c>
    </row>
    <row r="49" customFormat="false" ht="15" hidden="false" customHeight="false" outlineLevel="0" collapsed="false">
      <c r="A49" s="0" t="s">
        <v>77</v>
      </c>
      <c r="B49" s="0" t="n">
        <v>2019</v>
      </c>
      <c r="C49" s="0" t="s">
        <v>63</v>
      </c>
      <c r="D49" s="0" t="n">
        <v>21055</v>
      </c>
      <c r="E49" s="0" t="s">
        <v>3876</v>
      </c>
      <c r="G49" s="0" t="s">
        <v>3877</v>
      </c>
    </row>
    <row r="50" customFormat="false" ht="15" hidden="false" customHeight="false" outlineLevel="0" collapsed="false">
      <c r="A50" s="0" t="s">
        <v>77</v>
      </c>
      <c r="B50" s="0" t="n">
        <v>2019</v>
      </c>
      <c r="C50" s="0" t="s">
        <v>266</v>
      </c>
      <c r="D50" s="0" t="n">
        <v>6.1</v>
      </c>
      <c r="E50" s="0" t="s">
        <v>3876</v>
      </c>
      <c r="G50" s="0" t="s">
        <v>3877</v>
      </c>
    </row>
    <row r="51" customFormat="false" ht="15" hidden="false" customHeight="false" outlineLevel="0" collapsed="false">
      <c r="A51" s="0" t="s">
        <v>77</v>
      </c>
      <c r="B51" s="0" t="n">
        <v>2019</v>
      </c>
      <c r="C51" s="0" t="s">
        <v>69</v>
      </c>
      <c r="D51" s="0" t="n">
        <v>17.65</v>
      </c>
      <c r="E51" s="0" t="s">
        <v>3876</v>
      </c>
      <c r="G51" s="0" t="s">
        <v>3877</v>
      </c>
    </row>
    <row r="52" customFormat="false" ht="15" hidden="false" customHeight="false" outlineLevel="0" collapsed="false">
      <c r="A52" s="0" t="s">
        <v>77</v>
      </c>
      <c r="B52" s="0" t="n">
        <v>2019</v>
      </c>
      <c r="C52" s="0" t="s">
        <v>73</v>
      </c>
      <c r="D52" s="0" t="n">
        <v>0</v>
      </c>
      <c r="E52" s="0" t="s">
        <v>3876</v>
      </c>
      <c r="G52" s="0" t="s">
        <v>3877</v>
      </c>
    </row>
    <row r="53" customFormat="false" ht="15" hidden="false" customHeight="false" outlineLevel="0" collapsed="false">
      <c r="A53" s="0" t="s">
        <v>77</v>
      </c>
      <c r="B53" s="0" t="n">
        <v>2019</v>
      </c>
      <c r="C53" s="0" t="s">
        <v>920</v>
      </c>
      <c r="D53" s="0" t="s">
        <v>3878</v>
      </c>
      <c r="E53" s="0" t="s">
        <v>3876</v>
      </c>
      <c r="G53" s="0" t="s">
        <v>3877</v>
      </c>
    </row>
    <row r="54" customFormat="false" ht="15" hidden="false" customHeight="false" outlineLevel="0" collapsed="false">
      <c r="A54" s="0" t="s">
        <v>77</v>
      </c>
      <c r="B54" s="0" t="n">
        <v>2020</v>
      </c>
      <c r="C54" s="0" t="s">
        <v>54</v>
      </c>
      <c r="D54" s="0" t="n">
        <v>80039</v>
      </c>
      <c r="E54" s="0" t="s">
        <v>3876</v>
      </c>
      <c r="G54" s="0" t="s">
        <v>3877</v>
      </c>
    </row>
    <row r="55" customFormat="false" ht="15" hidden="false" customHeight="false" outlineLevel="0" collapsed="false">
      <c r="A55" s="0" t="s">
        <v>77</v>
      </c>
      <c r="B55" s="0" t="n">
        <v>2020</v>
      </c>
      <c r="C55" s="0" t="s">
        <v>670</v>
      </c>
      <c r="D55" s="0" t="n">
        <v>634864</v>
      </c>
      <c r="E55" s="0" t="s">
        <v>3876</v>
      </c>
      <c r="G55" s="0" t="s">
        <v>3877</v>
      </c>
    </row>
    <row r="56" customFormat="false" ht="15" hidden="false" customHeight="false" outlineLevel="0" collapsed="false">
      <c r="A56" s="0" t="s">
        <v>77</v>
      </c>
      <c r="B56" s="0" t="n">
        <v>2020</v>
      </c>
      <c r="C56" s="0" t="s">
        <v>55</v>
      </c>
      <c r="D56" s="0" t="n">
        <v>7624980</v>
      </c>
      <c r="E56" s="0" t="s">
        <v>3876</v>
      </c>
      <c r="G56" s="0" t="s">
        <v>3877</v>
      </c>
    </row>
    <row r="57" customFormat="false" ht="15" hidden="false" customHeight="false" outlineLevel="0" collapsed="false">
      <c r="A57" s="0" t="s">
        <v>77</v>
      </c>
      <c r="B57" s="0" t="n">
        <v>2020</v>
      </c>
      <c r="C57" s="0" t="s">
        <v>60</v>
      </c>
      <c r="D57" s="0" t="n">
        <v>2829171</v>
      </c>
      <c r="E57" s="0" t="s">
        <v>3876</v>
      </c>
      <c r="G57" s="0" t="s">
        <v>3877</v>
      </c>
    </row>
    <row r="58" customFormat="false" ht="15" hidden="false" customHeight="false" outlineLevel="0" collapsed="false">
      <c r="A58" s="0" t="s">
        <v>77</v>
      </c>
      <c r="B58" s="0" t="n">
        <v>2020</v>
      </c>
      <c r="C58" s="0" t="s">
        <v>61</v>
      </c>
      <c r="D58" s="0" t="n">
        <v>116211</v>
      </c>
      <c r="E58" s="0" t="s">
        <v>3876</v>
      </c>
      <c r="G58" s="0" t="s">
        <v>3877</v>
      </c>
    </row>
    <row r="59" customFormat="false" ht="15" hidden="false" customHeight="false" outlineLevel="0" collapsed="false">
      <c r="A59" s="0" t="s">
        <v>77</v>
      </c>
      <c r="B59" s="0" t="n">
        <v>2020</v>
      </c>
      <c r="C59" s="0" t="s">
        <v>63</v>
      </c>
      <c r="D59" s="0" t="n">
        <v>39651</v>
      </c>
      <c r="E59" s="0" t="s">
        <v>3876</v>
      </c>
      <c r="G59" s="0" t="s">
        <v>3877</v>
      </c>
    </row>
    <row r="60" customFormat="false" ht="15" hidden="false" customHeight="false" outlineLevel="0" collapsed="false">
      <c r="A60" s="0" t="s">
        <v>77</v>
      </c>
      <c r="B60" s="0" t="n">
        <v>2020</v>
      </c>
      <c r="C60" s="0" t="s">
        <v>266</v>
      </c>
      <c r="D60" s="0" t="n">
        <v>3.65</v>
      </c>
      <c r="E60" s="0" t="s">
        <v>3876</v>
      </c>
      <c r="G60" s="0" t="s">
        <v>3877</v>
      </c>
    </row>
    <row r="61" customFormat="false" ht="15" hidden="false" customHeight="false" outlineLevel="0" collapsed="false">
      <c r="A61" s="0" t="s">
        <v>77</v>
      </c>
      <c r="B61" s="0" t="n">
        <v>2020</v>
      </c>
      <c r="C61" s="0" t="s">
        <v>69</v>
      </c>
      <c r="D61" s="0" t="n">
        <v>16.83</v>
      </c>
      <c r="E61" s="0" t="s">
        <v>3876</v>
      </c>
      <c r="G61" s="0" t="s">
        <v>3877</v>
      </c>
    </row>
    <row r="62" customFormat="false" ht="15" hidden="false" customHeight="false" outlineLevel="0" collapsed="false">
      <c r="A62" s="0" t="s">
        <v>77</v>
      </c>
      <c r="B62" s="0" t="n">
        <v>2020</v>
      </c>
      <c r="C62" s="0" t="s">
        <v>73</v>
      </c>
      <c r="D62" s="0" t="n">
        <v>0</v>
      </c>
      <c r="E62" s="0" t="s">
        <v>3876</v>
      </c>
      <c r="G62" s="0" t="s">
        <v>3877</v>
      </c>
    </row>
    <row r="63" customFormat="false" ht="15" hidden="false" customHeight="false" outlineLevel="0" collapsed="false">
      <c r="A63" s="0" t="s">
        <v>77</v>
      </c>
      <c r="B63" s="0" t="n">
        <v>2020</v>
      </c>
      <c r="C63" s="0" t="s">
        <v>920</v>
      </c>
      <c r="D63" s="0" t="s">
        <v>3878</v>
      </c>
      <c r="E63" s="0" t="s">
        <v>3876</v>
      </c>
      <c r="G63" s="0" t="s">
        <v>3877</v>
      </c>
    </row>
    <row r="64" customFormat="false" ht="15" hidden="false" customHeight="false" outlineLevel="0" collapsed="false">
      <c r="A64" s="0" t="s">
        <v>77</v>
      </c>
      <c r="B64" s="0" t="n">
        <v>2021</v>
      </c>
      <c r="C64" s="0" t="s">
        <v>54</v>
      </c>
      <c r="D64" s="0" t="n">
        <v>111326</v>
      </c>
      <c r="E64" s="0" t="s">
        <v>3876</v>
      </c>
      <c r="G64" s="0" t="s">
        <v>3877</v>
      </c>
    </row>
    <row r="65" customFormat="false" ht="15" hidden="false" customHeight="false" outlineLevel="0" collapsed="false">
      <c r="A65" s="0" t="s">
        <v>77</v>
      </c>
      <c r="B65" s="0" t="n">
        <v>2021</v>
      </c>
      <c r="C65" s="0" t="s">
        <v>670</v>
      </c>
      <c r="D65" s="0" t="n">
        <v>734283</v>
      </c>
      <c r="E65" s="0" t="s">
        <v>3876</v>
      </c>
      <c r="G65" s="0" t="s">
        <v>3877</v>
      </c>
    </row>
    <row r="66" customFormat="false" ht="15" hidden="false" customHeight="false" outlineLevel="0" collapsed="false">
      <c r="A66" s="0" t="s">
        <v>77</v>
      </c>
      <c r="B66" s="0" t="n">
        <v>2021</v>
      </c>
      <c r="C66" s="0" t="s">
        <v>55</v>
      </c>
      <c r="D66" s="0" t="n">
        <v>9660761</v>
      </c>
      <c r="E66" s="0" t="s">
        <v>3876</v>
      </c>
      <c r="G66" s="0" t="s">
        <v>3877</v>
      </c>
    </row>
    <row r="67" customFormat="false" ht="15" hidden="false" customHeight="false" outlineLevel="0" collapsed="false">
      <c r="A67" s="0" t="s">
        <v>77</v>
      </c>
      <c r="B67" s="0" t="n">
        <v>2021</v>
      </c>
      <c r="C67" s="0" t="s">
        <v>60</v>
      </c>
      <c r="D67" s="0" t="n">
        <v>3343722</v>
      </c>
      <c r="E67" s="0" t="s">
        <v>3876</v>
      </c>
      <c r="G67" s="0" t="s">
        <v>3877</v>
      </c>
    </row>
    <row r="68" customFormat="false" ht="15" hidden="false" customHeight="false" outlineLevel="0" collapsed="false">
      <c r="A68" s="0" t="s">
        <v>77</v>
      </c>
      <c r="B68" s="0" t="n">
        <v>2021</v>
      </c>
      <c r="C68" s="0" t="s">
        <v>61</v>
      </c>
      <c r="D68" s="0" t="n">
        <v>87650</v>
      </c>
      <c r="E68" s="0" t="s">
        <v>3876</v>
      </c>
      <c r="G68" s="0" t="s">
        <v>3877</v>
      </c>
    </row>
    <row r="69" customFormat="false" ht="15" hidden="false" customHeight="false" outlineLevel="0" collapsed="false">
      <c r="A69" s="0" t="s">
        <v>77</v>
      </c>
      <c r="B69" s="0" t="n">
        <v>2021</v>
      </c>
      <c r="C69" s="0" t="s">
        <v>63</v>
      </c>
      <c r="D69" s="0" t="n">
        <v>53801</v>
      </c>
      <c r="E69" s="0" t="s">
        <v>3876</v>
      </c>
      <c r="G69" s="0" t="s">
        <v>3877</v>
      </c>
    </row>
    <row r="70" customFormat="false" ht="15" hidden="false" customHeight="false" outlineLevel="0" collapsed="false">
      <c r="A70" s="0" t="s">
        <v>77</v>
      </c>
      <c r="B70" s="0" t="n">
        <v>2021</v>
      </c>
      <c r="C70" s="0" t="s">
        <v>266</v>
      </c>
      <c r="D70" s="0" t="n">
        <v>2.03</v>
      </c>
      <c r="E70" s="0" t="s">
        <v>3876</v>
      </c>
      <c r="G70" s="0" t="s">
        <v>3877</v>
      </c>
    </row>
    <row r="71" customFormat="false" ht="15" hidden="false" customHeight="false" outlineLevel="0" collapsed="false">
      <c r="A71" s="0" t="s">
        <v>77</v>
      </c>
      <c r="B71" s="0" t="n">
        <v>2021</v>
      </c>
      <c r="C71" s="0" t="s">
        <v>69</v>
      </c>
      <c r="D71" s="0" t="n">
        <v>20.93</v>
      </c>
      <c r="E71" s="0" t="s">
        <v>3876</v>
      </c>
      <c r="G71" s="0" t="s">
        <v>3877</v>
      </c>
    </row>
    <row r="72" customFormat="false" ht="15" hidden="false" customHeight="false" outlineLevel="0" collapsed="false">
      <c r="A72" s="0" t="s">
        <v>77</v>
      </c>
      <c r="B72" s="0" t="n">
        <v>2021</v>
      </c>
      <c r="C72" s="0" t="s">
        <v>73</v>
      </c>
      <c r="D72" s="0" t="n">
        <v>0</v>
      </c>
      <c r="E72" s="0" t="s">
        <v>3876</v>
      </c>
      <c r="G72" s="0" t="s">
        <v>3877</v>
      </c>
    </row>
    <row r="73" customFormat="false" ht="15" hidden="false" customHeight="false" outlineLevel="0" collapsed="false">
      <c r="A73" s="0" t="s">
        <v>77</v>
      </c>
      <c r="B73" s="0" t="n">
        <v>2021</v>
      </c>
      <c r="C73" s="0" t="s">
        <v>920</v>
      </c>
      <c r="D73" s="0" t="s">
        <v>3878</v>
      </c>
      <c r="E73" s="0" t="s">
        <v>3876</v>
      </c>
      <c r="G73" s="0" t="s">
        <v>3877</v>
      </c>
    </row>
    <row r="74" customFormat="false" ht="15" hidden="false" customHeight="false" outlineLevel="0" collapsed="false">
      <c r="A74" s="0" t="s">
        <v>77</v>
      </c>
      <c r="B74" s="0" t="n">
        <v>2022</v>
      </c>
      <c r="C74" s="0" t="s">
        <v>54</v>
      </c>
      <c r="D74" s="0" t="n">
        <v>166660</v>
      </c>
      <c r="E74" s="0" t="s">
        <v>3876</v>
      </c>
      <c r="G74" s="0" t="s">
        <v>3877</v>
      </c>
    </row>
    <row r="75" customFormat="false" ht="15" hidden="false" customHeight="false" outlineLevel="0" collapsed="false">
      <c r="A75" s="0" t="s">
        <v>77</v>
      </c>
      <c r="B75" s="0" t="n">
        <v>2022</v>
      </c>
      <c r="C75" s="0" t="s">
        <v>670</v>
      </c>
      <c r="D75" s="0" t="n">
        <v>1125012</v>
      </c>
      <c r="E75" s="0" t="s">
        <v>3876</v>
      </c>
      <c r="G75" s="0" t="s">
        <v>3877</v>
      </c>
    </row>
    <row r="76" customFormat="false" ht="15" hidden="false" customHeight="false" outlineLevel="0" collapsed="false">
      <c r="A76" s="0" t="s">
        <v>77</v>
      </c>
      <c r="B76" s="0" t="n">
        <v>2022</v>
      </c>
      <c r="C76" s="0" t="s">
        <v>55</v>
      </c>
      <c r="D76" s="0" t="n">
        <v>12535280</v>
      </c>
      <c r="E76" s="0" t="s">
        <v>3876</v>
      </c>
      <c r="G76" s="0" t="s">
        <v>3877</v>
      </c>
    </row>
    <row r="77" customFormat="false" ht="15" hidden="false" customHeight="false" outlineLevel="0" collapsed="false">
      <c r="A77" s="0" t="s">
        <v>77</v>
      </c>
      <c r="B77" s="0" t="n">
        <v>2022</v>
      </c>
      <c r="C77" s="0" t="s">
        <v>60</v>
      </c>
      <c r="D77" s="0" t="n">
        <v>4149413</v>
      </c>
      <c r="E77" s="0" t="s">
        <v>3876</v>
      </c>
      <c r="G77" s="0" t="s">
        <v>3877</v>
      </c>
    </row>
    <row r="78" customFormat="false" ht="15" hidden="false" customHeight="false" outlineLevel="0" collapsed="false">
      <c r="A78" s="0" t="s">
        <v>77</v>
      </c>
      <c r="B78" s="0" t="n">
        <v>2022</v>
      </c>
      <c r="C78" s="0" t="s">
        <v>61</v>
      </c>
      <c r="D78" s="0" t="n">
        <v>65065</v>
      </c>
      <c r="E78" s="0" t="s">
        <v>3876</v>
      </c>
      <c r="G78" s="0" t="s">
        <v>3877</v>
      </c>
    </row>
    <row r="79" customFormat="false" ht="15" hidden="false" customHeight="false" outlineLevel="0" collapsed="false">
      <c r="A79" s="0" t="s">
        <v>77</v>
      </c>
      <c r="B79" s="0" t="n">
        <v>2022</v>
      </c>
      <c r="C79" s="0" t="s">
        <v>63</v>
      </c>
      <c r="D79" s="0" t="n">
        <v>118681</v>
      </c>
      <c r="E79" s="0" t="s">
        <v>3876</v>
      </c>
      <c r="G79" s="0" t="s">
        <v>3877</v>
      </c>
    </row>
    <row r="80" customFormat="false" ht="15" hidden="false" customHeight="false" outlineLevel="0" collapsed="false">
      <c r="A80" s="0" t="s">
        <v>77</v>
      </c>
      <c r="B80" s="0" t="n">
        <v>2022</v>
      </c>
      <c r="C80" s="0" t="s">
        <v>266</v>
      </c>
      <c r="D80" s="0" t="n">
        <v>1.92</v>
      </c>
      <c r="E80" s="0" t="s">
        <v>3876</v>
      </c>
      <c r="G80" s="0" t="s">
        <v>3877</v>
      </c>
    </row>
    <row r="81" customFormat="false" ht="15" hidden="false" customHeight="false" outlineLevel="0" collapsed="false">
      <c r="A81" s="0" t="s">
        <v>77</v>
      </c>
      <c r="B81" s="0" t="n">
        <v>2022</v>
      </c>
      <c r="C81" s="0" t="s">
        <v>69</v>
      </c>
      <c r="D81" s="0" t="n">
        <v>17.85</v>
      </c>
      <c r="E81" s="0" t="s">
        <v>3876</v>
      </c>
      <c r="G81" s="0" t="s">
        <v>3877</v>
      </c>
    </row>
    <row r="82" customFormat="false" ht="15" hidden="false" customHeight="false" outlineLevel="0" collapsed="false">
      <c r="A82" s="0" t="s">
        <v>77</v>
      </c>
      <c r="B82" s="0" t="n">
        <v>2022</v>
      </c>
      <c r="C82" s="0" t="s">
        <v>73</v>
      </c>
      <c r="D82" s="0" t="n">
        <v>0</v>
      </c>
      <c r="E82" s="0" t="s">
        <v>3876</v>
      </c>
      <c r="G82" s="0" t="s">
        <v>3877</v>
      </c>
    </row>
    <row r="83" customFormat="false" ht="15" hidden="false" customHeight="false" outlineLevel="0" collapsed="false">
      <c r="A83" s="0" t="s">
        <v>77</v>
      </c>
      <c r="B83" s="0" t="n">
        <v>2022</v>
      </c>
      <c r="C83" s="0" t="s">
        <v>920</v>
      </c>
      <c r="D83" s="0" t="s">
        <v>3878</v>
      </c>
      <c r="E83" s="0" t="s">
        <v>3876</v>
      </c>
      <c r="G83" s="0" t="s">
        <v>3877</v>
      </c>
    </row>
    <row r="84" customFormat="false" ht="15" hidden="false" customHeight="false" outlineLevel="0" collapsed="false">
      <c r="A84" s="0" t="s">
        <v>163</v>
      </c>
      <c r="B84" s="0" t="n">
        <v>2015</v>
      </c>
      <c r="C84" s="0" t="s">
        <v>54</v>
      </c>
      <c r="D84" s="0" t="n">
        <v>98784</v>
      </c>
      <c r="E84" s="0" t="s">
        <v>3876</v>
      </c>
      <c r="G84" s="0" t="s">
        <v>3877</v>
      </c>
    </row>
    <row r="85" customFormat="false" ht="15" hidden="false" customHeight="false" outlineLevel="0" collapsed="false">
      <c r="A85" s="0" t="s">
        <v>163</v>
      </c>
      <c r="B85" s="0" t="n">
        <v>2015</v>
      </c>
      <c r="C85" s="0" t="s">
        <v>670</v>
      </c>
      <c r="D85" s="0" t="n">
        <v>396653</v>
      </c>
      <c r="E85" s="0" t="s">
        <v>3876</v>
      </c>
      <c r="G85" s="0" t="s">
        <v>3877</v>
      </c>
    </row>
    <row r="86" customFormat="false" ht="15" hidden="false" customHeight="false" outlineLevel="0" collapsed="false">
      <c r="A86" s="0" t="s">
        <v>163</v>
      </c>
      <c r="B86" s="0" t="n">
        <v>2015</v>
      </c>
      <c r="C86" s="0" t="s">
        <v>55</v>
      </c>
      <c r="D86" s="0" t="n">
        <v>3750327</v>
      </c>
      <c r="E86" s="0" t="s">
        <v>3876</v>
      </c>
      <c r="G86" s="0" t="s">
        <v>3877</v>
      </c>
    </row>
    <row r="87" customFormat="false" ht="15" hidden="false" customHeight="false" outlineLevel="0" collapsed="false">
      <c r="A87" s="0" t="s">
        <v>163</v>
      </c>
      <c r="B87" s="0" t="n">
        <v>2015</v>
      </c>
      <c r="C87" s="0" t="s">
        <v>60</v>
      </c>
      <c r="D87" s="0" t="n">
        <v>1849225</v>
      </c>
      <c r="E87" s="0" t="s">
        <v>3876</v>
      </c>
      <c r="G87" s="0" t="s">
        <v>3877</v>
      </c>
    </row>
    <row r="88" customFormat="false" ht="15" hidden="false" customHeight="false" outlineLevel="0" collapsed="false">
      <c r="A88" s="0" t="s">
        <v>163</v>
      </c>
      <c r="B88" s="0" t="n">
        <v>2015</v>
      </c>
      <c r="C88" s="0" t="s">
        <v>61</v>
      </c>
      <c r="D88" s="0" t="n">
        <v>49433</v>
      </c>
      <c r="E88" s="0" t="s">
        <v>3876</v>
      </c>
      <c r="G88" s="0" t="s">
        <v>3877</v>
      </c>
    </row>
    <row r="89" customFormat="false" ht="15" hidden="false" customHeight="false" outlineLevel="0" collapsed="false">
      <c r="A89" s="0" t="s">
        <v>163</v>
      </c>
      <c r="B89" s="0" t="n">
        <v>2015</v>
      </c>
      <c r="C89" s="0" t="s">
        <v>63</v>
      </c>
      <c r="D89" s="0" t="n">
        <v>11091</v>
      </c>
      <c r="E89" s="0" t="s">
        <v>3876</v>
      </c>
      <c r="G89" s="0" t="s">
        <v>3877</v>
      </c>
    </row>
    <row r="90" customFormat="false" ht="15" hidden="false" customHeight="false" outlineLevel="0" collapsed="false">
      <c r="A90" s="0" t="s">
        <v>163</v>
      </c>
      <c r="B90" s="0" t="n">
        <v>2015</v>
      </c>
      <c r="C90" s="0" t="s">
        <v>266</v>
      </c>
      <c r="D90" s="0" t="n">
        <v>2.1</v>
      </c>
      <c r="E90" s="0" t="s">
        <v>3876</v>
      </c>
      <c r="G90" s="0" t="s">
        <v>3877</v>
      </c>
    </row>
    <row r="91" customFormat="false" ht="15" hidden="false" customHeight="false" outlineLevel="0" collapsed="false">
      <c r="A91" s="0" t="s">
        <v>163</v>
      </c>
      <c r="B91" s="0" t="n">
        <v>2015</v>
      </c>
      <c r="C91" s="0" t="s">
        <v>69</v>
      </c>
      <c r="D91" s="0" t="n">
        <v>21</v>
      </c>
      <c r="E91" s="0" t="s">
        <v>3876</v>
      </c>
      <c r="G91" s="0" t="s">
        <v>3877</v>
      </c>
    </row>
    <row r="92" customFormat="false" ht="15" hidden="false" customHeight="false" outlineLevel="0" collapsed="false">
      <c r="A92" s="0" t="s">
        <v>163</v>
      </c>
      <c r="B92" s="0" t="n">
        <v>2015</v>
      </c>
      <c r="C92" s="0" t="s">
        <v>73</v>
      </c>
      <c r="D92" s="0" t="n">
        <v>0</v>
      </c>
      <c r="E92" s="0" t="s">
        <v>3876</v>
      </c>
      <c r="G92" s="0" t="s">
        <v>3877</v>
      </c>
    </row>
    <row r="93" customFormat="false" ht="15" hidden="false" customHeight="false" outlineLevel="0" collapsed="false">
      <c r="A93" s="0" t="s">
        <v>163</v>
      </c>
      <c r="B93" s="0" t="n">
        <v>2015</v>
      </c>
      <c r="C93" s="0" t="s">
        <v>920</v>
      </c>
      <c r="D93" s="0" t="s">
        <v>1973</v>
      </c>
      <c r="E93" s="0" t="s">
        <v>3876</v>
      </c>
      <c r="G93" s="0" t="s">
        <v>3877</v>
      </c>
    </row>
    <row r="94" customFormat="false" ht="15" hidden="false" customHeight="false" outlineLevel="0" collapsed="false">
      <c r="A94" s="0" t="s">
        <v>163</v>
      </c>
      <c r="B94" s="0" t="n">
        <v>2016</v>
      </c>
      <c r="C94" s="0" t="s">
        <v>54</v>
      </c>
      <c r="D94" s="0" t="n">
        <v>119285</v>
      </c>
      <c r="E94" s="0" t="s">
        <v>3876</v>
      </c>
      <c r="G94" s="0" t="s">
        <v>3877</v>
      </c>
    </row>
    <row r="95" customFormat="false" ht="15" hidden="false" customHeight="false" outlineLevel="0" collapsed="false">
      <c r="A95" s="0" t="s">
        <v>163</v>
      </c>
      <c r="B95" s="0" t="n">
        <v>2016</v>
      </c>
      <c r="C95" s="0" t="s">
        <v>670</v>
      </c>
      <c r="D95" s="0" t="n">
        <v>454808</v>
      </c>
      <c r="E95" s="0" t="s">
        <v>3876</v>
      </c>
      <c r="G95" s="0" t="s">
        <v>3877</v>
      </c>
    </row>
    <row r="96" customFormat="false" ht="15" hidden="false" customHeight="false" outlineLevel="0" collapsed="false">
      <c r="A96" s="0" t="s">
        <v>163</v>
      </c>
      <c r="B96" s="0" t="n">
        <v>2016</v>
      </c>
      <c r="C96" s="0" t="s">
        <v>55</v>
      </c>
      <c r="D96" s="0" t="n">
        <v>4283736</v>
      </c>
      <c r="E96" s="0" t="s">
        <v>3876</v>
      </c>
      <c r="G96" s="0" t="s">
        <v>3877</v>
      </c>
    </row>
    <row r="97" customFormat="false" ht="15" hidden="false" customHeight="false" outlineLevel="0" collapsed="false">
      <c r="A97" s="0" t="s">
        <v>163</v>
      </c>
      <c r="B97" s="0" t="n">
        <v>2016</v>
      </c>
      <c r="C97" s="0" t="s">
        <v>60</v>
      </c>
      <c r="D97" s="0" t="n">
        <v>2193224</v>
      </c>
      <c r="E97" s="0" t="s">
        <v>3876</v>
      </c>
      <c r="G97" s="0" t="s">
        <v>3877</v>
      </c>
    </row>
    <row r="98" customFormat="false" ht="15" hidden="false" customHeight="false" outlineLevel="0" collapsed="false">
      <c r="A98" s="0" t="s">
        <v>163</v>
      </c>
      <c r="B98" s="0" t="n">
        <v>2016</v>
      </c>
      <c r="C98" s="0" t="s">
        <v>61</v>
      </c>
      <c r="D98" s="0" t="n">
        <v>55092</v>
      </c>
      <c r="E98" s="0" t="s">
        <v>3876</v>
      </c>
      <c r="G98" s="0" t="s">
        <v>3877</v>
      </c>
    </row>
    <row r="99" customFormat="false" ht="15" hidden="false" customHeight="false" outlineLevel="0" collapsed="false">
      <c r="A99" s="0" t="s">
        <v>163</v>
      </c>
      <c r="B99" s="0" t="n">
        <v>2016</v>
      </c>
      <c r="C99" s="0" t="s">
        <v>63</v>
      </c>
      <c r="D99" s="0" t="n">
        <v>26295</v>
      </c>
      <c r="E99" s="0" t="s">
        <v>3876</v>
      </c>
      <c r="G99" s="0" t="s">
        <v>3877</v>
      </c>
    </row>
    <row r="100" customFormat="false" ht="15" hidden="false" customHeight="false" outlineLevel="0" collapsed="false">
      <c r="A100" s="0" t="s">
        <v>163</v>
      </c>
      <c r="B100" s="0" t="n">
        <v>2016</v>
      </c>
      <c r="C100" s="0" t="s">
        <v>266</v>
      </c>
      <c r="D100" s="0" t="n">
        <v>2.63</v>
      </c>
      <c r="E100" s="0" t="s">
        <v>3876</v>
      </c>
      <c r="G100" s="0" t="s">
        <v>3877</v>
      </c>
    </row>
    <row r="101" customFormat="false" ht="15" hidden="false" customHeight="false" outlineLevel="0" collapsed="false">
      <c r="A101" s="0" t="s">
        <v>163</v>
      </c>
      <c r="B101" s="0" t="n">
        <v>2016</v>
      </c>
      <c r="C101" s="0" t="s">
        <v>69</v>
      </c>
      <c r="D101" s="0" t="n">
        <v>22</v>
      </c>
      <c r="E101" s="0" t="s">
        <v>3876</v>
      </c>
      <c r="G101" s="0" t="s">
        <v>3877</v>
      </c>
    </row>
    <row r="102" customFormat="false" ht="15" hidden="false" customHeight="false" outlineLevel="0" collapsed="false">
      <c r="A102" s="0" t="s">
        <v>163</v>
      </c>
      <c r="B102" s="0" t="n">
        <v>2016</v>
      </c>
      <c r="C102" s="0" t="s">
        <v>73</v>
      </c>
      <c r="D102" s="0" t="n">
        <v>0</v>
      </c>
      <c r="E102" s="0" t="s">
        <v>3876</v>
      </c>
      <c r="G102" s="0" t="s">
        <v>3877</v>
      </c>
    </row>
    <row r="103" customFormat="false" ht="15" hidden="false" customHeight="false" outlineLevel="0" collapsed="false">
      <c r="A103" s="0" t="s">
        <v>163</v>
      </c>
      <c r="B103" s="0" t="n">
        <v>2016</v>
      </c>
      <c r="C103" s="0" t="s">
        <v>920</v>
      </c>
      <c r="D103" s="0" t="s">
        <v>1973</v>
      </c>
      <c r="E103" s="0" t="s">
        <v>3876</v>
      </c>
      <c r="G103" s="0" t="s">
        <v>3877</v>
      </c>
    </row>
    <row r="104" customFormat="false" ht="15" hidden="false" customHeight="false" outlineLevel="0" collapsed="false">
      <c r="A104" s="0" t="s">
        <v>163</v>
      </c>
      <c r="B104" s="0" t="n">
        <v>2017</v>
      </c>
      <c r="C104" s="0" t="s">
        <v>54</v>
      </c>
      <c r="D104" s="0" t="n">
        <v>157145</v>
      </c>
      <c r="E104" s="0" t="s">
        <v>3876</v>
      </c>
      <c r="G104" s="0" t="s">
        <v>3877</v>
      </c>
    </row>
    <row r="105" customFormat="false" ht="15" hidden="false" customHeight="false" outlineLevel="0" collapsed="false">
      <c r="A105" s="0" t="s">
        <v>163</v>
      </c>
      <c r="B105" s="0" t="n">
        <v>2017</v>
      </c>
      <c r="C105" s="0" t="s">
        <v>670</v>
      </c>
      <c r="D105" s="0" t="n">
        <v>673636</v>
      </c>
      <c r="E105" s="0" t="s">
        <v>3876</v>
      </c>
      <c r="G105" s="0" t="s">
        <v>3877</v>
      </c>
    </row>
    <row r="106" customFormat="false" ht="15" hidden="false" customHeight="false" outlineLevel="0" collapsed="false">
      <c r="A106" s="0" t="s">
        <v>163</v>
      </c>
      <c r="B106" s="0" t="n">
        <v>2017</v>
      </c>
      <c r="C106" s="0" t="s">
        <v>55</v>
      </c>
      <c r="D106" s="0" t="n">
        <v>4833658</v>
      </c>
      <c r="E106" s="0" t="s">
        <v>3876</v>
      </c>
      <c r="G106" s="0" t="s">
        <v>3877</v>
      </c>
    </row>
    <row r="107" customFormat="false" ht="15" hidden="false" customHeight="false" outlineLevel="0" collapsed="false">
      <c r="A107" s="0" t="s">
        <v>163</v>
      </c>
      <c r="B107" s="0" t="n">
        <v>2017</v>
      </c>
      <c r="C107" s="0" t="s">
        <v>60</v>
      </c>
      <c r="D107" s="0" t="n">
        <v>2117069</v>
      </c>
      <c r="E107" s="0" t="s">
        <v>3876</v>
      </c>
      <c r="G107" s="0" t="s">
        <v>3877</v>
      </c>
    </row>
    <row r="108" customFormat="false" ht="15" hidden="false" customHeight="false" outlineLevel="0" collapsed="false">
      <c r="A108" s="0" t="s">
        <v>163</v>
      </c>
      <c r="B108" s="0" t="n">
        <v>2017</v>
      </c>
      <c r="C108" s="0" t="s">
        <v>61</v>
      </c>
      <c r="D108" s="0" t="n">
        <v>136605</v>
      </c>
      <c r="E108" s="0" t="s">
        <v>3876</v>
      </c>
      <c r="G108" s="0" t="s">
        <v>3877</v>
      </c>
    </row>
    <row r="109" customFormat="false" ht="15" hidden="false" customHeight="false" outlineLevel="0" collapsed="false">
      <c r="A109" s="0" t="s">
        <v>163</v>
      </c>
      <c r="B109" s="0" t="n">
        <v>2017</v>
      </c>
      <c r="C109" s="0" t="s">
        <v>63</v>
      </c>
      <c r="D109" s="0" t="n">
        <v>95244</v>
      </c>
      <c r="E109" s="0" t="s">
        <v>3876</v>
      </c>
      <c r="G109" s="0" t="s">
        <v>3877</v>
      </c>
    </row>
    <row r="110" customFormat="false" ht="15" hidden="false" customHeight="false" outlineLevel="0" collapsed="false">
      <c r="A110" s="0" t="s">
        <v>163</v>
      </c>
      <c r="B110" s="0" t="n">
        <v>2017</v>
      </c>
      <c r="C110" s="0" t="s">
        <v>266</v>
      </c>
      <c r="D110" s="0" t="n">
        <v>4.33</v>
      </c>
      <c r="E110" s="0" t="s">
        <v>3876</v>
      </c>
      <c r="G110" s="0" t="s">
        <v>3877</v>
      </c>
    </row>
    <row r="111" customFormat="false" ht="15" hidden="false" customHeight="false" outlineLevel="0" collapsed="false">
      <c r="A111" s="0" t="s">
        <v>163</v>
      </c>
      <c r="B111" s="0" t="n">
        <v>2017</v>
      </c>
      <c r="C111" s="0" t="s">
        <v>69</v>
      </c>
      <c r="D111" s="0" t="n">
        <v>24</v>
      </c>
      <c r="E111" s="0" t="s">
        <v>3876</v>
      </c>
      <c r="G111" s="0" t="s">
        <v>3877</v>
      </c>
    </row>
    <row r="112" customFormat="false" ht="15" hidden="false" customHeight="false" outlineLevel="0" collapsed="false">
      <c r="A112" s="0" t="s">
        <v>163</v>
      </c>
      <c r="B112" s="0" t="n">
        <v>2017</v>
      </c>
      <c r="C112" s="0" t="s">
        <v>73</v>
      </c>
      <c r="D112" s="0" t="n">
        <v>0</v>
      </c>
      <c r="E112" s="0" t="s">
        <v>3876</v>
      </c>
      <c r="G112" s="0" t="s">
        <v>3877</v>
      </c>
    </row>
    <row r="113" customFormat="false" ht="15" hidden="false" customHeight="false" outlineLevel="0" collapsed="false">
      <c r="A113" s="0" t="s">
        <v>163</v>
      </c>
      <c r="B113" s="0" t="n">
        <v>2017</v>
      </c>
      <c r="C113" s="0" t="s">
        <v>920</v>
      </c>
      <c r="D113" s="0" t="s">
        <v>1973</v>
      </c>
      <c r="E113" s="0" t="s">
        <v>3876</v>
      </c>
      <c r="G113" s="0" t="s">
        <v>3877</v>
      </c>
    </row>
    <row r="114" customFormat="false" ht="15" hidden="false" customHeight="false" outlineLevel="0" collapsed="false">
      <c r="A114" s="0" t="s">
        <v>163</v>
      </c>
      <c r="B114" s="0" t="n">
        <v>2018</v>
      </c>
      <c r="C114" s="0" t="s">
        <v>54</v>
      </c>
      <c r="D114" s="0" t="n">
        <v>160454</v>
      </c>
      <c r="E114" s="0" t="s">
        <v>3876</v>
      </c>
      <c r="G114" s="0" t="s">
        <v>3877</v>
      </c>
    </row>
    <row r="115" customFormat="false" ht="15" hidden="false" customHeight="false" outlineLevel="0" collapsed="false">
      <c r="A115" s="0" t="s">
        <v>163</v>
      </c>
      <c r="B115" s="0" t="n">
        <v>2018</v>
      </c>
      <c r="C115" s="0" t="s">
        <v>670</v>
      </c>
      <c r="D115" s="0" t="n">
        <v>531580</v>
      </c>
      <c r="E115" s="0" t="s">
        <v>3876</v>
      </c>
      <c r="G115" s="0" t="s">
        <v>3877</v>
      </c>
    </row>
    <row r="116" customFormat="false" ht="15" hidden="false" customHeight="false" outlineLevel="0" collapsed="false">
      <c r="A116" s="0" t="s">
        <v>163</v>
      </c>
      <c r="B116" s="0" t="n">
        <v>2018</v>
      </c>
      <c r="C116" s="0" t="s">
        <v>55</v>
      </c>
      <c r="D116" s="0" t="n">
        <v>4981855</v>
      </c>
      <c r="E116" s="0" t="s">
        <v>3876</v>
      </c>
      <c r="G116" s="0" t="s">
        <v>3877</v>
      </c>
    </row>
    <row r="117" customFormat="false" ht="15" hidden="false" customHeight="false" outlineLevel="0" collapsed="false">
      <c r="A117" s="0" t="s">
        <v>163</v>
      </c>
      <c r="B117" s="0" t="n">
        <v>2018</v>
      </c>
      <c r="C117" s="0" t="s">
        <v>60</v>
      </c>
      <c r="D117" s="0" t="n">
        <v>1823126</v>
      </c>
      <c r="E117" s="0" t="s">
        <v>3876</v>
      </c>
      <c r="G117" s="0" t="s">
        <v>3877</v>
      </c>
    </row>
    <row r="118" customFormat="false" ht="15" hidden="false" customHeight="false" outlineLevel="0" collapsed="false">
      <c r="A118" s="0" t="s">
        <v>163</v>
      </c>
      <c r="B118" s="0" t="n">
        <v>2018</v>
      </c>
      <c r="C118" s="0" t="s">
        <v>61</v>
      </c>
      <c r="D118" s="0" t="n">
        <v>144502</v>
      </c>
      <c r="E118" s="0" t="s">
        <v>3876</v>
      </c>
      <c r="G118" s="0" t="s">
        <v>3877</v>
      </c>
    </row>
    <row r="119" customFormat="false" ht="15" hidden="false" customHeight="false" outlineLevel="0" collapsed="false">
      <c r="A119" s="0" t="s">
        <v>163</v>
      </c>
      <c r="B119" s="0" t="n">
        <v>2018</v>
      </c>
      <c r="C119" s="0" t="s">
        <v>63</v>
      </c>
      <c r="D119" s="0" t="n">
        <v>15705</v>
      </c>
      <c r="E119" s="0" t="s">
        <v>3876</v>
      </c>
      <c r="G119" s="0" t="s">
        <v>3877</v>
      </c>
    </row>
    <row r="120" customFormat="false" ht="15" hidden="false" customHeight="false" outlineLevel="0" collapsed="false">
      <c r="A120" s="0" t="s">
        <v>163</v>
      </c>
      <c r="B120" s="0" t="n">
        <v>2018</v>
      </c>
      <c r="C120" s="0" t="s">
        <v>266</v>
      </c>
      <c r="D120" s="0" t="n">
        <v>4.98</v>
      </c>
      <c r="E120" s="0" t="s">
        <v>3876</v>
      </c>
      <c r="G120" s="0" t="s">
        <v>3877</v>
      </c>
    </row>
    <row r="121" customFormat="false" ht="15" hidden="false" customHeight="false" outlineLevel="0" collapsed="false">
      <c r="A121" s="0" t="s">
        <v>163</v>
      </c>
      <c r="B121" s="0" t="n">
        <v>2018</v>
      </c>
      <c r="C121" s="0" t="s">
        <v>69</v>
      </c>
      <c r="D121" s="0" t="n">
        <v>25</v>
      </c>
      <c r="E121" s="0" t="s">
        <v>3876</v>
      </c>
      <c r="G121" s="0" t="s">
        <v>3877</v>
      </c>
    </row>
    <row r="122" customFormat="false" ht="15" hidden="false" customHeight="false" outlineLevel="0" collapsed="false">
      <c r="A122" s="0" t="s">
        <v>163</v>
      </c>
      <c r="B122" s="0" t="n">
        <v>2018</v>
      </c>
      <c r="C122" s="0" t="s">
        <v>73</v>
      </c>
      <c r="D122" s="0" t="n">
        <v>0</v>
      </c>
      <c r="E122" s="0" t="s">
        <v>3876</v>
      </c>
      <c r="G122" s="0" t="s">
        <v>3877</v>
      </c>
    </row>
    <row r="123" customFormat="false" ht="15" hidden="false" customHeight="false" outlineLevel="0" collapsed="false">
      <c r="A123" s="0" t="s">
        <v>163</v>
      </c>
      <c r="B123" s="0" t="n">
        <v>2018</v>
      </c>
      <c r="C123" s="0" t="s">
        <v>920</v>
      </c>
      <c r="D123" s="0" t="s">
        <v>1973</v>
      </c>
      <c r="E123" s="0" t="s">
        <v>3876</v>
      </c>
      <c r="G123" s="0" t="s">
        <v>3877</v>
      </c>
    </row>
    <row r="124" customFormat="false" ht="15" hidden="false" customHeight="false" outlineLevel="0" collapsed="false">
      <c r="A124" s="0" t="s">
        <v>163</v>
      </c>
      <c r="B124" s="0" t="n">
        <v>2019</v>
      </c>
      <c r="C124" s="0" t="s">
        <v>54</v>
      </c>
      <c r="D124" s="0" t="n">
        <v>178003</v>
      </c>
      <c r="E124" s="0" t="s">
        <v>3876</v>
      </c>
      <c r="G124" s="0" t="s">
        <v>3877</v>
      </c>
    </row>
    <row r="125" customFormat="false" ht="15" hidden="false" customHeight="false" outlineLevel="0" collapsed="false">
      <c r="A125" s="0" t="s">
        <v>163</v>
      </c>
      <c r="B125" s="0" t="n">
        <v>2019</v>
      </c>
      <c r="C125" s="0" t="s">
        <v>670</v>
      </c>
      <c r="D125" s="0" t="n">
        <v>564687</v>
      </c>
      <c r="E125" s="0" t="s">
        <v>3876</v>
      </c>
      <c r="G125" s="0" t="s">
        <v>3877</v>
      </c>
    </row>
    <row r="126" customFormat="false" ht="15" hidden="false" customHeight="false" outlineLevel="0" collapsed="false">
      <c r="A126" s="0" t="s">
        <v>163</v>
      </c>
      <c r="B126" s="0" t="n">
        <v>2019</v>
      </c>
      <c r="C126" s="0" t="s">
        <v>55</v>
      </c>
      <c r="D126" s="0" t="n">
        <v>5435073</v>
      </c>
      <c r="E126" s="0" t="s">
        <v>3876</v>
      </c>
      <c r="G126" s="0" t="s">
        <v>3877</v>
      </c>
    </row>
    <row r="127" customFormat="false" ht="15" hidden="false" customHeight="false" outlineLevel="0" collapsed="false">
      <c r="A127" s="0" t="s">
        <v>163</v>
      </c>
      <c r="B127" s="0" t="n">
        <v>2019</v>
      </c>
      <c r="C127" s="0" t="s">
        <v>60</v>
      </c>
      <c r="D127" s="0" t="n">
        <v>2239472</v>
      </c>
      <c r="E127" s="0" t="s">
        <v>3876</v>
      </c>
      <c r="G127" s="0" t="s">
        <v>3877</v>
      </c>
    </row>
    <row r="128" customFormat="false" ht="15" hidden="false" customHeight="false" outlineLevel="0" collapsed="false">
      <c r="A128" s="0" t="s">
        <v>163</v>
      </c>
      <c r="B128" s="0" t="n">
        <v>2019</v>
      </c>
      <c r="C128" s="0" t="s">
        <v>61</v>
      </c>
      <c r="D128" s="0" t="n">
        <v>137745</v>
      </c>
      <c r="E128" s="0" t="s">
        <v>3876</v>
      </c>
      <c r="G128" s="0" t="s">
        <v>3877</v>
      </c>
    </row>
    <row r="129" customFormat="false" ht="15" hidden="false" customHeight="false" outlineLevel="0" collapsed="false">
      <c r="A129" s="0" t="s">
        <v>163</v>
      </c>
      <c r="B129" s="0" t="n">
        <v>2019</v>
      </c>
      <c r="C129" s="0" t="s">
        <v>63</v>
      </c>
      <c r="D129" s="0" t="n">
        <v>23393</v>
      </c>
      <c r="E129" s="0" t="s">
        <v>3876</v>
      </c>
      <c r="G129" s="0" t="s">
        <v>3877</v>
      </c>
    </row>
    <row r="130" customFormat="false" ht="15" hidden="false" customHeight="false" outlineLevel="0" collapsed="false">
      <c r="A130" s="0" t="s">
        <v>163</v>
      </c>
      <c r="B130" s="0" t="n">
        <v>2019</v>
      </c>
      <c r="C130" s="0" t="s">
        <v>266</v>
      </c>
      <c r="D130" s="0" t="n">
        <v>4.3</v>
      </c>
      <c r="E130" s="0" t="s">
        <v>3876</v>
      </c>
      <c r="G130" s="0" t="s">
        <v>3877</v>
      </c>
    </row>
    <row r="131" customFormat="false" ht="15" hidden="false" customHeight="false" outlineLevel="0" collapsed="false">
      <c r="A131" s="0" t="s">
        <v>163</v>
      </c>
      <c r="B131" s="0" t="n">
        <v>2019</v>
      </c>
      <c r="C131" s="0" t="s">
        <v>69</v>
      </c>
      <c r="D131" s="0" t="n">
        <v>22</v>
      </c>
      <c r="E131" s="0" t="s">
        <v>3876</v>
      </c>
      <c r="G131" s="0" t="s">
        <v>3877</v>
      </c>
    </row>
    <row r="132" customFormat="false" ht="15" hidden="false" customHeight="false" outlineLevel="0" collapsed="false">
      <c r="A132" s="0" t="s">
        <v>163</v>
      </c>
      <c r="B132" s="0" t="n">
        <v>2019</v>
      </c>
      <c r="C132" s="0" t="s">
        <v>73</v>
      </c>
      <c r="D132" s="0" t="n">
        <v>0</v>
      </c>
      <c r="E132" s="0" t="s">
        <v>3876</v>
      </c>
      <c r="G132" s="0" t="s">
        <v>3877</v>
      </c>
    </row>
    <row r="133" customFormat="false" ht="15" hidden="false" customHeight="false" outlineLevel="0" collapsed="false">
      <c r="A133" s="0" t="s">
        <v>163</v>
      </c>
      <c r="B133" s="0" t="n">
        <v>2019</v>
      </c>
      <c r="C133" s="0" t="s">
        <v>920</v>
      </c>
      <c r="D133" s="0" t="s">
        <v>1973</v>
      </c>
      <c r="E133" s="0" t="s">
        <v>3876</v>
      </c>
      <c r="G133" s="0" t="s">
        <v>3877</v>
      </c>
    </row>
    <row r="134" customFormat="false" ht="15" hidden="false" customHeight="false" outlineLevel="0" collapsed="false">
      <c r="A134" s="0" t="s">
        <v>163</v>
      </c>
      <c r="B134" s="0" t="n">
        <v>2020</v>
      </c>
      <c r="C134" s="0" t="s">
        <v>54</v>
      </c>
      <c r="D134" s="0" t="n">
        <v>197852</v>
      </c>
      <c r="E134" s="0" t="s">
        <v>3876</v>
      </c>
      <c r="G134" s="0" t="s">
        <v>3877</v>
      </c>
    </row>
    <row r="135" customFormat="false" ht="15" hidden="false" customHeight="false" outlineLevel="0" collapsed="false">
      <c r="A135" s="0" t="s">
        <v>163</v>
      </c>
      <c r="B135" s="0" t="n">
        <v>2020</v>
      </c>
      <c r="C135" s="0" t="s">
        <v>670</v>
      </c>
      <c r="D135" s="0" t="n">
        <v>595921</v>
      </c>
      <c r="E135" s="0" t="s">
        <v>3876</v>
      </c>
      <c r="G135" s="0" t="s">
        <v>3877</v>
      </c>
    </row>
    <row r="136" customFormat="false" ht="15" hidden="false" customHeight="false" outlineLevel="0" collapsed="false">
      <c r="A136" s="0" t="s">
        <v>163</v>
      </c>
      <c r="B136" s="0" t="n">
        <v>2020</v>
      </c>
      <c r="C136" s="0" t="s">
        <v>55</v>
      </c>
      <c r="D136" s="0" t="n">
        <v>7124987</v>
      </c>
      <c r="E136" s="0" t="s">
        <v>3876</v>
      </c>
      <c r="G136" s="0" t="s">
        <v>3877</v>
      </c>
    </row>
    <row r="137" customFormat="false" ht="15" hidden="false" customHeight="false" outlineLevel="0" collapsed="false">
      <c r="A137" s="0" t="s">
        <v>163</v>
      </c>
      <c r="B137" s="0" t="n">
        <v>2020</v>
      </c>
      <c r="C137" s="0" t="s">
        <v>60</v>
      </c>
      <c r="D137" s="0" t="n">
        <v>2639797</v>
      </c>
      <c r="E137" s="0" t="s">
        <v>3876</v>
      </c>
      <c r="G137" s="0" t="s">
        <v>3877</v>
      </c>
    </row>
    <row r="138" customFormat="false" ht="15" hidden="false" customHeight="false" outlineLevel="0" collapsed="false">
      <c r="A138" s="0" t="s">
        <v>163</v>
      </c>
      <c r="B138" s="0" t="n">
        <v>2020</v>
      </c>
      <c r="C138" s="0" t="s">
        <v>61</v>
      </c>
      <c r="D138" s="0" t="n">
        <v>161585</v>
      </c>
      <c r="E138" s="0" t="s">
        <v>3876</v>
      </c>
      <c r="G138" s="0" t="s">
        <v>3877</v>
      </c>
    </row>
    <row r="139" customFormat="false" ht="15" hidden="false" customHeight="false" outlineLevel="0" collapsed="false">
      <c r="A139" s="0" t="s">
        <v>163</v>
      </c>
      <c r="B139" s="0" t="n">
        <v>2020</v>
      </c>
      <c r="C139" s="0" t="s">
        <v>63</v>
      </c>
      <c r="D139" s="0" t="n">
        <v>37237</v>
      </c>
      <c r="E139" s="0" t="s">
        <v>3876</v>
      </c>
      <c r="G139" s="0" t="s">
        <v>3877</v>
      </c>
    </row>
    <row r="140" customFormat="false" ht="15" hidden="false" customHeight="false" outlineLevel="0" collapsed="false">
      <c r="A140" s="0" t="s">
        <v>163</v>
      </c>
      <c r="B140" s="0" t="n">
        <v>2020</v>
      </c>
      <c r="C140" s="0" t="s">
        <v>266</v>
      </c>
      <c r="D140" s="0" t="n">
        <v>4.29</v>
      </c>
      <c r="E140" s="0" t="s">
        <v>3876</v>
      </c>
      <c r="G140" s="0" t="s">
        <v>3877</v>
      </c>
    </row>
    <row r="141" customFormat="false" ht="15" hidden="false" customHeight="false" outlineLevel="0" collapsed="false">
      <c r="A141" s="0" t="s">
        <v>163</v>
      </c>
      <c r="B141" s="0" t="n">
        <v>2020</v>
      </c>
      <c r="C141" s="0" t="s">
        <v>69</v>
      </c>
      <c r="D141" s="0" t="n">
        <v>21.1</v>
      </c>
      <c r="E141" s="0" t="s">
        <v>3876</v>
      </c>
      <c r="G141" s="0" t="s">
        <v>3877</v>
      </c>
    </row>
    <row r="142" customFormat="false" ht="15" hidden="false" customHeight="false" outlineLevel="0" collapsed="false">
      <c r="A142" s="0" t="s">
        <v>163</v>
      </c>
      <c r="B142" s="0" t="n">
        <v>2020</v>
      </c>
      <c r="C142" s="0" t="s">
        <v>73</v>
      </c>
      <c r="D142" s="0" t="n">
        <v>0</v>
      </c>
      <c r="E142" s="0" t="s">
        <v>3876</v>
      </c>
      <c r="G142" s="0" t="s">
        <v>3877</v>
      </c>
    </row>
    <row r="143" customFormat="false" ht="15" hidden="false" customHeight="false" outlineLevel="0" collapsed="false">
      <c r="A143" s="0" t="s">
        <v>163</v>
      </c>
      <c r="B143" s="0" t="n">
        <v>2020</v>
      </c>
      <c r="C143" s="0" t="s">
        <v>920</v>
      </c>
      <c r="D143" s="0" t="s">
        <v>3878</v>
      </c>
      <c r="E143" s="0" t="s">
        <v>3876</v>
      </c>
      <c r="G143" s="0" t="s">
        <v>3877</v>
      </c>
    </row>
    <row r="144" customFormat="false" ht="15" hidden="false" customHeight="false" outlineLevel="0" collapsed="false">
      <c r="A144" s="0" t="s">
        <v>163</v>
      </c>
      <c r="B144" s="0" t="n">
        <v>2021</v>
      </c>
      <c r="C144" s="0" t="s">
        <v>54</v>
      </c>
      <c r="D144" s="0" t="n">
        <v>233133</v>
      </c>
      <c r="E144" s="0" t="s">
        <v>3876</v>
      </c>
      <c r="G144" s="0" t="s">
        <v>3877</v>
      </c>
    </row>
    <row r="145" customFormat="false" ht="15" hidden="false" customHeight="false" outlineLevel="0" collapsed="false">
      <c r="A145" s="0" t="s">
        <v>163</v>
      </c>
      <c r="B145" s="0" t="n">
        <v>2021</v>
      </c>
      <c r="C145" s="0" t="s">
        <v>670</v>
      </c>
      <c r="D145" s="0" t="n">
        <v>677283</v>
      </c>
      <c r="E145" s="0" t="s">
        <v>3876</v>
      </c>
      <c r="G145" s="0" t="s">
        <v>3877</v>
      </c>
    </row>
    <row r="146" customFormat="false" ht="15" hidden="false" customHeight="false" outlineLevel="0" collapsed="false">
      <c r="A146" s="0" t="s">
        <v>163</v>
      </c>
      <c r="B146" s="0" t="n">
        <v>2021</v>
      </c>
      <c r="C146" s="0" t="s">
        <v>55</v>
      </c>
      <c r="D146" s="0" t="n">
        <v>7872292</v>
      </c>
      <c r="E146" s="0" t="s">
        <v>3876</v>
      </c>
      <c r="G146" s="0" t="s">
        <v>3877</v>
      </c>
    </row>
    <row r="147" customFormat="false" ht="15" hidden="false" customHeight="false" outlineLevel="0" collapsed="false">
      <c r="A147" s="0" t="s">
        <v>163</v>
      </c>
      <c r="B147" s="0" t="n">
        <v>2021</v>
      </c>
      <c r="C147" s="0" t="s">
        <v>60</v>
      </c>
      <c r="D147" s="0" t="n">
        <v>3099452</v>
      </c>
      <c r="E147" s="0" t="s">
        <v>3876</v>
      </c>
      <c r="G147" s="0" t="s">
        <v>3877</v>
      </c>
    </row>
    <row r="148" customFormat="false" ht="15" hidden="false" customHeight="false" outlineLevel="0" collapsed="false">
      <c r="A148" s="0" t="s">
        <v>163</v>
      </c>
      <c r="B148" s="0" t="n">
        <v>2021</v>
      </c>
      <c r="C148" s="0" t="s">
        <v>61</v>
      </c>
      <c r="D148" s="0" t="n">
        <v>184456</v>
      </c>
      <c r="E148" s="0" t="s">
        <v>3876</v>
      </c>
      <c r="G148" s="0" t="s">
        <v>3877</v>
      </c>
    </row>
    <row r="149" customFormat="false" ht="15" hidden="false" customHeight="false" outlineLevel="0" collapsed="false">
      <c r="A149" s="0" t="s">
        <v>163</v>
      </c>
      <c r="B149" s="0" t="n">
        <v>2021</v>
      </c>
      <c r="C149" s="0" t="s">
        <v>63</v>
      </c>
      <c r="D149" s="0" t="n">
        <v>56175</v>
      </c>
      <c r="E149" s="0" t="s">
        <v>3876</v>
      </c>
      <c r="G149" s="0" t="s">
        <v>3877</v>
      </c>
    </row>
    <row r="150" customFormat="false" ht="15" hidden="false" customHeight="false" outlineLevel="0" collapsed="false">
      <c r="A150" s="0" t="s">
        <v>163</v>
      </c>
      <c r="B150" s="0" t="n">
        <v>2021</v>
      </c>
      <c r="C150" s="0" t="s">
        <v>266</v>
      </c>
      <c r="D150" s="0" t="n">
        <v>4.19</v>
      </c>
      <c r="E150" s="0" t="s">
        <v>3876</v>
      </c>
      <c r="G150" s="0" t="s">
        <v>3877</v>
      </c>
    </row>
    <row r="151" customFormat="false" ht="15" hidden="false" customHeight="false" outlineLevel="0" collapsed="false">
      <c r="A151" s="0" t="s">
        <v>163</v>
      </c>
      <c r="B151" s="0" t="n">
        <v>2021</v>
      </c>
      <c r="C151" s="0" t="s">
        <v>69</v>
      </c>
      <c r="D151" s="0" t="n">
        <v>19.8</v>
      </c>
      <c r="E151" s="0" t="s">
        <v>3876</v>
      </c>
      <c r="G151" s="0" t="s">
        <v>3877</v>
      </c>
    </row>
    <row r="152" customFormat="false" ht="15" hidden="false" customHeight="false" outlineLevel="0" collapsed="false">
      <c r="A152" s="0" t="s">
        <v>163</v>
      </c>
      <c r="B152" s="0" t="n">
        <v>2021</v>
      </c>
      <c r="C152" s="0" t="s">
        <v>73</v>
      </c>
      <c r="D152" s="0" t="n">
        <v>0</v>
      </c>
      <c r="E152" s="0" t="s">
        <v>3876</v>
      </c>
      <c r="G152" s="0" t="s">
        <v>3877</v>
      </c>
    </row>
    <row r="153" customFormat="false" ht="15" hidden="false" customHeight="false" outlineLevel="0" collapsed="false">
      <c r="A153" s="0" t="s">
        <v>163</v>
      </c>
      <c r="B153" s="0" t="n">
        <v>2021</v>
      </c>
      <c r="C153" s="0" t="s">
        <v>920</v>
      </c>
      <c r="D153" s="0" t="s">
        <v>3878</v>
      </c>
      <c r="E153" s="0" t="s">
        <v>3876</v>
      </c>
      <c r="G153" s="0" t="s">
        <v>3877</v>
      </c>
    </row>
    <row r="154" customFormat="false" ht="15" hidden="false" customHeight="false" outlineLevel="0" collapsed="false">
      <c r="A154" s="0" t="s">
        <v>163</v>
      </c>
      <c r="B154" s="0" t="n">
        <v>2022</v>
      </c>
      <c r="C154" s="0" t="s">
        <v>54</v>
      </c>
      <c r="D154" s="0" t="n">
        <v>234593</v>
      </c>
      <c r="E154" s="0" t="s">
        <v>3876</v>
      </c>
      <c r="G154" s="0" t="s">
        <v>3877</v>
      </c>
    </row>
    <row r="155" customFormat="false" ht="15" hidden="false" customHeight="false" outlineLevel="0" collapsed="false">
      <c r="A155" s="0" t="s">
        <v>163</v>
      </c>
      <c r="B155" s="0" t="n">
        <v>2022</v>
      </c>
      <c r="C155" s="0" t="s">
        <v>670</v>
      </c>
      <c r="D155" s="0" t="n">
        <v>833087</v>
      </c>
      <c r="E155" s="0" t="s">
        <v>3876</v>
      </c>
      <c r="G155" s="0" t="s">
        <v>3877</v>
      </c>
    </row>
    <row r="156" customFormat="false" ht="15" hidden="false" customHeight="false" outlineLevel="0" collapsed="false">
      <c r="A156" s="0" t="s">
        <v>163</v>
      </c>
      <c r="B156" s="0" t="n">
        <v>2022</v>
      </c>
      <c r="C156" s="0" t="s">
        <v>55</v>
      </c>
      <c r="D156" s="0" t="n">
        <v>10570678</v>
      </c>
      <c r="E156" s="0" t="s">
        <v>3876</v>
      </c>
      <c r="G156" s="0" t="s">
        <v>3877</v>
      </c>
    </row>
    <row r="157" customFormat="false" ht="15" hidden="false" customHeight="false" outlineLevel="0" collapsed="false">
      <c r="A157" s="0" t="s">
        <v>163</v>
      </c>
      <c r="B157" s="0" t="n">
        <v>2022</v>
      </c>
      <c r="C157" s="0" t="s">
        <v>60</v>
      </c>
      <c r="D157" s="0" t="n">
        <v>3838805</v>
      </c>
      <c r="E157" s="0" t="s">
        <v>3876</v>
      </c>
      <c r="G157" s="0" t="s">
        <v>3877</v>
      </c>
    </row>
    <row r="158" customFormat="false" ht="15" hidden="false" customHeight="false" outlineLevel="0" collapsed="false">
      <c r="A158" s="0" t="s">
        <v>163</v>
      </c>
      <c r="B158" s="0" t="n">
        <v>2022</v>
      </c>
      <c r="C158" s="0" t="s">
        <v>61</v>
      </c>
      <c r="D158" s="0" t="n">
        <v>231245</v>
      </c>
      <c r="E158" s="0" t="s">
        <v>3876</v>
      </c>
      <c r="G158" s="0" t="s">
        <v>3877</v>
      </c>
    </row>
    <row r="159" customFormat="false" ht="15" hidden="false" customHeight="false" outlineLevel="0" collapsed="false">
      <c r="A159" s="0" t="s">
        <v>163</v>
      </c>
      <c r="B159" s="0" t="n">
        <v>2022</v>
      </c>
      <c r="C159" s="0" t="s">
        <v>63</v>
      </c>
      <c r="D159" s="0" t="n">
        <v>61896</v>
      </c>
      <c r="E159" s="0" t="s">
        <v>3876</v>
      </c>
      <c r="G159" s="0" t="s">
        <v>3877</v>
      </c>
    </row>
    <row r="160" customFormat="false" ht="15" hidden="false" customHeight="false" outlineLevel="0" collapsed="false">
      <c r="A160" s="0" t="s">
        <v>163</v>
      </c>
      <c r="B160" s="0" t="n">
        <v>2022</v>
      </c>
      <c r="C160" s="0" t="s">
        <v>266</v>
      </c>
      <c r="D160" s="0" t="n">
        <v>4.3</v>
      </c>
      <c r="E160" s="0" t="s">
        <v>3876</v>
      </c>
      <c r="G160" s="0" t="s">
        <v>3877</v>
      </c>
    </row>
    <row r="161" customFormat="false" ht="15" hidden="false" customHeight="false" outlineLevel="0" collapsed="false">
      <c r="A161" s="0" t="s">
        <v>163</v>
      </c>
      <c r="B161" s="0" t="n">
        <v>2022</v>
      </c>
      <c r="C161" s="0" t="s">
        <v>69</v>
      </c>
      <c r="D161" s="0" t="n">
        <v>19.3</v>
      </c>
      <c r="E161" s="0" t="s">
        <v>3876</v>
      </c>
      <c r="G161" s="0" t="s">
        <v>3877</v>
      </c>
    </row>
    <row r="162" customFormat="false" ht="15" hidden="false" customHeight="false" outlineLevel="0" collapsed="false">
      <c r="A162" s="0" t="s">
        <v>163</v>
      </c>
      <c r="B162" s="0" t="n">
        <v>2022</v>
      </c>
      <c r="C162" s="0" t="s">
        <v>73</v>
      </c>
      <c r="D162" s="0" t="n">
        <v>0</v>
      </c>
      <c r="E162" s="0" t="s">
        <v>3876</v>
      </c>
      <c r="G162" s="0" t="s">
        <v>3877</v>
      </c>
    </row>
    <row r="163" customFormat="false" ht="15" hidden="false" customHeight="false" outlineLevel="0" collapsed="false">
      <c r="A163" s="0" t="s">
        <v>163</v>
      </c>
      <c r="B163" s="0" t="n">
        <v>2022</v>
      </c>
      <c r="C163" s="0" t="s">
        <v>920</v>
      </c>
      <c r="D163" s="0" t="s">
        <v>3878</v>
      </c>
      <c r="E163" s="0" t="s">
        <v>3876</v>
      </c>
      <c r="G163" s="0" t="s">
        <v>3877</v>
      </c>
    </row>
    <row r="164" customFormat="false" ht="15" hidden="false" customHeight="false" outlineLevel="0" collapsed="false">
      <c r="A164" s="0" t="s">
        <v>104</v>
      </c>
      <c r="B164" s="0" t="n">
        <v>2015</v>
      </c>
      <c r="C164" s="0" t="s">
        <v>54</v>
      </c>
      <c r="D164" s="0" t="n">
        <v>37</v>
      </c>
      <c r="E164" s="0" t="s">
        <v>3876</v>
      </c>
      <c r="G164" s="0" t="s">
        <v>3877</v>
      </c>
    </row>
    <row r="165" customFormat="false" ht="15" hidden="false" customHeight="false" outlineLevel="0" collapsed="false">
      <c r="A165" s="0" t="s">
        <v>104</v>
      </c>
      <c r="B165" s="0" t="n">
        <v>2015</v>
      </c>
      <c r="C165" s="0" t="s">
        <v>670</v>
      </c>
      <c r="D165" s="0" t="n">
        <v>421227</v>
      </c>
      <c r="E165" s="0" t="s">
        <v>3876</v>
      </c>
      <c r="G165" s="0" t="s">
        <v>3877</v>
      </c>
    </row>
    <row r="166" customFormat="false" ht="15" hidden="false" customHeight="false" outlineLevel="0" collapsed="false">
      <c r="A166" s="0" t="s">
        <v>104</v>
      </c>
      <c r="B166" s="0" t="n">
        <v>2015</v>
      </c>
      <c r="C166" s="0" t="s">
        <v>55</v>
      </c>
      <c r="D166" s="0" t="n">
        <v>3332375</v>
      </c>
      <c r="E166" s="0" t="s">
        <v>3876</v>
      </c>
      <c r="G166" s="0" t="s">
        <v>3877</v>
      </c>
    </row>
    <row r="167" customFormat="false" ht="15" hidden="false" customHeight="false" outlineLevel="0" collapsed="false">
      <c r="A167" s="0" t="s">
        <v>104</v>
      </c>
      <c r="B167" s="0" t="n">
        <v>2015</v>
      </c>
      <c r="C167" s="0" t="s">
        <v>60</v>
      </c>
      <c r="D167" s="0" t="n">
        <v>1457285</v>
      </c>
      <c r="E167" s="0" t="s">
        <v>3876</v>
      </c>
      <c r="G167" s="0" t="s">
        <v>3877</v>
      </c>
    </row>
    <row r="168" customFormat="false" ht="15" hidden="false" customHeight="false" outlineLevel="0" collapsed="false">
      <c r="A168" s="0" t="s">
        <v>104</v>
      </c>
      <c r="B168" s="0" t="n">
        <v>2015</v>
      </c>
      <c r="C168" s="0" t="s">
        <v>61</v>
      </c>
      <c r="D168" s="0" t="n">
        <v>187640</v>
      </c>
      <c r="E168" s="0" t="s">
        <v>3876</v>
      </c>
      <c r="G168" s="0" t="s">
        <v>3877</v>
      </c>
    </row>
    <row r="169" customFormat="false" ht="15" hidden="false" customHeight="false" outlineLevel="0" collapsed="false">
      <c r="A169" s="0" t="s">
        <v>104</v>
      </c>
      <c r="B169" s="0" t="n">
        <v>2015</v>
      </c>
      <c r="C169" s="0" t="s">
        <v>63</v>
      </c>
      <c r="D169" s="0" t="n">
        <v>120046</v>
      </c>
      <c r="E169" s="0" t="s">
        <v>3876</v>
      </c>
      <c r="G169" s="0" t="s">
        <v>3877</v>
      </c>
    </row>
    <row r="170" customFormat="false" ht="15" hidden="false" customHeight="false" outlineLevel="0" collapsed="false">
      <c r="A170" s="0" t="s">
        <v>104</v>
      </c>
      <c r="B170" s="0" t="n">
        <v>2015</v>
      </c>
      <c r="C170" s="0" t="s">
        <v>266</v>
      </c>
      <c r="D170" s="0" t="n">
        <v>45</v>
      </c>
      <c r="E170" s="0" t="s">
        <v>3876</v>
      </c>
      <c r="G170" s="0" t="s">
        <v>3877</v>
      </c>
    </row>
    <row r="171" customFormat="false" ht="15" hidden="false" customHeight="false" outlineLevel="0" collapsed="false">
      <c r="A171" s="0" t="s">
        <v>104</v>
      </c>
      <c r="B171" s="0" t="n">
        <v>2015</v>
      </c>
      <c r="C171" s="0" t="s">
        <v>69</v>
      </c>
      <c r="D171" s="0" t="n">
        <v>17.1</v>
      </c>
      <c r="E171" s="0" t="s">
        <v>3876</v>
      </c>
      <c r="G171" s="0" t="s">
        <v>3877</v>
      </c>
    </row>
    <row r="172" customFormat="false" ht="15" hidden="false" customHeight="false" outlineLevel="0" collapsed="false">
      <c r="A172" s="0" t="s">
        <v>104</v>
      </c>
      <c r="B172" s="0" t="n">
        <v>2015</v>
      </c>
      <c r="C172" s="0" t="s">
        <v>73</v>
      </c>
      <c r="D172" s="0" t="n">
        <v>0</v>
      </c>
      <c r="E172" s="0" t="s">
        <v>3876</v>
      </c>
      <c r="G172" s="0" t="s">
        <v>3877</v>
      </c>
    </row>
    <row r="173" customFormat="false" ht="15" hidden="false" customHeight="false" outlineLevel="0" collapsed="false">
      <c r="A173" s="0" t="s">
        <v>104</v>
      </c>
      <c r="B173" s="0" t="n">
        <v>2015</v>
      </c>
      <c r="C173" s="0" t="s">
        <v>920</v>
      </c>
      <c r="D173" s="0" t="s">
        <v>3878</v>
      </c>
      <c r="E173" s="0" t="s">
        <v>3876</v>
      </c>
      <c r="G173" s="0" t="s">
        <v>3877</v>
      </c>
    </row>
    <row r="174" customFormat="false" ht="15" hidden="false" customHeight="false" outlineLevel="0" collapsed="false">
      <c r="A174" s="0" t="s">
        <v>104</v>
      </c>
      <c r="B174" s="0" t="n">
        <v>2016</v>
      </c>
      <c r="C174" s="0" t="s">
        <v>54</v>
      </c>
      <c r="D174" s="0" t="n">
        <v>11768</v>
      </c>
      <c r="E174" s="0" t="s">
        <v>3876</v>
      </c>
      <c r="G174" s="0" t="s">
        <v>3877</v>
      </c>
    </row>
    <row r="175" customFormat="false" ht="15" hidden="false" customHeight="false" outlineLevel="0" collapsed="false">
      <c r="A175" s="0" t="s">
        <v>104</v>
      </c>
      <c r="B175" s="0" t="n">
        <v>2016</v>
      </c>
      <c r="C175" s="0" t="s">
        <v>670</v>
      </c>
      <c r="D175" s="0" t="n">
        <v>434663</v>
      </c>
      <c r="E175" s="0" t="s">
        <v>3876</v>
      </c>
      <c r="G175" s="0" t="s">
        <v>3877</v>
      </c>
    </row>
    <row r="176" customFormat="false" ht="15" hidden="false" customHeight="false" outlineLevel="0" collapsed="false">
      <c r="A176" s="0" t="s">
        <v>104</v>
      </c>
      <c r="B176" s="0" t="n">
        <v>2016</v>
      </c>
      <c r="C176" s="0" t="s">
        <v>55</v>
      </c>
      <c r="D176" s="0" t="n">
        <v>4514792</v>
      </c>
      <c r="E176" s="0" t="s">
        <v>3876</v>
      </c>
      <c r="G176" s="0" t="s">
        <v>3877</v>
      </c>
    </row>
    <row r="177" customFormat="false" ht="15" hidden="false" customHeight="false" outlineLevel="0" collapsed="false">
      <c r="A177" s="0" t="s">
        <v>104</v>
      </c>
      <c r="B177" s="0" t="n">
        <v>2016</v>
      </c>
      <c r="C177" s="0" t="s">
        <v>60</v>
      </c>
      <c r="D177" s="0" t="n">
        <v>2086740</v>
      </c>
      <c r="E177" s="0" t="s">
        <v>3876</v>
      </c>
      <c r="G177" s="0" t="s">
        <v>3877</v>
      </c>
    </row>
    <row r="178" customFormat="false" ht="15" hidden="false" customHeight="false" outlineLevel="0" collapsed="false">
      <c r="A178" s="0" t="s">
        <v>104</v>
      </c>
      <c r="B178" s="0" t="n">
        <v>2016</v>
      </c>
      <c r="C178" s="0" t="s">
        <v>61</v>
      </c>
      <c r="D178" s="0" t="n">
        <v>240695</v>
      </c>
      <c r="E178" s="0" t="s">
        <v>3876</v>
      </c>
      <c r="G178" s="0" t="s">
        <v>3877</v>
      </c>
    </row>
    <row r="179" customFormat="false" ht="15" hidden="false" customHeight="false" outlineLevel="0" collapsed="false">
      <c r="A179" s="0" t="s">
        <v>104</v>
      </c>
      <c r="B179" s="0" t="n">
        <v>2016</v>
      </c>
      <c r="C179" s="0" t="s">
        <v>63</v>
      </c>
      <c r="D179" s="0" t="n">
        <v>224948</v>
      </c>
      <c r="E179" s="0" t="s">
        <v>3876</v>
      </c>
      <c r="G179" s="0" t="s">
        <v>3877</v>
      </c>
    </row>
    <row r="180" customFormat="false" ht="15" hidden="false" customHeight="false" outlineLevel="0" collapsed="false">
      <c r="A180" s="0" t="s">
        <v>104</v>
      </c>
      <c r="B180" s="0" t="n">
        <v>2016</v>
      </c>
      <c r="C180" s="0" t="s">
        <v>266</v>
      </c>
      <c r="D180" s="0" t="n">
        <v>24.4</v>
      </c>
      <c r="E180" s="0" t="s">
        <v>3876</v>
      </c>
      <c r="G180" s="0" t="s">
        <v>3877</v>
      </c>
    </row>
    <row r="181" customFormat="false" ht="15" hidden="false" customHeight="false" outlineLevel="0" collapsed="false">
      <c r="A181" s="0" t="s">
        <v>104</v>
      </c>
      <c r="B181" s="0" t="n">
        <v>2016</v>
      </c>
      <c r="C181" s="0" t="s">
        <v>69</v>
      </c>
      <c r="D181" s="0" t="n">
        <v>17.79</v>
      </c>
      <c r="E181" s="0" t="s">
        <v>3876</v>
      </c>
      <c r="G181" s="0" t="s">
        <v>3877</v>
      </c>
    </row>
    <row r="182" customFormat="false" ht="15" hidden="false" customHeight="false" outlineLevel="0" collapsed="false">
      <c r="A182" s="0" t="s">
        <v>104</v>
      </c>
      <c r="B182" s="0" t="n">
        <v>2016</v>
      </c>
      <c r="C182" s="0" t="s">
        <v>73</v>
      </c>
      <c r="D182" s="0" t="n">
        <v>0</v>
      </c>
      <c r="E182" s="0" t="s">
        <v>3876</v>
      </c>
      <c r="G182" s="0" t="s">
        <v>3877</v>
      </c>
    </row>
    <row r="183" customFormat="false" ht="15" hidden="false" customHeight="false" outlineLevel="0" collapsed="false">
      <c r="A183" s="0" t="s">
        <v>104</v>
      </c>
      <c r="B183" s="0" t="n">
        <v>2016</v>
      </c>
      <c r="C183" s="0" t="s">
        <v>920</v>
      </c>
      <c r="D183" s="0" t="s">
        <v>3878</v>
      </c>
      <c r="E183" s="0" t="s">
        <v>3876</v>
      </c>
      <c r="G183" s="0" t="s">
        <v>3877</v>
      </c>
    </row>
    <row r="184" customFormat="false" ht="15" hidden="false" customHeight="false" outlineLevel="0" collapsed="false">
      <c r="A184" s="0" t="s">
        <v>104</v>
      </c>
      <c r="B184" s="0" t="n">
        <v>2017</v>
      </c>
      <c r="C184" s="0" t="s">
        <v>54</v>
      </c>
      <c r="D184" s="0" t="n">
        <v>51475</v>
      </c>
      <c r="E184" s="0" t="s">
        <v>3876</v>
      </c>
      <c r="G184" s="0" t="s">
        <v>3877</v>
      </c>
    </row>
    <row r="185" customFormat="false" ht="15" hidden="false" customHeight="false" outlineLevel="0" collapsed="false">
      <c r="A185" s="0" t="s">
        <v>104</v>
      </c>
      <c r="B185" s="0" t="n">
        <v>2017</v>
      </c>
      <c r="C185" s="0" t="s">
        <v>670</v>
      </c>
      <c r="D185" s="0" t="n">
        <v>474866</v>
      </c>
      <c r="E185" s="0" t="s">
        <v>3876</v>
      </c>
      <c r="G185" s="0" t="s">
        <v>3877</v>
      </c>
    </row>
    <row r="186" customFormat="false" ht="15" hidden="false" customHeight="false" outlineLevel="0" collapsed="false">
      <c r="A186" s="0" t="s">
        <v>104</v>
      </c>
      <c r="B186" s="0" t="n">
        <v>2017</v>
      </c>
      <c r="C186" s="0" t="s">
        <v>55</v>
      </c>
      <c r="D186" s="0" t="n">
        <v>5014248</v>
      </c>
      <c r="E186" s="0" t="s">
        <v>3876</v>
      </c>
      <c r="G186" s="0" t="s">
        <v>3877</v>
      </c>
    </row>
    <row r="187" customFormat="false" ht="15" hidden="false" customHeight="false" outlineLevel="0" collapsed="false">
      <c r="A187" s="0" t="s">
        <v>104</v>
      </c>
      <c r="B187" s="0" t="n">
        <v>2017</v>
      </c>
      <c r="C187" s="0" t="s">
        <v>60</v>
      </c>
      <c r="D187" s="0" t="n">
        <v>2026038</v>
      </c>
      <c r="E187" s="0" t="s">
        <v>3876</v>
      </c>
      <c r="G187" s="0" t="s">
        <v>3877</v>
      </c>
    </row>
    <row r="188" customFormat="false" ht="15" hidden="false" customHeight="false" outlineLevel="0" collapsed="false">
      <c r="A188" s="0" t="s">
        <v>104</v>
      </c>
      <c r="B188" s="0" t="n">
        <v>2017</v>
      </c>
      <c r="C188" s="0" t="s">
        <v>61</v>
      </c>
      <c r="D188" s="0" t="n">
        <v>178719</v>
      </c>
      <c r="E188" s="0" t="s">
        <v>3876</v>
      </c>
      <c r="G188" s="0" t="s">
        <v>3877</v>
      </c>
    </row>
    <row r="189" customFormat="false" ht="15" hidden="false" customHeight="false" outlineLevel="0" collapsed="false">
      <c r="A189" s="0" t="s">
        <v>104</v>
      </c>
      <c r="B189" s="0" t="n">
        <v>2017</v>
      </c>
      <c r="C189" s="0" t="s">
        <v>63</v>
      </c>
      <c r="D189" s="0" t="n">
        <v>141275</v>
      </c>
      <c r="E189" s="0" t="s">
        <v>3876</v>
      </c>
      <c r="G189" s="0" t="s">
        <v>3877</v>
      </c>
    </row>
    <row r="190" customFormat="false" ht="15" hidden="false" customHeight="false" outlineLevel="0" collapsed="false">
      <c r="A190" s="0" t="s">
        <v>104</v>
      </c>
      <c r="B190" s="0" t="n">
        <v>2017</v>
      </c>
      <c r="C190" s="0" t="s">
        <v>266</v>
      </c>
      <c r="D190" s="0" t="n">
        <v>22.8</v>
      </c>
      <c r="E190" s="0" t="s">
        <v>3876</v>
      </c>
      <c r="G190" s="0" t="s">
        <v>3877</v>
      </c>
    </row>
    <row r="191" customFormat="false" ht="15" hidden="false" customHeight="false" outlineLevel="0" collapsed="false">
      <c r="A191" s="0" t="s">
        <v>104</v>
      </c>
      <c r="B191" s="0" t="n">
        <v>2017</v>
      </c>
      <c r="C191" s="0" t="s">
        <v>69</v>
      </c>
      <c r="D191" s="0" t="n">
        <v>17.74</v>
      </c>
      <c r="E191" s="0" t="s">
        <v>3876</v>
      </c>
      <c r="G191" s="0" t="s">
        <v>3877</v>
      </c>
    </row>
    <row r="192" customFormat="false" ht="15" hidden="false" customHeight="false" outlineLevel="0" collapsed="false">
      <c r="A192" s="0" t="s">
        <v>104</v>
      </c>
      <c r="B192" s="0" t="n">
        <v>2017</v>
      </c>
      <c r="C192" s="0" t="s">
        <v>73</v>
      </c>
      <c r="D192" s="0" t="n">
        <v>0</v>
      </c>
      <c r="E192" s="0" t="s">
        <v>3876</v>
      </c>
      <c r="G192" s="0" t="s">
        <v>3877</v>
      </c>
    </row>
    <row r="193" customFormat="false" ht="15" hidden="false" customHeight="false" outlineLevel="0" collapsed="false">
      <c r="A193" s="0" t="s">
        <v>104</v>
      </c>
      <c r="B193" s="0" t="n">
        <v>2017</v>
      </c>
      <c r="C193" s="0" t="s">
        <v>920</v>
      </c>
      <c r="D193" s="0" t="s">
        <v>3878</v>
      </c>
      <c r="E193" s="0" t="s">
        <v>3876</v>
      </c>
      <c r="G193" s="0" t="s">
        <v>3877</v>
      </c>
    </row>
    <row r="194" customFormat="false" ht="15" hidden="false" customHeight="false" outlineLevel="0" collapsed="false">
      <c r="A194" s="0" t="s">
        <v>104</v>
      </c>
      <c r="B194" s="0" t="n">
        <v>2018</v>
      </c>
      <c r="C194" s="0" t="s">
        <v>54</v>
      </c>
      <c r="D194" s="0" t="n">
        <v>38844</v>
      </c>
      <c r="E194" s="0" t="s">
        <v>3876</v>
      </c>
      <c r="G194" s="0" t="s">
        <v>3877</v>
      </c>
    </row>
    <row r="195" customFormat="false" ht="15" hidden="false" customHeight="false" outlineLevel="0" collapsed="false">
      <c r="A195" s="0" t="s">
        <v>104</v>
      </c>
      <c r="B195" s="0" t="n">
        <v>2018</v>
      </c>
      <c r="C195" s="0" t="s">
        <v>670</v>
      </c>
      <c r="D195" s="0" t="n">
        <v>363680</v>
      </c>
      <c r="E195" s="0" t="s">
        <v>3876</v>
      </c>
      <c r="G195" s="0" t="s">
        <v>3877</v>
      </c>
    </row>
    <row r="196" customFormat="false" ht="15" hidden="false" customHeight="false" outlineLevel="0" collapsed="false">
      <c r="A196" s="0" t="s">
        <v>104</v>
      </c>
      <c r="B196" s="0" t="n">
        <v>2018</v>
      </c>
      <c r="C196" s="0" t="s">
        <v>55</v>
      </c>
      <c r="D196" s="0" t="n">
        <v>5303327</v>
      </c>
      <c r="E196" s="0" t="s">
        <v>3876</v>
      </c>
      <c r="G196" s="0" t="s">
        <v>3877</v>
      </c>
    </row>
    <row r="197" customFormat="false" ht="15" hidden="false" customHeight="false" outlineLevel="0" collapsed="false">
      <c r="A197" s="0" t="s">
        <v>104</v>
      </c>
      <c r="B197" s="0" t="n">
        <v>2018</v>
      </c>
      <c r="C197" s="0" t="s">
        <v>60</v>
      </c>
      <c r="D197" s="0" t="n">
        <v>1694884</v>
      </c>
      <c r="E197" s="0" t="s">
        <v>3876</v>
      </c>
      <c r="G197" s="0" t="s">
        <v>3877</v>
      </c>
    </row>
    <row r="198" customFormat="false" ht="15" hidden="false" customHeight="false" outlineLevel="0" collapsed="false">
      <c r="A198" s="0" t="s">
        <v>104</v>
      </c>
      <c r="B198" s="0" t="n">
        <v>2018</v>
      </c>
      <c r="C198" s="0" t="s">
        <v>61</v>
      </c>
      <c r="D198" s="0" t="n">
        <v>166250</v>
      </c>
      <c r="E198" s="0" t="s">
        <v>3876</v>
      </c>
      <c r="G198" s="0" t="s">
        <v>3877</v>
      </c>
    </row>
    <row r="199" customFormat="false" ht="15" hidden="false" customHeight="false" outlineLevel="0" collapsed="false">
      <c r="A199" s="0" t="s">
        <v>104</v>
      </c>
      <c r="B199" s="0" t="n">
        <v>2018</v>
      </c>
      <c r="C199" s="0" t="s">
        <v>63</v>
      </c>
      <c r="D199" s="0" t="n">
        <v>92796</v>
      </c>
      <c r="E199" s="0" t="s">
        <v>3876</v>
      </c>
      <c r="G199" s="0" t="s">
        <v>3877</v>
      </c>
    </row>
    <row r="200" customFormat="false" ht="15" hidden="false" customHeight="false" outlineLevel="0" collapsed="false">
      <c r="A200" s="0" t="s">
        <v>104</v>
      </c>
      <c r="B200" s="0" t="n">
        <v>2018</v>
      </c>
      <c r="C200" s="0" t="s">
        <v>266</v>
      </c>
      <c r="D200" s="0" t="n">
        <v>24.7</v>
      </c>
      <c r="E200" s="0" t="s">
        <v>3876</v>
      </c>
      <c r="G200" s="0" t="s">
        <v>3877</v>
      </c>
    </row>
    <row r="201" customFormat="false" ht="15" hidden="false" customHeight="false" outlineLevel="0" collapsed="false">
      <c r="A201" s="0" t="s">
        <v>104</v>
      </c>
      <c r="B201" s="0" t="n">
        <v>2018</v>
      </c>
      <c r="C201" s="0" t="s">
        <v>69</v>
      </c>
      <c r="D201" s="0" t="n">
        <v>17.26</v>
      </c>
      <c r="E201" s="0" t="s">
        <v>3876</v>
      </c>
      <c r="G201" s="0" t="s">
        <v>3877</v>
      </c>
    </row>
    <row r="202" customFormat="false" ht="15" hidden="false" customHeight="false" outlineLevel="0" collapsed="false">
      <c r="A202" s="0" t="s">
        <v>104</v>
      </c>
      <c r="B202" s="0" t="n">
        <v>2018</v>
      </c>
      <c r="C202" s="0" t="s">
        <v>73</v>
      </c>
      <c r="D202" s="0" t="n">
        <v>0</v>
      </c>
      <c r="E202" s="0" t="s">
        <v>3876</v>
      </c>
      <c r="G202" s="0" t="s">
        <v>3877</v>
      </c>
    </row>
    <row r="203" customFormat="false" ht="15" hidden="false" customHeight="false" outlineLevel="0" collapsed="false">
      <c r="A203" s="0" t="s">
        <v>104</v>
      </c>
      <c r="B203" s="0" t="n">
        <v>2018</v>
      </c>
      <c r="C203" s="0" t="s">
        <v>920</v>
      </c>
      <c r="D203" s="0" t="s">
        <v>3878</v>
      </c>
      <c r="E203" s="0" t="s">
        <v>3876</v>
      </c>
      <c r="G203" s="0" t="s">
        <v>3877</v>
      </c>
    </row>
    <row r="204" customFormat="false" ht="15" hidden="false" customHeight="false" outlineLevel="0" collapsed="false">
      <c r="A204" s="0" t="s">
        <v>104</v>
      </c>
      <c r="B204" s="0" t="n">
        <v>2019</v>
      </c>
      <c r="C204" s="0" t="s">
        <v>54</v>
      </c>
      <c r="D204" s="0" t="n">
        <v>62667</v>
      </c>
      <c r="E204" s="0" t="s">
        <v>3876</v>
      </c>
      <c r="G204" s="0" t="s">
        <v>3877</v>
      </c>
    </row>
    <row r="205" customFormat="false" ht="15" hidden="false" customHeight="false" outlineLevel="0" collapsed="false">
      <c r="A205" s="0" t="s">
        <v>104</v>
      </c>
      <c r="B205" s="0" t="n">
        <v>2019</v>
      </c>
      <c r="C205" s="0" t="s">
        <v>670</v>
      </c>
      <c r="D205" s="0" t="n">
        <v>395926</v>
      </c>
      <c r="E205" s="0" t="s">
        <v>3876</v>
      </c>
      <c r="G205" s="0" t="s">
        <v>3877</v>
      </c>
    </row>
    <row r="206" customFormat="false" ht="15" hidden="false" customHeight="false" outlineLevel="0" collapsed="false">
      <c r="A206" s="0" t="s">
        <v>104</v>
      </c>
      <c r="B206" s="0" t="n">
        <v>2019</v>
      </c>
      <c r="C206" s="0" t="s">
        <v>55</v>
      </c>
      <c r="D206" s="0" t="n">
        <v>5869219</v>
      </c>
      <c r="E206" s="0" t="s">
        <v>3876</v>
      </c>
      <c r="G206" s="0" t="s">
        <v>3877</v>
      </c>
    </row>
    <row r="207" customFormat="false" ht="15" hidden="false" customHeight="false" outlineLevel="0" collapsed="false">
      <c r="A207" s="0" t="s">
        <v>104</v>
      </c>
      <c r="B207" s="0" t="n">
        <v>2019</v>
      </c>
      <c r="C207" s="0" t="s">
        <v>60</v>
      </c>
      <c r="D207" s="0" t="n">
        <v>1866023</v>
      </c>
      <c r="E207" s="0" t="s">
        <v>3876</v>
      </c>
      <c r="G207" s="0" t="s">
        <v>3877</v>
      </c>
    </row>
    <row r="208" customFormat="false" ht="15" hidden="false" customHeight="false" outlineLevel="0" collapsed="false">
      <c r="A208" s="0" t="s">
        <v>104</v>
      </c>
      <c r="B208" s="0" t="n">
        <v>2019</v>
      </c>
      <c r="C208" s="0" t="s">
        <v>61</v>
      </c>
      <c r="D208" s="0" t="n">
        <v>158400</v>
      </c>
      <c r="E208" s="0" t="s">
        <v>3876</v>
      </c>
      <c r="G208" s="0" t="s">
        <v>3877</v>
      </c>
    </row>
    <row r="209" customFormat="false" ht="15" hidden="false" customHeight="false" outlineLevel="0" collapsed="false">
      <c r="A209" s="0" t="s">
        <v>104</v>
      </c>
      <c r="B209" s="0" t="n">
        <v>2019</v>
      </c>
      <c r="C209" s="0" t="s">
        <v>63</v>
      </c>
      <c r="D209" s="0" t="n">
        <v>50821</v>
      </c>
      <c r="E209" s="0" t="s">
        <v>3876</v>
      </c>
      <c r="G209" s="0" t="s">
        <v>3877</v>
      </c>
    </row>
    <row r="210" customFormat="false" ht="15" hidden="false" customHeight="false" outlineLevel="0" collapsed="false">
      <c r="A210" s="0" t="s">
        <v>104</v>
      </c>
      <c r="B210" s="0" t="n">
        <v>2019</v>
      </c>
      <c r="C210" s="0" t="s">
        <v>266</v>
      </c>
      <c r="D210" s="0" t="n">
        <v>9.9</v>
      </c>
      <c r="E210" s="0" t="s">
        <v>3876</v>
      </c>
      <c r="G210" s="0" t="s">
        <v>3877</v>
      </c>
    </row>
    <row r="211" customFormat="false" ht="15" hidden="false" customHeight="false" outlineLevel="0" collapsed="false">
      <c r="A211" s="0" t="s">
        <v>104</v>
      </c>
      <c r="B211" s="0" t="n">
        <v>2019</v>
      </c>
      <c r="C211" s="0" t="s">
        <v>69</v>
      </c>
      <c r="D211" s="0" t="n">
        <v>15.45</v>
      </c>
      <c r="E211" s="0" t="s">
        <v>3876</v>
      </c>
      <c r="G211" s="0" t="s">
        <v>3877</v>
      </c>
    </row>
    <row r="212" customFormat="false" ht="15" hidden="false" customHeight="false" outlineLevel="0" collapsed="false">
      <c r="A212" s="0" t="s">
        <v>104</v>
      </c>
      <c r="B212" s="0" t="n">
        <v>2019</v>
      </c>
      <c r="C212" s="0" t="s">
        <v>73</v>
      </c>
      <c r="D212" s="0" t="n">
        <v>0</v>
      </c>
      <c r="E212" s="0" t="s">
        <v>3876</v>
      </c>
      <c r="G212" s="0" t="s">
        <v>3877</v>
      </c>
    </row>
    <row r="213" customFormat="false" ht="15" hidden="false" customHeight="false" outlineLevel="0" collapsed="false">
      <c r="A213" s="0" t="s">
        <v>104</v>
      </c>
      <c r="B213" s="0" t="n">
        <v>2019</v>
      </c>
      <c r="C213" s="0" t="s">
        <v>920</v>
      </c>
      <c r="D213" s="0" t="s">
        <v>3878</v>
      </c>
      <c r="E213" s="0" t="s">
        <v>3876</v>
      </c>
      <c r="G213" s="0" t="s">
        <v>3877</v>
      </c>
    </row>
    <row r="214" customFormat="false" ht="15" hidden="false" customHeight="false" outlineLevel="0" collapsed="false">
      <c r="A214" s="0" t="s">
        <v>104</v>
      </c>
      <c r="B214" s="0" t="n">
        <v>2020</v>
      </c>
      <c r="C214" s="0" t="s">
        <v>54</v>
      </c>
      <c r="D214" s="0" t="n">
        <v>67750</v>
      </c>
      <c r="E214" s="0" t="s">
        <v>3876</v>
      </c>
      <c r="G214" s="0" t="s">
        <v>3877</v>
      </c>
    </row>
    <row r="215" customFormat="false" ht="15" hidden="false" customHeight="false" outlineLevel="0" collapsed="false">
      <c r="A215" s="0" t="s">
        <v>104</v>
      </c>
      <c r="B215" s="0" t="n">
        <v>2020</v>
      </c>
      <c r="C215" s="0" t="s">
        <v>670</v>
      </c>
      <c r="D215" s="0" t="n">
        <v>399128</v>
      </c>
      <c r="E215" s="0" t="s">
        <v>3876</v>
      </c>
      <c r="G215" s="0" t="s">
        <v>3877</v>
      </c>
    </row>
    <row r="216" customFormat="false" ht="15" hidden="false" customHeight="false" outlineLevel="0" collapsed="false">
      <c r="A216" s="0" t="s">
        <v>104</v>
      </c>
      <c r="B216" s="0" t="n">
        <v>2020</v>
      </c>
      <c r="C216" s="0" t="s">
        <v>55</v>
      </c>
      <c r="D216" s="0" t="n">
        <v>7367465</v>
      </c>
      <c r="E216" s="0" t="s">
        <v>3876</v>
      </c>
      <c r="G216" s="0" t="s">
        <v>3877</v>
      </c>
    </row>
    <row r="217" customFormat="false" ht="15" hidden="false" customHeight="false" outlineLevel="0" collapsed="false">
      <c r="A217" s="0" t="s">
        <v>104</v>
      </c>
      <c r="B217" s="0" t="n">
        <v>2020</v>
      </c>
      <c r="C217" s="0" t="s">
        <v>60</v>
      </c>
      <c r="D217" s="0" t="n">
        <v>2222380</v>
      </c>
      <c r="E217" s="0" t="s">
        <v>3876</v>
      </c>
      <c r="G217" s="0" t="s">
        <v>3877</v>
      </c>
    </row>
    <row r="218" customFormat="false" ht="15" hidden="false" customHeight="false" outlineLevel="0" collapsed="false">
      <c r="A218" s="0" t="s">
        <v>104</v>
      </c>
      <c r="B218" s="0" t="n">
        <v>2020</v>
      </c>
      <c r="C218" s="0" t="s">
        <v>61</v>
      </c>
      <c r="D218" s="0" t="n">
        <v>144500</v>
      </c>
      <c r="E218" s="0" t="s">
        <v>3876</v>
      </c>
      <c r="G218" s="0" t="s">
        <v>3877</v>
      </c>
    </row>
    <row r="219" customFormat="false" ht="15" hidden="false" customHeight="false" outlineLevel="0" collapsed="false">
      <c r="A219" s="0" t="s">
        <v>104</v>
      </c>
      <c r="B219" s="0" t="n">
        <v>2020</v>
      </c>
      <c r="C219" s="0" t="s">
        <v>63</v>
      </c>
      <c r="D219" s="0" t="n">
        <v>64100</v>
      </c>
      <c r="E219" s="0" t="s">
        <v>3876</v>
      </c>
      <c r="G219" s="0" t="s">
        <v>3877</v>
      </c>
    </row>
    <row r="220" customFormat="false" ht="15" hidden="false" customHeight="false" outlineLevel="0" collapsed="false">
      <c r="A220" s="0" t="s">
        <v>104</v>
      </c>
      <c r="B220" s="0" t="n">
        <v>2020</v>
      </c>
      <c r="C220" s="0" t="s">
        <v>266</v>
      </c>
      <c r="D220" s="0" t="n">
        <v>7.7</v>
      </c>
      <c r="E220" s="0" t="s">
        <v>3876</v>
      </c>
      <c r="G220" s="0" t="s">
        <v>3877</v>
      </c>
    </row>
    <row r="221" customFormat="false" ht="15" hidden="false" customHeight="false" outlineLevel="0" collapsed="false">
      <c r="A221" s="0" t="s">
        <v>104</v>
      </c>
      <c r="B221" s="0" t="n">
        <v>2020</v>
      </c>
      <c r="C221" s="0" t="s">
        <v>69</v>
      </c>
      <c r="D221" s="0" t="n">
        <v>17.01</v>
      </c>
      <c r="E221" s="0" t="s">
        <v>3876</v>
      </c>
      <c r="G221" s="0" t="s">
        <v>3877</v>
      </c>
    </row>
    <row r="222" customFormat="false" ht="15" hidden="false" customHeight="false" outlineLevel="0" collapsed="false">
      <c r="A222" s="0" t="s">
        <v>104</v>
      </c>
      <c r="B222" s="0" t="n">
        <v>2020</v>
      </c>
      <c r="C222" s="0" t="s">
        <v>73</v>
      </c>
      <c r="D222" s="0" t="n">
        <v>0</v>
      </c>
      <c r="E222" s="0" t="s">
        <v>3876</v>
      </c>
      <c r="G222" s="0" t="s">
        <v>3877</v>
      </c>
    </row>
    <row r="223" customFormat="false" ht="15" hidden="false" customHeight="false" outlineLevel="0" collapsed="false">
      <c r="A223" s="0" t="s">
        <v>104</v>
      </c>
      <c r="B223" s="0" t="n">
        <v>2020</v>
      </c>
      <c r="C223" s="0" t="s">
        <v>920</v>
      </c>
      <c r="D223" s="0" t="s">
        <v>1973</v>
      </c>
      <c r="E223" s="0" t="s">
        <v>3876</v>
      </c>
      <c r="G223" s="0" t="s">
        <v>3877</v>
      </c>
    </row>
    <row r="224" customFormat="false" ht="15" hidden="false" customHeight="false" outlineLevel="0" collapsed="false">
      <c r="A224" s="0" t="s">
        <v>104</v>
      </c>
      <c r="B224" s="0" t="n">
        <v>2021</v>
      </c>
      <c r="C224" s="0" t="s">
        <v>54</v>
      </c>
      <c r="D224" s="0" t="n">
        <v>117840</v>
      </c>
      <c r="E224" s="0" t="s">
        <v>3876</v>
      </c>
      <c r="G224" s="0" t="s">
        <v>3877</v>
      </c>
    </row>
    <row r="225" customFormat="false" ht="15" hidden="false" customHeight="false" outlineLevel="0" collapsed="false">
      <c r="A225" s="0" t="s">
        <v>104</v>
      </c>
      <c r="B225" s="0" t="n">
        <v>2021</v>
      </c>
      <c r="C225" s="0" t="s">
        <v>670</v>
      </c>
      <c r="D225" s="0" t="n">
        <v>567875</v>
      </c>
      <c r="E225" s="0" t="s">
        <v>3876</v>
      </c>
      <c r="G225" s="0" t="s">
        <v>3877</v>
      </c>
    </row>
    <row r="226" customFormat="false" ht="15" hidden="false" customHeight="false" outlineLevel="0" collapsed="false">
      <c r="A226" s="0" t="s">
        <v>104</v>
      </c>
      <c r="B226" s="0" t="n">
        <v>2021</v>
      </c>
      <c r="C226" s="0" t="s">
        <v>55</v>
      </c>
      <c r="D226" s="0" t="n">
        <v>8542372</v>
      </c>
      <c r="E226" s="0" t="s">
        <v>3876</v>
      </c>
      <c r="G226" s="0" t="s">
        <v>3877</v>
      </c>
    </row>
    <row r="227" customFormat="false" ht="15" hidden="false" customHeight="false" outlineLevel="0" collapsed="false">
      <c r="A227" s="0" t="s">
        <v>104</v>
      </c>
      <c r="B227" s="0" t="n">
        <v>2021</v>
      </c>
      <c r="C227" s="0" t="s">
        <v>60</v>
      </c>
      <c r="D227" s="0" t="n">
        <v>2835233</v>
      </c>
      <c r="E227" s="0" t="s">
        <v>3876</v>
      </c>
      <c r="G227" s="0" t="s">
        <v>3877</v>
      </c>
    </row>
    <row r="228" customFormat="false" ht="15" hidden="false" customHeight="false" outlineLevel="0" collapsed="false">
      <c r="A228" s="0" t="s">
        <v>104</v>
      </c>
      <c r="B228" s="0" t="n">
        <v>2021</v>
      </c>
      <c r="C228" s="0" t="s">
        <v>61</v>
      </c>
      <c r="D228" s="0" t="n">
        <v>140200</v>
      </c>
      <c r="E228" s="0" t="s">
        <v>3876</v>
      </c>
      <c r="G228" s="0" t="s">
        <v>3877</v>
      </c>
    </row>
    <row r="229" customFormat="false" ht="15" hidden="false" customHeight="false" outlineLevel="0" collapsed="false">
      <c r="A229" s="0" t="s">
        <v>104</v>
      </c>
      <c r="B229" s="0" t="n">
        <v>2021</v>
      </c>
      <c r="C229" s="0" t="s">
        <v>63</v>
      </c>
      <c r="D229" s="0" t="n">
        <v>123080</v>
      </c>
      <c r="E229" s="0" t="s">
        <v>3876</v>
      </c>
      <c r="G229" s="0" t="s">
        <v>3877</v>
      </c>
    </row>
    <row r="230" customFormat="false" ht="15" hidden="false" customHeight="false" outlineLevel="0" collapsed="false">
      <c r="A230" s="0" t="s">
        <v>104</v>
      </c>
      <c r="B230" s="0" t="n">
        <v>2021</v>
      </c>
      <c r="C230" s="0" t="s">
        <v>266</v>
      </c>
      <c r="D230" s="0" t="n">
        <v>7.2</v>
      </c>
      <c r="E230" s="0" t="s">
        <v>3876</v>
      </c>
      <c r="G230" s="0" t="s">
        <v>3877</v>
      </c>
    </row>
    <row r="231" customFormat="false" ht="15" hidden="false" customHeight="false" outlineLevel="0" collapsed="false">
      <c r="A231" s="0" t="s">
        <v>104</v>
      </c>
      <c r="B231" s="0" t="n">
        <v>2021</v>
      </c>
      <c r="C231" s="0" t="s">
        <v>69</v>
      </c>
      <c r="D231" s="0" t="n">
        <v>17.39</v>
      </c>
      <c r="E231" s="0" t="s">
        <v>3876</v>
      </c>
      <c r="G231" s="0" t="s">
        <v>3877</v>
      </c>
    </row>
    <row r="232" customFormat="false" ht="15" hidden="false" customHeight="false" outlineLevel="0" collapsed="false">
      <c r="A232" s="0" t="s">
        <v>104</v>
      </c>
      <c r="B232" s="0" t="n">
        <v>2021</v>
      </c>
      <c r="C232" s="0" t="s">
        <v>73</v>
      </c>
      <c r="D232" s="0" t="n">
        <v>0</v>
      </c>
      <c r="E232" s="0" t="s">
        <v>3876</v>
      </c>
      <c r="G232" s="0" t="s">
        <v>3877</v>
      </c>
    </row>
    <row r="233" customFormat="false" ht="15" hidden="false" customHeight="false" outlineLevel="0" collapsed="false">
      <c r="A233" s="0" t="s">
        <v>104</v>
      </c>
      <c r="B233" s="0" t="n">
        <v>2021</v>
      </c>
      <c r="C233" s="0" t="s">
        <v>920</v>
      </c>
      <c r="D233" s="0" t="s">
        <v>1973</v>
      </c>
      <c r="E233" s="0" t="s">
        <v>3876</v>
      </c>
      <c r="G233" s="0" t="s">
        <v>3877</v>
      </c>
    </row>
    <row r="234" customFormat="false" ht="15" hidden="false" customHeight="false" outlineLevel="0" collapsed="false">
      <c r="A234" s="0" t="s">
        <v>104</v>
      </c>
      <c r="B234" s="0" t="n">
        <v>2022</v>
      </c>
      <c r="C234" s="0" t="s">
        <v>54</v>
      </c>
      <c r="D234" s="0" t="n">
        <v>129584</v>
      </c>
      <c r="E234" s="0" t="s">
        <v>3876</v>
      </c>
      <c r="G234" s="0" t="s">
        <v>3877</v>
      </c>
    </row>
    <row r="235" customFormat="false" ht="15" hidden="false" customHeight="false" outlineLevel="0" collapsed="false">
      <c r="A235" s="0" t="s">
        <v>104</v>
      </c>
      <c r="B235" s="0" t="n">
        <v>2022</v>
      </c>
      <c r="C235" s="0" t="s">
        <v>670</v>
      </c>
      <c r="D235" s="0" t="n">
        <v>555663</v>
      </c>
      <c r="E235" s="0" t="s">
        <v>3876</v>
      </c>
      <c r="G235" s="0" t="s">
        <v>3877</v>
      </c>
    </row>
    <row r="236" customFormat="false" ht="15" hidden="false" customHeight="false" outlineLevel="0" collapsed="false">
      <c r="A236" s="0" t="s">
        <v>104</v>
      </c>
      <c r="B236" s="0" t="n">
        <v>2022</v>
      </c>
      <c r="C236" s="0" t="s">
        <v>55</v>
      </c>
      <c r="D236" s="0" t="n">
        <v>10089910</v>
      </c>
      <c r="E236" s="0" t="s">
        <v>3876</v>
      </c>
      <c r="G236" s="0" t="s">
        <v>3877</v>
      </c>
    </row>
    <row r="237" customFormat="false" ht="15" hidden="false" customHeight="false" outlineLevel="0" collapsed="false">
      <c r="A237" s="0" t="s">
        <v>104</v>
      </c>
      <c r="B237" s="0" t="n">
        <v>2022</v>
      </c>
      <c r="C237" s="0" t="s">
        <v>60</v>
      </c>
      <c r="D237" s="0" t="n">
        <v>3699495</v>
      </c>
      <c r="E237" s="0" t="s">
        <v>3876</v>
      </c>
      <c r="G237" s="0" t="s">
        <v>3877</v>
      </c>
    </row>
    <row r="238" customFormat="false" ht="15" hidden="false" customHeight="false" outlineLevel="0" collapsed="false">
      <c r="A238" s="0" t="s">
        <v>104</v>
      </c>
      <c r="B238" s="0" t="n">
        <v>2022</v>
      </c>
      <c r="C238" s="0" t="s">
        <v>61</v>
      </c>
      <c r="D238" s="0" t="n">
        <v>132100</v>
      </c>
      <c r="E238" s="0" t="s">
        <v>3876</v>
      </c>
      <c r="G238" s="0" t="s">
        <v>3877</v>
      </c>
    </row>
    <row r="239" customFormat="false" ht="15" hidden="false" customHeight="false" outlineLevel="0" collapsed="false">
      <c r="A239" s="0" t="s">
        <v>104</v>
      </c>
      <c r="B239" s="0" t="n">
        <v>2022</v>
      </c>
      <c r="C239" s="0" t="s">
        <v>63</v>
      </c>
      <c r="D239" s="0" t="n">
        <v>66710</v>
      </c>
      <c r="E239" s="0" t="s">
        <v>3876</v>
      </c>
      <c r="G239" s="0" t="s">
        <v>3877</v>
      </c>
    </row>
    <row r="240" customFormat="false" ht="15" hidden="false" customHeight="false" outlineLevel="0" collapsed="false">
      <c r="A240" s="0" t="s">
        <v>104</v>
      </c>
      <c r="B240" s="0" t="n">
        <v>2022</v>
      </c>
      <c r="C240" s="0" t="s">
        <v>266</v>
      </c>
      <c r="D240" s="0" t="n">
        <v>5.4</v>
      </c>
      <c r="E240" s="0" t="s">
        <v>3876</v>
      </c>
      <c r="G240" s="0" t="s">
        <v>3877</v>
      </c>
    </row>
    <row r="241" customFormat="false" ht="15" hidden="false" customHeight="false" outlineLevel="0" collapsed="false">
      <c r="A241" s="0" t="s">
        <v>104</v>
      </c>
      <c r="B241" s="0" t="n">
        <v>2022</v>
      </c>
      <c r="C241" s="0" t="s">
        <v>69</v>
      </c>
      <c r="D241" s="0" t="n">
        <v>16.57</v>
      </c>
      <c r="E241" s="0" t="s">
        <v>3876</v>
      </c>
      <c r="G241" s="0" t="s">
        <v>3877</v>
      </c>
    </row>
    <row r="242" customFormat="false" ht="15" hidden="false" customHeight="false" outlineLevel="0" collapsed="false">
      <c r="A242" s="0" t="s">
        <v>104</v>
      </c>
      <c r="B242" s="0" t="n">
        <v>2022</v>
      </c>
      <c r="C242" s="0" t="s">
        <v>73</v>
      </c>
      <c r="D242" s="0" t="n">
        <v>0</v>
      </c>
      <c r="E242" s="0" t="s">
        <v>3876</v>
      </c>
      <c r="G242" s="0" t="s">
        <v>3877</v>
      </c>
    </row>
    <row r="243" customFormat="false" ht="15" hidden="false" customHeight="false" outlineLevel="0" collapsed="false">
      <c r="A243" s="0" t="s">
        <v>104</v>
      </c>
      <c r="B243" s="0" t="n">
        <v>2022</v>
      </c>
      <c r="C243" s="0" t="s">
        <v>920</v>
      </c>
      <c r="D243" s="0" t="s">
        <v>1973</v>
      </c>
      <c r="E243" s="0" t="s">
        <v>3876</v>
      </c>
      <c r="G243" s="0" t="s">
        <v>3877</v>
      </c>
    </row>
    <row r="244" customFormat="false" ht="15" hidden="false" customHeight="false" outlineLevel="0" collapsed="false">
      <c r="A244" s="0" t="s">
        <v>129</v>
      </c>
      <c r="B244" s="0" t="n">
        <v>2015</v>
      </c>
      <c r="C244" s="0" t="s">
        <v>54</v>
      </c>
      <c r="D244" s="0" t="n">
        <v>47642</v>
      </c>
      <c r="E244" s="0" t="s">
        <v>3876</v>
      </c>
      <c r="G244" s="0" t="s">
        <v>3877</v>
      </c>
    </row>
    <row r="245" customFormat="false" ht="15" hidden="false" customHeight="false" outlineLevel="0" collapsed="false">
      <c r="A245" s="0" t="s">
        <v>129</v>
      </c>
      <c r="B245" s="0" t="n">
        <v>2015</v>
      </c>
      <c r="C245" s="0" t="s">
        <v>670</v>
      </c>
      <c r="D245" s="0" t="n">
        <v>247378</v>
      </c>
      <c r="E245" s="0" t="s">
        <v>3876</v>
      </c>
      <c r="G245" s="0" t="s">
        <v>3877</v>
      </c>
    </row>
    <row r="246" customFormat="false" ht="15" hidden="false" customHeight="false" outlineLevel="0" collapsed="false">
      <c r="A246" s="0" t="s">
        <v>129</v>
      </c>
      <c r="B246" s="0" t="n">
        <v>2015</v>
      </c>
      <c r="C246" s="0" t="s">
        <v>55</v>
      </c>
      <c r="D246" s="0" t="n">
        <v>2216337</v>
      </c>
      <c r="E246" s="0" t="s">
        <v>3876</v>
      </c>
      <c r="G246" s="0" t="s">
        <v>3877</v>
      </c>
    </row>
    <row r="247" customFormat="false" ht="15" hidden="false" customHeight="false" outlineLevel="0" collapsed="false">
      <c r="A247" s="0" t="s">
        <v>129</v>
      </c>
      <c r="B247" s="0" t="n">
        <v>2015</v>
      </c>
      <c r="C247" s="0" t="s">
        <v>60</v>
      </c>
      <c r="D247" s="0" t="n">
        <v>835737</v>
      </c>
      <c r="E247" s="0" t="s">
        <v>3876</v>
      </c>
      <c r="G247" s="0" t="s">
        <v>3877</v>
      </c>
    </row>
    <row r="248" customFormat="false" ht="15" hidden="false" customHeight="false" outlineLevel="0" collapsed="false">
      <c r="A248" s="0" t="s">
        <v>129</v>
      </c>
      <c r="B248" s="0" t="n">
        <v>2015</v>
      </c>
      <c r="C248" s="0" t="s">
        <v>61</v>
      </c>
      <c r="D248" s="0" t="n">
        <v>14104</v>
      </c>
      <c r="E248" s="0" t="s">
        <v>3876</v>
      </c>
      <c r="G248" s="0" t="s">
        <v>3877</v>
      </c>
    </row>
    <row r="249" customFormat="false" ht="15" hidden="false" customHeight="false" outlineLevel="0" collapsed="false">
      <c r="A249" s="0" t="s">
        <v>129</v>
      </c>
      <c r="B249" s="0" t="n">
        <v>2015</v>
      </c>
      <c r="C249" s="0" t="s">
        <v>63</v>
      </c>
      <c r="D249" s="0" t="n">
        <v>3491</v>
      </c>
      <c r="E249" s="0" t="s">
        <v>3876</v>
      </c>
      <c r="G249" s="0" t="s">
        <v>3877</v>
      </c>
    </row>
    <row r="250" customFormat="false" ht="15" hidden="false" customHeight="false" outlineLevel="0" collapsed="false">
      <c r="A250" s="0" t="s">
        <v>129</v>
      </c>
      <c r="B250" s="0" t="n">
        <v>2015</v>
      </c>
      <c r="C250" s="0" t="s">
        <v>266</v>
      </c>
      <c r="D250" s="0" t="n">
        <v>0.91</v>
      </c>
      <c r="E250" s="0" t="s">
        <v>3876</v>
      </c>
      <c r="G250" s="0" t="s">
        <v>3877</v>
      </c>
    </row>
    <row r="251" customFormat="false" ht="15" hidden="false" customHeight="false" outlineLevel="0" collapsed="false">
      <c r="A251" s="0" t="s">
        <v>129</v>
      </c>
      <c r="B251" s="0" t="n">
        <v>2015</v>
      </c>
      <c r="C251" s="0" t="s">
        <v>69</v>
      </c>
      <c r="D251" s="0" t="n">
        <v>20</v>
      </c>
      <c r="E251" s="0" t="s">
        <v>3876</v>
      </c>
      <c r="G251" s="0" t="s">
        <v>3877</v>
      </c>
    </row>
    <row r="252" customFormat="false" ht="15" hidden="false" customHeight="false" outlineLevel="0" collapsed="false">
      <c r="A252" s="0" t="s">
        <v>129</v>
      </c>
      <c r="B252" s="0" t="n">
        <v>2015</v>
      </c>
      <c r="C252" s="0" t="s">
        <v>73</v>
      </c>
      <c r="D252" s="0" t="n">
        <v>0</v>
      </c>
      <c r="E252" s="0" t="s">
        <v>3876</v>
      </c>
      <c r="G252" s="0" t="s">
        <v>3877</v>
      </c>
    </row>
    <row r="253" customFormat="false" ht="15" hidden="false" customHeight="false" outlineLevel="0" collapsed="false">
      <c r="A253" s="0" t="s">
        <v>129</v>
      </c>
      <c r="B253" s="0" t="n">
        <v>2015</v>
      </c>
      <c r="C253" s="0" t="s">
        <v>920</v>
      </c>
      <c r="D253" s="0" t="s">
        <v>954</v>
      </c>
      <c r="E253" s="0" t="s">
        <v>3876</v>
      </c>
      <c r="G253" s="0" t="s">
        <v>3877</v>
      </c>
    </row>
    <row r="254" customFormat="false" ht="15" hidden="false" customHeight="false" outlineLevel="0" collapsed="false">
      <c r="A254" s="0" t="s">
        <v>129</v>
      </c>
      <c r="B254" s="0" t="n">
        <v>2016</v>
      </c>
      <c r="C254" s="0" t="s">
        <v>54</v>
      </c>
      <c r="D254" s="0" t="n">
        <v>47541</v>
      </c>
      <c r="E254" s="0" t="s">
        <v>3876</v>
      </c>
      <c r="G254" s="0" t="s">
        <v>3877</v>
      </c>
    </row>
    <row r="255" customFormat="false" ht="15" hidden="false" customHeight="false" outlineLevel="0" collapsed="false">
      <c r="A255" s="0" t="s">
        <v>129</v>
      </c>
      <c r="B255" s="0" t="n">
        <v>2016</v>
      </c>
      <c r="C255" s="0" t="s">
        <v>670</v>
      </c>
      <c r="D255" s="0" t="n">
        <v>269895</v>
      </c>
      <c r="E255" s="0" t="s">
        <v>3876</v>
      </c>
      <c r="G255" s="0" t="s">
        <v>3877</v>
      </c>
    </row>
    <row r="256" customFormat="false" ht="15" hidden="false" customHeight="false" outlineLevel="0" collapsed="false">
      <c r="A256" s="0" t="s">
        <v>129</v>
      </c>
      <c r="B256" s="0" t="n">
        <v>2016</v>
      </c>
      <c r="C256" s="0" t="s">
        <v>55</v>
      </c>
      <c r="D256" s="0" t="n">
        <v>2539585</v>
      </c>
      <c r="E256" s="0" t="s">
        <v>3876</v>
      </c>
      <c r="G256" s="0" t="s">
        <v>3877</v>
      </c>
    </row>
    <row r="257" customFormat="false" ht="15" hidden="false" customHeight="false" outlineLevel="0" collapsed="false">
      <c r="A257" s="0" t="s">
        <v>129</v>
      </c>
      <c r="B257" s="0" t="n">
        <v>2016</v>
      </c>
      <c r="C257" s="0" t="s">
        <v>60</v>
      </c>
      <c r="D257" s="0" t="n">
        <v>1120096</v>
      </c>
      <c r="E257" s="0" t="s">
        <v>3876</v>
      </c>
      <c r="G257" s="0" t="s">
        <v>3877</v>
      </c>
    </row>
    <row r="258" customFormat="false" ht="15" hidden="false" customHeight="false" outlineLevel="0" collapsed="false">
      <c r="A258" s="0" t="s">
        <v>129</v>
      </c>
      <c r="B258" s="0" t="n">
        <v>2016</v>
      </c>
      <c r="C258" s="0" t="s">
        <v>61</v>
      </c>
      <c r="D258" s="0" t="n">
        <v>32295</v>
      </c>
      <c r="E258" s="0" t="s">
        <v>3876</v>
      </c>
      <c r="G258" s="0" t="s">
        <v>3877</v>
      </c>
    </row>
    <row r="259" customFormat="false" ht="15" hidden="false" customHeight="false" outlineLevel="0" collapsed="false">
      <c r="A259" s="0" t="s">
        <v>129</v>
      </c>
      <c r="B259" s="0" t="n">
        <v>2016</v>
      </c>
      <c r="C259" s="0" t="s">
        <v>63</v>
      </c>
      <c r="D259" s="0" t="n">
        <v>25521</v>
      </c>
      <c r="E259" s="0" t="s">
        <v>3876</v>
      </c>
      <c r="G259" s="0" t="s">
        <v>3877</v>
      </c>
    </row>
    <row r="260" customFormat="false" ht="15" hidden="false" customHeight="false" outlineLevel="0" collapsed="false">
      <c r="A260" s="0" t="s">
        <v>129</v>
      </c>
      <c r="B260" s="0" t="n">
        <v>2016</v>
      </c>
      <c r="C260" s="0" t="s">
        <v>266</v>
      </c>
      <c r="D260" s="0" t="n">
        <v>5.1</v>
      </c>
      <c r="E260" s="0" t="s">
        <v>3876</v>
      </c>
      <c r="G260" s="0" t="s">
        <v>3877</v>
      </c>
    </row>
    <row r="261" customFormat="false" ht="15" hidden="false" customHeight="false" outlineLevel="0" collapsed="false">
      <c r="A261" s="0" t="s">
        <v>129</v>
      </c>
      <c r="B261" s="0" t="n">
        <v>2016</v>
      </c>
      <c r="C261" s="0" t="s">
        <v>69</v>
      </c>
      <c r="D261" s="0" t="n">
        <v>20</v>
      </c>
      <c r="E261" s="0" t="s">
        <v>3876</v>
      </c>
      <c r="G261" s="0" t="s">
        <v>3877</v>
      </c>
    </row>
    <row r="262" customFormat="false" ht="15" hidden="false" customHeight="false" outlineLevel="0" collapsed="false">
      <c r="A262" s="0" t="s">
        <v>129</v>
      </c>
      <c r="B262" s="0" t="n">
        <v>2016</v>
      </c>
      <c r="C262" s="0" t="s">
        <v>73</v>
      </c>
      <c r="D262" s="0" t="n">
        <v>0</v>
      </c>
      <c r="E262" s="0" t="s">
        <v>3876</v>
      </c>
      <c r="G262" s="0" t="s">
        <v>3877</v>
      </c>
    </row>
    <row r="263" customFormat="false" ht="15" hidden="false" customHeight="false" outlineLevel="0" collapsed="false">
      <c r="A263" s="0" t="s">
        <v>129</v>
      </c>
      <c r="B263" s="0" t="n">
        <v>2016</v>
      </c>
      <c r="C263" s="0" t="s">
        <v>920</v>
      </c>
      <c r="D263" s="0" t="s">
        <v>954</v>
      </c>
      <c r="E263" s="0" t="s">
        <v>3876</v>
      </c>
      <c r="G263" s="0" t="s">
        <v>3877</v>
      </c>
    </row>
    <row r="264" customFormat="false" ht="15" hidden="false" customHeight="false" outlineLevel="0" collapsed="false">
      <c r="A264" s="0" t="s">
        <v>129</v>
      </c>
      <c r="B264" s="0" t="n">
        <v>2017</v>
      </c>
      <c r="C264" s="0" t="s">
        <v>54</v>
      </c>
      <c r="D264" s="0" t="n">
        <v>41396</v>
      </c>
      <c r="E264" s="0" t="s">
        <v>3876</v>
      </c>
      <c r="G264" s="0" t="s">
        <v>3877</v>
      </c>
    </row>
    <row r="265" customFormat="false" ht="15" hidden="false" customHeight="false" outlineLevel="0" collapsed="false">
      <c r="A265" s="0" t="s">
        <v>129</v>
      </c>
      <c r="B265" s="0" t="n">
        <v>2017</v>
      </c>
      <c r="C265" s="0" t="s">
        <v>670</v>
      </c>
      <c r="D265" s="0" t="n">
        <v>316263</v>
      </c>
      <c r="E265" s="0" t="s">
        <v>3876</v>
      </c>
      <c r="G265" s="0" t="s">
        <v>3877</v>
      </c>
    </row>
    <row r="266" customFormat="false" ht="15" hidden="false" customHeight="false" outlineLevel="0" collapsed="false">
      <c r="A266" s="0" t="s">
        <v>129</v>
      </c>
      <c r="B266" s="0" t="n">
        <v>2017</v>
      </c>
      <c r="C266" s="0" t="s">
        <v>55</v>
      </c>
      <c r="D266" s="0" t="n">
        <v>2931826</v>
      </c>
      <c r="E266" s="0" t="s">
        <v>3876</v>
      </c>
      <c r="G266" s="0" t="s">
        <v>3877</v>
      </c>
    </row>
    <row r="267" customFormat="false" ht="15" hidden="false" customHeight="false" outlineLevel="0" collapsed="false">
      <c r="A267" s="0" t="s">
        <v>129</v>
      </c>
      <c r="B267" s="0" t="n">
        <v>2017</v>
      </c>
      <c r="C267" s="0" t="s">
        <v>60</v>
      </c>
      <c r="D267" s="0" t="n">
        <v>1204426</v>
      </c>
      <c r="E267" s="0" t="s">
        <v>3876</v>
      </c>
      <c r="G267" s="0" t="s">
        <v>3877</v>
      </c>
    </row>
    <row r="268" customFormat="false" ht="15" hidden="false" customHeight="false" outlineLevel="0" collapsed="false">
      <c r="A268" s="0" t="s">
        <v>129</v>
      </c>
      <c r="B268" s="0" t="n">
        <v>2017</v>
      </c>
      <c r="C268" s="0" t="s">
        <v>61</v>
      </c>
      <c r="D268" s="0" t="n">
        <v>31212</v>
      </c>
      <c r="E268" s="0" t="s">
        <v>3876</v>
      </c>
      <c r="G268" s="0" t="s">
        <v>3877</v>
      </c>
    </row>
    <row r="269" customFormat="false" ht="15" hidden="false" customHeight="false" outlineLevel="0" collapsed="false">
      <c r="A269" s="0" t="s">
        <v>129</v>
      </c>
      <c r="B269" s="0" t="n">
        <v>2017</v>
      </c>
      <c r="C269" s="0" t="s">
        <v>63</v>
      </c>
      <c r="D269" s="0" t="n">
        <v>30433</v>
      </c>
      <c r="E269" s="0" t="s">
        <v>3876</v>
      </c>
      <c r="G269" s="0" t="s">
        <v>3877</v>
      </c>
    </row>
    <row r="270" customFormat="false" ht="15" hidden="false" customHeight="false" outlineLevel="0" collapsed="false">
      <c r="A270" s="0" t="s">
        <v>129</v>
      </c>
      <c r="B270" s="0" t="n">
        <v>2017</v>
      </c>
      <c r="C270" s="0" t="s">
        <v>266</v>
      </c>
      <c r="D270" s="0" t="n">
        <v>3.7</v>
      </c>
      <c r="E270" s="0" t="s">
        <v>3876</v>
      </c>
      <c r="G270" s="0" t="s">
        <v>3877</v>
      </c>
    </row>
    <row r="271" customFormat="false" ht="15" hidden="false" customHeight="false" outlineLevel="0" collapsed="false">
      <c r="A271" s="0" t="s">
        <v>129</v>
      </c>
      <c r="B271" s="0" t="n">
        <v>2017</v>
      </c>
      <c r="C271" s="0" t="s">
        <v>69</v>
      </c>
      <c r="D271" s="0" t="n">
        <v>20</v>
      </c>
      <c r="E271" s="0" t="s">
        <v>3876</v>
      </c>
      <c r="G271" s="0" t="s">
        <v>3877</v>
      </c>
    </row>
    <row r="272" customFormat="false" ht="15" hidden="false" customHeight="false" outlineLevel="0" collapsed="false">
      <c r="A272" s="0" t="s">
        <v>129</v>
      </c>
      <c r="B272" s="0" t="n">
        <v>2017</v>
      </c>
      <c r="C272" s="0" t="s">
        <v>73</v>
      </c>
      <c r="D272" s="0" t="n">
        <v>0</v>
      </c>
      <c r="E272" s="0" t="s">
        <v>3876</v>
      </c>
      <c r="G272" s="0" t="s">
        <v>3877</v>
      </c>
    </row>
    <row r="273" customFormat="false" ht="15" hidden="false" customHeight="false" outlineLevel="0" collapsed="false">
      <c r="A273" s="0" t="s">
        <v>129</v>
      </c>
      <c r="B273" s="0" t="n">
        <v>2017</v>
      </c>
      <c r="C273" s="0" t="s">
        <v>920</v>
      </c>
      <c r="D273" s="0" t="s">
        <v>954</v>
      </c>
      <c r="E273" s="0" t="s">
        <v>3876</v>
      </c>
      <c r="G273" s="0" t="s">
        <v>3877</v>
      </c>
    </row>
    <row r="274" customFormat="false" ht="15" hidden="false" customHeight="false" outlineLevel="0" collapsed="false">
      <c r="A274" s="0" t="s">
        <v>129</v>
      </c>
      <c r="B274" s="0" t="n">
        <v>2018</v>
      </c>
      <c r="C274" s="0" t="s">
        <v>54</v>
      </c>
      <c r="D274" s="0" t="n">
        <v>41047</v>
      </c>
      <c r="E274" s="0" t="s">
        <v>3876</v>
      </c>
      <c r="G274" s="0" t="s">
        <v>3877</v>
      </c>
    </row>
    <row r="275" customFormat="false" ht="15" hidden="false" customHeight="false" outlineLevel="0" collapsed="false">
      <c r="A275" s="0" t="s">
        <v>129</v>
      </c>
      <c r="B275" s="0" t="n">
        <v>2018</v>
      </c>
      <c r="C275" s="0" t="s">
        <v>670</v>
      </c>
      <c r="D275" s="0" t="n">
        <v>341504</v>
      </c>
      <c r="E275" s="0" t="s">
        <v>3876</v>
      </c>
      <c r="G275" s="0" t="s">
        <v>3877</v>
      </c>
    </row>
    <row r="276" customFormat="false" ht="15" hidden="false" customHeight="false" outlineLevel="0" collapsed="false">
      <c r="A276" s="0" t="s">
        <v>129</v>
      </c>
      <c r="B276" s="0" t="n">
        <v>2018</v>
      </c>
      <c r="C276" s="0" t="s">
        <v>55</v>
      </c>
      <c r="D276" s="0" t="n">
        <v>3591305</v>
      </c>
      <c r="E276" s="0" t="s">
        <v>3876</v>
      </c>
      <c r="G276" s="0" t="s">
        <v>3877</v>
      </c>
    </row>
    <row r="277" customFormat="false" ht="15" hidden="false" customHeight="false" outlineLevel="0" collapsed="false">
      <c r="A277" s="0" t="s">
        <v>129</v>
      </c>
      <c r="B277" s="0" t="n">
        <v>2018</v>
      </c>
      <c r="C277" s="0" t="s">
        <v>60</v>
      </c>
      <c r="D277" s="0" t="n">
        <v>1274112</v>
      </c>
      <c r="E277" s="0" t="s">
        <v>3876</v>
      </c>
      <c r="G277" s="0" t="s">
        <v>3877</v>
      </c>
    </row>
    <row r="278" customFormat="false" ht="15" hidden="false" customHeight="false" outlineLevel="0" collapsed="false">
      <c r="A278" s="0" t="s">
        <v>129</v>
      </c>
      <c r="B278" s="0" t="n">
        <v>2018</v>
      </c>
      <c r="C278" s="0" t="s">
        <v>61</v>
      </c>
      <c r="D278" s="0" t="n">
        <v>60311</v>
      </c>
      <c r="E278" s="0" t="s">
        <v>3876</v>
      </c>
      <c r="G278" s="0" t="s">
        <v>3877</v>
      </c>
    </row>
    <row r="279" customFormat="false" ht="15" hidden="false" customHeight="false" outlineLevel="0" collapsed="false">
      <c r="A279" s="0" t="s">
        <v>129</v>
      </c>
      <c r="B279" s="0" t="n">
        <v>2018</v>
      </c>
      <c r="C279" s="0" t="s">
        <v>63</v>
      </c>
      <c r="D279" s="0" t="n">
        <v>4257</v>
      </c>
      <c r="E279" s="0" t="s">
        <v>3876</v>
      </c>
      <c r="G279" s="0" t="s">
        <v>3877</v>
      </c>
    </row>
    <row r="280" customFormat="false" ht="15" hidden="false" customHeight="false" outlineLevel="0" collapsed="false">
      <c r="A280" s="0" t="s">
        <v>129</v>
      </c>
      <c r="B280" s="0" t="n">
        <v>2018</v>
      </c>
      <c r="C280" s="0" t="s">
        <v>266</v>
      </c>
      <c r="D280" s="0" t="n">
        <v>4.2</v>
      </c>
      <c r="E280" s="0" t="s">
        <v>3876</v>
      </c>
      <c r="G280" s="0" t="s">
        <v>3877</v>
      </c>
    </row>
    <row r="281" customFormat="false" ht="15" hidden="false" customHeight="false" outlineLevel="0" collapsed="false">
      <c r="A281" s="0" t="s">
        <v>129</v>
      </c>
      <c r="B281" s="0" t="n">
        <v>2018</v>
      </c>
      <c r="C281" s="0" t="s">
        <v>69</v>
      </c>
      <c r="D281" s="0" t="n">
        <v>20</v>
      </c>
      <c r="E281" s="0" t="s">
        <v>3876</v>
      </c>
      <c r="G281" s="0" t="s">
        <v>3877</v>
      </c>
    </row>
    <row r="282" customFormat="false" ht="15" hidden="false" customHeight="false" outlineLevel="0" collapsed="false">
      <c r="A282" s="0" t="s">
        <v>129</v>
      </c>
      <c r="B282" s="0" t="n">
        <v>2018</v>
      </c>
      <c r="C282" s="0" t="s">
        <v>73</v>
      </c>
      <c r="D282" s="0" t="n">
        <v>0</v>
      </c>
      <c r="E282" s="0" t="s">
        <v>3876</v>
      </c>
      <c r="G282" s="0" t="s">
        <v>3877</v>
      </c>
    </row>
    <row r="283" customFormat="false" ht="15" hidden="false" customHeight="false" outlineLevel="0" collapsed="false">
      <c r="A283" s="0" t="s">
        <v>129</v>
      </c>
      <c r="B283" s="0" t="n">
        <v>2018</v>
      </c>
      <c r="C283" s="0" t="s">
        <v>920</v>
      </c>
      <c r="D283" s="0" t="s">
        <v>954</v>
      </c>
      <c r="E283" s="0" t="s">
        <v>3876</v>
      </c>
      <c r="G283" s="0" t="s">
        <v>3877</v>
      </c>
    </row>
    <row r="284" customFormat="false" ht="15" hidden="false" customHeight="false" outlineLevel="0" collapsed="false">
      <c r="A284" s="0" t="s">
        <v>129</v>
      </c>
      <c r="B284" s="0" t="n">
        <v>2019</v>
      </c>
      <c r="C284" s="0" t="s">
        <v>54</v>
      </c>
      <c r="D284" s="0" t="n">
        <v>62750</v>
      </c>
      <c r="E284" s="0" t="s">
        <v>3876</v>
      </c>
      <c r="G284" s="0" t="s">
        <v>3877</v>
      </c>
    </row>
    <row r="285" customFormat="false" ht="15" hidden="false" customHeight="false" outlineLevel="0" collapsed="false">
      <c r="A285" s="0" t="s">
        <v>129</v>
      </c>
      <c r="B285" s="0" t="n">
        <v>2019</v>
      </c>
      <c r="C285" s="0" t="s">
        <v>670</v>
      </c>
      <c r="D285" s="0" t="n">
        <v>412624</v>
      </c>
      <c r="E285" s="0" t="s">
        <v>3876</v>
      </c>
      <c r="G285" s="0" t="s">
        <v>3877</v>
      </c>
    </row>
    <row r="286" customFormat="false" ht="15" hidden="false" customHeight="false" outlineLevel="0" collapsed="false">
      <c r="A286" s="0" t="s">
        <v>129</v>
      </c>
      <c r="B286" s="0" t="n">
        <v>2019</v>
      </c>
      <c r="C286" s="0" t="s">
        <v>55</v>
      </c>
      <c r="D286" s="0" t="n">
        <v>4136493</v>
      </c>
      <c r="E286" s="0" t="s">
        <v>3876</v>
      </c>
      <c r="G286" s="0" t="s">
        <v>3877</v>
      </c>
    </row>
    <row r="287" customFormat="false" ht="15" hidden="false" customHeight="false" outlineLevel="0" collapsed="false">
      <c r="A287" s="0" t="s">
        <v>129</v>
      </c>
      <c r="B287" s="0" t="n">
        <v>2019</v>
      </c>
      <c r="C287" s="0" t="s">
        <v>60</v>
      </c>
      <c r="D287" s="0" t="n">
        <v>1557358</v>
      </c>
      <c r="E287" s="0" t="s">
        <v>3876</v>
      </c>
      <c r="G287" s="0" t="s">
        <v>3877</v>
      </c>
    </row>
    <row r="288" customFormat="false" ht="15" hidden="false" customHeight="false" outlineLevel="0" collapsed="false">
      <c r="A288" s="0" t="s">
        <v>129</v>
      </c>
      <c r="B288" s="0" t="n">
        <v>2019</v>
      </c>
      <c r="C288" s="0" t="s">
        <v>61</v>
      </c>
      <c r="D288" s="0" t="n">
        <v>53978</v>
      </c>
      <c r="E288" s="0" t="s">
        <v>3876</v>
      </c>
      <c r="G288" s="0" t="s">
        <v>3877</v>
      </c>
    </row>
    <row r="289" customFormat="false" ht="15" hidden="false" customHeight="false" outlineLevel="0" collapsed="false">
      <c r="A289" s="0" t="s">
        <v>129</v>
      </c>
      <c r="B289" s="0" t="n">
        <v>2019</v>
      </c>
      <c r="C289" s="0" t="s">
        <v>63</v>
      </c>
      <c r="D289" s="0" t="n">
        <v>16369</v>
      </c>
      <c r="E289" s="0" t="s">
        <v>3876</v>
      </c>
      <c r="G289" s="0" t="s">
        <v>3877</v>
      </c>
    </row>
    <row r="290" customFormat="false" ht="15" hidden="false" customHeight="false" outlineLevel="0" collapsed="false">
      <c r="A290" s="0" t="s">
        <v>129</v>
      </c>
      <c r="B290" s="0" t="n">
        <v>2019</v>
      </c>
      <c r="C290" s="0" t="s">
        <v>266</v>
      </c>
      <c r="D290" s="0" t="n">
        <v>2.87</v>
      </c>
      <c r="E290" s="0" t="s">
        <v>3876</v>
      </c>
      <c r="G290" s="0" t="s">
        <v>3877</v>
      </c>
    </row>
    <row r="291" customFormat="false" ht="15" hidden="false" customHeight="false" outlineLevel="0" collapsed="false">
      <c r="A291" s="0" t="s">
        <v>129</v>
      </c>
      <c r="B291" s="0" t="n">
        <v>2019</v>
      </c>
      <c r="C291" s="0" t="s">
        <v>69</v>
      </c>
      <c r="D291" s="0" t="n">
        <v>20.39</v>
      </c>
      <c r="E291" s="0" t="s">
        <v>3876</v>
      </c>
      <c r="G291" s="0" t="s">
        <v>3877</v>
      </c>
    </row>
    <row r="292" customFormat="false" ht="15" hidden="false" customHeight="false" outlineLevel="0" collapsed="false">
      <c r="A292" s="0" t="s">
        <v>129</v>
      </c>
      <c r="B292" s="0" t="n">
        <v>2019</v>
      </c>
      <c r="C292" s="0" t="s">
        <v>73</v>
      </c>
      <c r="D292" s="0" t="n">
        <v>0</v>
      </c>
      <c r="E292" s="0" t="s">
        <v>3876</v>
      </c>
      <c r="G292" s="0" t="s">
        <v>3877</v>
      </c>
    </row>
    <row r="293" customFormat="false" ht="15" hidden="false" customHeight="false" outlineLevel="0" collapsed="false">
      <c r="A293" s="0" t="s">
        <v>129</v>
      </c>
      <c r="B293" s="0" t="n">
        <v>2019</v>
      </c>
      <c r="C293" s="0" t="s">
        <v>920</v>
      </c>
      <c r="D293" s="0" t="s">
        <v>976</v>
      </c>
      <c r="E293" s="0" t="s">
        <v>3876</v>
      </c>
      <c r="G293" s="0" t="s">
        <v>3877</v>
      </c>
    </row>
    <row r="294" customFormat="false" ht="15" hidden="false" customHeight="false" outlineLevel="0" collapsed="false">
      <c r="A294" s="0" t="s">
        <v>129</v>
      </c>
      <c r="B294" s="0" t="n">
        <v>2020</v>
      </c>
      <c r="C294" s="0" t="s">
        <v>54</v>
      </c>
      <c r="D294" s="0" t="n">
        <v>56911</v>
      </c>
      <c r="E294" s="0" t="s">
        <v>3876</v>
      </c>
      <c r="G294" s="0" t="s">
        <v>3877</v>
      </c>
    </row>
    <row r="295" customFormat="false" ht="15" hidden="false" customHeight="false" outlineLevel="0" collapsed="false">
      <c r="A295" s="0" t="s">
        <v>129</v>
      </c>
      <c r="B295" s="0" t="n">
        <v>2020</v>
      </c>
      <c r="C295" s="0" t="s">
        <v>670</v>
      </c>
      <c r="D295" s="0" t="n">
        <v>381476</v>
      </c>
      <c r="E295" s="0" t="s">
        <v>3876</v>
      </c>
      <c r="G295" s="0" t="s">
        <v>3877</v>
      </c>
    </row>
    <row r="296" customFormat="false" ht="15" hidden="false" customHeight="false" outlineLevel="0" collapsed="false">
      <c r="A296" s="0" t="s">
        <v>129</v>
      </c>
      <c r="B296" s="0" t="n">
        <v>2020</v>
      </c>
      <c r="C296" s="0" t="s">
        <v>55</v>
      </c>
      <c r="D296" s="0" t="n">
        <v>5207833</v>
      </c>
      <c r="E296" s="0" t="s">
        <v>3876</v>
      </c>
      <c r="G296" s="0" t="s">
        <v>3877</v>
      </c>
    </row>
    <row r="297" customFormat="false" ht="15" hidden="false" customHeight="false" outlineLevel="0" collapsed="false">
      <c r="A297" s="0" t="s">
        <v>129</v>
      </c>
      <c r="B297" s="0" t="n">
        <v>2020</v>
      </c>
      <c r="C297" s="0" t="s">
        <v>60</v>
      </c>
      <c r="D297" s="0" t="n">
        <v>1874858</v>
      </c>
      <c r="E297" s="0" t="s">
        <v>3876</v>
      </c>
      <c r="G297" s="0" t="s">
        <v>3877</v>
      </c>
    </row>
    <row r="298" customFormat="false" ht="15" hidden="false" customHeight="false" outlineLevel="0" collapsed="false">
      <c r="A298" s="0" t="s">
        <v>129</v>
      </c>
      <c r="B298" s="0" t="n">
        <v>2020</v>
      </c>
      <c r="C298" s="0" t="s">
        <v>61</v>
      </c>
      <c r="D298" s="0" t="n">
        <v>62322</v>
      </c>
      <c r="E298" s="0" t="s">
        <v>3876</v>
      </c>
      <c r="G298" s="0" t="s">
        <v>3877</v>
      </c>
    </row>
    <row r="299" customFormat="false" ht="15" hidden="false" customHeight="false" outlineLevel="0" collapsed="false">
      <c r="A299" s="0" t="s">
        <v>129</v>
      </c>
      <c r="B299" s="0" t="n">
        <v>2020</v>
      </c>
      <c r="C299" s="0" t="s">
        <v>63</v>
      </c>
      <c r="D299" s="0" t="n">
        <v>21864</v>
      </c>
      <c r="E299" s="0" t="s">
        <v>3876</v>
      </c>
      <c r="G299" s="0" t="s">
        <v>3877</v>
      </c>
    </row>
    <row r="300" customFormat="false" ht="15" hidden="false" customHeight="false" outlineLevel="0" collapsed="false">
      <c r="A300" s="0" t="s">
        <v>129</v>
      </c>
      <c r="B300" s="0" t="n">
        <v>2020</v>
      </c>
      <c r="C300" s="0" t="s">
        <v>266</v>
      </c>
      <c r="D300" s="0" t="n">
        <v>2.2</v>
      </c>
      <c r="E300" s="0" t="s">
        <v>3876</v>
      </c>
      <c r="G300" s="0" t="s">
        <v>3877</v>
      </c>
    </row>
    <row r="301" customFormat="false" ht="15" hidden="false" customHeight="false" outlineLevel="0" collapsed="false">
      <c r="A301" s="0" t="s">
        <v>129</v>
      </c>
      <c r="B301" s="0" t="n">
        <v>2020</v>
      </c>
      <c r="C301" s="0" t="s">
        <v>69</v>
      </c>
      <c r="D301" s="0" t="n">
        <v>19.7</v>
      </c>
      <c r="E301" s="0" t="s">
        <v>3876</v>
      </c>
      <c r="G301" s="0" t="s">
        <v>3877</v>
      </c>
    </row>
    <row r="302" customFormat="false" ht="15" hidden="false" customHeight="false" outlineLevel="0" collapsed="false">
      <c r="A302" s="0" t="s">
        <v>129</v>
      </c>
      <c r="B302" s="0" t="n">
        <v>2020</v>
      </c>
      <c r="C302" s="0" t="s">
        <v>73</v>
      </c>
      <c r="D302" s="0" t="n">
        <v>0</v>
      </c>
      <c r="E302" s="0" t="s">
        <v>3876</v>
      </c>
      <c r="G302" s="0" t="s">
        <v>3877</v>
      </c>
    </row>
    <row r="303" customFormat="false" ht="15" hidden="false" customHeight="false" outlineLevel="0" collapsed="false">
      <c r="A303" s="0" t="s">
        <v>129</v>
      </c>
      <c r="B303" s="0" t="n">
        <v>2020</v>
      </c>
      <c r="C303" s="0" t="s">
        <v>920</v>
      </c>
      <c r="D303" s="0" t="s">
        <v>976</v>
      </c>
      <c r="E303" s="0" t="s">
        <v>3876</v>
      </c>
      <c r="G303" s="0" t="s">
        <v>3877</v>
      </c>
    </row>
    <row r="304" customFormat="false" ht="15" hidden="false" customHeight="false" outlineLevel="0" collapsed="false">
      <c r="A304" s="0" t="s">
        <v>129</v>
      </c>
      <c r="B304" s="0" t="n">
        <v>2021</v>
      </c>
      <c r="C304" s="0" t="s">
        <v>54</v>
      </c>
      <c r="D304" s="0" t="n">
        <v>58669</v>
      </c>
      <c r="E304" s="0" t="s">
        <v>3876</v>
      </c>
      <c r="G304" s="0" t="s">
        <v>3877</v>
      </c>
    </row>
    <row r="305" customFormat="false" ht="15" hidden="false" customHeight="false" outlineLevel="0" collapsed="false">
      <c r="A305" s="0" t="s">
        <v>129</v>
      </c>
      <c r="B305" s="0" t="n">
        <v>2021</v>
      </c>
      <c r="C305" s="0" t="s">
        <v>670</v>
      </c>
      <c r="D305" s="0" t="n">
        <v>381493</v>
      </c>
      <c r="E305" s="0" t="s">
        <v>3876</v>
      </c>
      <c r="G305" s="0" t="s">
        <v>3877</v>
      </c>
    </row>
    <row r="306" customFormat="false" ht="15" hidden="false" customHeight="false" outlineLevel="0" collapsed="false">
      <c r="A306" s="0" t="s">
        <v>129</v>
      </c>
      <c r="B306" s="0" t="n">
        <v>2021</v>
      </c>
      <c r="C306" s="0" t="s">
        <v>55</v>
      </c>
      <c r="D306" s="0" t="n">
        <v>5574976</v>
      </c>
      <c r="E306" s="0" t="s">
        <v>3876</v>
      </c>
      <c r="G306" s="0" t="s">
        <v>3877</v>
      </c>
    </row>
    <row r="307" customFormat="false" ht="15" hidden="false" customHeight="false" outlineLevel="0" collapsed="false">
      <c r="A307" s="0" t="s">
        <v>129</v>
      </c>
      <c r="B307" s="0" t="n">
        <v>2021</v>
      </c>
      <c r="C307" s="0" t="s">
        <v>60</v>
      </c>
      <c r="D307" s="0" t="n">
        <v>1913403</v>
      </c>
      <c r="E307" s="0" t="s">
        <v>3876</v>
      </c>
      <c r="G307" s="0" t="s">
        <v>3877</v>
      </c>
    </row>
    <row r="308" customFormat="false" ht="15" hidden="false" customHeight="false" outlineLevel="0" collapsed="false">
      <c r="A308" s="0" t="s">
        <v>129</v>
      </c>
      <c r="B308" s="0" t="n">
        <v>2021</v>
      </c>
      <c r="C308" s="0" t="s">
        <v>61</v>
      </c>
      <c r="D308" s="0" t="n">
        <v>65301</v>
      </c>
      <c r="E308" s="0" t="s">
        <v>3876</v>
      </c>
      <c r="G308" s="0" t="s">
        <v>3877</v>
      </c>
    </row>
    <row r="309" customFormat="false" ht="15" hidden="false" customHeight="false" outlineLevel="0" collapsed="false">
      <c r="A309" s="0" t="s">
        <v>129</v>
      </c>
      <c r="B309" s="0" t="n">
        <v>2021</v>
      </c>
      <c r="C309" s="0" t="s">
        <v>63</v>
      </c>
      <c r="D309" s="0" t="n">
        <v>9749</v>
      </c>
      <c r="E309" s="0" t="s">
        <v>3876</v>
      </c>
      <c r="G309" s="0" t="s">
        <v>3877</v>
      </c>
    </row>
    <row r="310" customFormat="false" ht="15" hidden="false" customHeight="false" outlineLevel="0" collapsed="false">
      <c r="A310" s="0" t="s">
        <v>129</v>
      </c>
      <c r="B310" s="0" t="n">
        <v>2021</v>
      </c>
      <c r="C310" s="0" t="s">
        <v>266</v>
      </c>
      <c r="D310" s="0" t="n">
        <v>3.2</v>
      </c>
      <c r="E310" s="0" t="s">
        <v>3876</v>
      </c>
      <c r="G310" s="0" t="s">
        <v>3877</v>
      </c>
    </row>
    <row r="311" customFormat="false" ht="15" hidden="false" customHeight="false" outlineLevel="0" collapsed="false">
      <c r="A311" s="0" t="s">
        <v>129</v>
      </c>
      <c r="B311" s="0" t="n">
        <v>2021</v>
      </c>
      <c r="C311" s="0" t="s">
        <v>69</v>
      </c>
      <c r="D311" s="0" t="n">
        <v>21.8</v>
      </c>
      <c r="E311" s="0" t="s">
        <v>3876</v>
      </c>
      <c r="G311" s="0" t="s">
        <v>3877</v>
      </c>
    </row>
    <row r="312" customFormat="false" ht="15" hidden="false" customHeight="false" outlineLevel="0" collapsed="false">
      <c r="A312" s="0" t="s">
        <v>129</v>
      </c>
      <c r="B312" s="0" t="n">
        <v>2021</v>
      </c>
      <c r="C312" s="0" t="s">
        <v>73</v>
      </c>
      <c r="D312" s="0" t="n">
        <v>0</v>
      </c>
      <c r="E312" s="0" t="s">
        <v>3876</v>
      </c>
      <c r="G312" s="0" t="s">
        <v>3877</v>
      </c>
    </row>
    <row r="313" customFormat="false" ht="15" hidden="false" customHeight="false" outlineLevel="0" collapsed="false">
      <c r="A313" s="0" t="s">
        <v>129</v>
      </c>
      <c r="B313" s="0" t="n">
        <v>2021</v>
      </c>
      <c r="C313" s="0" t="s">
        <v>920</v>
      </c>
      <c r="D313" s="0" t="s">
        <v>976</v>
      </c>
      <c r="E313" s="0" t="s">
        <v>3876</v>
      </c>
      <c r="G313" s="0" t="s">
        <v>3877</v>
      </c>
    </row>
    <row r="314" customFormat="false" ht="15" hidden="false" customHeight="false" outlineLevel="0" collapsed="false">
      <c r="A314" s="0" t="s">
        <v>129</v>
      </c>
      <c r="B314" s="0" t="n">
        <v>2022</v>
      </c>
      <c r="C314" s="0" t="s">
        <v>54</v>
      </c>
      <c r="D314" s="0" t="n">
        <v>133696</v>
      </c>
      <c r="E314" s="0" t="s">
        <v>3876</v>
      </c>
      <c r="G314" s="0" t="s">
        <v>3877</v>
      </c>
    </row>
    <row r="315" customFormat="false" ht="15" hidden="false" customHeight="false" outlineLevel="0" collapsed="false">
      <c r="A315" s="0" t="s">
        <v>129</v>
      </c>
      <c r="B315" s="0" t="n">
        <v>2022</v>
      </c>
      <c r="C315" s="0" t="s">
        <v>670</v>
      </c>
      <c r="D315" s="0" t="n">
        <v>564555</v>
      </c>
      <c r="E315" s="0" t="s">
        <v>3876</v>
      </c>
      <c r="G315" s="0" t="s">
        <v>3877</v>
      </c>
    </row>
    <row r="316" customFormat="false" ht="15" hidden="false" customHeight="false" outlineLevel="0" collapsed="false">
      <c r="A316" s="0" t="s">
        <v>129</v>
      </c>
      <c r="B316" s="0" t="n">
        <v>2022</v>
      </c>
      <c r="C316" s="0" t="s">
        <v>55</v>
      </c>
      <c r="D316" s="0" t="n">
        <v>7361044</v>
      </c>
      <c r="E316" s="0" t="s">
        <v>3876</v>
      </c>
      <c r="G316" s="0" t="s">
        <v>3877</v>
      </c>
    </row>
    <row r="317" customFormat="false" ht="15" hidden="false" customHeight="false" outlineLevel="0" collapsed="false">
      <c r="A317" s="0" t="s">
        <v>129</v>
      </c>
      <c r="B317" s="0" t="n">
        <v>2022</v>
      </c>
      <c r="C317" s="0" t="s">
        <v>60</v>
      </c>
      <c r="D317" s="0" t="n">
        <v>2174779</v>
      </c>
      <c r="E317" s="0" t="s">
        <v>3876</v>
      </c>
      <c r="G317" s="0" t="s">
        <v>3877</v>
      </c>
    </row>
    <row r="318" customFormat="false" ht="15" hidden="false" customHeight="false" outlineLevel="0" collapsed="false">
      <c r="A318" s="0" t="s">
        <v>129</v>
      </c>
      <c r="B318" s="0" t="n">
        <v>2022</v>
      </c>
      <c r="C318" s="0" t="s">
        <v>61</v>
      </c>
      <c r="D318" s="0" t="n">
        <v>51682</v>
      </c>
      <c r="E318" s="0" t="s">
        <v>3876</v>
      </c>
      <c r="G318" s="0" t="s">
        <v>3877</v>
      </c>
    </row>
    <row r="319" customFormat="false" ht="15" hidden="false" customHeight="false" outlineLevel="0" collapsed="false">
      <c r="A319" s="0" t="s">
        <v>129</v>
      </c>
      <c r="B319" s="0" t="n">
        <v>2022</v>
      </c>
      <c r="C319" s="0" t="s">
        <v>63</v>
      </c>
      <c r="D319" s="0" t="n">
        <v>10565</v>
      </c>
      <c r="E319" s="0" t="s">
        <v>3876</v>
      </c>
      <c r="G319" s="0" t="s">
        <v>3877</v>
      </c>
    </row>
    <row r="320" customFormat="false" ht="15" hidden="false" customHeight="false" outlineLevel="0" collapsed="false">
      <c r="A320" s="0" t="s">
        <v>129</v>
      </c>
      <c r="B320" s="0" t="n">
        <v>2022</v>
      </c>
      <c r="C320" s="0" t="s">
        <v>266</v>
      </c>
      <c r="D320" s="0" t="n">
        <v>3.1</v>
      </c>
      <c r="E320" s="0" t="s">
        <v>3876</v>
      </c>
      <c r="G320" s="0" t="s">
        <v>3877</v>
      </c>
    </row>
    <row r="321" customFormat="false" ht="15" hidden="false" customHeight="false" outlineLevel="0" collapsed="false">
      <c r="A321" s="0" t="s">
        <v>129</v>
      </c>
      <c r="B321" s="0" t="n">
        <v>2022</v>
      </c>
      <c r="C321" s="0" t="s">
        <v>69</v>
      </c>
      <c r="D321" s="0" t="n">
        <v>21.9</v>
      </c>
      <c r="E321" s="0" t="s">
        <v>3876</v>
      </c>
      <c r="G321" s="0" t="s">
        <v>3877</v>
      </c>
    </row>
    <row r="322" customFormat="false" ht="15" hidden="false" customHeight="false" outlineLevel="0" collapsed="false">
      <c r="A322" s="0" t="s">
        <v>129</v>
      </c>
      <c r="B322" s="0" t="n">
        <v>2022</v>
      </c>
      <c r="C322" s="0" t="s">
        <v>73</v>
      </c>
      <c r="D322" s="0" t="n">
        <v>0</v>
      </c>
      <c r="E322" s="0" t="s">
        <v>3876</v>
      </c>
      <c r="G322" s="0" t="s">
        <v>3877</v>
      </c>
    </row>
    <row r="323" customFormat="false" ht="15" hidden="false" customHeight="false" outlineLevel="0" collapsed="false">
      <c r="A323" s="0" t="s">
        <v>129</v>
      </c>
      <c r="B323" s="0" t="n">
        <v>2022</v>
      </c>
      <c r="C323" s="0" t="s">
        <v>920</v>
      </c>
      <c r="D323" s="0" t="s">
        <v>976</v>
      </c>
      <c r="E323" s="0" t="s">
        <v>3876</v>
      </c>
      <c r="G323" s="0" t="s">
        <v>3877</v>
      </c>
    </row>
    <row r="324" customFormat="false" ht="15" hidden="false" customHeight="false" outlineLevel="0" collapsed="false">
      <c r="A324" s="0" t="s">
        <v>109</v>
      </c>
      <c r="B324" s="0" t="n">
        <v>2015</v>
      </c>
      <c r="C324" s="0" t="s">
        <v>54</v>
      </c>
      <c r="D324" s="0" t="n">
        <v>94308</v>
      </c>
      <c r="E324" s="0" t="s">
        <v>3876</v>
      </c>
      <c r="G324" s="0" t="s">
        <v>3877</v>
      </c>
    </row>
    <row r="325" customFormat="false" ht="15" hidden="false" customHeight="false" outlineLevel="0" collapsed="false">
      <c r="A325" s="0" t="s">
        <v>109</v>
      </c>
      <c r="B325" s="0" t="n">
        <v>2015</v>
      </c>
      <c r="C325" s="0" t="s">
        <v>670</v>
      </c>
      <c r="D325" s="0" t="n">
        <v>268876</v>
      </c>
      <c r="E325" s="0" t="s">
        <v>3876</v>
      </c>
      <c r="G325" s="0" t="s">
        <v>3877</v>
      </c>
    </row>
    <row r="326" customFormat="false" ht="15" hidden="false" customHeight="false" outlineLevel="0" collapsed="false">
      <c r="A326" s="0" t="s">
        <v>109</v>
      </c>
      <c r="B326" s="0" t="n">
        <v>2015</v>
      </c>
      <c r="C326" s="0" t="s">
        <v>55</v>
      </c>
      <c r="D326" s="0" t="n">
        <v>2277629</v>
      </c>
      <c r="E326" s="0" t="s">
        <v>3876</v>
      </c>
      <c r="G326" s="0" t="s">
        <v>3877</v>
      </c>
    </row>
    <row r="327" customFormat="false" ht="15" hidden="false" customHeight="false" outlineLevel="0" collapsed="false">
      <c r="A327" s="0" t="s">
        <v>109</v>
      </c>
      <c r="B327" s="0" t="n">
        <v>2015</v>
      </c>
      <c r="C327" s="0" t="s">
        <v>60</v>
      </c>
      <c r="D327" s="0" t="n">
        <v>1265207</v>
      </c>
      <c r="E327" s="0" t="s">
        <v>3876</v>
      </c>
      <c r="G327" s="0" t="s">
        <v>3877</v>
      </c>
    </row>
    <row r="328" customFormat="false" ht="15" hidden="false" customHeight="false" outlineLevel="0" collapsed="false">
      <c r="A328" s="0" t="s">
        <v>109</v>
      </c>
      <c r="B328" s="0" t="n">
        <v>2015</v>
      </c>
      <c r="C328" s="0" t="s">
        <v>61</v>
      </c>
      <c r="D328" s="0" t="n">
        <v>26309</v>
      </c>
      <c r="E328" s="0" t="s">
        <v>3876</v>
      </c>
      <c r="G328" s="0" t="s">
        <v>3877</v>
      </c>
    </row>
    <row r="329" customFormat="false" ht="15" hidden="false" customHeight="false" outlineLevel="0" collapsed="false">
      <c r="A329" s="0" t="s">
        <v>109</v>
      </c>
      <c r="B329" s="0" t="n">
        <v>2015</v>
      </c>
      <c r="C329" s="0" t="s">
        <v>63</v>
      </c>
      <c r="D329" s="0" t="n">
        <v>11769</v>
      </c>
      <c r="E329" s="0" t="s">
        <v>3876</v>
      </c>
      <c r="G329" s="0" t="s">
        <v>3877</v>
      </c>
    </row>
    <row r="330" customFormat="false" ht="15" hidden="false" customHeight="false" outlineLevel="0" collapsed="false">
      <c r="A330" s="0" t="s">
        <v>109</v>
      </c>
      <c r="B330" s="0" t="n">
        <v>2015</v>
      </c>
      <c r="C330" s="0" t="s">
        <v>266</v>
      </c>
      <c r="D330" s="0" t="n">
        <v>15.72</v>
      </c>
      <c r="E330" s="0" t="s">
        <v>3876</v>
      </c>
      <c r="G330" s="0" t="s">
        <v>3877</v>
      </c>
    </row>
    <row r="331" customFormat="false" ht="15" hidden="false" customHeight="false" outlineLevel="0" collapsed="false">
      <c r="A331" s="0" t="s">
        <v>109</v>
      </c>
      <c r="B331" s="0" t="n">
        <v>2015</v>
      </c>
      <c r="C331" s="0" t="s">
        <v>69</v>
      </c>
      <c r="D331" s="0" t="n">
        <v>18.17</v>
      </c>
      <c r="E331" s="0" t="s">
        <v>3876</v>
      </c>
      <c r="G331" s="0" t="s">
        <v>3877</v>
      </c>
    </row>
    <row r="332" customFormat="false" ht="15" hidden="false" customHeight="false" outlineLevel="0" collapsed="false">
      <c r="A332" s="0" t="s">
        <v>109</v>
      </c>
      <c r="B332" s="0" t="n">
        <v>2015</v>
      </c>
      <c r="C332" s="0" t="s">
        <v>73</v>
      </c>
      <c r="D332" s="0" t="n">
        <v>0</v>
      </c>
      <c r="E332" s="0" t="s">
        <v>3876</v>
      </c>
      <c r="G332" s="0" t="s">
        <v>3877</v>
      </c>
    </row>
    <row r="333" customFormat="false" ht="15" hidden="false" customHeight="false" outlineLevel="0" collapsed="false">
      <c r="A333" s="0" t="s">
        <v>109</v>
      </c>
      <c r="B333" s="0" t="n">
        <v>2015</v>
      </c>
      <c r="C333" s="0" t="s">
        <v>920</v>
      </c>
      <c r="D333" s="0" t="s">
        <v>3878</v>
      </c>
      <c r="E333" s="0" t="s">
        <v>3876</v>
      </c>
      <c r="G333" s="0" t="s">
        <v>3877</v>
      </c>
    </row>
    <row r="334" customFormat="false" ht="15" hidden="false" customHeight="false" outlineLevel="0" collapsed="false">
      <c r="A334" s="0" t="s">
        <v>109</v>
      </c>
      <c r="B334" s="0" t="n">
        <v>2016</v>
      </c>
      <c r="C334" s="0" t="s">
        <v>54</v>
      </c>
      <c r="D334" s="0" t="n">
        <v>126837</v>
      </c>
      <c r="E334" s="0" t="s">
        <v>3876</v>
      </c>
      <c r="G334" s="0" t="s">
        <v>3877</v>
      </c>
    </row>
    <row r="335" customFormat="false" ht="15" hidden="false" customHeight="false" outlineLevel="0" collapsed="false">
      <c r="A335" s="0" t="s">
        <v>109</v>
      </c>
      <c r="B335" s="0" t="n">
        <v>2016</v>
      </c>
      <c r="C335" s="0" t="s">
        <v>670</v>
      </c>
      <c r="D335" s="0" t="n">
        <v>365917</v>
      </c>
      <c r="E335" s="0" t="s">
        <v>3876</v>
      </c>
      <c r="G335" s="0" t="s">
        <v>3877</v>
      </c>
    </row>
    <row r="336" customFormat="false" ht="15" hidden="false" customHeight="false" outlineLevel="0" collapsed="false">
      <c r="A336" s="0" t="s">
        <v>109</v>
      </c>
      <c r="B336" s="0" t="n">
        <v>2016</v>
      </c>
      <c r="C336" s="0" t="s">
        <v>55</v>
      </c>
      <c r="D336" s="0" t="n">
        <v>2613340</v>
      </c>
      <c r="E336" s="0" t="s">
        <v>3876</v>
      </c>
      <c r="G336" s="0" t="s">
        <v>3877</v>
      </c>
    </row>
    <row r="337" customFormat="false" ht="15" hidden="false" customHeight="false" outlineLevel="0" collapsed="false">
      <c r="A337" s="0" t="s">
        <v>109</v>
      </c>
      <c r="B337" s="0" t="n">
        <v>2016</v>
      </c>
      <c r="C337" s="0" t="s">
        <v>60</v>
      </c>
      <c r="D337" s="0" t="n">
        <v>1417218</v>
      </c>
      <c r="E337" s="0" t="s">
        <v>3876</v>
      </c>
      <c r="G337" s="0" t="s">
        <v>3877</v>
      </c>
    </row>
    <row r="338" customFormat="false" ht="15" hidden="false" customHeight="false" outlineLevel="0" collapsed="false">
      <c r="A338" s="0" t="s">
        <v>109</v>
      </c>
      <c r="B338" s="0" t="n">
        <v>2016</v>
      </c>
      <c r="C338" s="0" t="s">
        <v>61</v>
      </c>
      <c r="D338" s="0" t="n">
        <v>71819</v>
      </c>
      <c r="E338" s="0" t="s">
        <v>3876</v>
      </c>
      <c r="G338" s="0" t="s">
        <v>3877</v>
      </c>
    </row>
    <row r="339" customFormat="false" ht="15" hidden="false" customHeight="false" outlineLevel="0" collapsed="false">
      <c r="A339" s="0" t="s">
        <v>109</v>
      </c>
      <c r="B339" s="0" t="n">
        <v>2016</v>
      </c>
      <c r="C339" s="0" t="s">
        <v>63</v>
      </c>
      <c r="D339" s="0" t="n">
        <v>63543</v>
      </c>
      <c r="E339" s="0" t="s">
        <v>3876</v>
      </c>
      <c r="G339" s="0" t="s">
        <v>3877</v>
      </c>
    </row>
    <row r="340" customFormat="false" ht="15" hidden="false" customHeight="false" outlineLevel="0" collapsed="false">
      <c r="A340" s="0" t="s">
        <v>109</v>
      </c>
      <c r="B340" s="0" t="n">
        <v>2016</v>
      </c>
      <c r="C340" s="0" t="s">
        <v>266</v>
      </c>
      <c r="D340" s="0" t="n">
        <v>3.4</v>
      </c>
      <c r="E340" s="0" t="s">
        <v>3876</v>
      </c>
      <c r="G340" s="0" t="s">
        <v>3877</v>
      </c>
    </row>
    <row r="341" customFormat="false" ht="15" hidden="false" customHeight="false" outlineLevel="0" collapsed="false">
      <c r="A341" s="0" t="s">
        <v>109</v>
      </c>
      <c r="B341" s="0" t="n">
        <v>2016</v>
      </c>
      <c r="C341" s="0" t="s">
        <v>69</v>
      </c>
      <c r="D341" s="0" t="n">
        <v>19.79</v>
      </c>
      <c r="E341" s="0" t="s">
        <v>3876</v>
      </c>
      <c r="G341" s="0" t="s">
        <v>3877</v>
      </c>
    </row>
    <row r="342" customFormat="false" ht="15" hidden="false" customHeight="false" outlineLevel="0" collapsed="false">
      <c r="A342" s="0" t="s">
        <v>109</v>
      </c>
      <c r="B342" s="0" t="n">
        <v>2016</v>
      </c>
      <c r="C342" s="0" t="s">
        <v>73</v>
      </c>
      <c r="D342" s="0" t="n">
        <v>0</v>
      </c>
      <c r="E342" s="0" t="s">
        <v>3876</v>
      </c>
      <c r="G342" s="0" t="s">
        <v>3877</v>
      </c>
    </row>
    <row r="343" customFormat="false" ht="15" hidden="false" customHeight="false" outlineLevel="0" collapsed="false">
      <c r="A343" s="0" t="s">
        <v>109</v>
      </c>
      <c r="B343" s="0" t="n">
        <v>2016</v>
      </c>
      <c r="C343" s="0" t="s">
        <v>920</v>
      </c>
      <c r="D343" s="0" t="s">
        <v>3878</v>
      </c>
      <c r="E343" s="0" t="s">
        <v>3876</v>
      </c>
      <c r="G343" s="0" t="s">
        <v>3877</v>
      </c>
    </row>
    <row r="344" customFormat="false" ht="15" hidden="false" customHeight="false" outlineLevel="0" collapsed="false">
      <c r="A344" s="0" t="s">
        <v>109</v>
      </c>
      <c r="B344" s="0" t="n">
        <v>2017</v>
      </c>
      <c r="C344" s="0" t="s">
        <v>54</v>
      </c>
      <c r="D344" s="0" t="n">
        <v>161285</v>
      </c>
      <c r="E344" s="0" t="s">
        <v>3876</v>
      </c>
      <c r="G344" s="0" t="s">
        <v>3877</v>
      </c>
    </row>
    <row r="345" customFormat="false" ht="15" hidden="false" customHeight="false" outlineLevel="0" collapsed="false">
      <c r="A345" s="0" t="s">
        <v>109</v>
      </c>
      <c r="B345" s="0" t="n">
        <v>2017</v>
      </c>
      <c r="C345" s="0" t="s">
        <v>670</v>
      </c>
      <c r="D345" s="0" t="n">
        <v>360237</v>
      </c>
      <c r="E345" s="0" t="s">
        <v>3876</v>
      </c>
      <c r="G345" s="0" t="s">
        <v>3877</v>
      </c>
    </row>
    <row r="346" customFormat="false" ht="15" hidden="false" customHeight="false" outlineLevel="0" collapsed="false">
      <c r="A346" s="0" t="s">
        <v>109</v>
      </c>
      <c r="B346" s="0" t="n">
        <v>2017</v>
      </c>
      <c r="C346" s="0" t="s">
        <v>55</v>
      </c>
      <c r="D346" s="0" t="n">
        <v>2824929</v>
      </c>
      <c r="E346" s="0" t="s">
        <v>3876</v>
      </c>
      <c r="G346" s="0" t="s">
        <v>3877</v>
      </c>
    </row>
    <row r="347" customFormat="false" ht="15" hidden="false" customHeight="false" outlineLevel="0" collapsed="false">
      <c r="A347" s="0" t="s">
        <v>109</v>
      </c>
      <c r="B347" s="0" t="n">
        <v>2017</v>
      </c>
      <c r="C347" s="0" t="s">
        <v>60</v>
      </c>
      <c r="D347" s="0" t="n">
        <v>1163273</v>
      </c>
      <c r="E347" s="0" t="s">
        <v>3876</v>
      </c>
      <c r="G347" s="0" t="s">
        <v>3877</v>
      </c>
    </row>
    <row r="348" customFormat="false" ht="15" hidden="false" customHeight="false" outlineLevel="0" collapsed="false">
      <c r="A348" s="0" t="s">
        <v>109</v>
      </c>
      <c r="B348" s="0" t="n">
        <v>2017</v>
      </c>
      <c r="C348" s="0" t="s">
        <v>61</v>
      </c>
      <c r="D348" s="0" t="n">
        <v>57658</v>
      </c>
      <c r="E348" s="0" t="s">
        <v>3876</v>
      </c>
      <c r="G348" s="0" t="s">
        <v>3877</v>
      </c>
    </row>
    <row r="349" customFormat="false" ht="15" hidden="false" customHeight="false" outlineLevel="0" collapsed="false">
      <c r="A349" s="0" t="s">
        <v>109</v>
      </c>
      <c r="B349" s="0" t="n">
        <v>2017</v>
      </c>
      <c r="C349" s="0" t="s">
        <v>63</v>
      </c>
      <c r="D349" s="0" t="n">
        <v>10835</v>
      </c>
      <c r="E349" s="0" t="s">
        <v>3876</v>
      </c>
      <c r="G349" s="0" t="s">
        <v>3877</v>
      </c>
    </row>
    <row r="350" customFormat="false" ht="15" hidden="false" customHeight="false" outlineLevel="0" collapsed="false">
      <c r="A350" s="0" t="s">
        <v>109</v>
      </c>
      <c r="B350" s="0" t="n">
        <v>2017</v>
      </c>
      <c r="C350" s="0" t="s">
        <v>266</v>
      </c>
      <c r="D350" s="0" t="n">
        <v>8.83</v>
      </c>
      <c r="E350" s="0" t="s">
        <v>3876</v>
      </c>
      <c r="G350" s="0" t="s">
        <v>3877</v>
      </c>
    </row>
    <row r="351" customFormat="false" ht="15" hidden="false" customHeight="false" outlineLevel="0" collapsed="false">
      <c r="A351" s="0" t="s">
        <v>109</v>
      </c>
      <c r="B351" s="0" t="n">
        <v>2017</v>
      </c>
      <c r="C351" s="0" t="s">
        <v>69</v>
      </c>
      <c r="D351" s="0" t="n">
        <v>25.5</v>
      </c>
      <c r="E351" s="0" t="s">
        <v>3876</v>
      </c>
      <c r="G351" s="0" t="s">
        <v>3877</v>
      </c>
    </row>
    <row r="352" customFormat="false" ht="15" hidden="false" customHeight="false" outlineLevel="0" collapsed="false">
      <c r="A352" s="0" t="s">
        <v>109</v>
      </c>
      <c r="B352" s="0" t="n">
        <v>2017</v>
      </c>
      <c r="C352" s="0" t="s">
        <v>73</v>
      </c>
      <c r="D352" s="0" t="n">
        <v>0</v>
      </c>
      <c r="E352" s="0" t="s">
        <v>3876</v>
      </c>
      <c r="G352" s="0" t="s">
        <v>3877</v>
      </c>
    </row>
    <row r="353" customFormat="false" ht="15" hidden="false" customHeight="false" outlineLevel="0" collapsed="false">
      <c r="A353" s="0" t="s">
        <v>109</v>
      </c>
      <c r="B353" s="0" t="n">
        <v>2017</v>
      </c>
      <c r="C353" s="0" t="s">
        <v>920</v>
      </c>
      <c r="D353" s="0" t="s">
        <v>3878</v>
      </c>
      <c r="E353" s="0" t="s">
        <v>3876</v>
      </c>
      <c r="G353" s="0" t="s">
        <v>3877</v>
      </c>
    </row>
    <row r="354" customFormat="false" ht="15" hidden="false" customHeight="false" outlineLevel="0" collapsed="false">
      <c r="A354" s="0" t="s">
        <v>109</v>
      </c>
      <c r="B354" s="0" t="n">
        <v>2018</v>
      </c>
      <c r="C354" s="0" t="s">
        <v>54</v>
      </c>
      <c r="D354" s="0" t="n">
        <v>166753</v>
      </c>
      <c r="E354" s="0" t="s">
        <v>3876</v>
      </c>
      <c r="G354" s="0" t="s">
        <v>3877</v>
      </c>
    </row>
    <row r="355" customFormat="false" ht="15" hidden="false" customHeight="false" outlineLevel="0" collapsed="false">
      <c r="A355" s="0" t="s">
        <v>109</v>
      </c>
      <c r="B355" s="0" t="n">
        <v>2018</v>
      </c>
      <c r="C355" s="0" t="s">
        <v>670</v>
      </c>
      <c r="D355" s="0" t="n">
        <v>356380</v>
      </c>
      <c r="E355" s="0" t="s">
        <v>3876</v>
      </c>
      <c r="G355" s="0" t="s">
        <v>3877</v>
      </c>
    </row>
    <row r="356" customFormat="false" ht="15" hidden="false" customHeight="false" outlineLevel="0" collapsed="false">
      <c r="A356" s="0" t="s">
        <v>109</v>
      </c>
      <c r="B356" s="0" t="n">
        <v>2018</v>
      </c>
      <c r="C356" s="0" t="s">
        <v>55</v>
      </c>
      <c r="D356" s="0" t="n">
        <v>2712521</v>
      </c>
      <c r="E356" s="0" t="s">
        <v>3876</v>
      </c>
      <c r="G356" s="0" t="s">
        <v>3877</v>
      </c>
    </row>
    <row r="357" customFormat="false" ht="15" hidden="false" customHeight="false" outlineLevel="0" collapsed="false">
      <c r="A357" s="0" t="s">
        <v>109</v>
      </c>
      <c r="B357" s="0" t="n">
        <v>2018</v>
      </c>
      <c r="C357" s="0" t="s">
        <v>60</v>
      </c>
      <c r="D357" s="0" t="n">
        <v>1159030</v>
      </c>
      <c r="E357" s="0" t="s">
        <v>3876</v>
      </c>
      <c r="G357" s="0" t="s">
        <v>3877</v>
      </c>
    </row>
    <row r="358" customFormat="false" ht="15" hidden="false" customHeight="false" outlineLevel="0" collapsed="false">
      <c r="A358" s="0" t="s">
        <v>109</v>
      </c>
      <c r="B358" s="0" t="n">
        <v>2018</v>
      </c>
      <c r="C358" s="0" t="s">
        <v>61</v>
      </c>
      <c r="D358" s="0" t="n">
        <v>90984</v>
      </c>
      <c r="E358" s="0" t="s">
        <v>3876</v>
      </c>
      <c r="G358" s="0" t="s">
        <v>3877</v>
      </c>
    </row>
    <row r="359" customFormat="false" ht="15" hidden="false" customHeight="false" outlineLevel="0" collapsed="false">
      <c r="A359" s="0" t="s">
        <v>109</v>
      </c>
      <c r="B359" s="0" t="n">
        <v>2018</v>
      </c>
      <c r="C359" s="0" t="s">
        <v>63</v>
      </c>
      <c r="D359" s="0" t="n">
        <v>1504</v>
      </c>
      <c r="E359" s="0" t="s">
        <v>3876</v>
      </c>
      <c r="G359" s="0" t="s">
        <v>3877</v>
      </c>
    </row>
    <row r="360" customFormat="false" ht="15" hidden="false" customHeight="false" outlineLevel="0" collapsed="false">
      <c r="A360" s="0" t="s">
        <v>109</v>
      </c>
      <c r="B360" s="0" t="n">
        <v>2018</v>
      </c>
      <c r="C360" s="0" t="s">
        <v>266</v>
      </c>
      <c r="D360" s="0" t="n">
        <v>7.3</v>
      </c>
      <c r="E360" s="0" t="s">
        <v>3876</v>
      </c>
      <c r="G360" s="0" t="s">
        <v>3877</v>
      </c>
    </row>
    <row r="361" customFormat="false" ht="15" hidden="false" customHeight="false" outlineLevel="0" collapsed="false">
      <c r="A361" s="0" t="s">
        <v>109</v>
      </c>
      <c r="B361" s="0" t="n">
        <v>2018</v>
      </c>
      <c r="C361" s="0" t="s">
        <v>69</v>
      </c>
      <c r="D361" s="0" t="n">
        <v>20.93</v>
      </c>
      <c r="E361" s="0" t="s">
        <v>3876</v>
      </c>
      <c r="G361" s="0" t="s">
        <v>3877</v>
      </c>
    </row>
    <row r="362" customFormat="false" ht="15" hidden="false" customHeight="false" outlineLevel="0" collapsed="false">
      <c r="A362" s="0" t="s">
        <v>109</v>
      </c>
      <c r="B362" s="0" t="n">
        <v>2018</v>
      </c>
      <c r="C362" s="0" t="s">
        <v>73</v>
      </c>
      <c r="D362" s="0" t="n">
        <v>0</v>
      </c>
      <c r="E362" s="0" t="s">
        <v>3876</v>
      </c>
      <c r="G362" s="0" t="s">
        <v>3877</v>
      </c>
    </row>
    <row r="363" customFormat="false" ht="15" hidden="false" customHeight="false" outlineLevel="0" collapsed="false">
      <c r="A363" s="0" t="s">
        <v>109</v>
      </c>
      <c r="B363" s="0" t="n">
        <v>2018</v>
      </c>
      <c r="C363" s="0" t="s">
        <v>920</v>
      </c>
      <c r="D363" s="0" t="s">
        <v>3878</v>
      </c>
      <c r="E363" s="0" t="s">
        <v>3876</v>
      </c>
      <c r="G363" s="0" t="s">
        <v>3877</v>
      </c>
    </row>
    <row r="364" customFormat="false" ht="15" hidden="false" customHeight="false" outlineLevel="0" collapsed="false">
      <c r="A364" s="0" t="s">
        <v>109</v>
      </c>
      <c r="B364" s="0" t="n">
        <v>2019</v>
      </c>
      <c r="C364" s="0" t="s">
        <v>54</v>
      </c>
      <c r="D364" s="0" t="n">
        <v>175125</v>
      </c>
      <c r="E364" s="0" t="s">
        <v>3876</v>
      </c>
      <c r="G364" s="0" t="s">
        <v>3877</v>
      </c>
    </row>
    <row r="365" customFormat="false" ht="15" hidden="false" customHeight="false" outlineLevel="0" collapsed="false">
      <c r="A365" s="0" t="s">
        <v>109</v>
      </c>
      <c r="B365" s="0" t="n">
        <v>2019</v>
      </c>
      <c r="C365" s="0" t="s">
        <v>670</v>
      </c>
      <c r="D365" s="0" t="n">
        <v>350927</v>
      </c>
      <c r="E365" s="0" t="s">
        <v>3876</v>
      </c>
      <c r="G365" s="0" t="s">
        <v>3877</v>
      </c>
    </row>
    <row r="366" customFormat="false" ht="15" hidden="false" customHeight="false" outlineLevel="0" collapsed="false">
      <c r="A366" s="0" t="s">
        <v>109</v>
      </c>
      <c r="B366" s="0" t="n">
        <v>2019</v>
      </c>
      <c r="C366" s="0" t="s">
        <v>55</v>
      </c>
      <c r="D366" s="0" t="n">
        <v>3097248</v>
      </c>
      <c r="E366" s="0" t="s">
        <v>3876</v>
      </c>
      <c r="G366" s="0" t="s">
        <v>3877</v>
      </c>
    </row>
    <row r="367" customFormat="false" ht="15" hidden="false" customHeight="false" outlineLevel="0" collapsed="false">
      <c r="A367" s="0" t="s">
        <v>109</v>
      </c>
      <c r="B367" s="0" t="n">
        <v>2019</v>
      </c>
      <c r="C367" s="0" t="s">
        <v>60</v>
      </c>
      <c r="D367" s="0" t="n">
        <v>1357147</v>
      </c>
      <c r="E367" s="0" t="s">
        <v>3876</v>
      </c>
      <c r="G367" s="0" t="s">
        <v>3877</v>
      </c>
    </row>
    <row r="368" customFormat="false" ht="15" hidden="false" customHeight="false" outlineLevel="0" collapsed="false">
      <c r="A368" s="0" t="s">
        <v>109</v>
      </c>
      <c r="B368" s="0" t="n">
        <v>2019</v>
      </c>
      <c r="C368" s="0" t="s">
        <v>61</v>
      </c>
      <c r="D368" s="0" t="n">
        <v>56254</v>
      </c>
      <c r="E368" s="0" t="s">
        <v>3876</v>
      </c>
      <c r="G368" s="0" t="s">
        <v>3877</v>
      </c>
    </row>
    <row r="369" customFormat="false" ht="15" hidden="false" customHeight="false" outlineLevel="0" collapsed="false">
      <c r="A369" s="0" t="s">
        <v>109</v>
      </c>
      <c r="B369" s="0" t="n">
        <v>2019</v>
      </c>
      <c r="C369" s="0" t="s">
        <v>63</v>
      </c>
      <c r="D369" s="0" t="n">
        <v>2222</v>
      </c>
      <c r="E369" s="0" t="s">
        <v>3876</v>
      </c>
      <c r="G369" s="0" t="s">
        <v>3877</v>
      </c>
    </row>
    <row r="370" customFormat="false" ht="15" hidden="false" customHeight="false" outlineLevel="0" collapsed="false">
      <c r="A370" s="0" t="s">
        <v>109</v>
      </c>
      <c r="B370" s="0" t="n">
        <v>2019</v>
      </c>
      <c r="C370" s="0" t="s">
        <v>266</v>
      </c>
      <c r="D370" s="0" t="n">
        <v>6.5</v>
      </c>
      <c r="E370" s="0" t="s">
        <v>3876</v>
      </c>
      <c r="G370" s="0" t="s">
        <v>3877</v>
      </c>
    </row>
    <row r="371" customFormat="false" ht="15" hidden="false" customHeight="false" outlineLevel="0" collapsed="false">
      <c r="A371" s="0" t="s">
        <v>109</v>
      </c>
      <c r="B371" s="0" t="n">
        <v>2019</v>
      </c>
      <c r="C371" s="0" t="s">
        <v>69</v>
      </c>
      <c r="D371" s="0" t="n">
        <v>20.66</v>
      </c>
      <c r="E371" s="0" t="s">
        <v>3876</v>
      </c>
      <c r="G371" s="0" t="s">
        <v>3877</v>
      </c>
    </row>
    <row r="372" customFormat="false" ht="15" hidden="false" customHeight="false" outlineLevel="0" collapsed="false">
      <c r="A372" s="0" t="s">
        <v>109</v>
      </c>
      <c r="B372" s="0" t="n">
        <v>2019</v>
      </c>
      <c r="C372" s="0" t="s">
        <v>73</v>
      </c>
      <c r="D372" s="0" t="n">
        <v>0</v>
      </c>
      <c r="E372" s="0" t="s">
        <v>3876</v>
      </c>
      <c r="G372" s="0" t="s">
        <v>3877</v>
      </c>
    </row>
    <row r="373" customFormat="false" ht="15" hidden="false" customHeight="false" outlineLevel="0" collapsed="false">
      <c r="A373" s="0" t="s">
        <v>109</v>
      </c>
      <c r="B373" s="0" t="n">
        <v>2019</v>
      </c>
      <c r="C373" s="0" t="s">
        <v>920</v>
      </c>
      <c r="D373" s="0" t="s">
        <v>3878</v>
      </c>
      <c r="E373" s="0" t="s">
        <v>3876</v>
      </c>
      <c r="G373" s="0" t="s">
        <v>3877</v>
      </c>
    </row>
    <row r="374" customFormat="false" ht="15" hidden="false" customHeight="false" outlineLevel="0" collapsed="false">
      <c r="A374" s="0" t="s">
        <v>109</v>
      </c>
      <c r="B374" s="0" t="n">
        <v>2020</v>
      </c>
      <c r="C374" s="0" t="s">
        <v>54</v>
      </c>
      <c r="D374" s="0" t="n">
        <v>178188</v>
      </c>
      <c r="E374" s="0" t="s">
        <v>3876</v>
      </c>
      <c r="G374" s="0" t="s">
        <v>3877</v>
      </c>
    </row>
    <row r="375" customFormat="false" ht="15" hidden="false" customHeight="false" outlineLevel="0" collapsed="false">
      <c r="A375" s="0" t="s">
        <v>109</v>
      </c>
      <c r="B375" s="0" t="n">
        <v>2020</v>
      </c>
      <c r="C375" s="0" t="s">
        <v>670</v>
      </c>
      <c r="D375" s="0" t="n">
        <v>367058</v>
      </c>
      <c r="E375" s="0" t="s">
        <v>3876</v>
      </c>
      <c r="G375" s="0" t="s">
        <v>3877</v>
      </c>
    </row>
    <row r="376" customFormat="false" ht="15" hidden="false" customHeight="false" outlineLevel="0" collapsed="false">
      <c r="A376" s="0" t="s">
        <v>109</v>
      </c>
      <c r="B376" s="0" t="n">
        <v>2020</v>
      </c>
      <c r="C376" s="0" t="s">
        <v>55</v>
      </c>
      <c r="D376" s="0" t="n">
        <v>4061544</v>
      </c>
      <c r="E376" s="0" t="s">
        <v>3876</v>
      </c>
      <c r="G376" s="0" t="s">
        <v>3877</v>
      </c>
    </row>
    <row r="377" customFormat="false" ht="15" hidden="false" customHeight="false" outlineLevel="0" collapsed="false">
      <c r="A377" s="0" t="s">
        <v>109</v>
      </c>
      <c r="B377" s="0" t="n">
        <v>2020</v>
      </c>
      <c r="C377" s="0" t="s">
        <v>60</v>
      </c>
      <c r="D377" s="0" t="n">
        <v>1473566</v>
      </c>
      <c r="E377" s="0" t="s">
        <v>3876</v>
      </c>
      <c r="G377" s="0" t="s">
        <v>3877</v>
      </c>
    </row>
    <row r="378" customFormat="false" ht="15" hidden="false" customHeight="false" outlineLevel="0" collapsed="false">
      <c r="A378" s="0" t="s">
        <v>109</v>
      </c>
      <c r="B378" s="0" t="n">
        <v>2020</v>
      </c>
      <c r="C378" s="0" t="s">
        <v>61</v>
      </c>
      <c r="D378" s="0" t="n">
        <v>62948</v>
      </c>
      <c r="E378" s="0" t="s">
        <v>3876</v>
      </c>
      <c r="G378" s="0" t="s">
        <v>3877</v>
      </c>
    </row>
    <row r="379" customFormat="false" ht="15" hidden="false" customHeight="false" outlineLevel="0" collapsed="false">
      <c r="A379" s="0" t="s">
        <v>109</v>
      </c>
      <c r="B379" s="0" t="n">
        <v>2020</v>
      </c>
      <c r="C379" s="0" t="s">
        <v>63</v>
      </c>
      <c r="D379" s="0" t="n">
        <v>13667</v>
      </c>
      <c r="E379" s="0" t="s">
        <v>3876</v>
      </c>
      <c r="G379" s="0" t="s">
        <v>3877</v>
      </c>
    </row>
    <row r="380" customFormat="false" ht="15" hidden="false" customHeight="false" outlineLevel="0" collapsed="false">
      <c r="A380" s="0" t="s">
        <v>109</v>
      </c>
      <c r="B380" s="0" t="n">
        <v>2020</v>
      </c>
      <c r="C380" s="0" t="s">
        <v>266</v>
      </c>
      <c r="D380" s="0" t="n">
        <v>6.4</v>
      </c>
      <c r="E380" s="0" t="s">
        <v>3876</v>
      </c>
      <c r="G380" s="0" t="s">
        <v>3877</v>
      </c>
    </row>
    <row r="381" customFormat="false" ht="15" hidden="false" customHeight="false" outlineLevel="0" collapsed="false">
      <c r="A381" s="0" t="s">
        <v>109</v>
      </c>
      <c r="B381" s="0" t="n">
        <v>2020</v>
      </c>
      <c r="C381" s="0" t="s">
        <v>69</v>
      </c>
      <c r="D381" s="0" t="n">
        <v>19.55</v>
      </c>
      <c r="E381" s="0" t="s">
        <v>3876</v>
      </c>
      <c r="G381" s="0" t="s">
        <v>3877</v>
      </c>
    </row>
    <row r="382" customFormat="false" ht="15" hidden="false" customHeight="false" outlineLevel="0" collapsed="false">
      <c r="A382" s="0" t="s">
        <v>109</v>
      </c>
      <c r="B382" s="0" t="n">
        <v>2020</v>
      </c>
      <c r="C382" s="0" t="s">
        <v>73</v>
      </c>
      <c r="D382" s="0" t="n">
        <v>0</v>
      </c>
      <c r="E382" s="0" t="s">
        <v>3876</v>
      </c>
      <c r="G382" s="0" t="s">
        <v>3877</v>
      </c>
    </row>
    <row r="383" customFormat="false" ht="15" hidden="false" customHeight="false" outlineLevel="0" collapsed="false">
      <c r="A383" s="0" t="s">
        <v>109</v>
      </c>
      <c r="B383" s="0" t="n">
        <v>2020</v>
      </c>
      <c r="C383" s="0" t="s">
        <v>920</v>
      </c>
      <c r="D383" s="0" t="s">
        <v>3878</v>
      </c>
      <c r="E383" s="0" t="s">
        <v>3876</v>
      </c>
      <c r="G383" s="0" t="s">
        <v>3877</v>
      </c>
    </row>
    <row r="384" customFormat="false" ht="15" hidden="false" customHeight="false" outlineLevel="0" collapsed="false">
      <c r="A384" s="0" t="s">
        <v>109</v>
      </c>
      <c r="B384" s="0" t="n">
        <v>2021</v>
      </c>
      <c r="C384" s="0" t="s">
        <v>54</v>
      </c>
      <c r="D384" s="0" t="n">
        <v>146184</v>
      </c>
      <c r="E384" s="0" t="s">
        <v>3876</v>
      </c>
      <c r="G384" s="0" t="s">
        <v>3877</v>
      </c>
    </row>
    <row r="385" customFormat="false" ht="15" hidden="false" customHeight="false" outlineLevel="0" collapsed="false">
      <c r="A385" s="0" t="s">
        <v>109</v>
      </c>
      <c r="B385" s="0" t="n">
        <v>2021</v>
      </c>
      <c r="C385" s="0" t="s">
        <v>670</v>
      </c>
      <c r="D385" s="0" t="n">
        <v>303978</v>
      </c>
      <c r="E385" s="0" t="s">
        <v>3876</v>
      </c>
      <c r="G385" s="0" t="s">
        <v>3877</v>
      </c>
    </row>
    <row r="386" customFormat="false" ht="15" hidden="false" customHeight="false" outlineLevel="0" collapsed="false">
      <c r="A386" s="0" t="s">
        <v>109</v>
      </c>
      <c r="B386" s="0" t="n">
        <v>2021</v>
      </c>
      <c r="C386" s="0" t="s">
        <v>55</v>
      </c>
      <c r="D386" s="0" t="n">
        <v>4357033</v>
      </c>
      <c r="E386" s="0" t="s">
        <v>3876</v>
      </c>
      <c r="G386" s="0" t="s">
        <v>3877</v>
      </c>
    </row>
    <row r="387" customFormat="false" ht="15" hidden="false" customHeight="false" outlineLevel="0" collapsed="false">
      <c r="A387" s="0" t="s">
        <v>109</v>
      </c>
      <c r="B387" s="0" t="n">
        <v>2021</v>
      </c>
      <c r="C387" s="0" t="s">
        <v>60</v>
      </c>
      <c r="D387" s="0" t="n">
        <v>1475674</v>
      </c>
      <c r="E387" s="0" t="s">
        <v>3876</v>
      </c>
      <c r="G387" s="0" t="s">
        <v>3877</v>
      </c>
    </row>
    <row r="388" customFormat="false" ht="15" hidden="false" customHeight="false" outlineLevel="0" collapsed="false">
      <c r="A388" s="0" t="s">
        <v>109</v>
      </c>
      <c r="B388" s="0" t="n">
        <v>2021</v>
      </c>
      <c r="C388" s="0" t="s">
        <v>61</v>
      </c>
      <c r="D388" s="0" t="n">
        <v>67041</v>
      </c>
      <c r="E388" s="0" t="s">
        <v>3876</v>
      </c>
      <c r="G388" s="0" t="s">
        <v>3877</v>
      </c>
    </row>
    <row r="389" customFormat="false" ht="15" hidden="false" customHeight="false" outlineLevel="0" collapsed="false">
      <c r="A389" s="0" t="s">
        <v>109</v>
      </c>
      <c r="B389" s="0" t="n">
        <v>2021</v>
      </c>
      <c r="C389" s="0" t="s">
        <v>63</v>
      </c>
      <c r="D389" s="0" t="n">
        <v>4089</v>
      </c>
      <c r="E389" s="0" t="s">
        <v>3876</v>
      </c>
      <c r="G389" s="0" t="s">
        <v>3877</v>
      </c>
    </row>
    <row r="390" customFormat="false" ht="15" hidden="false" customHeight="false" outlineLevel="0" collapsed="false">
      <c r="A390" s="0" t="s">
        <v>109</v>
      </c>
      <c r="B390" s="0" t="n">
        <v>2021</v>
      </c>
      <c r="C390" s="0" t="s">
        <v>266</v>
      </c>
      <c r="D390" s="0" t="n">
        <v>6</v>
      </c>
      <c r="E390" s="0" t="s">
        <v>3876</v>
      </c>
      <c r="G390" s="0" t="s">
        <v>3877</v>
      </c>
    </row>
    <row r="391" customFormat="false" ht="15" hidden="false" customHeight="false" outlineLevel="0" collapsed="false">
      <c r="A391" s="0" t="s">
        <v>109</v>
      </c>
      <c r="B391" s="0" t="n">
        <v>2021</v>
      </c>
      <c r="C391" s="0" t="s">
        <v>69</v>
      </c>
      <c r="D391" s="0" t="n">
        <v>23.83</v>
      </c>
      <c r="E391" s="0" t="s">
        <v>3876</v>
      </c>
      <c r="G391" s="0" t="s">
        <v>3877</v>
      </c>
    </row>
    <row r="392" customFormat="false" ht="15" hidden="false" customHeight="false" outlineLevel="0" collapsed="false">
      <c r="A392" s="0" t="s">
        <v>109</v>
      </c>
      <c r="B392" s="0" t="n">
        <v>2021</v>
      </c>
      <c r="C392" s="0" t="s">
        <v>73</v>
      </c>
      <c r="D392" s="0" t="n">
        <v>0</v>
      </c>
      <c r="E392" s="0" t="s">
        <v>3876</v>
      </c>
      <c r="G392" s="0" t="s">
        <v>3877</v>
      </c>
    </row>
    <row r="393" customFormat="false" ht="15" hidden="false" customHeight="false" outlineLevel="0" collapsed="false">
      <c r="A393" s="0" t="s">
        <v>109</v>
      </c>
      <c r="B393" s="0" t="n">
        <v>2021</v>
      </c>
      <c r="C393" s="0" t="s">
        <v>920</v>
      </c>
      <c r="D393" s="0" t="s">
        <v>3878</v>
      </c>
      <c r="E393" s="0" t="s">
        <v>3876</v>
      </c>
      <c r="G393" s="0" t="s">
        <v>3877</v>
      </c>
    </row>
    <row r="394" customFormat="false" ht="15" hidden="false" customHeight="false" outlineLevel="0" collapsed="false">
      <c r="A394" s="0" t="s">
        <v>109</v>
      </c>
      <c r="B394" s="0" t="n">
        <v>2022</v>
      </c>
      <c r="C394" s="0" t="s">
        <v>54</v>
      </c>
      <c r="D394" s="0" t="n">
        <v>145296</v>
      </c>
      <c r="E394" s="0" t="s">
        <v>3876</v>
      </c>
      <c r="G394" s="0" t="s">
        <v>3877</v>
      </c>
    </row>
    <row r="395" customFormat="false" ht="15" hidden="false" customHeight="false" outlineLevel="0" collapsed="false">
      <c r="A395" s="0" t="s">
        <v>109</v>
      </c>
      <c r="B395" s="0" t="n">
        <v>2022</v>
      </c>
      <c r="C395" s="0" t="s">
        <v>670</v>
      </c>
      <c r="D395" s="0" t="n">
        <v>340912</v>
      </c>
      <c r="E395" s="0" t="s">
        <v>3876</v>
      </c>
      <c r="G395" s="0" t="s">
        <v>3877</v>
      </c>
    </row>
    <row r="396" customFormat="false" ht="15" hidden="false" customHeight="false" outlineLevel="0" collapsed="false">
      <c r="A396" s="0" t="s">
        <v>109</v>
      </c>
      <c r="B396" s="0" t="n">
        <v>2022</v>
      </c>
      <c r="C396" s="0" t="s">
        <v>55</v>
      </c>
      <c r="D396" s="0" t="n">
        <v>5208577</v>
      </c>
      <c r="E396" s="0" t="s">
        <v>3876</v>
      </c>
      <c r="G396" s="0" t="s">
        <v>3877</v>
      </c>
    </row>
    <row r="397" customFormat="false" ht="15" hidden="false" customHeight="false" outlineLevel="0" collapsed="false">
      <c r="A397" s="0" t="s">
        <v>109</v>
      </c>
      <c r="B397" s="0" t="n">
        <v>2022</v>
      </c>
      <c r="C397" s="0" t="s">
        <v>60</v>
      </c>
      <c r="D397" s="0" t="n">
        <v>1577192</v>
      </c>
      <c r="E397" s="0" t="s">
        <v>3876</v>
      </c>
      <c r="G397" s="0" t="s">
        <v>3877</v>
      </c>
    </row>
    <row r="398" customFormat="false" ht="15" hidden="false" customHeight="false" outlineLevel="0" collapsed="false">
      <c r="A398" s="0" t="s">
        <v>109</v>
      </c>
      <c r="B398" s="0" t="n">
        <v>2022</v>
      </c>
      <c r="C398" s="0" t="s">
        <v>61</v>
      </c>
      <c r="D398" s="0" t="n">
        <v>75972</v>
      </c>
      <c r="E398" s="0" t="s">
        <v>3876</v>
      </c>
      <c r="G398" s="0" t="s">
        <v>3877</v>
      </c>
    </row>
    <row r="399" customFormat="false" ht="15" hidden="false" customHeight="false" outlineLevel="0" collapsed="false">
      <c r="A399" s="0" t="s">
        <v>109</v>
      </c>
      <c r="B399" s="0" t="n">
        <v>2022</v>
      </c>
      <c r="C399" s="0" t="s">
        <v>63</v>
      </c>
      <c r="D399" s="0" t="n">
        <v>8937</v>
      </c>
      <c r="E399" s="0" t="s">
        <v>3876</v>
      </c>
      <c r="G399" s="0" t="s">
        <v>3877</v>
      </c>
    </row>
    <row r="400" customFormat="false" ht="15" hidden="false" customHeight="false" outlineLevel="0" collapsed="false">
      <c r="A400" s="0" t="s">
        <v>109</v>
      </c>
      <c r="B400" s="0" t="n">
        <v>2022</v>
      </c>
      <c r="C400" s="0" t="s">
        <v>266</v>
      </c>
      <c r="D400" s="0" t="n">
        <v>5.19</v>
      </c>
      <c r="E400" s="0" t="s">
        <v>3876</v>
      </c>
      <c r="G400" s="0" t="s">
        <v>3877</v>
      </c>
    </row>
    <row r="401" customFormat="false" ht="15" hidden="false" customHeight="false" outlineLevel="0" collapsed="false">
      <c r="A401" s="0" t="s">
        <v>109</v>
      </c>
      <c r="B401" s="0" t="n">
        <v>2022</v>
      </c>
      <c r="C401" s="0" t="s">
        <v>69</v>
      </c>
      <c r="D401" s="0" t="n">
        <v>24.08</v>
      </c>
      <c r="E401" s="0" t="s">
        <v>3876</v>
      </c>
      <c r="G401" s="0" t="s">
        <v>3877</v>
      </c>
    </row>
    <row r="402" customFormat="false" ht="15" hidden="false" customHeight="false" outlineLevel="0" collapsed="false">
      <c r="A402" s="0" t="s">
        <v>109</v>
      </c>
      <c r="B402" s="0" t="n">
        <v>2022</v>
      </c>
      <c r="C402" s="0" t="s">
        <v>73</v>
      </c>
      <c r="D402" s="0" t="n">
        <v>0</v>
      </c>
      <c r="E402" s="0" t="s">
        <v>3876</v>
      </c>
      <c r="G402" s="0" t="s">
        <v>3877</v>
      </c>
    </row>
    <row r="403" customFormat="false" ht="15" hidden="false" customHeight="false" outlineLevel="0" collapsed="false">
      <c r="A403" s="0" t="s">
        <v>109</v>
      </c>
      <c r="B403" s="0" t="n">
        <v>2022</v>
      </c>
      <c r="C403" s="0" t="s">
        <v>920</v>
      </c>
      <c r="D403" s="0" t="s">
        <v>3879</v>
      </c>
      <c r="E403" s="0" t="s">
        <v>3876</v>
      </c>
      <c r="G403" s="0" t="s">
        <v>3877</v>
      </c>
    </row>
    <row r="404" customFormat="false" ht="15" hidden="false" customHeight="false" outlineLevel="0" collapsed="false">
      <c r="A404" s="0" t="s">
        <v>86</v>
      </c>
      <c r="B404" s="0" t="n">
        <v>2015</v>
      </c>
      <c r="C404" s="0" t="s">
        <v>54</v>
      </c>
      <c r="D404" s="0" t="n">
        <v>13904</v>
      </c>
      <c r="E404" s="0" t="s">
        <v>3876</v>
      </c>
      <c r="G404" s="0" t="s">
        <v>3877</v>
      </c>
    </row>
    <row r="405" customFormat="false" ht="15" hidden="false" customHeight="false" outlineLevel="0" collapsed="false">
      <c r="A405" s="0" t="s">
        <v>86</v>
      </c>
      <c r="B405" s="0" t="n">
        <v>2015</v>
      </c>
      <c r="C405" s="0" t="s">
        <v>670</v>
      </c>
      <c r="D405" s="0" t="n">
        <v>146948</v>
      </c>
      <c r="E405" s="0" t="s">
        <v>3876</v>
      </c>
      <c r="G405" s="0" t="s">
        <v>3877</v>
      </c>
    </row>
    <row r="406" customFormat="false" ht="15" hidden="false" customHeight="false" outlineLevel="0" collapsed="false">
      <c r="A406" s="0" t="s">
        <v>86</v>
      </c>
      <c r="B406" s="0" t="n">
        <v>2015</v>
      </c>
      <c r="C406" s="0" t="s">
        <v>55</v>
      </c>
      <c r="D406" s="0" t="n">
        <v>1231722</v>
      </c>
      <c r="E406" s="0" t="s">
        <v>3876</v>
      </c>
      <c r="G406" s="0" t="s">
        <v>3877</v>
      </c>
    </row>
    <row r="407" customFormat="false" ht="15" hidden="false" customHeight="false" outlineLevel="0" collapsed="false">
      <c r="A407" s="0" t="s">
        <v>86</v>
      </c>
      <c r="B407" s="0" t="n">
        <v>2015</v>
      </c>
      <c r="C407" s="0" t="s">
        <v>60</v>
      </c>
      <c r="D407" s="0" t="n">
        <v>598978</v>
      </c>
      <c r="E407" s="0" t="s">
        <v>3876</v>
      </c>
      <c r="G407" s="0" t="s">
        <v>3877</v>
      </c>
    </row>
    <row r="408" customFormat="false" ht="15" hidden="false" customHeight="false" outlineLevel="0" collapsed="false">
      <c r="A408" s="0" t="s">
        <v>86</v>
      </c>
      <c r="B408" s="0" t="n">
        <v>2015</v>
      </c>
      <c r="C408" s="0" t="s">
        <v>61</v>
      </c>
      <c r="D408" s="0" t="n">
        <v>20776</v>
      </c>
      <c r="E408" s="0" t="s">
        <v>3876</v>
      </c>
      <c r="G408" s="0" t="s">
        <v>3877</v>
      </c>
    </row>
    <row r="409" customFormat="false" ht="15" hidden="false" customHeight="false" outlineLevel="0" collapsed="false">
      <c r="A409" s="0" t="s">
        <v>86</v>
      </c>
      <c r="B409" s="0" t="n">
        <v>2015</v>
      </c>
      <c r="C409" s="0" t="s">
        <v>63</v>
      </c>
      <c r="D409" s="0" t="n">
        <v>5764</v>
      </c>
      <c r="E409" s="0" t="s">
        <v>3876</v>
      </c>
      <c r="G409" s="0" t="s">
        <v>3877</v>
      </c>
    </row>
    <row r="410" customFormat="false" ht="15" hidden="false" customHeight="false" outlineLevel="0" collapsed="false">
      <c r="A410" s="0" t="s">
        <v>86</v>
      </c>
      <c r="B410" s="0" t="n">
        <v>2015</v>
      </c>
      <c r="C410" s="0" t="s">
        <v>266</v>
      </c>
      <c r="D410" s="0" t="n">
        <v>4.4</v>
      </c>
      <c r="E410" s="0" t="s">
        <v>3876</v>
      </c>
      <c r="G410" s="0" t="s">
        <v>3877</v>
      </c>
    </row>
    <row r="411" customFormat="false" ht="15" hidden="false" customHeight="false" outlineLevel="0" collapsed="false">
      <c r="A411" s="0" t="s">
        <v>86</v>
      </c>
      <c r="B411" s="0" t="n">
        <v>2015</v>
      </c>
      <c r="C411" s="0" t="s">
        <v>69</v>
      </c>
      <c r="D411" s="0" t="n">
        <v>19</v>
      </c>
      <c r="E411" s="0" t="s">
        <v>3876</v>
      </c>
      <c r="G411" s="0" t="s">
        <v>3877</v>
      </c>
    </row>
    <row r="412" customFormat="false" ht="15" hidden="false" customHeight="false" outlineLevel="0" collapsed="false">
      <c r="A412" s="0" t="s">
        <v>86</v>
      </c>
      <c r="B412" s="0" t="n">
        <v>2015</v>
      </c>
      <c r="C412" s="0" t="s">
        <v>73</v>
      </c>
      <c r="D412" s="0" t="n">
        <v>0</v>
      </c>
      <c r="E412" s="0" t="s">
        <v>3876</v>
      </c>
      <c r="G412" s="0" t="s">
        <v>3877</v>
      </c>
    </row>
    <row r="413" customFormat="false" ht="15" hidden="false" customHeight="false" outlineLevel="0" collapsed="false">
      <c r="A413" s="0" t="s">
        <v>86</v>
      </c>
      <c r="B413" s="0" t="n">
        <v>2015</v>
      </c>
      <c r="C413" s="0" t="s">
        <v>920</v>
      </c>
      <c r="D413" s="0" t="s">
        <v>3880</v>
      </c>
      <c r="E413" s="0" t="s">
        <v>3876</v>
      </c>
      <c r="G413" s="0" t="s">
        <v>3877</v>
      </c>
    </row>
    <row r="414" customFormat="false" ht="15" hidden="false" customHeight="false" outlineLevel="0" collapsed="false">
      <c r="A414" s="0" t="s">
        <v>86</v>
      </c>
      <c r="B414" s="0" t="n">
        <v>2016</v>
      </c>
      <c r="C414" s="0" t="s">
        <v>54</v>
      </c>
      <c r="D414" s="0" t="n">
        <v>9734</v>
      </c>
      <c r="E414" s="0" t="s">
        <v>3876</v>
      </c>
      <c r="G414" s="0" t="s">
        <v>3877</v>
      </c>
    </row>
    <row r="415" customFormat="false" ht="15" hidden="false" customHeight="false" outlineLevel="0" collapsed="false">
      <c r="A415" s="0" t="s">
        <v>86</v>
      </c>
      <c r="B415" s="0" t="n">
        <v>2016</v>
      </c>
      <c r="C415" s="0" t="s">
        <v>670</v>
      </c>
      <c r="D415" s="0" t="n">
        <v>152021</v>
      </c>
      <c r="E415" s="0" t="s">
        <v>3876</v>
      </c>
      <c r="G415" s="0" t="s">
        <v>3877</v>
      </c>
    </row>
    <row r="416" customFormat="false" ht="15" hidden="false" customHeight="false" outlineLevel="0" collapsed="false">
      <c r="A416" s="0" t="s">
        <v>86</v>
      </c>
      <c r="B416" s="0" t="n">
        <v>2016</v>
      </c>
      <c r="C416" s="0" t="s">
        <v>55</v>
      </c>
      <c r="D416" s="0" t="n">
        <v>1298141</v>
      </c>
      <c r="E416" s="0" t="s">
        <v>3876</v>
      </c>
      <c r="G416" s="0" t="s">
        <v>3877</v>
      </c>
    </row>
    <row r="417" customFormat="false" ht="15" hidden="false" customHeight="false" outlineLevel="0" collapsed="false">
      <c r="A417" s="0" t="s">
        <v>86</v>
      </c>
      <c r="B417" s="0" t="n">
        <v>2016</v>
      </c>
      <c r="C417" s="0" t="s">
        <v>60</v>
      </c>
      <c r="D417" s="0" t="n">
        <v>743120</v>
      </c>
      <c r="E417" s="0" t="s">
        <v>3876</v>
      </c>
      <c r="G417" s="0" t="s">
        <v>3877</v>
      </c>
    </row>
    <row r="418" customFormat="false" ht="15" hidden="false" customHeight="false" outlineLevel="0" collapsed="false">
      <c r="A418" s="0" t="s">
        <v>86</v>
      </c>
      <c r="B418" s="0" t="n">
        <v>2016</v>
      </c>
      <c r="C418" s="0" t="s">
        <v>61</v>
      </c>
      <c r="D418" s="0" t="n">
        <v>24719</v>
      </c>
      <c r="E418" s="0" t="s">
        <v>3876</v>
      </c>
      <c r="G418" s="0" t="s">
        <v>3877</v>
      </c>
    </row>
    <row r="419" customFormat="false" ht="15" hidden="false" customHeight="false" outlineLevel="0" collapsed="false">
      <c r="A419" s="0" t="s">
        <v>86</v>
      </c>
      <c r="B419" s="0" t="n">
        <v>2016</v>
      </c>
      <c r="C419" s="0" t="s">
        <v>63</v>
      </c>
      <c r="D419" s="0" t="n">
        <v>8671</v>
      </c>
      <c r="E419" s="0" t="s">
        <v>3876</v>
      </c>
      <c r="G419" s="0" t="s">
        <v>3877</v>
      </c>
    </row>
    <row r="420" customFormat="false" ht="15" hidden="false" customHeight="false" outlineLevel="0" collapsed="false">
      <c r="A420" s="0" t="s">
        <v>86</v>
      </c>
      <c r="B420" s="0" t="n">
        <v>2016</v>
      </c>
      <c r="C420" s="0" t="s">
        <v>266</v>
      </c>
      <c r="D420" s="0" t="n">
        <v>6.6</v>
      </c>
      <c r="E420" s="0" t="s">
        <v>3876</v>
      </c>
      <c r="G420" s="0" t="s">
        <v>3877</v>
      </c>
    </row>
    <row r="421" customFormat="false" ht="15" hidden="false" customHeight="false" outlineLevel="0" collapsed="false">
      <c r="A421" s="0" t="s">
        <v>86</v>
      </c>
      <c r="B421" s="0" t="n">
        <v>2016</v>
      </c>
      <c r="C421" s="0" t="s">
        <v>69</v>
      </c>
      <c r="D421" s="0" t="n">
        <v>17.2</v>
      </c>
      <c r="E421" s="0" t="s">
        <v>3876</v>
      </c>
      <c r="G421" s="0" t="s">
        <v>3877</v>
      </c>
    </row>
    <row r="422" customFormat="false" ht="15" hidden="false" customHeight="false" outlineLevel="0" collapsed="false">
      <c r="A422" s="0" t="s">
        <v>86</v>
      </c>
      <c r="B422" s="0" t="n">
        <v>2016</v>
      </c>
      <c r="C422" s="0" t="s">
        <v>73</v>
      </c>
      <c r="D422" s="0" t="n">
        <v>0</v>
      </c>
      <c r="E422" s="0" t="s">
        <v>3876</v>
      </c>
      <c r="G422" s="0" t="s">
        <v>3877</v>
      </c>
    </row>
    <row r="423" customFormat="false" ht="15" hidden="false" customHeight="false" outlineLevel="0" collapsed="false">
      <c r="A423" s="0" t="s">
        <v>86</v>
      </c>
      <c r="B423" s="0" t="n">
        <v>2016</v>
      </c>
      <c r="C423" s="0" t="s">
        <v>920</v>
      </c>
      <c r="D423" s="0" t="s">
        <v>3880</v>
      </c>
      <c r="E423" s="0" t="s">
        <v>3876</v>
      </c>
      <c r="G423" s="0" t="s">
        <v>3877</v>
      </c>
    </row>
    <row r="424" customFormat="false" ht="15" hidden="false" customHeight="false" outlineLevel="0" collapsed="false">
      <c r="A424" s="0" t="s">
        <v>86</v>
      </c>
      <c r="B424" s="0" t="n">
        <v>2017</v>
      </c>
      <c r="C424" s="0" t="s">
        <v>54</v>
      </c>
      <c r="D424" s="0" t="n">
        <v>17768</v>
      </c>
      <c r="E424" s="0" t="s">
        <v>3876</v>
      </c>
      <c r="G424" s="0" t="s">
        <v>3877</v>
      </c>
    </row>
    <row r="425" customFormat="false" ht="15" hidden="false" customHeight="false" outlineLevel="0" collapsed="false">
      <c r="A425" s="0" t="s">
        <v>86</v>
      </c>
      <c r="B425" s="0" t="n">
        <v>2017</v>
      </c>
      <c r="C425" s="0" t="s">
        <v>670</v>
      </c>
      <c r="D425" s="0" t="n">
        <v>180244</v>
      </c>
      <c r="E425" s="0" t="s">
        <v>3876</v>
      </c>
      <c r="G425" s="0" t="s">
        <v>3877</v>
      </c>
    </row>
    <row r="426" customFormat="false" ht="15" hidden="false" customHeight="false" outlineLevel="0" collapsed="false">
      <c r="A426" s="0" t="s">
        <v>86</v>
      </c>
      <c r="B426" s="0" t="n">
        <v>2017</v>
      </c>
      <c r="C426" s="0" t="s">
        <v>55</v>
      </c>
      <c r="D426" s="0" t="n">
        <v>1379214</v>
      </c>
      <c r="E426" s="0" t="s">
        <v>3876</v>
      </c>
      <c r="G426" s="0" t="s">
        <v>3877</v>
      </c>
    </row>
    <row r="427" customFormat="false" ht="15" hidden="false" customHeight="false" outlineLevel="0" collapsed="false">
      <c r="A427" s="0" t="s">
        <v>86</v>
      </c>
      <c r="B427" s="0" t="n">
        <v>2017</v>
      </c>
      <c r="C427" s="0" t="s">
        <v>60</v>
      </c>
      <c r="D427" s="0" t="n">
        <v>795315</v>
      </c>
      <c r="E427" s="0" t="s">
        <v>3876</v>
      </c>
      <c r="G427" s="0" t="s">
        <v>3877</v>
      </c>
    </row>
    <row r="428" customFormat="false" ht="15" hidden="false" customHeight="false" outlineLevel="0" collapsed="false">
      <c r="A428" s="0" t="s">
        <v>86</v>
      </c>
      <c r="B428" s="0" t="n">
        <v>2017</v>
      </c>
      <c r="C428" s="0" t="s">
        <v>61</v>
      </c>
      <c r="D428" s="0" t="n">
        <v>26578</v>
      </c>
      <c r="E428" s="0" t="s">
        <v>3876</v>
      </c>
      <c r="G428" s="0" t="s">
        <v>3877</v>
      </c>
    </row>
    <row r="429" customFormat="false" ht="15" hidden="false" customHeight="false" outlineLevel="0" collapsed="false">
      <c r="A429" s="0" t="s">
        <v>86</v>
      </c>
      <c r="B429" s="0" t="n">
        <v>2017</v>
      </c>
      <c r="C429" s="0" t="s">
        <v>63</v>
      </c>
      <c r="D429" s="0" t="n">
        <v>11315</v>
      </c>
      <c r="E429" s="0" t="s">
        <v>3876</v>
      </c>
      <c r="G429" s="0" t="s">
        <v>3877</v>
      </c>
    </row>
    <row r="430" customFormat="false" ht="15" hidden="false" customHeight="false" outlineLevel="0" collapsed="false">
      <c r="A430" s="0" t="s">
        <v>86</v>
      </c>
      <c r="B430" s="0" t="n">
        <v>2017</v>
      </c>
      <c r="C430" s="0" t="s">
        <v>266</v>
      </c>
      <c r="D430" s="0" t="n">
        <v>6.4</v>
      </c>
      <c r="E430" s="0" t="s">
        <v>3876</v>
      </c>
      <c r="G430" s="0" t="s">
        <v>3877</v>
      </c>
    </row>
    <row r="431" customFormat="false" ht="15" hidden="false" customHeight="false" outlineLevel="0" collapsed="false">
      <c r="A431" s="0" t="s">
        <v>86</v>
      </c>
      <c r="B431" s="0" t="n">
        <v>2017</v>
      </c>
      <c r="C431" s="0" t="s">
        <v>69</v>
      </c>
      <c r="D431" s="0" t="n">
        <v>16.03</v>
      </c>
      <c r="E431" s="0" t="s">
        <v>3876</v>
      </c>
      <c r="G431" s="0" t="s">
        <v>3877</v>
      </c>
    </row>
    <row r="432" customFormat="false" ht="15" hidden="false" customHeight="false" outlineLevel="0" collapsed="false">
      <c r="A432" s="0" t="s">
        <v>86</v>
      </c>
      <c r="B432" s="0" t="n">
        <v>2017</v>
      </c>
      <c r="C432" s="0" t="s">
        <v>73</v>
      </c>
      <c r="D432" s="0" t="n">
        <v>0</v>
      </c>
      <c r="E432" s="0" t="s">
        <v>3876</v>
      </c>
      <c r="G432" s="0" t="s">
        <v>3877</v>
      </c>
    </row>
    <row r="433" customFormat="false" ht="15" hidden="false" customHeight="false" outlineLevel="0" collapsed="false">
      <c r="A433" s="0" t="s">
        <v>86</v>
      </c>
      <c r="B433" s="0" t="n">
        <v>2017</v>
      </c>
      <c r="C433" s="0" t="s">
        <v>920</v>
      </c>
      <c r="D433" s="0" t="s">
        <v>3881</v>
      </c>
      <c r="E433" s="0" t="s">
        <v>3876</v>
      </c>
      <c r="G433" s="0" t="s">
        <v>3877</v>
      </c>
    </row>
    <row r="434" customFormat="false" ht="15" hidden="false" customHeight="false" outlineLevel="0" collapsed="false">
      <c r="A434" s="0" t="s">
        <v>86</v>
      </c>
      <c r="B434" s="0" t="n">
        <v>2018</v>
      </c>
      <c r="C434" s="0" t="s">
        <v>54</v>
      </c>
      <c r="D434" s="0" t="n">
        <v>22926</v>
      </c>
      <c r="E434" s="0" t="s">
        <v>3876</v>
      </c>
      <c r="G434" s="0" t="s">
        <v>3877</v>
      </c>
    </row>
    <row r="435" customFormat="false" ht="15" hidden="false" customHeight="false" outlineLevel="0" collapsed="false">
      <c r="A435" s="0" t="s">
        <v>86</v>
      </c>
      <c r="B435" s="0" t="n">
        <v>2018</v>
      </c>
      <c r="C435" s="0" t="s">
        <v>670</v>
      </c>
      <c r="D435" s="0" t="n">
        <v>188873</v>
      </c>
      <c r="E435" s="0" t="s">
        <v>3876</v>
      </c>
      <c r="G435" s="0" t="s">
        <v>3877</v>
      </c>
    </row>
    <row r="436" customFormat="false" ht="15" hidden="false" customHeight="false" outlineLevel="0" collapsed="false">
      <c r="A436" s="0" t="s">
        <v>86</v>
      </c>
      <c r="B436" s="0" t="n">
        <v>2018</v>
      </c>
      <c r="C436" s="0" t="s">
        <v>55</v>
      </c>
      <c r="D436" s="0" t="n">
        <v>1719883</v>
      </c>
      <c r="E436" s="0" t="s">
        <v>3876</v>
      </c>
      <c r="G436" s="0" t="s">
        <v>3877</v>
      </c>
    </row>
    <row r="437" customFormat="false" ht="15" hidden="false" customHeight="false" outlineLevel="0" collapsed="false">
      <c r="A437" s="0" t="s">
        <v>86</v>
      </c>
      <c r="B437" s="0" t="n">
        <v>2018</v>
      </c>
      <c r="C437" s="0" t="s">
        <v>60</v>
      </c>
      <c r="D437" s="0" t="n">
        <v>906623</v>
      </c>
      <c r="E437" s="0" t="s">
        <v>3876</v>
      </c>
      <c r="G437" s="0" t="s">
        <v>3877</v>
      </c>
    </row>
    <row r="438" customFormat="false" ht="15" hidden="false" customHeight="false" outlineLevel="0" collapsed="false">
      <c r="A438" s="0" t="s">
        <v>86</v>
      </c>
      <c r="B438" s="0" t="n">
        <v>2018</v>
      </c>
      <c r="C438" s="0" t="s">
        <v>61</v>
      </c>
      <c r="D438" s="0" t="n">
        <v>56743</v>
      </c>
      <c r="E438" s="0" t="s">
        <v>3876</v>
      </c>
      <c r="G438" s="0" t="s">
        <v>3877</v>
      </c>
    </row>
    <row r="439" customFormat="false" ht="15" hidden="false" customHeight="false" outlineLevel="0" collapsed="false">
      <c r="A439" s="0" t="s">
        <v>86</v>
      </c>
      <c r="B439" s="0" t="n">
        <v>2018</v>
      </c>
      <c r="C439" s="0" t="s">
        <v>63</v>
      </c>
      <c r="D439" s="0" t="n">
        <v>4215</v>
      </c>
      <c r="E439" s="0" t="s">
        <v>3876</v>
      </c>
      <c r="G439" s="0" t="s">
        <v>3877</v>
      </c>
    </row>
    <row r="440" customFormat="false" ht="15" hidden="false" customHeight="false" outlineLevel="0" collapsed="false">
      <c r="A440" s="0" t="s">
        <v>86</v>
      </c>
      <c r="B440" s="0" t="n">
        <v>2018</v>
      </c>
      <c r="C440" s="0" t="s">
        <v>266</v>
      </c>
      <c r="D440" s="0" t="n">
        <v>5.7</v>
      </c>
      <c r="E440" s="0" t="s">
        <v>3876</v>
      </c>
      <c r="G440" s="0" t="s">
        <v>3877</v>
      </c>
    </row>
    <row r="441" customFormat="false" ht="15" hidden="false" customHeight="false" outlineLevel="0" collapsed="false">
      <c r="A441" s="0" t="s">
        <v>86</v>
      </c>
      <c r="B441" s="0" t="n">
        <v>2018</v>
      </c>
      <c r="C441" s="0" t="s">
        <v>69</v>
      </c>
      <c r="D441" s="0" t="n">
        <v>16.7</v>
      </c>
      <c r="E441" s="0" t="s">
        <v>3876</v>
      </c>
      <c r="G441" s="0" t="s">
        <v>3877</v>
      </c>
    </row>
    <row r="442" customFormat="false" ht="15" hidden="false" customHeight="false" outlineLevel="0" collapsed="false">
      <c r="A442" s="0" t="s">
        <v>86</v>
      </c>
      <c r="B442" s="0" t="n">
        <v>2018</v>
      </c>
      <c r="C442" s="0" t="s">
        <v>73</v>
      </c>
      <c r="D442" s="0" t="n">
        <v>0</v>
      </c>
      <c r="E442" s="0" t="s">
        <v>3876</v>
      </c>
      <c r="G442" s="0" t="s">
        <v>3877</v>
      </c>
    </row>
    <row r="443" customFormat="false" ht="15" hidden="false" customHeight="false" outlineLevel="0" collapsed="false">
      <c r="A443" s="0" t="s">
        <v>86</v>
      </c>
      <c r="B443" s="0" t="n">
        <v>2018</v>
      </c>
      <c r="C443" s="0" t="s">
        <v>920</v>
      </c>
      <c r="D443" s="0" t="s">
        <v>976</v>
      </c>
      <c r="E443" s="0" t="s">
        <v>3876</v>
      </c>
      <c r="G443" s="0" t="s">
        <v>3877</v>
      </c>
    </row>
    <row r="444" customFormat="false" ht="15" hidden="false" customHeight="false" outlineLevel="0" collapsed="false">
      <c r="A444" s="0" t="s">
        <v>86</v>
      </c>
      <c r="B444" s="0" t="n">
        <v>2019</v>
      </c>
      <c r="C444" s="0" t="s">
        <v>54</v>
      </c>
      <c r="D444" s="0" t="n">
        <v>28425</v>
      </c>
      <c r="E444" s="0" t="s">
        <v>3876</v>
      </c>
      <c r="G444" s="0" t="s">
        <v>3877</v>
      </c>
    </row>
    <row r="445" customFormat="false" ht="15" hidden="false" customHeight="false" outlineLevel="0" collapsed="false">
      <c r="A445" s="0" t="s">
        <v>86</v>
      </c>
      <c r="B445" s="0" t="n">
        <v>2019</v>
      </c>
      <c r="C445" s="0" t="s">
        <v>670</v>
      </c>
      <c r="D445" s="0" t="n">
        <v>218011</v>
      </c>
      <c r="E445" s="0" t="s">
        <v>3876</v>
      </c>
      <c r="G445" s="0" t="s">
        <v>3877</v>
      </c>
    </row>
    <row r="446" customFormat="false" ht="15" hidden="false" customHeight="false" outlineLevel="0" collapsed="false">
      <c r="A446" s="0" t="s">
        <v>86</v>
      </c>
      <c r="B446" s="0" t="n">
        <v>2019</v>
      </c>
      <c r="C446" s="0" t="s">
        <v>55</v>
      </c>
      <c r="D446" s="0" t="n">
        <v>2114037</v>
      </c>
      <c r="E446" s="0" t="s">
        <v>3876</v>
      </c>
      <c r="G446" s="0" t="s">
        <v>3877</v>
      </c>
    </row>
    <row r="447" customFormat="false" ht="15" hidden="false" customHeight="false" outlineLevel="0" collapsed="false">
      <c r="A447" s="0" t="s">
        <v>86</v>
      </c>
      <c r="B447" s="0" t="n">
        <v>2019</v>
      </c>
      <c r="C447" s="0" t="s">
        <v>60</v>
      </c>
      <c r="D447" s="0" t="n">
        <v>1178389</v>
      </c>
      <c r="E447" s="0" t="s">
        <v>3876</v>
      </c>
      <c r="G447" s="0" t="s">
        <v>3877</v>
      </c>
    </row>
    <row r="448" customFormat="false" ht="15" hidden="false" customHeight="false" outlineLevel="0" collapsed="false">
      <c r="A448" s="0" t="s">
        <v>86</v>
      </c>
      <c r="B448" s="0" t="n">
        <v>2019</v>
      </c>
      <c r="C448" s="0" t="s">
        <v>61</v>
      </c>
      <c r="D448" s="0" t="n">
        <v>51415</v>
      </c>
      <c r="E448" s="0" t="s">
        <v>3876</v>
      </c>
      <c r="G448" s="0" t="s">
        <v>3877</v>
      </c>
    </row>
    <row r="449" customFormat="false" ht="15" hidden="false" customHeight="false" outlineLevel="0" collapsed="false">
      <c r="A449" s="0" t="s">
        <v>86</v>
      </c>
      <c r="B449" s="0" t="n">
        <v>2019</v>
      </c>
      <c r="C449" s="0" t="s">
        <v>63</v>
      </c>
      <c r="D449" s="0" t="n">
        <v>-5292</v>
      </c>
      <c r="E449" s="0" t="s">
        <v>3876</v>
      </c>
      <c r="G449" s="0" t="s">
        <v>3877</v>
      </c>
    </row>
    <row r="450" customFormat="false" ht="15" hidden="false" customHeight="false" outlineLevel="0" collapsed="false">
      <c r="A450" s="0" t="s">
        <v>86</v>
      </c>
      <c r="B450" s="0" t="n">
        <v>2019</v>
      </c>
      <c r="C450" s="0" t="s">
        <v>266</v>
      </c>
      <c r="D450" s="0" t="n">
        <v>3.3</v>
      </c>
      <c r="E450" s="0" t="s">
        <v>3876</v>
      </c>
      <c r="G450" s="0" t="s">
        <v>3877</v>
      </c>
    </row>
    <row r="451" customFormat="false" ht="15" hidden="false" customHeight="false" outlineLevel="0" collapsed="false">
      <c r="A451" s="0" t="s">
        <v>86</v>
      </c>
      <c r="B451" s="0" t="n">
        <v>2019</v>
      </c>
      <c r="C451" s="0" t="s">
        <v>69</v>
      </c>
      <c r="D451" s="0" t="n">
        <v>18.3</v>
      </c>
      <c r="E451" s="0" t="s">
        <v>3876</v>
      </c>
      <c r="G451" s="0" t="s">
        <v>3877</v>
      </c>
    </row>
    <row r="452" customFormat="false" ht="15" hidden="false" customHeight="false" outlineLevel="0" collapsed="false">
      <c r="A452" s="0" t="s">
        <v>86</v>
      </c>
      <c r="B452" s="0" t="n">
        <v>2019</v>
      </c>
      <c r="C452" s="0" t="s">
        <v>73</v>
      </c>
      <c r="D452" s="0" t="n">
        <v>0</v>
      </c>
      <c r="E452" s="0" t="s">
        <v>3876</v>
      </c>
      <c r="G452" s="0" t="s">
        <v>3877</v>
      </c>
    </row>
    <row r="453" customFormat="false" ht="15" hidden="false" customHeight="false" outlineLevel="0" collapsed="false">
      <c r="A453" s="0" t="s">
        <v>86</v>
      </c>
      <c r="B453" s="0" t="n">
        <v>2019</v>
      </c>
      <c r="C453" s="0" t="s">
        <v>920</v>
      </c>
      <c r="D453" s="0" t="s">
        <v>976</v>
      </c>
      <c r="E453" s="0" t="s">
        <v>3876</v>
      </c>
      <c r="G453" s="0" t="s">
        <v>3877</v>
      </c>
    </row>
    <row r="454" customFormat="false" ht="15" hidden="false" customHeight="false" outlineLevel="0" collapsed="false">
      <c r="A454" s="0" t="s">
        <v>86</v>
      </c>
      <c r="B454" s="0" t="n">
        <v>2020</v>
      </c>
      <c r="C454" s="0" t="s">
        <v>54</v>
      </c>
      <c r="D454" s="0" t="n">
        <v>26650</v>
      </c>
      <c r="E454" s="0" t="s">
        <v>3876</v>
      </c>
      <c r="G454" s="0" t="s">
        <v>3877</v>
      </c>
    </row>
    <row r="455" customFormat="false" ht="15" hidden="false" customHeight="false" outlineLevel="0" collapsed="false">
      <c r="A455" s="0" t="s">
        <v>86</v>
      </c>
      <c r="B455" s="0" t="n">
        <v>2020</v>
      </c>
      <c r="C455" s="0" t="s">
        <v>670</v>
      </c>
      <c r="D455" s="0" t="n">
        <v>206204</v>
      </c>
      <c r="E455" s="0" t="s">
        <v>3876</v>
      </c>
      <c r="G455" s="0" t="s">
        <v>3877</v>
      </c>
    </row>
    <row r="456" customFormat="false" ht="15" hidden="false" customHeight="false" outlineLevel="0" collapsed="false">
      <c r="A456" s="0" t="s">
        <v>86</v>
      </c>
      <c r="B456" s="0" t="n">
        <v>2020</v>
      </c>
      <c r="C456" s="0" t="s">
        <v>55</v>
      </c>
      <c r="D456" s="0" t="n">
        <v>2758148</v>
      </c>
      <c r="E456" s="0" t="s">
        <v>3876</v>
      </c>
      <c r="G456" s="0" t="s">
        <v>3877</v>
      </c>
    </row>
    <row r="457" customFormat="false" ht="15" hidden="false" customHeight="false" outlineLevel="0" collapsed="false">
      <c r="A457" s="0" t="s">
        <v>86</v>
      </c>
      <c r="B457" s="0" t="n">
        <v>2020</v>
      </c>
      <c r="C457" s="0" t="s">
        <v>60</v>
      </c>
      <c r="D457" s="0" t="n">
        <v>1393624</v>
      </c>
      <c r="E457" s="0" t="s">
        <v>3876</v>
      </c>
      <c r="G457" s="0" t="s">
        <v>3877</v>
      </c>
    </row>
    <row r="458" customFormat="false" ht="15" hidden="false" customHeight="false" outlineLevel="0" collapsed="false">
      <c r="A458" s="0" t="s">
        <v>86</v>
      </c>
      <c r="B458" s="0" t="n">
        <v>2020</v>
      </c>
      <c r="C458" s="0" t="s">
        <v>61</v>
      </c>
      <c r="D458" s="0" t="n">
        <v>67518</v>
      </c>
      <c r="E458" s="0" t="s">
        <v>3876</v>
      </c>
      <c r="G458" s="0" t="s">
        <v>3877</v>
      </c>
    </row>
    <row r="459" customFormat="false" ht="15" hidden="false" customHeight="false" outlineLevel="0" collapsed="false">
      <c r="A459" s="0" t="s">
        <v>86</v>
      </c>
      <c r="B459" s="0" t="n">
        <v>2020</v>
      </c>
      <c r="C459" s="0" t="s">
        <v>63</v>
      </c>
      <c r="D459" s="0" t="n">
        <v>16858</v>
      </c>
      <c r="E459" s="0" t="s">
        <v>3876</v>
      </c>
      <c r="G459" s="0" t="s">
        <v>3877</v>
      </c>
    </row>
    <row r="460" customFormat="false" ht="15" hidden="false" customHeight="false" outlineLevel="0" collapsed="false">
      <c r="A460" s="0" t="s">
        <v>86</v>
      </c>
      <c r="B460" s="0" t="n">
        <v>2020</v>
      </c>
      <c r="C460" s="0" t="s">
        <v>266</v>
      </c>
      <c r="D460" s="0" t="n">
        <v>3.8</v>
      </c>
      <c r="E460" s="0" t="s">
        <v>3876</v>
      </c>
      <c r="G460" s="0" t="s">
        <v>3877</v>
      </c>
    </row>
    <row r="461" customFormat="false" ht="15" hidden="false" customHeight="false" outlineLevel="0" collapsed="false">
      <c r="A461" s="0" t="s">
        <v>86</v>
      </c>
      <c r="B461" s="0" t="n">
        <v>2020</v>
      </c>
      <c r="C461" s="0" t="s">
        <v>69</v>
      </c>
      <c r="D461" s="0" t="n">
        <v>18.2</v>
      </c>
      <c r="E461" s="0" t="s">
        <v>3876</v>
      </c>
      <c r="G461" s="0" t="s">
        <v>3877</v>
      </c>
    </row>
    <row r="462" customFormat="false" ht="15" hidden="false" customHeight="false" outlineLevel="0" collapsed="false">
      <c r="A462" s="0" t="s">
        <v>86</v>
      </c>
      <c r="B462" s="0" t="n">
        <v>2020</v>
      </c>
      <c r="C462" s="0" t="s">
        <v>73</v>
      </c>
      <c r="D462" s="0" t="n">
        <v>0</v>
      </c>
      <c r="E462" s="0" t="s">
        <v>3876</v>
      </c>
      <c r="G462" s="0" t="s">
        <v>3877</v>
      </c>
    </row>
    <row r="463" customFormat="false" ht="15" hidden="false" customHeight="false" outlineLevel="0" collapsed="false">
      <c r="A463" s="0" t="s">
        <v>86</v>
      </c>
      <c r="B463" s="0" t="n">
        <v>2020</v>
      </c>
      <c r="C463" s="0" t="s">
        <v>920</v>
      </c>
      <c r="D463" s="0" t="s">
        <v>976</v>
      </c>
      <c r="E463" s="0" t="s">
        <v>3876</v>
      </c>
      <c r="G463" s="0" t="s">
        <v>3877</v>
      </c>
    </row>
    <row r="464" customFormat="false" ht="15" hidden="false" customHeight="false" outlineLevel="0" collapsed="false">
      <c r="A464" s="0" t="s">
        <v>86</v>
      </c>
      <c r="B464" s="0" t="n">
        <v>2021</v>
      </c>
      <c r="C464" s="0" t="s">
        <v>54</v>
      </c>
      <c r="D464" s="0" t="n">
        <v>23104</v>
      </c>
      <c r="E464" s="0" t="s">
        <v>3876</v>
      </c>
      <c r="G464" s="0" t="s">
        <v>3877</v>
      </c>
    </row>
    <row r="465" customFormat="false" ht="15" hidden="false" customHeight="false" outlineLevel="0" collapsed="false">
      <c r="A465" s="0" t="s">
        <v>86</v>
      </c>
      <c r="B465" s="0" t="n">
        <v>2021</v>
      </c>
      <c r="C465" s="0" t="s">
        <v>670</v>
      </c>
      <c r="D465" s="0" t="n">
        <v>250776</v>
      </c>
      <c r="E465" s="0" t="s">
        <v>3876</v>
      </c>
      <c r="G465" s="0" t="s">
        <v>3877</v>
      </c>
    </row>
    <row r="466" customFormat="false" ht="15" hidden="false" customHeight="false" outlineLevel="0" collapsed="false">
      <c r="A466" s="0" t="s">
        <v>86</v>
      </c>
      <c r="B466" s="0" t="n">
        <v>2021</v>
      </c>
      <c r="C466" s="0" t="s">
        <v>55</v>
      </c>
      <c r="D466" s="0" t="n">
        <v>3280454</v>
      </c>
      <c r="E466" s="0" t="s">
        <v>3876</v>
      </c>
      <c r="G466" s="0" t="s">
        <v>3877</v>
      </c>
    </row>
    <row r="467" customFormat="false" ht="15" hidden="false" customHeight="false" outlineLevel="0" collapsed="false">
      <c r="A467" s="0" t="s">
        <v>86</v>
      </c>
      <c r="B467" s="0" t="n">
        <v>2021</v>
      </c>
      <c r="C467" s="0" t="s">
        <v>60</v>
      </c>
      <c r="D467" s="0" t="n">
        <v>1732543</v>
      </c>
      <c r="E467" s="0" t="s">
        <v>3876</v>
      </c>
      <c r="G467" s="0" t="s">
        <v>3877</v>
      </c>
    </row>
    <row r="468" customFormat="false" ht="15" hidden="false" customHeight="false" outlineLevel="0" collapsed="false">
      <c r="A468" s="0" t="s">
        <v>86</v>
      </c>
      <c r="B468" s="0" t="n">
        <v>2021</v>
      </c>
      <c r="C468" s="0" t="s">
        <v>61</v>
      </c>
      <c r="D468" s="0" t="n">
        <v>74131</v>
      </c>
      <c r="E468" s="0" t="s">
        <v>3876</v>
      </c>
      <c r="G468" s="0" t="s">
        <v>3877</v>
      </c>
    </row>
    <row r="469" customFormat="false" ht="15" hidden="false" customHeight="false" outlineLevel="0" collapsed="false">
      <c r="A469" s="0" t="s">
        <v>86</v>
      </c>
      <c r="B469" s="0" t="n">
        <v>2021</v>
      </c>
      <c r="C469" s="0" t="s">
        <v>63</v>
      </c>
      <c r="D469" s="0" t="n">
        <v>7034</v>
      </c>
      <c r="E469" s="0" t="s">
        <v>3876</v>
      </c>
      <c r="G469" s="0" t="s">
        <v>3877</v>
      </c>
    </row>
    <row r="470" customFormat="false" ht="15" hidden="false" customHeight="false" outlineLevel="0" collapsed="false">
      <c r="A470" s="0" t="s">
        <v>86</v>
      </c>
      <c r="B470" s="0" t="n">
        <v>2021</v>
      </c>
      <c r="C470" s="0" t="s">
        <v>266</v>
      </c>
      <c r="D470" s="0" t="n">
        <v>2.9</v>
      </c>
      <c r="E470" s="0" t="s">
        <v>3876</v>
      </c>
      <c r="G470" s="0" t="s">
        <v>3877</v>
      </c>
    </row>
    <row r="471" customFormat="false" ht="15" hidden="false" customHeight="false" outlineLevel="0" collapsed="false">
      <c r="A471" s="0" t="s">
        <v>86</v>
      </c>
      <c r="B471" s="0" t="n">
        <v>2021</v>
      </c>
      <c r="C471" s="0" t="s">
        <v>69</v>
      </c>
      <c r="D471" s="0" t="n">
        <v>19.15</v>
      </c>
      <c r="E471" s="0" t="s">
        <v>3876</v>
      </c>
      <c r="G471" s="0" t="s">
        <v>3877</v>
      </c>
    </row>
    <row r="472" customFormat="false" ht="15" hidden="false" customHeight="false" outlineLevel="0" collapsed="false">
      <c r="A472" s="0" t="s">
        <v>86</v>
      </c>
      <c r="B472" s="0" t="n">
        <v>2021</v>
      </c>
      <c r="C472" s="0" t="s">
        <v>73</v>
      </c>
      <c r="D472" s="0" t="n">
        <v>0</v>
      </c>
      <c r="E472" s="0" t="s">
        <v>3876</v>
      </c>
      <c r="G472" s="0" t="s">
        <v>3877</v>
      </c>
    </row>
    <row r="473" customFormat="false" ht="15" hidden="false" customHeight="false" outlineLevel="0" collapsed="false">
      <c r="A473" s="0" t="s">
        <v>86</v>
      </c>
      <c r="B473" s="0" t="n">
        <v>2021</v>
      </c>
      <c r="C473" s="0" t="s">
        <v>920</v>
      </c>
      <c r="D473" s="0" t="s">
        <v>994</v>
      </c>
      <c r="E473" s="0" t="s">
        <v>3876</v>
      </c>
      <c r="G473" s="0" t="s">
        <v>3877</v>
      </c>
    </row>
    <row r="474" customFormat="false" ht="15" hidden="false" customHeight="false" outlineLevel="0" collapsed="false">
      <c r="A474" s="0" t="s">
        <v>86</v>
      </c>
      <c r="B474" s="0" t="n">
        <v>2022</v>
      </c>
      <c r="C474" s="0" t="s">
        <v>54</v>
      </c>
      <c r="D474" s="0" t="n">
        <v>46724</v>
      </c>
      <c r="E474" s="0" t="s">
        <v>3876</v>
      </c>
      <c r="G474" s="0" t="s">
        <v>3877</v>
      </c>
    </row>
    <row r="475" customFormat="false" ht="15" hidden="false" customHeight="false" outlineLevel="0" collapsed="false">
      <c r="A475" s="0" t="s">
        <v>86</v>
      </c>
      <c r="B475" s="0" t="n">
        <v>2022</v>
      </c>
      <c r="C475" s="0" t="s">
        <v>670</v>
      </c>
      <c r="D475" s="0" t="n">
        <v>337050</v>
      </c>
      <c r="E475" s="0" t="s">
        <v>3876</v>
      </c>
      <c r="G475" s="0" t="s">
        <v>3877</v>
      </c>
    </row>
    <row r="476" customFormat="false" ht="15" hidden="false" customHeight="false" outlineLevel="0" collapsed="false">
      <c r="A476" s="0" t="s">
        <v>86</v>
      </c>
      <c r="B476" s="0" t="n">
        <v>2022</v>
      </c>
      <c r="C476" s="0" t="s">
        <v>55</v>
      </c>
      <c r="D476" s="0" t="n">
        <v>3989009</v>
      </c>
      <c r="E476" s="0" t="s">
        <v>3876</v>
      </c>
      <c r="G476" s="0" t="s">
        <v>3877</v>
      </c>
    </row>
    <row r="477" customFormat="false" ht="15" hidden="false" customHeight="false" outlineLevel="0" collapsed="false">
      <c r="A477" s="0" t="s">
        <v>86</v>
      </c>
      <c r="B477" s="0" t="n">
        <v>2022</v>
      </c>
      <c r="C477" s="0" t="s">
        <v>60</v>
      </c>
      <c r="D477" s="0" t="n">
        <v>2196760</v>
      </c>
      <c r="E477" s="0" t="s">
        <v>3876</v>
      </c>
      <c r="G477" s="0" t="s">
        <v>3877</v>
      </c>
    </row>
    <row r="478" customFormat="false" ht="15" hidden="false" customHeight="false" outlineLevel="0" collapsed="false">
      <c r="A478" s="0" t="s">
        <v>86</v>
      </c>
      <c r="B478" s="0" t="n">
        <v>2022</v>
      </c>
      <c r="C478" s="0" t="s">
        <v>61</v>
      </c>
      <c r="D478" s="0" t="n">
        <v>80548</v>
      </c>
      <c r="E478" s="0" t="s">
        <v>3876</v>
      </c>
      <c r="G478" s="0" t="s">
        <v>3877</v>
      </c>
    </row>
    <row r="479" customFormat="false" ht="15" hidden="false" customHeight="false" outlineLevel="0" collapsed="false">
      <c r="A479" s="0" t="s">
        <v>86</v>
      </c>
      <c r="B479" s="0" t="n">
        <v>2022</v>
      </c>
      <c r="C479" s="0" t="s">
        <v>63</v>
      </c>
      <c r="D479" s="0" t="n">
        <v>5443</v>
      </c>
      <c r="E479" s="0" t="s">
        <v>3876</v>
      </c>
      <c r="G479" s="0" t="s">
        <v>3877</v>
      </c>
    </row>
    <row r="480" customFormat="false" ht="15" hidden="false" customHeight="false" outlineLevel="0" collapsed="false">
      <c r="A480" s="0" t="s">
        <v>86</v>
      </c>
      <c r="B480" s="0" t="n">
        <v>2022</v>
      </c>
      <c r="C480" s="0" t="s">
        <v>266</v>
      </c>
      <c r="D480" s="0" t="n">
        <v>2.9</v>
      </c>
      <c r="E480" s="0" t="s">
        <v>3876</v>
      </c>
      <c r="G480" s="0" t="s">
        <v>3877</v>
      </c>
    </row>
    <row r="481" customFormat="false" ht="15" hidden="false" customHeight="false" outlineLevel="0" collapsed="false">
      <c r="A481" s="0" t="s">
        <v>86</v>
      </c>
      <c r="B481" s="0" t="n">
        <v>2022</v>
      </c>
      <c r="C481" s="0" t="s">
        <v>69</v>
      </c>
      <c r="D481" s="0" t="n">
        <v>18.14</v>
      </c>
      <c r="E481" s="0" t="s">
        <v>3876</v>
      </c>
      <c r="G481" s="0" t="s">
        <v>3877</v>
      </c>
    </row>
    <row r="482" customFormat="false" ht="15" hidden="false" customHeight="false" outlineLevel="0" collapsed="false">
      <c r="A482" s="0" t="s">
        <v>86</v>
      </c>
      <c r="B482" s="0" t="n">
        <v>2022</v>
      </c>
      <c r="C482" s="0" t="s">
        <v>73</v>
      </c>
      <c r="D482" s="0" t="n">
        <v>0</v>
      </c>
      <c r="E482" s="0" t="s">
        <v>3876</v>
      </c>
      <c r="G482" s="0" t="s">
        <v>3877</v>
      </c>
    </row>
    <row r="483" customFormat="false" ht="15" hidden="false" customHeight="false" outlineLevel="0" collapsed="false">
      <c r="A483" s="0" t="s">
        <v>86</v>
      </c>
      <c r="B483" s="0" t="n">
        <v>2022</v>
      </c>
      <c r="C483" s="0" t="s">
        <v>920</v>
      </c>
      <c r="D483" s="0" t="s">
        <v>994</v>
      </c>
      <c r="E483" s="0" t="s">
        <v>3876</v>
      </c>
      <c r="G483" s="0" t="s">
        <v>3877</v>
      </c>
    </row>
    <row r="484" customFormat="false" ht="15" hidden="false" customHeight="false" outlineLevel="0" collapsed="false">
      <c r="A484" s="0" t="s">
        <v>116</v>
      </c>
      <c r="B484" s="0" t="n">
        <v>2015</v>
      </c>
      <c r="C484" s="0" t="s">
        <v>54</v>
      </c>
      <c r="D484" s="0" t="n">
        <v>6232</v>
      </c>
      <c r="E484" s="0" t="s">
        <v>3876</v>
      </c>
      <c r="G484" s="0" t="s">
        <v>3877</v>
      </c>
    </row>
    <row r="485" customFormat="false" ht="15" hidden="false" customHeight="false" outlineLevel="0" collapsed="false">
      <c r="A485" s="0" t="s">
        <v>116</v>
      </c>
      <c r="B485" s="0" t="n">
        <v>2015</v>
      </c>
      <c r="C485" s="0" t="s">
        <v>670</v>
      </c>
      <c r="D485" s="0" t="n">
        <v>118400</v>
      </c>
      <c r="E485" s="0" t="s">
        <v>3876</v>
      </c>
      <c r="G485" s="0" t="s">
        <v>3877</v>
      </c>
    </row>
    <row r="486" customFormat="false" ht="15" hidden="false" customHeight="false" outlineLevel="0" collapsed="false">
      <c r="A486" s="0" t="s">
        <v>116</v>
      </c>
      <c r="B486" s="0" t="n">
        <v>2015</v>
      </c>
      <c r="C486" s="0" t="s">
        <v>55</v>
      </c>
      <c r="D486" s="0" t="n">
        <v>890580</v>
      </c>
      <c r="E486" s="0" t="s">
        <v>3876</v>
      </c>
      <c r="G486" s="0" t="s">
        <v>3877</v>
      </c>
    </row>
    <row r="487" customFormat="false" ht="15" hidden="false" customHeight="false" outlineLevel="0" collapsed="false">
      <c r="A487" s="0" t="s">
        <v>116</v>
      </c>
      <c r="B487" s="0" t="n">
        <v>2015</v>
      </c>
      <c r="C487" s="0" t="s">
        <v>60</v>
      </c>
      <c r="D487" s="0" t="n">
        <v>406210</v>
      </c>
      <c r="E487" s="0" t="s">
        <v>3876</v>
      </c>
      <c r="G487" s="0" t="s">
        <v>3877</v>
      </c>
    </row>
    <row r="488" customFormat="false" ht="15" hidden="false" customHeight="false" outlineLevel="0" collapsed="false">
      <c r="A488" s="0" t="s">
        <v>116</v>
      </c>
      <c r="B488" s="0" t="n">
        <v>2015</v>
      </c>
      <c r="C488" s="0" t="s">
        <v>61</v>
      </c>
      <c r="D488" s="0" t="n">
        <v>25915</v>
      </c>
      <c r="E488" s="0" t="s">
        <v>3876</v>
      </c>
      <c r="G488" s="0" t="s">
        <v>3877</v>
      </c>
    </row>
    <row r="489" customFormat="false" ht="15" hidden="false" customHeight="false" outlineLevel="0" collapsed="false">
      <c r="A489" s="0" t="s">
        <v>116</v>
      </c>
      <c r="B489" s="0" t="n">
        <v>2015</v>
      </c>
      <c r="C489" s="0" t="s">
        <v>63</v>
      </c>
      <c r="D489" s="0" t="n">
        <v>15114</v>
      </c>
      <c r="E489" s="0" t="s">
        <v>3876</v>
      </c>
      <c r="G489" s="0" t="s">
        <v>3877</v>
      </c>
    </row>
    <row r="490" customFormat="false" ht="15" hidden="false" customHeight="false" outlineLevel="0" collapsed="false">
      <c r="A490" s="0" t="s">
        <v>116</v>
      </c>
      <c r="B490" s="0" t="n">
        <v>2015</v>
      </c>
      <c r="C490" s="0" t="s">
        <v>266</v>
      </c>
      <c r="D490" s="0" t="n">
        <v>6.65</v>
      </c>
      <c r="E490" s="0" t="s">
        <v>3876</v>
      </c>
      <c r="G490" s="0" t="s">
        <v>3877</v>
      </c>
    </row>
    <row r="491" customFormat="false" ht="15" hidden="false" customHeight="false" outlineLevel="0" collapsed="false">
      <c r="A491" s="0" t="s">
        <v>116</v>
      </c>
      <c r="B491" s="0" t="n">
        <v>2015</v>
      </c>
      <c r="C491" s="0" t="s">
        <v>69</v>
      </c>
      <c r="D491" s="0" t="n">
        <v>18.3</v>
      </c>
      <c r="E491" s="0" t="s">
        <v>3876</v>
      </c>
      <c r="G491" s="0" t="s">
        <v>3877</v>
      </c>
    </row>
    <row r="492" customFormat="false" ht="15" hidden="false" customHeight="false" outlineLevel="0" collapsed="false">
      <c r="A492" s="0" t="s">
        <v>116</v>
      </c>
      <c r="B492" s="0" t="n">
        <v>2015</v>
      </c>
      <c r="C492" s="0" t="s">
        <v>73</v>
      </c>
      <c r="D492" s="0" t="n">
        <v>0</v>
      </c>
      <c r="E492" s="0" t="s">
        <v>3876</v>
      </c>
      <c r="G492" s="0" t="s">
        <v>3877</v>
      </c>
    </row>
    <row r="493" customFormat="false" ht="15" hidden="false" customHeight="false" outlineLevel="0" collapsed="false">
      <c r="A493" s="0" t="s">
        <v>116</v>
      </c>
      <c r="B493" s="0" t="n">
        <v>2015</v>
      </c>
      <c r="C493" s="0" t="s">
        <v>920</v>
      </c>
      <c r="D493" s="0" t="s">
        <v>3878</v>
      </c>
      <c r="E493" s="0" t="s">
        <v>3876</v>
      </c>
      <c r="G493" s="0" t="s">
        <v>3877</v>
      </c>
    </row>
    <row r="494" customFormat="false" ht="15" hidden="false" customHeight="false" outlineLevel="0" collapsed="false">
      <c r="A494" s="0" t="s">
        <v>116</v>
      </c>
      <c r="B494" s="0" t="n">
        <v>2016</v>
      </c>
      <c r="C494" s="0" t="s">
        <v>54</v>
      </c>
      <c r="D494" s="0" t="n">
        <v>15030</v>
      </c>
      <c r="E494" s="0" t="s">
        <v>3876</v>
      </c>
      <c r="G494" s="0" t="s">
        <v>3877</v>
      </c>
    </row>
    <row r="495" customFormat="false" ht="15" hidden="false" customHeight="false" outlineLevel="0" collapsed="false">
      <c r="A495" s="0" t="s">
        <v>116</v>
      </c>
      <c r="B495" s="0" t="n">
        <v>2016</v>
      </c>
      <c r="C495" s="0" t="s">
        <v>670</v>
      </c>
      <c r="D495" s="0" t="n">
        <v>142500</v>
      </c>
      <c r="E495" s="0" t="s">
        <v>3876</v>
      </c>
      <c r="G495" s="0" t="s">
        <v>3877</v>
      </c>
    </row>
    <row r="496" customFormat="false" ht="15" hidden="false" customHeight="false" outlineLevel="0" collapsed="false">
      <c r="A496" s="0" t="s">
        <v>116</v>
      </c>
      <c r="B496" s="0" t="n">
        <v>2016</v>
      </c>
      <c r="C496" s="0" t="s">
        <v>55</v>
      </c>
      <c r="D496" s="0" t="n">
        <v>993759</v>
      </c>
      <c r="E496" s="0" t="s">
        <v>3876</v>
      </c>
      <c r="G496" s="0" t="s">
        <v>3877</v>
      </c>
    </row>
    <row r="497" customFormat="false" ht="15" hidden="false" customHeight="false" outlineLevel="0" collapsed="false">
      <c r="A497" s="0" t="s">
        <v>116</v>
      </c>
      <c r="B497" s="0" t="n">
        <v>2016</v>
      </c>
      <c r="C497" s="0" t="s">
        <v>60</v>
      </c>
      <c r="D497" s="0" t="n">
        <v>390580</v>
      </c>
      <c r="E497" s="0" t="s">
        <v>3876</v>
      </c>
      <c r="G497" s="0" t="s">
        <v>3877</v>
      </c>
    </row>
    <row r="498" customFormat="false" ht="15" hidden="false" customHeight="false" outlineLevel="0" collapsed="false">
      <c r="A498" s="0" t="s">
        <v>116</v>
      </c>
      <c r="B498" s="0" t="n">
        <v>2016</v>
      </c>
      <c r="C498" s="0" t="s">
        <v>61</v>
      </c>
      <c r="D498" s="0" t="n">
        <v>22351</v>
      </c>
      <c r="E498" s="0" t="s">
        <v>3876</v>
      </c>
      <c r="G498" s="0" t="s">
        <v>3877</v>
      </c>
    </row>
    <row r="499" customFormat="false" ht="15" hidden="false" customHeight="false" outlineLevel="0" collapsed="false">
      <c r="A499" s="0" t="s">
        <v>116</v>
      </c>
      <c r="B499" s="0" t="n">
        <v>2016</v>
      </c>
      <c r="C499" s="0" t="s">
        <v>63</v>
      </c>
      <c r="D499" s="0" t="n">
        <v>20272</v>
      </c>
      <c r="E499" s="0" t="s">
        <v>3876</v>
      </c>
      <c r="G499" s="0" t="s">
        <v>3877</v>
      </c>
    </row>
    <row r="500" customFormat="false" ht="15" hidden="false" customHeight="false" outlineLevel="0" collapsed="false">
      <c r="A500" s="0" t="s">
        <v>116</v>
      </c>
      <c r="B500" s="0" t="n">
        <v>2016</v>
      </c>
      <c r="C500" s="0" t="s">
        <v>266</v>
      </c>
      <c r="D500" s="0" t="n">
        <v>4.78</v>
      </c>
      <c r="E500" s="0" t="s">
        <v>3876</v>
      </c>
      <c r="G500" s="0" t="s">
        <v>3877</v>
      </c>
    </row>
    <row r="501" customFormat="false" ht="15" hidden="false" customHeight="false" outlineLevel="0" collapsed="false">
      <c r="A501" s="0" t="s">
        <v>116</v>
      </c>
      <c r="B501" s="0" t="n">
        <v>2016</v>
      </c>
      <c r="C501" s="0" t="s">
        <v>69</v>
      </c>
      <c r="D501" s="0" t="n">
        <v>21</v>
      </c>
      <c r="E501" s="0" t="s">
        <v>3876</v>
      </c>
      <c r="G501" s="0" t="s">
        <v>3877</v>
      </c>
    </row>
    <row r="502" customFormat="false" ht="15" hidden="false" customHeight="false" outlineLevel="0" collapsed="false">
      <c r="A502" s="0" t="s">
        <v>116</v>
      </c>
      <c r="B502" s="0" t="n">
        <v>2016</v>
      </c>
      <c r="C502" s="0" t="s">
        <v>73</v>
      </c>
      <c r="D502" s="0" t="n">
        <v>0</v>
      </c>
      <c r="E502" s="0" t="s">
        <v>3876</v>
      </c>
      <c r="G502" s="0" t="s">
        <v>3877</v>
      </c>
    </row>
    <row r="503" customFormat="false" ht="15" hidden="false" customHeight="false" outlineLevel="0" collapsed="false">
      <c r="A503" s="0" t="s">
        <v>116</v>
      </c>
      <c r="B503" s="0" t="n">
        <v>2016</v>
      </c>
      <c r="C503" s="0" t="s">
        <v>920</v>
      </c>
      <c r="D503" s="0" t="s">
        <v>3878</v>
      </c>
      <c r="E503" s="0" t="s">
        <v>3876</v>
      </c>
      <c r="G503" s="0" t="s">
        <v>3877</v>
      </c>
    </row>
    <row r="504" customFormat="false" ht="15" hidden="false" customHeight="false" outlineLevel="0" collapsed="false">
      <c r="A504" s="0" t="s">
        <v>116</v>
      </c>
      <c r="B504" s="0" t="n">
        <v>2017</v>
      </c>
      <c r="C504" s="0" t="s">
        <v>54</v>
      </c>
      <c r="D504" s="0" t="n">
        <v>28842</v>
      </c>
      <c r="E504" s="0" t="s">
        <v>3876</v>
      </c>
      <c r="G504" s="0" t="s">
        <v>3877</v>
      </c>
    </row>
    <row r="505" customFormat="false" ht="15" hidden="false" customHeight="false" outlineLevel="0" collapsed="false">
      <c r="A505" s="0" t="s">
        <v>116</v>
      </c>
      <c r="B505" s="0" t="n">
        <v>2017</v>
      </c>
      <c r="C505" s="0" t="s">
        <v>670</v>
      </c>
      <c r="D505" s="0" t="n">
        <v>166302</v>
      </c>
      <c r="E505" s="0" t="s">
        <v>3876</v>
      </c>
      <c r="G505" s="0" t="s">
        <v>3877</v>
      </c>
    </row>
    <row r="506" customFormat="false" ht="15" hidden="false" customHeight="false" outlineLevel="0" collapsed="false">
      <c r="A506" s="0" t="s">
        <v>116</v>
      </c>
      <c r="B506" s="0" t="n">
        <v>2017</v>
      </c>
      <c r="C506" s="0" t="s">
        <v>55</v>
      </c>
      <c r="D506" s="0" t="n">
        <v>1332669</v>
      </c>
      <c r="E506" s="0" t="s">
        <v>3876</v>
      </c>
      <c r="G506" s="0" t="s">
        <v>3877</v>
      </c>
    </row>
    <row r="507" customFormat="false" ht="15" hidden="false" customHeight="false" outlineLevel="0" collapsed="false">
      <c r="A507" s="0" t="s">
        <v>116</v>
      </c>
      <c r="B507" s="0" t="n">
        <v>2017</v>
      </c>
      <c r="C507" s="0" t="s">
        <v>60</v>
      </c>
      <c r="D507" s="0" t="n">
        <v>391000</v>
      </c>
      <c r="E507" s="0" t="s">
        <v>3876</v>
      </c>
      <c r="G507" s="0" t="s">
        <v>3877</v>
      </c>
    </row>
    <row r="508" customFormat="false" ht="15" hidden="false" customHeight="false" outlineLevel="0" collapsed="false">
      <c r="A508" s="0" t="s">
        <v>116</v>
      </c>
      <c r="B508" s="0" t="n">
        <v>2017</v>
      </c>
      <c r="C508" s="0" t="s">
        <v>61</v>
      </c>
      <c r="D508" s="0" t="n">
        <v>26000</v>
      </c>
      <c r="E508" s="0" t="s">
        <v>3876</v>
      </c>
      <c r="G508" s="0" t="s">
        <v>3877</v>
      </c>
    </row>
    <row r="509" customFormat="false" ht="15" hidden="false" customHeight="false" outlineLevel="0" collapsed="false">
      <c r="A509" s="0" t="s">
        <v>116</v>
      </c>
      <c r="B509" s="0" t="n">
        <v>2017</v>
      </c>
      <c r="C509" s="0" t="s">
        <v>63</v>
      </c>
      <c r="D509" s="0" t="n">
        <v>-25577</v>
      </c>
      <c r="E509" s="0" t="s">
        <v>3876</v>
      </c>
      <c r="G509" s="0" t="s">
        <v>3877</v>
      </c>
    </row>
    <row r="510" customFormat="false" ht="15" hidden="false" customHeight="false" outlineLevel="0" collapsed="false">
      <c r="A510" s="0" t="s">
        <v>116</v>
      </c>
      <c r="B510" s="0" t="n">
        <v>2017</v>
      </c>
      <c r="C510" s="0" t="s">
        <v>266</v>
      </c>
      <c r="D510" s="0" t="n">
        <v>4.2</v>
      </c>
      <c r="E510" s="0" t="s">
        <v>3876</v>
      </c>
      <c r="G510" s="0" t="s">
        <v>3877</v>
      </c>
    </row>
    <row r="511" customFormat="false" ht="15" hidden="false" customHeight="false" outlineLevel="0" collapsed="false">
      <c r="A511" s="0" t="s">
        <v>116</v>
      </c>
      <c r="B511" s="0" t="n">
        <v>2017</v>
      </c>
      <c r="C511" s="0" t="s">
        <v>69</v>
      </c>
      <c r="D511" s="0" t="n">
        <v>20.5</v>
      </c>
      <c r="E511" s="0" t="s">
        <v>3876</v>
      </c>
      <c r="G511" s="0" t="s">
        <v>3877</v>
      </c>
    </row>
    <row r="512" customFormat="false" ht="15" hidden="false" customHeight="false" outlineLevel="0" collapsed="false">
      <c r="A512" s="0" t="s">
        <v>116</v>
      </c>
      <c r="B512" s="0" t="n">
        <v>2017</v>
      </c>
      <c r="C512" s="0" t="s">
        <v>73</v>
      </c>
      <c r="D512" s="0" t="n">
        <v>0</v>
      </c>
      <c r="E512" s="0" t="s">
        <v>3876</v>
      </c>
      <c r="G512" s="0" t="s">
        <v>3877</v>
      </c>
    </row>
    <row r="513" customFormat="false" ht="15" hidden="false" customHeight="false" outlineLevel="0" collapsed="false">
      <c r="A513" s="0" t="s">
        <v>116</v>
      </c>
      <c r="B513" s="0" t="n">
        <v>2017</v>
      </c>
      <c r="C513" s="0" t="s">
        <v>920</v>
      </c>
      <c r="D513" s="0" t="s">
        <v>1973</v>
      </c>
      <c r="E513" s="0" t="s">
        <v>3876</v>
      </c>
      <c r="G513" s="0" t="s">
        <v>3877</v>
      </c>
    </row>
    <row r="514" customFormat="false" ht="15" hidden="false" customHeight="false" outlineLevel="0" collapsed="false">
      <c r="A514" s="0" t="s">
        <v>116</v>
      </c>
      <c r="B514" s="0" t="n">
        <v>2018</v>
      </c>
      <c r="C514" s="0" t="s">
        <v>54</v>
      </c>
      <c r="D514" s="0" t="n">
        <v>49912</v>
      </c>
      <c r="E514" s="0" t="s">
        <v>3876</v>
      </c>
      <c r="G514" s="0" t="s">
        <v>3877</v>
      </c>
    </row>
    <row r="515" customFormat="false" ht="15" hidden="false" customHeight="false" outlineLevel="0" collapsed="false">
      <c r="A515" s="0" t="s">
        <v>116</v>
      </c>
      <c r="B515" s="0" t="n">
        <v>2018</v>
      </c>
      <c r="C515" s="0" t="s">
        <v>670</v>
      </c>
      <c r="D515" s="0" t="n">
        <v>169207</v>
      </c>
      <c r="E515" s="0" t="s">
        <v>3876</v>
      </c>
      <c r="G515" s="0" t="s">
        <v>3877</v>
      </c>
    </row>
    <row r="516" customFormat="false" ht="15" hidden="false" customHeight="false" outlineLevel="0" collapsed="false">
      <c r="A516" s="0" t="s">
        <v>116</v>
      </c>
      <c r="B516" s="0" t="n">
        <v>2018</v>
      </c>
      <c r="C516" s="0" t="s">
        <v>55</v>
      </c>
      <c r="D516" s="0" t="n">
        <v>1613500</v>
      </c>
      <c r="E516" s="0" t="s">
        <v>3876</v>
      </c>
      <c r="G516" s="0" t="s">
        <v>3877</v>
      </c>
    </row>
    <row r="517" customFormat="false" ht="15" hidden="false" customHeight="false" outlineLevel="0" collapsed="false">
      <c r="A517" s="0" t="s">
        <v>116</v>
      </c>
      <c r="B517" s="0" t="n">
        <v>2018</v>
      </c>
      <c r="C517" s="0" t="s">
        <v>60</v>
      </c>
      <c r="D517" s="0" t="n">
        <v>600000</v>
      </c>
      <c r="E517" s="0" t="s">
        <v>3876</v>
      </c>
      <c r="G517" s="0" t="s">
        <v>3877</v>
      </c>
    </row>
    <row r="518" customFormat="false" ht="15" hidden="false" customHeight="false" outlineLevel="0" collapsed="false">
      <c r="A518" s="0" t="s">
        <v>116</v>
      </c>
      <c r="B518" s="0" t="n">
        <v>2018</v>
      </c>
      <c r="C518" s="0" t="s">
        <v>61</v>
      </c>
      <c r="D518" s="0" t="n">
        <v>28500</v>
      </c>
      <c r="E518" s="0" t="s">
        <v>3876</v>
      </c>
      <c r="G518" s="0" t="s">
        <v>3877</v>
      </c>
    </row>
    <row r="519" customFormat="false" ht="15" hidden="false" customHeight="false" outlineLevel="0" collapsed="false">
      <c r="A519" s="0" t="s">
        <v>116</v>
      </c>
      <c r="B519" s="0" t="n">
        <v>2018</v>
      </c>
      <c r="C519" s="0" t="s">
        <v>63</v>
      </c>
      <c r="D519" s="0" t="n">
        <v>2988</v>
      </c>
      <c r="E519" s="0" t="s">
        <v>3876</v>
      </c>
      <c r="G519" s="0" t="s">
        <v>3877</v>
      </c>
    </row>
    <row r="520" customFormat="false" ht="15" hidden="false" customHeight="false" outlineLevel="0" collapsed="false">
      <c r="A520" s="0" t="s">
        <v>116</v>
      </c>
      <c r="B520" s="0" t="n">
        <v>2018</v>
      </c>
      <c r="C520" s="0" t="s">
        <v>266</v>
      </c>
      <c r="D520" s="0" t="n">
        <v>3.9</v>
      </c>
      <c r="E520" s="0" t="s">
        <v>3876</v>
      </c>
      <c r="G520" s="0" t="s">
        <v>3877</v>
      </c>
    </row>
    <row r="521" customFormat="false" ht="15" hidden="false" customHeight="false" outlineLevel="0" collapsed="false">
      <c r="A521" s="0" t="s">
        <v>116</v>
      </c>
      <c r="B521" s="0" t="n">
        <v>2018</v>
      </c>
      <c r="C521" s="0" t="s">
        <v>69</v>
      </c>
      <c r="D521" s="0" t="n">
        <v>18.5</v>
      </c>
      <c r="E521" s="0" t="s">
        <v>3876</v>
      </c>
      <c r="G521" s="0" t="s">
        <v>3877</v>
      </c>
    </row>
    <row r="522" customFormat="false" ht="15" hidden="false" customHeight="false" outlineLevel="0" collapsed="false">
      <c r="A522" s="0" t="s">
        <v>116</v>
      </c>
      <c r="B522" s="0" t="n">
        <v>2018</v>
      </c>
      <c r="C522" s="0" t="s">
        <v>73</v>
      </c>
      <c r="D522" s="0" t="n">
        <v>0</v>
      </c>
      <c r="E522" s="0" t="s">
        <v>3876</v>
      </c>
      <c r="G522" s="0" t="s">
        <v>3877</v>
      </c>
    </row>
    <row r="523" customFormat="false" ht="15" hidden="false" customHeight="false" outlineLevel="0" collapsed="false">
      <c r="A523" s="0" t="s">
        <v>116</v>
      </c>
      <c r="B523" s="0" t="n">
        <v>2018</v>
      </c>
      <c r="C523" s="0" t="s">
        <v>920</v>
      </c>
      <c r="D523" s="0" t="s">
        <v>3878</v>
      </c>
      <c r="E523" s="0" t="s">
        <v>3876</v>
      </c>
      <c r="G523" s="0" t="s">
        <v>3877</v>
      </c>
    </row>
    <row r="524" customFormat="false" ht="15" hidden="false" customHeight="false" outlineLevel="0" collapsed="false">
      <c r="A524" s="0" t="s">
        <v>116</v>
      </c>
      <c r="B524" s="0" t="n">
        <v>2019</v>
      </c>
      <c r="C524" s="0" t="s">
        <v>54</v>
      </c>
      <c r="D524" s="0" t="n">
        <v>52287</v>
      </c>
      <c r="E524" s="0" t="s">
        <v>3876</v>
      </c>
      <c r="G524" s="0" t="s">
        <v>3877</v>
      </c>
    </row>
    <row r="525" customFormat="false" ht="15" hidden="false" customHeight="false" outlineLevel="0" collapsed="false">
      <c r="A525" s="0" t="s">
        <v>116</v>
      </c>
      <c r="B525" s="0" t="n">
        <v>2019</v>
      </c>
      <c r="C525" s="0" t="s">
        <v>670</v>
      </c>
      <c r="D525" s="0" t="n">
        <v>178828</v>
      </c>
      <c r="E525" s="0" t="s">
        <v>3876</v>
      </c>
      <c r="G525" s="0" t="s">
        <v>3877</v>
      </c>
    </row>
    <row r="526" customFormat="false" ht="15" hidden="false" customHeight="false" outlineLevel="0" collapsed="false">
      <c r="A526" s="0" t="s">
        <v>116</v>
      </c>
      <c r="B526" s="0" t="n">
        <v>2019</v>
      </c>
      <c r="C526" s="0" t="s">
        <v>55</v>
      </c>
      <c r="D526" s="0" t="n">
        <v>1850000</v>
      </c>
      <c r="E526" s="0" t="s">
        <v>3876</v>
      </c>
      <c r="G526" s="0" t="s">
        <v>3877</v>
      </c>
    </row>
    <row r="527" customFormat="false" ht="15" hidden="false" customHeight="false" outlineLevel="0" collapsed="false">
      <c r="A527" s="0" t="s">
        <v>116</v>
      </c>
      <c r="B527" s="0" t="n">
        <v>2019</v>
      </c>
      <c r="C527" s="0" t="s">
        <v>60</v>
      </c>
      <c r="D527" s="0" t="n">
        <v>630000</v>
      </c>
      <c r="E527" s="0" t="s">
        <v>3876</v>
      </c>
      <c r="G527" s="0" t="s">
        <v>3877</v>
      </c>
    </row>
    <row r="528" customFormat="false" ht="15" hidden="false" customHeight="false" outlineLevel="0" collapsed="false">
      <c r="A528" s="0" t="s">
        <v>116</v>
      </c>
      <c r="B528" s="0" t="n">
        <v>2019</v>
      </c>
      <c r="C528" s="0" t="s">
        <v>61</v>
      </c>
      <c r="D528" s="0" t="n">
        <v>29000</v>
      </c>
      <c r="E528" s="0" t="s">
        <v>3876</v>
      </c>
      <c r="G528" s="0" t="s">
        <v>3877</v>
      </c>
    </row>
    <row r="529" customFormat="false" ht="15" hidden="false" customHeight="false" outlineLevel="0" collapsed="false">
      <c r="A529" s="0" t="s">
        <v>116</v>
      </c>
      <c r="B529" s="0" t="n">
        <v>2019</v>
      </c>
      <c r="C529" s="0" t="s">
        <v>63</v>
      </c>
      <c r="D529" s="0" t="n">
        <v>-1664</v>
      </c>
      <c r="E529" s="0" t="s">
        <v>3876</v>
      </c>
      <c r="G529" s="0" t="s">
        <v>3877</v>
      </c>
    </row>
    <row r="530" customFormat="false" ht="15" hidden="false" customHeight="false" outlineLevel="0" collapsed="false">
      <c r="A530" s="0" t="s">
        <v>116</v>
      </c>
      <c r="B530" s="0" t="n">
        <v>2019</v>
      </c>
      <c r="C530" s="0" t="s">
        <v>266</v>
      </c>
      <c r="D530" s="0" t="n">
        <v>3.5</v>
      </c>
      <c r="E530" s="0" t="s">
        <v>3876</v>
      </c>
      <c r="G530" s="0" t="s">
        <v>3877</v>
      </c>
    </row>
    <row r="531" customFormat="false" ht="15" hidden="false" customHeight="false" outlineLevel="0" collapsed="false">
      <c r="A531" s="0" t="s">
        <v>116</v>
      </c>
      <c r="B531" s="0" t="n">
        <v>2019</v>
      </c>
      <c r="C531" s="0" t="s">
        <v>69</v>
      </c>
      <c r="D531" s="0" t="n">
        <v>19</v>
      </c>
      <c r="E531" s="0" t="s">
        <v>3876</v>
      </c>
      <c r="G531" s="0" t="s">
        <v>3877</v>
      </c>
    </row>
    <row r="532" customFormat="false" ht="15" hidden="false" customHeight="false" outlineLevel="0" collapsed="false">
      <c r="A532" s="0" t="s">
        <v>116</v>
      </c>
      <c r="B532" s="0" t="n">
        <v>2019</v>
      </c>
      <c r="C532" s="0" t="s">
        <v>73</v>
      </c>
      <c r="D532" s="0" t="n">
        <v>0</v>
      </c>
      <c r="E532" s="0" t="s">
        <v>3876</v>
      </c>
      <c r="G532" s="0" t="s">
        <v>3877</v>
      </c>
    </row>
    <row r="533" customFormat="false" ht="15" hidden="false" customHeight="false" outlineLevel="0" collapsed="false">
      <c r="A533" s="0" t="s">
        <v>116</v>
      </c>
      <c r="B533" s="0" t="n">
        <v>2019</v>
      </c>
      <c r="C533" s="0" t="s">
        <v>920</v>
      </c>
      <c r="D533" s="0" t="s">
        <v>3878</v>
      </c>
      <c r="E533" s="0" t="s">
        <v>3876</v>
      </c>
      <c r="G533" s="0" t="s">
        <v>3877</v>
      </c>
    </row>
    <row r="534" customFormat="false" ht="15" hidden="false" customHeight="false" outlineLevel="0" collapsed="false">
      <c r="A534" s="0" t="s">
        <v>116</v>
      </c>
      <c r="B534" s="0" t="n">
        <v>2020</v>
      </c>
      <c r="C534" s="0" t="s">
        <v>54</v>
      </c>
      <c r="D534" s="0" t="n">
        <v>59489</v>
      </c>
      <c r="E534" s="0" t="s">
        <v>3876</v>
      </c>
      <c r="G534" s="0" t="s">
        <v>3877</v>
      </c>
    </row>
    <row r="535" customFormat="false" ht="15" hidden="false" customHeight="false" outlineLevel="0" collapsed="false">
      <c r="A535" s="0" t="s">
        <v>116</v>
      </c>
      <c r="B535" s="0" t="n">
        <v>2020</v>
      </c>
      <c r="C535" s="0" t="s">
        <v>670</v>
      </c>
      <c r="D535" s="0" t="n">
        <v>178308</v>
      </c>
      <c r="E535" s="0" t="s">
        <v>3876</v>
      </c>
      <c r="G535" s="0" t="s">
        <v>3877</v>
      </c>
    </row>
    <row r="536" customFormat="false" ht="15" hidden="false" customHeight="false" outlineLevel="0" collapsed="false">
      <c r="A536" s="0" t="s">
        <v>116</v>
      </c>
      <c r="B536" s="0" t="n">
        <v>2020</v>
      </c>
      <c r="C536" s="0" t="s">
        <v>55</v>
      </c>
      <c r="D536" s="0" t="n">
        <v>2370347</v>
      </c>
      <c r="E536" s="0" t="s">
        <v>3876</v>
      </c>
      <c r="G536" s="0" t="s">
        <v>3877</v>
      </c>
    </row>
    <row r="537" customFormat="false" ht="15" hidden="false" customHeight="false" outlineLevel="0" collapsed="false">
      <c r="A537" s="0" t="s">
        <v>116</v>
      </c>
      <c r="B537" s="0" t="n">
        <v>2020</v>
      </c>
      <c r="C537" s="0" t="s">
        <v>60</v>
      </c>
      <c r="D537" s="0" t="n">
        <v>655292</v>
      </c>
      <c r="E537" s="0" t="s">
        <v>3876</v>
      </c>
      <c r="G537" s="0" t="s">
        <v>3877</v>
      </c>
    </row>
    <row r="538" customFormat="false" ht="15" hidden="false" customHeight="false" outlineLevel="0" collapsed="false">
      <c r="A538" s="0" t="s">
        <v>116</v>
      </c>
      <c r="B538" s="0" t="n">
        <v>2020</v>
      </c>
      <c r="C538" s="0" t="s">
        <v>61</v>
      </c>
      <c r="D538" s="0" t="n">
        <v>30153</v>
      </c>
      <c r="E538" s="0" t="s">
        <v>3876</v>
      </c>
      <c r="G538" s="0" t="s">
        <v>3877</v>
      </c>
    </row>
    <row r="539" customFormat="false" ht="15" hidden="false" customHeight="false" outlineLevel="0" collapsed="false">
      <c r="A539" s="0" t="s">
        <v>116</v>
      </c>
      <c r="B539" s="0" t="n">
        <v>2020</v>
      </c>
      <c r="C539" s="0" t="s">
        <v>63</v>
      </c>
      <c r="D539" s="0" t="n">
        <v>-10170</v>
      </c>
      <c r="E539" s="0" t="s">
        <v>3876</v>
      </c>
      <c r="G539" s="0" t="s">
        <v>3877</v>
      </c>
    </row>
    <row r="540" customFormat="false" ht="15" hidden="false" customHeight="false" outlineLevel="0" collapsed="false">
      <c r="A540" s="0" t="s">
        <v>116</v>
      </c>
      <c r="B540" s="0" t="n">
        <v>2020</v>
      </c>
      <c r="C540" s="0" t="s">
        <v>266</v>
      </c>
      <c r="D540" s="0" t="n">
        <v>4.04</v>
      </c>
      <c r="E540" s="0" t="s">
        <v>3876</v>
      </c>
      <c r="G540" s="0" t="s">
        <v>3877</v>
      </c>
    </row>
    <row r="541" customFormat="false" ht="15" hidden="false" customHeight="false" outlineLevel="0" collapsed="false">
      <c r="A541" s="0" t="s">
        <v>116</v>
      </c>
      <c r="B541" s="0" t="n">
        <v>2020</v>
      </c>
      <c r="C541" s="0" t="s">
        <v>69</v>
      </c>
      <c r="D541" s="0" t="n">
        <v>19.4</v>
      </c>
      <c r="E541" s="0" t="s">
        <v>3876</v>
      </c>
      <c r="G541" s="0" t="s">
        <v>3877</v>
      </c>
    </row>
    <row r="542" customFormat="false" ht="15" hidden="false" customHeight="false" outlineLevel="0" collapsed="false">
      <c r="A542" s="0" t="s">
        <v>116</v>
      </c>
      <c r="B542" s="0" t="n">
        <v>2020</v>
      </c>
      <c r="C542" s="0" t="s">
        <v>73</v>
      </c>
      <c r="D542" s="0" t="n">
        <v>0</v>
      </c>
      <c r="E542" s="0" t="s">
        <v>3876</v>
      </c>
      <c r="G542" s="0" t="s">
        <v>3877</v>
      </c>
    </row>
    <row r="543" customFormat="false" ht="15" hidden="false" customHeight="false" outlineLevel="0" collapsed="false">
      <c r="A543" s="0" t="s">
        <v>116</v>
      </c>
      <c r="B543" s="0" t="n">
        <v>2020</v>
      </c>
      <c r="C543" s="0" t="s">
        <v>920</v>
      </c>
      <c r="D543" s="0" t="s">
        <v>3878</v>
      </c>
      <c r="E543" s="0" t="s">
        <v>3876</v>
      </c>
      <c r="G543" s="0" t="s">
        <v>3877</v>
      </c>
    </row>
    <row r="544" customFormat="false" ht="15" hidden="false" customHeight="false" outlineLevel="0" collapsed="false">
      <c r="A544" s="0" t="s">
        <v>116</v>
      </c>
      <c r="B544" s="0" t="n">
        <v>2021</v>
      </c>
      <c r="C544" s="0" t="s">
        <v>54</v>
      </c>
      <c r="D544" s="0" t="n">
        <v>29570</v>
      </c>
      <c r="E544" s="0" t="s">
        <v>3876</v>
      </c>
      <c r="G544" s="0" t="s">
        <v>3877</v>
      </c>
    </row>
    <row r="545" customFormat="false" ht="15" hidden="false" customHeight="false" outlineLevel="0" collapsed="false">
      <c r="A545" s="0" t="s">
        <v>116</v>
      </c>
      <c r="B545" s="0" t="n">
        <v>2021</v>
      </c>
      <c r="C545" s="0" t="s">
        <v>670</v>
      </c>
      <c r="D545" s="0" t="n">
        <v>140036</v>
      </c>
      <c r="E545" s="0" t="s">
        <v>3876</v>
      </c>
      <c r="G545" s="0" t="s">
        <v>3877</v>
      </c>
    </row>
    <row r="546" customFormat="false" ht="15" hidden="false" customHeight="false" outlineLevel="0" collapsed="false">
      <c r="A546" s="0" t="s">
        <v>116</v>
      </c>
      <c r="B546" s="0" t="n">
        <v>2021</v>
      </c>
      <c r="C546" s="0" t="s">
        <v>55</v>
      </c>
      <c r="D546" s="0" t="n">
        <v>2614087</v>
      </c>
      <c r="E546" s="0" t="s">
        <v>3876</v>
      </c>
      <c r="G546" s="0" t="s">
        <v>3877</v>
      </c>
    </row>
    <row r="547" customFormat="false" ht="15" hidden="false" customHeight="false" outlineLevel="0" collapsed="false">
      <c r="A547" s="0" t="s">
        <v>116</v>
      </c>
      <c r="B547" s="0" t="n">
        <v>2021</v>
      </c>
      <c r="C547" s="0" t="s">
        <v>60</v>
      </c>
      <c r="D547" s="0" t="n">
        <v>946259</v>
      </c>
      <c r="E547" s="0" t="s">
        <v>3876</v>
      </c>
      <c r="G547" s="0" t="s">
        <v>3877</v>
      </c>
    </row>
    <row r="548" customFormat="false" ht="15" hidden="false" customHeight="false" outlineLevel="0" collapsed="false">
      <c r="A548" s="0" t="s">
        <v>116</v>
      </c>
      <c r="B548" s="0" t="n">
        <v>2021</v>
      </c>
      <c r="C548" s="0" t="s">
        <v>61</v>
      </c>
      <c r="D548" s="0" t="n">
        <v>25215</v>
      </c>
      <c r="E548" s="0" t="s">
        <v>3876</v>
      </c>
      <c r="G548" s="0" t="s">
        <v>3877</v>
      </c>
    </row>
    <row r="549" customFormat="false" ht="15" hidden="false" customHeight="false" outlineLevel="0" collapsed="false">
      <c r="A549" s="0" t="s">
        <v>116</v>
      </c>
      <c r="B549" s="0" t="n">
        <v>2021</v>
      </c>
      <c r="C549" s="0" t="s">
        <v>63</v>
      </c>
      <c r="D549" s="0" t="n">
        <v>1208</v>
      </c>
      <c r="E549" s="0" t="s">
        <v>3876</v>
      </c>
      <c r="G549" s="0" t="s">
        <v>3877</v>
      </c>
    </row>
    <row r="550" customFormat="false" ht="15" hidden="false" customHeight="false" outlineLevel="0" collapsed="false">
      <c r="A550" s="0" t="s">
        <v>116</v>
      </c>
      <c r="B550" s="0" t="n">
        <v>2021</v>
      </c>
      <c r="C550" s="0" t="s">
        <v>266</v>
      </c>
      <c r="D550" s="0" t="n">
        <v>2.15</v>
      </c>
      <c r="E550" s="0" t="s">
        <v>3876</v>
      </c>
      <c r="G550" s="0" t="s">
        <v>3877</v>
      </c>
    </row>
    <row r="551" customFormat="false" ht="15" hidden="false" customHeight="false" outlineLevel="0" collapsed="false">
      <c r="A551" s="0" t="s">
        <v>116</v>
      </c>
      <c r="B551" s="0" t="n">
        <v>2021</v>
      </c>
      <c r="C551" s="0" t="s">
        <v>69</v>
      </c>
      <c r="D551" s="0" t="n">
        <v>16.1</v>
      </c>
      <c r="E551" s="0" t="s">
        <v>3876</v>
      </c>
      <c r="G551" s="0" t="s">
        <v>3877</v>
      </c>
    </row>
    <row r="552" customFormat="false" ht="15" hidden="false" customHeight="false" outlineLevel="0" collapsed="false">
      <c r="A552" s="0" t="s">
        <v>116</v>
      </c>
      <c r="B552" s="0" t="n">
        <v>2021</v>
      </c>
      <c r="C552" s="0" t="s">
        <v>73</v>
      </c>
      <c r="D552" s="0" t="n">
        <v>0</v>
      </c>
      <c r="E552" s="0" t="s">
        <v>3876</v>
      </c>
      <c r="G552" s="0" t="s">
        <v>3877</v>
      </c>
    </row>
    <row r="553" customFormat="false" ht="15" hidden="false" customHeight="false" outlineLevel="0" collapsed="false">
      <c r="A553" s="0" t="s">
        <v>116</v>
      </c>
      <c r="B553" s="0" t="n">
        <v>2021</v>
      </c>
      <c r="C553" s="0" t="s">
        <v>920</v>
      </c>
      <c r="D553" s="0" t="s">
        <v>3878</v>
      </c>
      <c r="E553" s="0" t="s">
        <v>3876</v>
      </c>
      <c r="G553" s="0" t="s">
        <v>3877</v>
      </c>
    </row>
    <row r="554" customFormat="false" ht="15" hidden="false" customHeight="false" outlineLevel="0" collapsed="false">
      <c r="A554" s="0" t="s">
        <v>116</v>
      </c>
      <c r="B554" s="0" t="n">
        <v>2022</v>
      </c>
      <c r="C554" s="0" t="s">
        <v>54</v>
      </c>
      <c r="D554" s="0" t="n">
        <v>55150</v>
      </c>
      <c r="E554" s="0" t="s">
        <v>3876</v>
      </c>
      <c r="G554" s="0" t="s">
        <v>3877</v>
      </c>
    </row>
    <row r="555" customFormat="false" ht="15" hidden="false" customHeight="false" outlineLevel="0" collapsed="false">
      <c r="A555" s="0" t="s">
        <v>116</v>
      </c>
      <c r="B555" s="0" t="n">
        <v>2022</v>
      </c>
      <c r="C555" s="0" t="s">
        <v>670</v>
      </c>
      <c r="D555" s="0" t="n">
        <v>211549</v>
      </c>
      <c r="E555" s="0" t="s">
        <v>3876</v>
      </c>
      <c r="G555" s="0" t="s">
        <v>3877</v>
      </c>
    </row>
    <row r="556" customFormat="false" ht="15" hidden="false" customHeight="false" outlineLevel="0" collapsed="false">
      <c r="A556" s="0" t="s">
        <v>116</v>
      </c>
      <c r="B556" s="0" t="n">
        <v>2022</v>
      </c>
      <c r="C556" s="0" t="s">
        <v>55</v>
      </c>
      <c r="D556" s="0" t="n">
        <v>2854509</v>
      </c>
      <c r="E556" s="0" t="s">
        <v>3876</v>
      </c>
      <c r="G556" s="0" t="s">
        <v>3877</v>
      </c>
    </row>
    <row r="557" customFormat="false" ht="15" hidden="false" customHeight="false" outlineLevel="0" collapsed="false">
      <c r="A557" s="0" t="s">
        <v>116</v>
      </c>
      <c r="B557" s="0" t="n">
        <v>2022</v>
      </c>
      <c r="C557" s="0" t="s">
        <v>60</v>
      </c>
      <c r="D557" s="0" t="n">
        <v>1241603</v>
      </c>
      <c r="E557" s="0" t="s">
        <v>3876</v>
      </c>
      <c r="G557" s="0" t="s">
        <v>3877</v>
      </c>
    </row>
    <row r="558" customFormat="false" ht="15" hidden="false" customHeight="false" outlineLevel="0" collapsed="false">
      <c r="A558" s="0" t="s">
        <v>116</v>
      </c>
      <c r="B558" s="0" t="n">
        <v>2022</v>
      </c>
      <c r="C558" s="0" t="s">
        <v>61</v>
      </c>
      <c r="D558" s="0" t="n">
        <v>33414</v>
      </c>
      <c r="E558" s="0" t="s">
        <v>3876</v>
      </c>
      <c r="G558" s="0" t="s">
        <v>3877</v>
      </c>
    </row>
    <row r="559" customFormat="false" ht="15" hidden="false" customHeight="false" outlineLevel="0" collapsed="false">
      <c r="A559" s="0" t="s">
        <v>116</v>
      </c>
      <c r="B559" s="0" t="n">
        <v>2022</v>
      </c>
      <c r="C559" s="0" t="s">
        <v>63</v>
      </c>
      <c r="D559" s="0" t="n">
        <v>10147</v>
      </c>
      <c r="E559" s="0" t="s">
        <v>3876</v>
      </c>
      <c r="G559" s="0" t="s">
        <v>3877</v>
      </c>
    </row>
    <row r="560" customFormat="false" ht="15" hidden="false" customHeight="false" outlineLevel="0" collapsed="false">
      <c r="A560" s="0" t="s">
        <v>116</v>
      </c>
      <c r="B560" s="0" t="n">
        <v>2022</v>
      </c>
      <c r="C560" s="0" t="s">
        <v>266</v>
      </c>
      <c r="D560" s="0" t="n">
        <v>2.38</v>
      </c>
      <c r="E560" s="0" t="s">
        <v>3876</v>
      </c>
      <c r="G560" s="0" t="s">
        <v>3877</v>
      </c>
    </row>
    <row r="561" customFormat="false" ht="15" hidden="false" customHeight="false" outlineLevel="0" collapsed="false">
      <c r="A561" s="0" t="s">
        <v>116</v>
      </c>
      <c r="B561" s="0" t="n">
        <v>2022</v>
      </c>
      <c r="C561" s="0" t="s">
        <v>69</v>
      </c>
      <c r="D561" s="0" t="n">
        <v>18.4</v>
      </c>
      <c r="E561" s="0" t="s">
        <v>3876</v>
      </c>
      <c r="G561" s="0" t="s">
        <v>3877</v>
      </c>
    </row>
    <row r="562" customFormat="false" ht="15" hidden="false" customHeight="false" outlineLevel="0" collapsed="false">
      <c r="A562" s="0" t="s">
        <v>116</v>
      </c>
      <c r="B562" s="0" t="n">
        <v>2022</v>
      </c>
      <c r="C562" s="0" t="s">
        <v>73</v>
      </c>
      <c r="D562" s="0" t="n">
        <v>0</v>
      </c>
      <c r="E562" s="0" t="s">
        <v>3876</v>
      </c>
      <c r="G562" s="0" t="s">
        <v>3877</v>
      </c>
    </row>
    <row r="563" customFormat="false" ht="15" hidden="false" customHeight="false" outlineLevel="0" collapsed="false">
      <c r="A563" s="0" t="s">
        <v>116</v>
      </c>
      <c r="B563" s="0" t="n">
        <v>2022</v>
      </c>
      <c r="C563" s="0" t="s">
        <v>920</v>
      </c>
      <c r="D563" s="0" t="s">
        <v>3878</v>
      </c>
      <c r="E563" s="0" t="s">
        <v>3876</v>
      </c>
      <c r="G563" s="0" t="s">
        <v>3877</v>
      </c>
    </row>
    <row r="564" customFormat="false" ht="15" hidden="false" customHeight="false" outlineLevel="0" collapsed="false">
      <c r="A564" s="0" t="s">
        <v>126</v>
      </c>
      <c r="B564" s="0" t="n">
        <v>2015</v>
      </c>
      <c r="C564" s="0" t="s">
        <v>54</v>
      </c>
      <c r="D564" s="0" t="n">
        <v>10293</v>
      </c>
      <c r="E564" s="0" t="s">
        <v>3876</v>
      </c>
      <c r="G564" s="0" t="s">
        <v>3877</v>
      </c>
    </row>
    <row r="565" customFormat="false" ht="15" hidden="false" customHeight="false" outlineLevel="0" collapsed="false">
      <c r="A565" s="0" t="s">
        <v>126</v>
      </c>
      <c r="B565" s="0" t="n">
        <v>2015</v>
      </c>
      <c r="C565" s="0" t="s">
        <v>670</v>
      </c>
      <c r="D565" s="0" t="n">
        <v>110194</v>
      </c>
      <c r="E565" s="0" t="s">
        <v>3876</v>
      </c>
      <c r="G565" s="0" t="s">
        <v>3877</v>
      </c>
    </row>
    <row r="566" customFormat="false" ht="15" hidden="false" customHeight="false" outlineLevel="0" collapsed="false">
      <c r="A566" s="0" t="s">
        <v>126</v>
      </c>
      <c r="B566" s="0" t="n">
        <v>2015</v>
      </c>
      <c r="C566" s="0" t="s">
        <v>55</v>
      </c>
      <c r="D566" s="0" t="n">
        <v>799451</v>
      </c>
      <c r="E566" s="0" t="s">
        <v>3876</v>
      </c>
      <c r="G566" s="0" t="s">
        <v>3877</v>
      </c>
    </row>
    <row r="567" customFormat="false" ht="15" hidden="false" customHeight="false" outlineLevel="0" collapsed="false">
      <c r="A567" s="0" t="s">
        <v>126</v>
      </c>
      <c r="B567" s="0" t="n">
        <v>2015</v>
      </c>
      <c r="C567" s="0" t="s">
        <v>60</v>
      </c>
      <c r="D567" s="0" t="n">
        <v>354475</v>
      </c>
      <c r="E567" s="0" t="s">
        <v>3876</v>
      </c>
      <c r="G567" s="0" t="s">
        <v>3877</v>
      </c>
    </row>
    <row r="568" customFormat="false" ht="15" hidden="false" customHeight="false" outlineLevel="0" collapsed="false">
      <c r="A568" s="0" t="s">
        <v>126</v>
      </c>
      <c r="B568" s="0" t="n">
        <v>2015</v>
      </c>
      <c r="C568" s="0" t="s">
        <v>61</v>
      </c>
      <c r="D568" s="0" t="n">
        <v>15749</v>
      </c>
      <c r="E568" s="0" t="s">
        <v>3876</v>
      </c>
      <c r="G568" s="0" t="s">
        <v>3877</v>
      </c>
    </row>
    <row r="569" customFormat="false" ht="15" hidden="false" customHeight="false" outlineLevel="0" collapsed="false">
      <c r="A569" s="0" t="s">
        <v>126</v>
      </c>
      <c r="B569" s="0" t="n">
        <v>2015</v>
      </c>
      <c r="C569" s="0" t="s">
        <v>63</v>
      </c>
      <c r="D569" s="0" t="n">
        <v>8151</v>
      </c>
      <c r="E569" s="0" t="s">
        <v>3876</v>
      </c>
      <c r="G569" s="0" t="s">
        <v>3877</v>
      </c>
    </row>
    <row r="570" customFormat="false" ht="15" hidden="false" customHeight="false" outlineLevel="0" collapsed="false">
      <c r="A570" s="0" t="s">
        <v>126</v>
      </c>
      <c r="B570" s="0" t="n">
        <v>2015</v>
      </c>
      <c r="C570" s="0" t="s">
        <v>266</v>
      </c>
      <c r="D570" s="0" t="n">
        <v>4.8</v>
      </c>
      <c r="E570" s="0" t="s">
        <v>3876</v>
      </c>
      <c r="G570" s="0" t="s">
        <v>3877</v>
      </c>
    </row>
    <row r="571" customFormat="false" ht="15" hidden="false" customHeight="false" outlineLevel="0" collapsed="false">
      <c r="A571" s="0" t="s">
        <v>126</v>
      </c>
      <c r="B571" s="0" t="n">
        <v>2015</v>
      </c>
      <c r="C571" s="0" t="s">
        <v>69</v>
      </c>
      <c r="D571" s="0" t="n">
        <v>17.5</v>
      </c>
      <c r="E571" s="0" t="s">
        <v>3876</v>
      </c>
      <c r="G571" s="0" t="s">
        <v>3877</v>
      </c>
    </row>
    <row r="572" customFormat="false" ht="15" hidden="false" customHeight="false" outlineLevel="0" collapsed="false">
      <c r="A572" s="0" t="s">
        <v>126</v>
      </c>
      <c r="B572" s="0" t="n">
        <v>2015</v>
      </c>
      <c r="C572" s="0" t="s">
        <v>73</v>
      </c>
      <c r="D572" s="0" t="n">
        <v>0</v>
      </c>
      <c r="E572" s="0" t="s">
        <v>3876</v>
      </c>
      <c r="G572" s="0" t="s">
        <v>3877</v>
      </c>
    </row>
    <row r="573" customFormat="false" ht="15" hidden="false" customHeight="false" outlineLevel="0" collapsed="false">
      <c r="A573" s="0" t="s">
        <v>126</v>
      </c>
      <c r="B573" s="0" t="n">
        <v>2015</v>
      </c>
      <c r="C573" s="0" t="s">
        <v>920</v>
      </c>
      <c r="D573" s="0" t="s">
        <v>976</v>
      </c>
      <c r="E573" s="0" t="s">
        <v>3876</v>
      </c>
      <c r="G573" s="0" t="s">
        <v>3877</v>
      </c>
    </row>
    <row r="574" customFormat="false" ht="15" hidden="false" customHeight="false" outlineLevel="0" collapsed="false">
      <c r="A574" s="0" t="s">
        <v>126</v>
      </c>
      <c r="B574" s="0" t="n">
        <v>2016</v>
      </c>
      <c r="C574" s="0" t="s">
        <v>54</v>
      </c>
      <c r="D574" s="0" t="n">
        <v>5181</v>
      </c>
      <c r="E574" s="0" t="s">
        <v>3876</v>
      </c>
      <c r="G574" s="0" t="s">
        <v>3877</v>
      </c>
    </row>
    <row r="575" customFormat="false" ht="15" hidden="false" customHeight="false" outlineLevel="0" collapsed="false">
      <c r="A575" s="0" t="s">
        <v>126</v>
      </c>
      <c r="B575" s="0" t="n">
        <v>2016</v>
      </c>
      <c r="C575" s="0" t="s">
        <v>670</v>
      </c>
      <c r="D575" s="0" t="n">
        <v>111238</v>
      </c>
      <c r="E575" s="0" t="s">
        <v>3876</v>
      </c>
      <c r="G575" s="0" t="s">
        <v>3877</v>
      </c>
    </row>
    <row r="576" customFormat="false" ht="15" hidden="false" customHeight="false" outlineLevel="0" collapsed="false">
      <c r="A576" s="0" t="s">
        <v>126</v>
      </c>
      <c r="B576" s="0" t="n">
        <v>2016</v>
      </c>
      <c r="C576" s="0" t="s">
        <v>55</v>
      </c>
      <c r="D576" s="0" t="n">
        <v>834190</v>
      </c>
      <c r="E576" s="0" t="s">
        <v>3876</v>
      </c>
      <c r="G576" s="0" t="s">
        <v>3877</v>
      </c>
    </row>
    <row r="577" customFormat="false" ht="15" hidden="false" customHeight="false" outlineLevel="0" collapsed="false">
      <c r="A577" s="0" t="s">
        <v>126</v>
      </c>
      <c r="B577" s="0" t="n">
        <v>2016</v>
      </c>
      <c r="C577" s="0" t="s">
        <v>60</v>
      </c>
      <c r="D577" s="0" t="n">
        <v>476713</v>
      </c>
      <c r="E577" s="0" t="s">
        <v>3876</v>
      </c>
      <c r="G577" s="0" t="s">
        <v>3877</v>
      </c>
    </row>
    <row r="578" customFormat="false" ht="15" hidden="false" customHeight="false" outlineLevel="0" collapsed="false">
      <c r="A578" s="0" t="s">
        <v>126</v>
      </c>
      <c r="B578" s="0" t="n">
        <v>2016</v>
      </c>
      <c r="C578" s="0" t="s">
        <v>61</v>
      </c>
      <c r="D578" s="0" t="n">
        <v>8463</v>
      </c>
      <c r="E578" s="0" t="s">
        <v>3876</v>
      </c>
      <c r="G578" s="0" t="s">
        <v>3877</v>
      </c>
    </row>
    <row r="579" customFormat="false" ht="15" hidden="false" customHeight="false" outlineLevel="0" collapsed="false">
      <c r="A579" s="0" t="s">
        <v>126</v>
      </c>
      <c r="B579" s="0" t="n">
        <v>2016</v>
      </c>
      <c r="C579" s="0" t="s">
        <v>63</v>
      </c>
      <c r="D579" s="0" t="n">
        <v>11714</v>
      </c>
      <c r="E579" s="0" t="s">
        <v>3876</v>
      </c>
      <c r="G579" s="0" t="s">
        <v>3877</v>
      </c>
    </row>
    <row r="580" customFormat="false" ht="15" hidden="false" customHeight="false" outlineLevel="0" collapsed="false">
      <c r="A580" s="0" t="s">
        <v>126</v>
      </c>
      <c r="B580" s="0" t="n">
        <v>2016</v>
      </c>
      <c r="C580" s="0" t="s">
        <v>266</v>
      </c>
      <c r="D580" s="0" t="n">
        <v>9.9</v>
      </c>
      <c r="E580" s="0" t="s">
        <v>3876</v>
      </c>
      <c r="G580" s="0" t="s">
        <v>3877</v>
      </c>
    </row>
    <row r="581" customFormat="false" ht="15" hidden="false" customHeight="false" outlineLevel="0" collapsed="false">
      <c r="A581" s="0" t="s">
        <v>126</v>
      </c>
      <c r="B581" s="0" t="n">
        <v>2016</v>
      </c>
      <c r="C581" s="0" t="s">
        <v>69</v>
      </c>
      <c r="D581" s="0" t="n">
        <v>11.16</v>
      </c>
      <c r="E581" s="0" t="s">
        <v>3876</v>
      </c>
      <c r="G581" s="0" t="s">
        <v>3877</v>
      </c>
    </row>
    <row r="582" customFormat="false" ht="15" hidden="false" customHeight="false" outlineLevel="0" collapsed="false">
      <c r="A582" s="0" t="s">
        <v>126</v>
      </c>
      <c r="B582" s="0" t="n">
        <v>2016</v>
      </c>
      <c r="C582" s="0" t="s">
        <v>73</v>
      </c>
      <c r="D582" s="0" t="n">
        <v>0</v>
      </c>
      <c r="E582" s="0" t="s">
        <v>3876</v>
      </c>
      <c r="G582" s="0" t="s">
        <v>3877</v>
      </c>
    </row>
    <row r="583" customFormat="false" ht="15" hidden="false" customHeight="false" outlineLevel="0" collapsed="false">
      <c r="A583" s="0" t="s">
        <v>126</v>
      </c>
      <c r="B583" s="0" t="n">
        <v>2016</v>
      </c>
      <c r="C583" s="0" t="s">
        <v>920</v>
      </c>
      <c r="D583" s="0" t="s">
        <v>1973</v>
      </c>
      <c r="E583" s="0" t="s">
        <v>3876</v>
      </c>
      <c r="G583" s="0" t="s">
        <v>3877</v>
      </c>
    </row>
    <row r="584" customFormat="false" ht="15" hidden="false" customHeight="false" outlineLevel="0" collapsed="false">
      <c r="A584" s="0" t="s">
        <v>126</v>
      </c>
      <c r="B584" s="0" t="n">
        <v>2017</v>
      </c>
      <c r="C584" s="0" t="s">
        <v>54</v>
      </c>
      <c r="D584" s="0" t="n">
        <v>8455</v>
      </c>
      <c r="E584" s="0" t="s">
        <v>3876</v>
      </c>
      <c r="G584" s="0" t="s">
        <v>3877</v>
      </c>
    </row>
    <row r="585" customFormat="false" ht="15" hidden="false" customHeight="false" outlineLevel="0" collapsed="false">
      <c r="A585" s="0" t="s">
        <v>126</v>
      </c>
      <c r="B585" s="0" t="n">
        <v>2017</v>
      </c>
      <c r="C585" s="0" t="s">
        <v>670</v>
      </c>
      <c r="D585" s="0" t="n">
        <v>133022</v>
      </c>
      <c r="E585" s="0" t="s">
        <v>3876</v>
      </c>
      <c r="G585" s="0" t="s">
        <v>3877</v>
      </c>
    </row>
    <row r="586" customFormat="false" ht="15" hidden="false" customHeight="false" outlineLevel="0" collapsed="false">
      <c r="A586" s="0" t="s">
        <v>126</v>
      </c>
      <c r="B586" s="0" t="n">
        <v>2017</v>
      </c>
      <c r="C586" s="0" t="s">
        <v>55</v>
      </c>
      <c r="D586" s="0" t="n">
        <v>1068798</v>
      </c>
      <c r="E586" s="0" t="s">
        <v>3876</v>
      </c>
      <c r="G586" s="0" t="s">
        <v>3877</v>
      </c>
    </row>
    <row r="587" customFormat="false" ht="15" hidden="false" customHeight="false" outlineLevel="0" collapsed="false">
      <c r="A587" s="0" t="s">
        <v>126</v>
      </c>
      <c r="B587" s="0" t="n">
        <v>2017</v>
      </c>
      <c r="C587" s="0" t="s">
        <v>60</v>
      </c>
      <c r="D587" s="0" t="n">
        <v>617577</v>
      </c>
      <c r="E587" s="0" t="s">
        <v>3876</v>
      </c>
      <c r="G587" s="0" t="s">
        <v>3877</v>
      </c>
    </row>
    <row r="588" customFormat="false" ht="15" hidden="false" customHeight="false" outlineLevel="0" collapsed="false">
      <c r="A588" s="0" t="s">
        <v>126</v>
      </c>
      <c r="B588" s="0" t="n">
        <v>2017</v>
      </c>
      <c r="C588" s="0" t="s">
        <v>61</v>
      </c>
      <c r="D588" s="0" t="n">
        <v>19504</v>
      </c>
      <c r="E588" s="0" t="s">
        <v>3876</v>
      </c>
      <c r="G588" s="0" t="s">
        <v>3877</v>
      </c>
    </row>
    <row r="589" customFormat="false" ht="15" hidden="false" customHeight="false" outlineLevel="0" collapsed="false">
      <c r="A589" s="0" t="s">
        <v>126</v>
      </c>
      <c r="B589" s="0" t="n">
        <v>2017</v>
      </c>
      <c r="C589" s="0" t="s">
        <v>63</v>
      </c>
      <c r="D589" s="0" t="n">
        <v>12267</v>
      </c>
      <c r="E589" s="0" t="s">
        <v>3876</v>
      </c>
      <c r="G589" s="0" t="s">
        <v>3877</v>
      </c>
    </row>
    <row r="590" customFormat="false" ht="15" hidden="false" customHeight="false" outlineLevel="0" collapsed="false">
      <c r="A590" s="0" t="s">
        <v>126</v>
      </c>
      <c r="B590" s="0" t="n">
        <v>2017</v>
      </c>
      <c r="C590" s="0" t="s">
        <v>266</v>
      </c>
      <c r="D590" s="0" t="n">
        <v>6.2</v>
      </c>
      <c r="E590" s="0" t="s">
        <v>3876</v>
      </c>
      <c r="G590" s="0" t="s">
        <v>3877</v>
      </c>
    </row>
    <row r="591" customFormat="false" ht="15" hidden="false" customHeight="false" outlineLevel="0" collapsed="false">
      <c r="A591" s="0" t="s">
        <v>126</v>
      </c>
      <c r="B591" s="0" t="n">
        <v>2017</v>
      </c>
      <c r="C591" s="0" t="s">
        <v>69</v>
      </c>
      <c r="D591" s="0" t="n">
        <v>11.73</v>
      </c>
      <c r="E591" s="0" t="s">
        <v>3876</v>
      </c>
      <c r="G591" s="0" t="s">
        <v>3877</v>
      </c>
    </row>
    <row r="592" customFormat="false" ht="15" hidden="false" customHeight="false" outlineLevel="0" collapsed="false">
      <c r="A592" s="0" t="s">
        <v>126</v>
      </c>
      <c r="B592" s="0" t="n">
        <v>2017</v>
      </c>
      <c r="C592" s="0" t="s">
        <v>73</v>
      </c>
      <c r="D592" s="0" t="n">
        <v>0</v>
      </c>
      <c r="E592" s="0" t="s">
        <v>3876</v>
      </c>
      <c r="G592" s="0" t="s">
        <v>3877</v>
      </c>
    </row>
    <row r="593" customFormat="false" ht="15" hidden="false" customHeight="false" outlineLevel="0" collapsed="false">
      <c r="A593" s="0" t="s">
        <v>126</v>
      </c>
      <c r="B593" s="0" t="n">
        <v>2017</v>
      </c>
      <c r="C593" s="0" t="s">
        <v>920</v>
      </c>
      <c r="D593" s="0" t="s">
        <v>976</v>
      </c>
      <c r="E593" s="0" t="s">
        <v>3876</v>
      </c>
      <c r="G593" s="0" t="s">
        <v>3877</v>
      </c>
    </row>
    <row r="594" customFormat="false" ht="15" hidden="false" customHeight="false" outlineLevel="0" collapsed="false">
      <c r="A594" s="0" t="s">
        <v>126</v>
      </c>
      <c r="B594" s="0" t="n">
        <v>2018</v>
      </c>
      <c r="C594" s="0" t="s">
        <v>54</v>
      </c>
      <c r="D594" s="0" t="n">
        <v>9218</v>
      </c>
      <c r="E594" s="0" t="s">
        <v>3876</v>
      </c>
      <c r="G594" s="0" t="s">
        <v>3877</v>
      </c>
    </row>
    <row r="595" customFormat="false" ht="15" hidden="false" customHeight="false" outlineLevel="0" collapsed="false">
      <c r="A595" s="0" t="s">
        <v>126</v>
      </c>
      <c r="B595" s="0" t="n">
        <v>2018</v>
      </c>
      <c r="C595" s="0" t="s">
        <v>670</v>
      </c>
      <c r="D595" s="0" t="n">
        <v>152164</v>
      </c>
      <c r="E595" s="0" t="s">
        <v>3876</v>
      </c>
      <c r="G595" s="0" t="s">
        <v>3877</v>
      </c>
    </row>
    <row r="596" customFormat="false" ht="15" hidden="false" customHeight="false" outlineLevel="0" collapsed="false">
      <c r="A596" s="0" t="s">
        <v>126</v>
      </c>
      <c r="B596" s="0" t="n">
        <v>2018</v>
      </c>
      <c r="C596" s="0" t="s">
        <v>55</v>
      </c>
      <c r="D596" s="0" t="n">
        <v>1102921</v>
      </c>
      <c r="E596" s="0" t="s">
        <v>3876</v>
      </c>
      <c r="G596" s="0" t="s">
        <v>3877</v>
      </c>
    </row>
    <row r="597" customFormat="false" ht="15" hidden="false" customHeight="false" outlineLevel="0" collapsed="false">
      <c r="A597" s="0" t="s">
        <v>126</v>
      </c>
      <c r="B597" s="0" t="n">
        <v>2018</v>
      </c>
      <c r="C597" s="0" t="s">
        <v>60</v>
      </c>
      <c r="D597" s="0" t="n">
        <v>646734</v>
      </c>
      <c r="E597" s="0" t="s">
        <v>3876</v>
      </c>
      <c r="G597" s="0" t="s">
        <v>3877</v>
      </c>
    </row>
    <row r="598" customFormat="false" ht="15" hidden="false" customHeight="false" outlineLevel="0" collapsed="false">
      <c r="A598" s="0" t="s">
        <v>126</v>
      </c>
      <c r="B598" s="0" t="n">
        <v>2018</v>
      </c>
      <c r="C598" s="0" t="s">
        <v>61</v>
      </c>
      <c r="D598" s="0" t="n">
        <v>25717</v>
      </c>
      <c r="E598" s="0" t="s">
        <v>3876</v>
      </c>
      <c r="G598" s="0" t="s">
        <v>3877</v>
      </c>
    </row>
    <row r="599" customFormat="false" ht="15" hidden="false" customHeight="false" outlineLevel="0" collapsed="false">
      <c r="A599" s="0" t="s">
        <v>126</v>
      </c>
      <c r="B599" s="0" t="n">
        <v>2018</v>
      </c>
      <c r="C599" s="0" t="s">
        <v>63</v>
      </c>
      <c r="D599" s="0" t="n">
        <v>-5843</v>
      </c>
      <c r="E599" s="0" t="s">
        <v>3876</v>
      </c>
      <c r="G599" s="0" t="s">
        <v>3877</v>
      </c>
    </row>
    <row r="600" customFormat="false" ht="15" hidden="false" customHeight="false" outlineLevel="0" collapsed="false">
      <c r="A600" s="0" t="s">
        <v>126</v>
      </c>
      <c r="B600" s="0" t="n">
        <v>2018</v>
      </c>
      <c r="C600" s="0" t="s">
        <v>266</v>
      </c>
      <c r="D600" s="0" t="n">
        <v>8.7</v>
      </c>
      <c r="E600" s="0" t="s">
        <v>3876</v>
      </c>
      <c r="G600" s="0" t="s">
        <v>3877</v>
      </c>
    </row>
    <row r="601" customFormat="false" ht="15" hidden="false" customHeight="false" outlineLevel="0" collapsed="false">
      <c r="A601" s="0" t="s">
        <v>126</v>
      </c>
      <c r="B601" s="0" t="n">
        <v>2018</v>
      </c>
      <c r="C601" s="0" t="s">
        <v>69</v>
      </c>
      <c r="D601" s="0" t="n">
        <v>13.4</v>
      </c>
      <c r="E601" s="0" t="s">
        <v>3876</v>
      </c>
      <c r="G601" s="0" t="s">
        <v>3877</v>
      </c>
    </row>
    <row r="602" customFormat="false" ht="15" hidden="false" customHeight="false" outlineLevel="0" collapsed="false">
      <c r="A602" s="0" t="s">
        <v>126</v>
      </c>
      <c r="B602" s="0" t="n">
        <v>2018</v>
      </c>
      <c r="C602" s="0" t="s">
        <v>73</v>
      </c>
      <c r="D602" s="0" t="n">
        <v>0</v>
      </c>
      <c r="E602" s="0" t="s">
        <v>3876</v>
      </c>
      <c r="G602" s="0" t="s">
        <v>3877</v>
      </c>
    </row>
    <row r="603" customFormat="false" ht="15" hidden="false" customHeight="false" outlineLevel="0" collapsed="false">
      <c r="A603" s="0" t="s">
        <v>126</v>
      </c>
      <c r="B603" s="0" t="n">
        <v>2018</v>
      </c>
      <c r="C603" s="0" t="s">
        <v>920</v>
      </c>
      <c r="D603" s="0" t="s">
        <v>976</v>
      </c>
      <c r="E603" s="0" t="s">
        <v>3876</v>
      </c>
      <c r="G603" s="0" t="s">
        <v>3877</v>
      </c>
    </row>
    <row r="604" customFormat="false" ht="15" hidden="false" customHeight="false" outlineLevel="0" collapsed="false">
      <c r="A604" s="0" t="s">
        <v>126</v>
      </c>
      <c r="B604" s="0" t="n">
        <v>2019</v>
      </c>
      <c r="C604" s="0" t="s">
        <v>54</v>
      </c>
      <c r="D604" s="0" t="n">
        <v>10163</v>
      </c>
      <c r="E604" s="0" t="s">
        <v>3876</v>
      </c>
      <c r="G604" s="0" t="s">
        <v>3877</v>
      </c>
    </row>
    <row r="605" customFormat="false" ht="15" hidden="false" customHeight="false" outlineLevel="0" collapsed="false">
      <c r="A605" s="0" t="s">
        <v>126</v>
      </c>
      <c r="B605" s="0" t="n">
        <v>2019</v>
      </c>
      <c r="C605" s="0" t="s">
        <v>670</v>
      </c>
      <c r="D605" s="0" t="n">
        <v>147439</v>
      </c>
      <c r="E605" s="0" t="s">
        <v>3876</v>
      </c>
      <c r="G605" s="0" t="s">
        <v>3877</v>
      </c>
    </row>
    <row r="606" customFormat="false" ht="15" hidden="false" customHeight="false" outlineLevel="0" collapsed="false">
      <c r="A606" s="0" t="s">
        <v>126</v>
      </c>
      <c r="B606" s="0" t="n">
        <v>2019</v>
      </c>
      <c r="C606" s="0" t="s">
        <v>55</v>
      </c>
      <c r="D606" s="0" t="n">
        <v>1165509</v>
      </c>
      <c r="E606" s="0" t="s">
        <v>3876</v>
      </c>
      <c r="G606" s="0" t="s">
        <v>3877</v>
      </c>
    </row>
    <row r="607" customFormat="false" ht="15" hidden="false" customHeight="false" outlineLevel="0" collapsed="false">
      <c r="A607" s="0" t="s">
        <v>126</v>
      </c>
      <c r="B607" s="0" t="n">
        <v>2019</v>
      </c>
      <c r="C607" s="0" t="s">
        <v>60</v>
      </c>
      <c r="D607" s="0" t="n">
        <v>631698</v>
      </c>
      <c r="E607" s="0" t="s">
        <v>3876</v>
      </c>
      <c r="G607" s="0" t="s">
        <v>3877</v>
      </c>
    </row>
    <row r="608" customFormat="false" ht="15" hidden="false" customHeight="false" outlineLevel="0" collapsed="false">
      <c r="A608" s="0" t="s">
        <v>126</v>
      </c>
      <c r="B608" s="0" t="n">
        <v>2019</v>
      </c>
      <c r="C608" s="0" t="s">
        <v>61</v>
      </c>
      <c r="D608" s="0" t="n">
        <v>12966</v>
      </c>
      <c r="E608" s="0" t="s">
        <v>3876</v>
      </c>
      <c r="G608" s="0" t="s">
        <v>3877</v>
      </c>
    </row>
    <row r="609" customFormat="false" ht="15" hidden="false" customHeight="false" outlineLevel="0" collapsed="false">
      <c r="A609" s="0" t="s">
        <v>126</v>
      </c>
      <c r="B609" s="0" t="n">
        <v>2019</v>
      </c>
      <c r="C609" s="0" t="s">
        <v>63</v>
      </c>
      <c r="D609" s="0" t="n">
        <v>5842</v>
      </c>
      <c r="E609" s="0" t="s">
        <v>3876</v>
      </c>
      <c r="G609" s="0" t="s">
        <v>3877</v>
      </c>
    </row>
    <row r="610" customFormat="false" ht="15" hidden="false" customHeight="false" outlineLevel="0" collapsed="false">
      <c r="A610" s="0" t="s">
        <v>126</v>
      </c>
      <c r="B610" s="0" t="n">
        <v>2019</v>
      </c>
      <c r="C610" s="0" t="s">
        <v>266</v>
      </c>
      <c r="D610" s="0" t="n">
        <v>2.2</v>
      </c>
      <c r="E610" s="0" t="s">
        <v>3876</v>
      </c>
      <c r="G610" s="0" t="s">
        <v>3877</v>
      </c>
    </row>
    <row r="611" customFormat="false" ht="15" hidden="false" customHeight="false" outlineLevel="0" collapsed="false">
      <c r="A611" s="0" t="s">
        <v>126</v>
      </c>
      <c r="B611" s="0" t="n">
        <v>2019</v>
      </c>
      <c r="C611" s="0" t="s">
        <v>69</v>
      </c>
      <c r="D611" s="0" t="n">
        <v>14.7</v>
      </c>
      <c r="E611" s="0" t="s">
        <v>3876</v>
      </c>
      <c r="G611" s="0" t="s">
        <v>3877</v>
      </c>
    </row>
    <row r="612" customFormat="false" ht="15" hidden="false" customHeight="false" outlineLevel="0" collapsed="false">
      <c r="A612" s="0" t="s">
        <v>126</v>
      </c>
      <c r="B612" s="0" t="n">
        <v>2019</v>
      </c>
      <c r="C612" s="0" t="s">
        <v>73</v>
      </c>
      <c r="D612" s="0" t="n">
        <v>0</v>
      </c>
      <c r="E612" s="0" t="s">
        <v>3876</v>
      </c>
      <c r="G612" s="0" t="s">
        <v>3877</v>
      </c>
    </row>
    <row r="613" customFormat="false" ht="15" hidden="false" customHeight="false" outlineLevel="0" collapsed="false">
      <c r="A613" s="0" t="s">
        <v>126</v>
      </c>
      <c r="B613" s="0" t="n">
        <v>2019</v>
      </c>
      <c r="C613" s="0" t="s">
        <v>920</v>
      </c>
      <c r="D613" s="0" t="s">
        <v>976</v>
      </c>
      <c r="E613" s="0" t="s">
        <v>3876</v>
      </c>
      <c r="G613" s="0" t="s">
        <v>3877</v>
      </c>
    </row>
    <row r="614" customFormat="false" ht="15" hidden="false" customHeight="false" outlineLevel="0" collapsed="false">
      <c r="A614" s="0" t="s">
        <v>126</v>
      </c>
      <c r="B614" s="0" t="n">
        <v>2020</v>
      </c>
      <c r="C614" s="0" t="s">
        <v>54</v>
      </c>
      <c r="D614" s="0" t="n">
        <v>11110</v>
      </c>
      <c r="E614" s="0" t="s">
        <v>3876</v>
      </c>
      <c r="G614" s="0" t="s">
        <v>3877</v>
      </c>
    </row>
    <row r="615" customFormat="false" ht="15" hidden="false" customHeight="false" outlineLevel="0" collapsed="false">
      <c r="A615" s="0" t="s">
        <v>126</v>
      </c>
      <c r="B615" s="0" t="n">
        <v>2020</v>
      </c>
      <c r="C615" s="0" t="s">
        <v>670</v>
      </c>
      <c r="D615" s="0" t="n">
        <v>136475</v>
      </c>
      <c r="E615" s="0" t="s">
        <v>3876</v>
      </c>
      <c r="G615" s="0" t="s">
        <v>3877</v>
      </c>
    </row>
    <row r="616" customFormat="false" ht="15" hidden="false" customHeight="false" outlineLevel="0" collapsed="false">
      <c r="A616" s="0" t="s">
        <v>126</v>
      </c>
      <c r="B616" s="0" t="n">
        <v>2020</v>
      </c>
      <c r="C616" s="0" t="s">
        <v>55</v>
      </c>
      <c r="D616" s="0" t="n">
        <v>1281830</v>
      </c>
      <c r="E616" s="0" t="s">
        <v>3876</v>
      </c>
      <c r="G616" s="0" t="s">
        <v>3877</v>
      </c>
    </row>
    <row r="617" customFormat="false" ht="15" hidden="false" customHeight="false" outlineLevel="0" collapsed="false">
      <c r="A617" s="0" t="s">
        <v>126</v>
      </c>
      <c r="B617" s="0" t="n">
        <v>2020</v>
      </c>
      <c r="C617" s="0" t="s">
        <v>60</v>
      </c>
      <c r="D617" s="0" t="n">
        <v>613359</v>
      </c>
      <c r="E617" s="0" t="s">
        <v>3876</v>
      </c>
      <c r="G617" s="0" t="s">
        <v>3877</v>
      </c>
    </row>
    <row r="618" customFormat="false" ht="15" hidden="false" customHeight="false" outlineLevel="0" collapsed="false">
      <c r="A618" s="0" t="s">
        <v>126</v>
      </c>
      <c r="B618" s="0" t="n">
        <v>2020</v>
      </c>
      <c r="C618" s="0" t="s">
        <v>61</v>
      </c>
      <c r="D618" s="0" t="n">
        <v>16532</v>
      </c>
      <c r="E618" s="0" t="s">
        <v>3876</v>
      </c>
      <c r="G618" s="0" t="s">
        <v>3877</v>
      </c>
    </row>
    <row r="619" customFormat="false" ht="15" hidden="false" customHeight="false" outlineLevel="0" collapsed="false">
      <c r="A619" s="0" t="s">
        <v>126</v>
      </c>
      <c r="B619" s="0" t="n">
        <v>2020</v>
      </c>
      <c r="C619" s="0" t="s">
        <v>63</v>
      </c>
      <c r="D619" s="0" t="n">
        <v>7913</v>
      </c>
      <c r="E619" s="0" t="s">
        <v>3876</v>
      </c>
      <c r="G619" s="0" t="s">
        <v>3877</v>
      </c>
    </row>
    <row r="620" customFormat="false" ht="15" hidden="false" customHeight="false" outlineLevel="0" collapsed="false">
      <c r="A620" s="0" t="s">
        <v>126</v>
      </c>
      <c r="B620" s="0" t="n">
        <v>2020</v>
      </c>
      <c r="C620" s="0" t="s">
        <v>266</v>
      </c>
      <c r="D620" s="0" t="n">
        <v>1.9</v>
      </c>
      <c r="E620" s="0" t="s">
        <v>3876</v>
      </c>
      <c r="G620" s="0" t="s">
        <v>3877</v>
      </c>
    </row>
    <row r="621" customFormat="false" ht="15" hidden="false" customHeight="false" outlineLevel="0" collapsed="false">
      <c r="A621" s="0" t="s">
        <v>126</v>
      </c>
      <c r="B621" s="0" t="n">
        <v>2020</v>
      </c>
      <c r="C621" s="0" t="s">
        <v>69</v>
      </c>
      <c r="D621" s="0" t="n">
        <v>17.98</v>
      </c>
      <c r="E621" s="0" t="s">
        <v>3876</v>
      </c>
      <c r="G621" s="0" t="s">
        <v>3877</v>
      </c>
    </row>
    <row r="622" customFormat="false" ht="15" hidden="false" customHeight="false" outlineLevel="0" collapsed="false">
      <c r="A622" s="0" t="s">
        <v>126</v>
      </c>
      <c r="B622" s="0" t="n">
        <v>2020</v>
      </c>
      <c r="C622" s="0" t="s">
        <v>73</v>
      </c>
      <c r="D622" s="0" t="n">
        <v>0</v>
      </c>
      <c r="E622" s="0" t="s">
        <v>3876</v>
      </c>
      <c r="G622" s="0" t="s">
        <v>3877</v>
      </c>
    </row>
    <row r="623" customFormat="false" ht="15" hidden="false" customHeight="false" outlineLevel="0" collapsed="false">
      <c r="A623" s="0" t="s">
        <v>126</v>
      </c>
      <c r="B623" s="0" t="n">
        <v>2020</v>
      </c>
      <c r="C623" s="0" t="s">
        <v>920</v>
      </c>
      <c r="D623" s="0" t="s">
        <v>994</v>
      </c>
      <c r="E623" s="0" t="s">
        <v>3876</v>
      </c>
      <c r="G623" s="0" t="s">
        <v>3877</v>
      </c>
    </row>
    <row r="624" customFormat="false" ht="15" hidden="false" customHeight="false" outlineLevel="0" collapsed="false">
      <c r="A624" s="0" t="s">
        <v>126</v>
      </c>
      <c r="B624" s="0" t="n">
        <v>2021</v>
      </c>
      <c r="C624" s="0" t="s">
        <v>54</v>
      </c>
      <c r="D624" s="0" t="n">
        <v>13403</v>
      </c>
      <c r="E624" s="0" t="s">
        <v>3876</v>
      </c>
      <c r="G624" s="0" t="s">
        <v>3877</v>
      </c>
    </row>
    <row r="625" customFormat="false" ht="15" hidden="false" customHeight="false" outlineLevel="0" collapsed="false">
      <c r="A625" s="0" t="s">
        <v>126</v>
      </c>
      <c r="B625" s="0" t="n">
        <v>2021</v>
      </c>
      <c r="C625" s="0" t="s">
        <v>670</v>
      </c>
      <c r="D625" s="0" t="n">
        <v>139922</v>
      </c>
      <c r="E625" s="0" t="s">
        <v>3876</v>
      </c>
      <c r="G625" s="0" t="s">
        <v>3877</v>
      </c>
    </row>
    <row r="626" customFormat="false" ht="15" hidden="false" customHeight="false" outlineLevel="0" collapsed="false">
      <c r="A626" s="0" t="s">
        <v>126</v>
      </c>
      <c r="B626" s="0" t="n">
        <v>2021</v>
      </c>
      <c r="C626" s="0" t="s">
        <v>55</v>
      </c>
      <c r="D626" s="0" t="n">
        <v>1611749</v>
      </c>
      <c r="E626" s="0" t="s">
        <v>3876</v>
      </c>
      <c r="G626" s="0" t="s">
        <v>3877</v>
      </c>
    </row>
    <row r="627" customFormat="false" ht="15" hidden="false" customHeight="false" outlineLevel="0" collapsed="false">
      <c r="A627" s="0" t="s">
        <v>126</v>
      </c>
      <c r="B627" s="0" t="n">
        <v>2021</v>
      </c>
      <c r="C627" s="0" t="s">
        <v>60</v>
      </c>
      <c r="D627" s="0" t="n">
        <v>726080</v>
      </c>
      <c r="E627" s="0" t="s">
        <v>3876</v>
      </c>
      <c r="G627" s="0" t="s">
        <v>3877</v>
      </c>
    </row>
    <row r="628" customFormat="false" ht="15" hidden="false" customHeight="false" outlineLevel="0" collapsed="false">
      <c r="A628" s="0" t="s">
        <v>126</v>
      </c>
      <c r="B628" s="0" t="n">
        <v>2021</v>
      </c>
      <c r="C628" s="0" t="s">
        <v>61</v>
      </c>
      <c r="D628" s="0" t="n">
        <v>14180</v>
      </c>
      <c r="E628" s="0" t="s">
        <v>3876</v>
      </c>
      <c r="G628" s="0" t="s">
        <v>3877</v>
      </c>
    </row>
    <row r="629" customFormat="false" ht="15" hidden="false" customHeight="false" outlineLevel="0" collapsed="false">
      <c r="A629" s="0" t="s">
        <v>126</v>
      </c>
      <c r="B629" s="0" t="n">
        <v>2021</v>
      </c>
      <c r="C629" s="0" t="s">
        <v>63</v>
      </c>
      <c r="D629" s="0" t="n">
        <v>9822</v>
      </c>
      <c r="E629" s="0" t="s">
        <v>3876</v>
      </c>
      <c r="G629" s="0" t="s">
        <v>3877</v>
      </c>
    </row>
    <row r="630" customFormat="false" ht="15" hidden="false" customHeight="false" outlineLevel="0" collapsed="false">
      <c r="A630" s="0" t="s">
        <v>126</v>
      </c>
      <c r="B630" s="0" t="n">
        <v>2021</v>
      </c>
      <c r="C630" s="0" t="s">
        <v>266</v>
      </c>
      <c r="D630" s="0" t="n">
        <v>1</v>
      </c>
      <c r="E630" s="0" t="s">
        <v>3876</v>
      </c>
      <c r="G630" s="0" t="s">
        <v>3877</v>
      </c>
    </row>
    <row r="631" customFormat="false" ht="15" hidden="false" customHeight="false" outlineLevel="0" collapsed="false">
      <c r="A631" s="0" t="s">
        <v>126</v>
      </c>
      <c r="B631" s="0" t="n">
        <v>2021</v>
      </c>
      <c r="C631" s="0" t="s">
        <v>69</v>
      </c>
      <c r="D631" s="0" t="n">
        <v>14.82</v>
      </c>
      <c r="E631" s="0" t="s">
        <v>3876</v>
      </c>
      <c r="G631" s="0" t="s">
        <v>3877</v>
      </c>
    </row>
    <row r="632" customFormat="false" ht="15" hidden="false" customHeight="false" outlineLevel="0" collapsed="false">
      <c r="A632" s="0" t="s">
        <v>126</v>
      </c>
      <c r="B632" s="0" t="n">
        <v>2021</v>
      </c>
      <c r="C632" s="0" t="s">
        <v>73</v>
      </c>
      <c r="D632" s="0" t="n">
        <v>0</v>
      </c>
      <c r="E632" s="0" t="s">
        <v>3876</v>
      </c>
      <c r="G632" s="0" t="s">
        <v>3877</v>
      </c>
    </row>
    <row r="633" customFormat="false" ht="15" hidden="false" customHeight="false" outlineLevel="0" collapsed="false">
      <c r="A633" s="0" t="s">
        <v>126</v>
      </c>
      <c r="B633" s="0" t="n">
        <v>2021</v>
      </c>
      <c r="C633" s="0" t="s">
        <v>920</v>
      </c>
      <c r="D633" s="0" t="s">
        <v>994</v>
      </c>
      <c r="E633" s="0" t="s">
        <v>3876</v>
      </c>
      <c r="G633" s="0" t="s">
        <v>3877</v>
      </c>
    </row>
    <row r="634" customFormat="false" ht="15" hidden="false" customHeight="false" outlineLevel="0" collapsed="false">
      <c r="A634" s="0" t="s">
        <v>126</v>
      </c>
      <c r="B634" s="0" t="n">
        <v>2022</v>
      </c>
      <c r="C634" s="0" t="s">
        <v>54</v>
      </c>
      <c r="D634" s="0" t="n">
        <v>19327</v>
      </c>
      <c r="E634" s="0" t="s">
        <v>3876</v>
      </c>
      <c r="G634" s="0" t="s">
        <v>3877</v>
      </c>
    </row>
    <row r="635" customFormat="false" ht="15" hidden="false" customHeight="false" outlineLevel="0" collapsed="false">
      <c r="A635" s="0" t="s">
        <v>126</v>
      </c>
      <c r="B635" s="0" t="n">
        <v>2022</v>
      </c>
      <c r="C635" s="0" t="s">
        <v>670</v>
      </c>
      <c r="D635" s="0" t="n">
        <v>172832</v>
      </c>
      <c r="E635" s="0" t="s">
        <v>3876</v>
      </c>
      <c r="G635" s="0" t="s">
        <v>3877</v>
      </c>
    </row>
    <row r="636" customFormat="false" ht="15" hidden="false" customHeight="false" outlineLevel="0" collapsed="false">
      <c r="A636" s="0" t="s">
        <v>126</v>
      </c>
      <c r="B636" s="0" t="n">
        <v>2022</v>
      </c>
      <c r="C636" s="0" t="s">
        <v>55</v>
      </c>
      <c r="D636" s="0" t="n">
        <v>1840622</v>
      </c>
      <c r="E636" s="0" t="s">
        <v>3876</v>
      </c>
      <c r="G636" s="0" t="s">
        <v>3877</v>
      </c>
    </row>
    <row r="637" customFormat="false" ht="15" hidden="false" customHeight="false" outlineLevel="0" collapsed="false">
      <c r="A637" s="0" t="s">
        <v>126</v>
      </c>
      <c r="B637" s="0" t="n">
        <v>2022</v>
      </c>
      <c r="C637" s="0" t="s">
        <v>60</v>
      </c>
      <c r="D637" s="0" t="n">
        <v>758183</v>
      </c>
      <c r="E637" s="0" t="s">
        <v>3876</v>
      </c>
      <c r="G637" s="0" t="s">
        <v>3877</v>
      </c>
    </row>
    <row r="638" customFormat="false" ht="15" hidden="false" customHeight="false" outlineLevel="0" collapsed="false">
      <c r="A638" s="0" t="s">
        <v>126</v>
      </c>
      <c r="B638" s="0" t="n">
        <v>2022</v>
      </c>
      <c r="C638" s="0" t="s">
        <v>61</v>
      </c>
      <c r="D638" s="0" t="n">
        <v>20448</v>
      </c>
      <c r="E638" s="0" t="s">
        <v>3876</v>
      </c>
      <c r="G638" s="0" t="s">
        <v>3877</v>
      </c>
    </row>
    <row r="639" customFormat="false" ht="15" hidden="false" customHeight="false" outlineLevel="0" collapsed="false">
      <c r="A639" s="0" t="s">
        <v>126</v>
      </c>
      <c r="B639" s="0" t="n">
        <v>2022</v>
      </c>
      <c r="C639" s="0" t="s">
        <v>63</v>
      </c>
      <c r="D639" s="0" t="n">
        <v>9084</v>
      </c>
      <c r="E639" s="0" t="s">
        <v>3876</v>
      </c>
      <c r="G639" s="0" t="s">
        <v>3877</v>
      </c>
    </row>
    <row r="640" customFormat="false" ht="15" hidden="false" customHeight="false" outlineLevel="0" collapsed="false">
      <c r="A640" s="0" t="s">
        <v>126</v>
      </c>
      <c r="B640" s="0" t="n">
        <v>2022</v>
      </c>
      <c r="C640" s="0" t="s">
        <v>266</v>
      </c>
      <c r="D640" s="0" t="n">
        <v>4</v>
      </c>
      <c r="E640" s="0" t="s">
        <v>3876</v>
      </c>
      <c r="G640" s="0" t="s">
        <v>3877</v>
      </c>
    </row>
    <row r="641" customFormat="false" ht="15" hidden="false" customHeight="false" outlineLevel="0" collapsed="false">
      <c r="A641" s="0" t="s">
        <v>126</v>
      </c>
      <c r="B641" s="0" t="n">
        <v>2022</v>
      </c>
      <c r="C641" s="0" t="s">
        <v>69</v>
      </c>
      <c r="D641" s="0" t="n">
        <v>14.67</v>
      </c>
      <c r="E641" s="0" t="s">
        <v>3876</v>
      </c>
      <c r="G641" s="0" t="s">
        <v>3877</v>
      </c>
    </row>
    <row r="642" customFormat="false" ht="15" hidden="false" customHeight="false" outlineLevel="0" collapsed="false">
      <c r="A642" s="0" t="s">
        <v>126</v>
      </c>
      <c r="B642" s="0" t="n">
        <v>2022</v>
      </c>
      <c r="C642" s="0" t="s">
        <v>73</v>
      </c>
      <c r="D642" s="0" t="n">
        <v>0</v>
      </c>
      <c r="E642" s="0" t="s">
        <v>3876</v>
      </c>
      <c r="G642" s="0" t="s">
        <v>3877</v>
      </c>
    </row>
    <row r="643" customFormat="false" ht="15" hidden="false" customHeight="false" outlineLevel="0" collapsed="false">
      <c r="A643" s="0" t="s">
        <v>126</v>
      </c>
      <c r="B643" s="0" t="n">
        <v>2022</v>
      </c>
      <c r="C643" s="0" t="s">
        <v>920</v>
      </c>
      <c r="D643" s="0" t="s">
        <v>994</v>
      </c>
      <c r="E643" s="0" t="s">
        <v>3876</v>
      </c>
      <c r="G643" s="0" t="s">
        <v>3877</v>
      </c>
    </row>
    <row r="644" customFormat="false" ht="15" hidden="false" customHeight="false" outlineLevel="0" collapsed="false">
      <c r="A644" s="0" t="s">
        <v>154</v>
      </c>
      <c r="B644" s="0" t="n">
        <v>2015</v>
      </c>
      <c r="C644" s="0" t="s">
        <v>54</v>
      </c>
      <c r="D644" s="0" t="n">
        <v>2273.21</v>
      </c>
      <c r="E644" s="0" t="s">
        <v>3876</v>
      </c>
      <c r="G644" s="0" t="s">
        <v>3877</v>
      </c>
    </row>
    <row r="645" customFormat="false" ht="15" hidden="false" customHeight="false" outlineLevel="0" collapsed="false">
      <c r="A645" s="0" t="s">
        <v>154</v>
      </c>
      <c r="B645" s="0" t="n">
        <v>2015</v>
      </c>
      <c r="C645" s="0" t="s">
        <v>670</v>
      </c>
      <c r="D645" s="0" t="n">
        <v>45869.44</v>
      </c>
      <c r="E645" s="0" t="s">
        <v>3876</v>
      </c>
      <c r="G645" s="0" t="s">
        <v>3877</v>
      </c>
    </row>
    <row r="646" customFormat="false" ht="15" hidden="false" customHeight="false" outlineLevel="0" collapsed="false">
      <c r="A646" s="0" t="s">
        <v>154</v>
      </c>
      <c r="B646" s="0" t="n">
        <v>2015</v>
      </c>
      <c r="C646" s="0" t="s">
        <v>55</v>
      </c>
      <c r="D646" s="0" t="n">
        <v>396743.31</v>
      </c>
      <c r="E646" s="0" t="s">
        <v>3876</v>
      </c>
      <c r="G646" s="0" t="s">
        <v>3877</v>
      </c>
    </row>
    <row r="647" customFormat="false" ht="15" hidden="false" customHeight="false" outlineLevel="0" collapsed="false">
      <c r="A647" s="0" t="s">
        <v>154</v>
      </c>
      <c r="B647" s="0" t="n">
        <v>2015</v>
      </c>
      <c r="C647" s="0" t="s">
        <v>60</v>
      </c>
      <c r="D647" s="0" t="n">
        <v>188022.92</v>
      </c>
      <c r="E647" s="0" t="s">
        <v>3876</v>
      </c>
      <c r="G647" s="0" t="s">
        <v>3877</v>
      </c>
    </row>
    <row r="648" customFormat="false" ht="15" hidden="false" customHeight="false" outlineLevel="0" collapsed="false">
      <c r="A648" s="0" t="s">
        <v>154</v>
      </c>
      <c r="B648" s="0" t="n">
        <v>2015</v>
      </c>
      <c r="C648" s="0" t="s">
        <v>61</v>
      </c>
      <c r="D648" s="0" t="n">
        <v>2426.33</v>
      </c>
      <c r="E648" s="0" t="s">
        <v>3876</v>
      </c>
      <c r="G648" s="0" t="s">
        <v>3877</v>
      </c>
    </row>
    <row r="649" customFormat="false" ht="15" hidden="false" customHeight="false" outlineLevel="0" collapsed="false">
      <c r="A649" s="0" t="s">
        <v>154</v>
      </c>
      <c r="B649" s="0" t="n">
        <v>2015</v>
      </c>
      <c r="C649" s="0" t="s">
        <v>63</v>
      </c>
      <c r="D649" s="0" t="n">
        <v>-77.64</v>
      </c>
      <c r="E649" s="0" t="s">
        <v>3876</v>
      </c>
      <c r="G649" s="0" t="s">
        <v>3877</v>
      </c>
    </row>
    <row r="650" customFormat="false" ht="15" hidden="false" customHeight="false" outlineLevel="0" collapsed="false">
      <c r="A650" s="0" t="s">
        <v>154</v>
      </c>
      <c r="B650" s="0" t="n">
        <v>2015</v>
      </c>
      <c r="C650" s="0" t="s">
        <v>266</v>
      </c>
      <c r="D650" s="0" t="n">
        <v>2.67</v>
      </c>
      <c r="E650" s="0" t="s">
        <v>3876</v>
      </c>
      <c r="G650" s="0" t="s">
        <v>3877</v>
      </c>
    </row>
    <row r="651" customFormat="false" ht="15" hidden="false" customHeight="false" outlineLevel="0" collapsed="false">
      <c r="A651" s="0" t="s">
        <v>154</v>
      </c>
      <c r="B651" s="0" t="n">
        <v>2015</v>
      </c>
      <c r="C651" s="0" t="s">
        <v>69</v>
      </c>
      <c r="D651" s="0" t="n">
        <v>15.1</v>
      </c>
      <c r="E651" s="0" t="s">
        <v>3876</v>
      </c>
      <c r="G651" s="0" t="s">
        <v>3877</v>
      </c>
    </row>
    <row r="652" customFormat="false" ht="15" hidden="false" customHeight="false" outlineLevel="0" collapsed="false">
      <c r="A652" s="0" t="s">
        <v>154</v>
      </c>
      <c r="B652" s="0" t="n">
        <v>2015</v>
      </c>
      <c r="C652" s="0" t="s">
        <v>73</v>
      </c>
      <c r="D652" s="0" t="n">
        <v>0</v>
      </c>
      <c r="E652" s="0" t="s">
        <v>3876</v>
      </c>
      <c r="G652" s="0" t="s">
        <v>3877</v>
      </c>
    </row>
    <row r="653" customFormat="false" ht="15" hidden="false" customHeight="false" outlineLevel="0" collapsed="false">
      <c r="A653" s="0" t="s">
        <v>154</v>
      </c>
      <c r="B653" s="0" t="n">
        <v>2015</v>
      </c>
      <c r="C653" s="0" t="s">
        <v>920</v>
      </c>
      <c r="D653" s="0" t="s">
        <v>988</v>
      </c>
      <c r="E653" s="0" t="s">
        <v>3876</v>
      </c>
      <c r="G653" s="0" t="s">
        <v>3877</v>
      </c>
    </row>
    <row r="654" customFormat="false" ht="15" hidden="false" customHeight="false" outlineLevel="0" collapsed="false">
      <c r="A654" s="0" t="s">
        <v>154</v>
      </c>
      <c r="B654" s="0" t="n">
        <v>2016</v>
      </c>
      <c r="C654" s="0" t="s">
        <v>54</v>
      </c>
      <c r="D654" s="0" t="n">
        <v>2591.8</v>
      </c>
      <c r="E654" s="0" t="s">
        <v>3876</v>
      </c>
      <c r="G654" s="0" t="s">
        <v>3877</v>
      </c>
    </row>
    <row r="655" customFormat="false" ht="15" hidden="false" customHeight="false" outlineLevel="0" collapsed="false">
      <c r="A655" s="0" t="s">
        <v>154</v>
      </c>
      <c r="B655" s="0" t="n">
        <v>2016</v>
      </c>
      <c r="C655" s="0" t="s">
        <v>670</v>
      </c>
      <c r="D655" s="0" t="n">
        <v>53834.41</v>
      </c>
      <c r="E655" s="0" t="s">
        <v>3876</v>
      </c>
      <c r="G655" s="0" t="s">
        <v>3877</v>
      </c>
    </row>
    <row r="656" customFormat="false" ht="15" hidden="false" customHeight="false" outlineLevel="0" collapsed="false">
      <c r="A656" s="0" t="s">
        <v>154</v>
      </c>
      <c r="B656" s="0" t="n">
        <v>2016</v>
      </c>
      <c r="C656" s="0" t="s">
        <v>55</v>
      </c>
      <c r="D656" s="0" t="n">
        <v>421221.04</v>
      </c>
      <c r="E656" s="0" t="s">
        <v>3876</v>
      </c>
      <c r="G656" s="0" t="s">
        <v>3877</v>
      </c>
    </row>
    <row r="657" customFormat="false" ht="15" hidden="false" customHeight="false" outlineLevel="0" collapsed="false">
      <c r="A657" s="0" t="s">
        <v>154</v>
      </c>
      <c r="B657" s="0" t="n">
        <v>2016</v>
      </c>
      <c r="C657" s="0" t="s">
        <v>60</v>
      </c>
      <c r="D657" s="0" t="n">
        <v>229840.98</v>
      </c>
      <c r="E657" s="0" t="s">
        <v>3876</v>
      </c>
      <c r="G657" s="0" t="s">
        <v>3877</v>
      </c>
    </row>
    <row r="658" customFormat="false" ht="15" hidden="false" customHeight="false" outlineLevel="0" collapsed="false">
      <c r="A658" s="0" t="s">
        <v>154</v>
      </c>
      <c r="B658" s="0" t="n">
        <v>2016</v>
      </c>
      <c r="C658" s="0" t="s">
        <v>61</v>
      </c>
      <c r="D658" s="0" t="n">
        <v>2832.43</v>
      </c>
      <c r="E658" s="0" t="s">
        <v>3876</v>
      </c>
      <c r="G658" s="0" t="s">
        <v>3877</v>
      </c>
    </row>
    <row r="659" customFormat="false" ht="15" hidden="false" customHeight="false" outlineLevel="0" collapsed="false">
      <c r="A659" s="0" t="s">
        <v>154</v>
      </c>
      <c r="B659" s="0" t="n">
        <v>2016</v>
      </c>
      <c r="C659" s="0" t="s">
        <v>63</v>
      </c>
      <c r="D659" s="0" t="n">
        <v>412.4</v>
      </c>
      <c r="E659" s="0" t="s">
        <v>3876</v>
      </c>
      <c r="G659" s="0" t="s">
        <v>3877</v>
      </c>
    </row>
    <row r="660" customFormat="false" ht="15" hidden="false" customHeight="false" outlineLevel="0" collapsed="false">
      <c r="A660" s="0" t="s">
        <v>154</v>
      </c>
      <c r="B660" s="0" t="n">
        <v>2016</v>
      </c>
      <c r="C660" s="0" t="s">
        <v>266</v>
      </c>
      <c r="D660" s="0" t="n">
        <v>5.07</v>
      </c>
      <c r="E660" s="0" t="s">
        <v>3876</v>
      </c>
      <c r="G660" s="0" t="s">
        <v>3877</v>
      </c>
    </row>
    <row r="661" customFormat="false" ht="15" hidden="false" customHeight="false" outlineLevel="0" collapsed="false">
      <c r="A661" s="0" t="s">
        <v>154</v>
      </c>
      <c r="B661" s="0" t="n">
        <v>2016</v>
      </c>
      <c r="C661" s="0" t="s">
        <v>69</v>
      </c>
      <c r="D661" s="0" t="n">
        <v>11.07</v>
      </c>
      <c r="E661" s="0" t="s">
        <v>3876</v>
      </c>
      <c r="G661" s="0" t="s">
        <v>3877</v>
      </c>
    </row>
    <row r="662" customFormat="false" ht="15" hidden="false" customHeight="false" outlineLevel="0" collapsed="false">
      <c r="A662" s="0" t="s">
        <v>154</v>
      </c>
      <c r="B662" s="0" t="n">
        <v>2016</v>
      </c>
      <c r="C662" s="0" t="s">
        <v>73</v>
      </c>
      <c r="D662" s="0" t="n">
        <v>0</v>
      </c>
      <c r="E662" s="0" t="s">
        <v>3876</v>
      </c>
      <c r="G662" s="0" t="s">
        <v>3877</v>
      </c>
    </row>
    <row r="663" customFormat="false" ht="15" hidden="false" customHeight="false" outlineLevel="0" collapsed="false">
      <c r="A663" s="0" t="s">
        <v>154</v>
      </c>
      <c r="B663" s="0" t="n">
        <v>2016</v>
      </c>
      <c r="C663" s="0" t="s">
        <v>920</v>
      </c>
      <c r="D663" s="0" t="s">
        <v>988</v>
      </c>
      <c r="E663" s="0" t="s">
        <v>3876</v>
      </c>
      <c r="G663" s="0" t="s">
        <v>3877</v>
      </c>
    </row>
    <row r="664" customFormat="false" ht="15" hidden="false" customHeight="false" outlineLevel="0" collapsed="false">
      <c r="A664" s="0" t="s">
        <v>154</v>
      </c>
      <c r="B664" s="0" t="n">
        <v>2017</v>
      </c>
      <c r="C664" s="0" t="s">
        <v>54</v>
      </c>
      <c r="D664" s="0" t="n">
        <v>2301.16</v>
      </c>
      <c r="E664" s="0" t="s">
        <v>3876</v>
      </c>
      <c r="G664" s="0" t="s">
        <v>3877</v>
      </c>
    </row>
    <row r="665" customFormat="false" ht="15" hidden="false" customHeight="false" outlineLevel="0" collapsed="false">
      <c r="A665" s="0" t="s">
        <v>154</v>
      </c>
      <c r="B665" s="0" t="n">
        <v>2017</v>
      </c>
      <c r="C665" s="0" t="s">
        <v>670</v>
      </c>
      <c r="D665" s="0" t="n">
        <v>64858.37</v>
      </c>
      <c r="E665" s="0" t="s">
        <v>3876</v>
      </c>
      <c r="G665" s="0" t="s">
        <v>3877</v>
      </c>
    </row>
    <row r="666" customFormat="false" ht="15" hidden="false" customHeight="false" outlineLevel="0" collapsed="false">
      <c r="A666" s="0" t="s">
        <v>154</v>
      </c>
      <c r="B666" s="0" t="n">
        <v>2017</v>
      </c>
      <c r="C666" s="0" t="s">
        <v>55</v>
      </c>
      <c r="D666" s="0" t="n">
        <v>385388.3</v>
      </c>
      <c r="E666" s="0" t="s">
        <v>3876</v>
      </c>
      <c r="G666" s="0" t="s">
        <v>3877</v>
      </c>
    </row>
    <row r="667" customFormat="false" ht="15" hidden="false" customHeight="false" outlineLevel="0" collapsed="false">
      <c r="A667" s="0" t="s">
        <v>154</v>
      </c>
      <c r="B667" s="0" t="n">
        <v>2017</v>
      </c>
      <c r="C667" s="0" t="s">
        <v>60</v>
      </c>
      <c r="D667" s="0" t="n">
        <v>220076.03</v>
      </c>
      <c r="E667" s="0" t="s">
        <v>3876</v>
      </c>
      <c r="G667" s="0" t="s">
        <v>3877</v>
      </c>
    </row>
    <row r="668" customFormat="false" ht="15" hidden="false" customHeight="false" outlineLevel="0" collapsed="false">
      <c r="A668" s="0" t="s">
        <v>154</v>
      </c>
      <c r="B668" s="0" t="n">
        <v>2017</v>
      </c>
      <c r="C668" s="0" t="s">
        <v>61</v>
      </c>
      <c r="D668" s="0" t="n">
        <v>4236</v>
      </c>
      <c r="E668" s="0" t="s">
        <v>3876</v>
      </c>
      <c r="G668" s="0" t="s">
        <v>3877</v>
      </c>
    </row>
    <row r="669" customFormat="false" ht="15" hidden="false" customHeight="false" outlineLevel="0" collapsed="false">
      <c r="A669" s="0" t="s">
        <v>154</v>
      </c>
      <c r="B669" s="0" t="n">
        <v>2017</v>
      </c>
      <c r="C669" s="0" t="s">
        <v>63</v>
      </c>
      <c r="D669" s="0" t="n">
        <v>2179.8</v>
      </c>
      <c r="E669" s="0" t="s">
        <v>3876</v>
      </c>
      <c r="G669" s="0" t="s">
        <v>3877</v>
      </c>
    </row>
    <row r="670" customFormat="false" ht="15" hidden="false" customHeight="false" outlineLevel="0" collapsed="false">
      <c r="A670" s="0" t="s">
        <v>154</v>
      </c>
      <c r="B670" s="0" t="n">
        <v>2017</v>
      </c>
      <c r="C670" s="0" t="s">
        <v>266</v>
      </c>
      <c r="D670" s="0" t="n">
        <v>3.52</v>
      </c>
      <c r="E670" s="0" t="s">
        <v>3876</v>
      </c>
      <c r="G670" s="0" t="s">
        <v>3877</v>
      </c>
    </row>
    <row r="671" customFormat="false" ht="15" hidden="false" customHeight="false" outlineLevel="0" collapsed="false">
      <c r="A671" s="0" t="s">
        <v>154</v>
      </c>
      <c r="B671" s="0" t="n">
        <v>2017</v>
      </c>
      <c r="C671" s="0" t="s">
        <v>69</v>
      </c>
      <c r="D671" s="0" t="n">
        <v>14.32</v>
      </c>
      <c r="E671" s="0" t="s">
        <v>3876</v>
      </c>
      <c r="G671" s="0" t="s">
        <v>3877</v>
      </c>
    </row>
    <row r="672" customFormat="false" ht="15" hidden="false" customHeight="false" outlineLevel="0" collapsed="false">
      <c r="A672" s="0" t="s">
        <v>154</v>
      </c>
      <c r="B672" s="0" t="n">
        <v>2017</v>
      </c>
      <c r="C672" s="0" t="s">
        <v>73</v>
      </c>
      <c r="D672" s="0" t="n">
        <v>0</v>
      </c>
      <c r="E672" s="0" t="s">
        <v>3876</v>
      </c>
      <c r="G672" s="0" t="s">
        <v>3877</v>
      </c>
    </row>
    <row r="673" customFormat="false" ht="15" hidden="false" customHeight="false" outlineLevel="0" collapsed="false">
      <c r="A673" s="0" t="s">
        <v>154</v>
      </c>
      <c r="B673" s="0" t="n">
        <v>2017</v>
      </c>
      <c r="C673" s="0" t="s">
        <v>920</v>
      </c>
      <c r="D673" s="0" t="s">
        <v>994</v>
      </c>
      <c r="E673" s="0" t="s">
        <v>3876</v>
      </c>
      <c r="G673" s="0" t="s">
        <v>3877</v>
      </c>
    </row>
    <row r="674" customFormat="false" ht="15" hidden="false" customHeight="false" outlineLevel="0" collapsed="false">
      <c r="A674" s="0" t="s">
        <v>154</v>
      </c>
      <c r="B674" s="0" t="n">
        <v>2018</v>
      </c>
      <c r="C674" s="0" t="s">
        <v>920</v>
      </c>
      <c r="D674" s="0" t="s">
        <v>3882</v>
      </c>
      <c r="E674" s="0" t="s">
        <v>3876</v>
      </c>
      <c r="G674" s="0" t="s">
        <v>3877</v>
      </c>
    </row>
    <row r="675" customFormat="false" ht="15" hidden="false" customHeight="false" outlineLevel="0" collapsed="false">
      <c r="A675" s="0" t="s">
        <v>154</v>
      </c>
      <c r="B675" s="0" t="n">
        <v>2019</v>
      </c>
      <c r="C675" s="0" t="s">
        <v>54</v>
      </c>
      <c r="D675" s="0" t="n">
        <v>5210.75</v>
      </c>
      <c r="E675" s="0" t="s">
        <v>3876</v>
      </c>
      <c r="G675" s="0" t="s">
        <v>3877</v>
      </c>
    </row>
    <row r="676" customFormat="false" ht="15" hidden="false" customHeight="false" outlineLevel="0" collapsed="false">
      <c r="A676" s="0" t="s">
        <v>154</v>
      </c>
      <c r="B676" s="0" t="n">
        <v>2019</v>
      </c>
      <c r="C676" s="0" t="s">
        <v>670</v>
      </c>
      <c r="D676" s="0" t="n">
        <v>93389.81</v>
      </c>
      <c r="E676" s="0" t="s">
        <v>3876</v>
      </c>
      <c r="G676" s="0" t="s">
        <v>3877</v>
      </c>
    </row>
    <row r="677" customFormat="false" ht="15" hidden="false" customHeight="false" outlineLevel="0" collapsed="false">
      <c r="A677" s="0" t="s">
        <v>154</v>
      </c>
      <c r="B677" s="0" t="n">
        <v>2019</v>
      </c>
      <c r="C677" s="0" t="s">
        <v>55</v>
      </c>
      <c r="D677" s="0" t="n">
        <v>704955.6</v>
      </c>
      <c r="E677" s="0" t="s">
        <v>3876</v>
      </c>
      <c r="G677" s="0" t="s">
        <v>3877</v>
      </c>
    </row>
    <row r="678" customFormat="false" ht="15" hidden="false" customHeight="false" outlineLevel="0" collapsed="false">
      <c r="A678" s="0" t="s">
        <v>154</v>
      </c>
      <c r="B678" s="0" t="n">
        <v>2019</v>
      </c>
      <c r="C678" s="0" t="s">
        <v>60</v>
      </c>
      <c r="D678" s="0" t="n">
        <v>301368.3</v>
      </c>
      <c r="E678" s="0" t="s">
        <v>3876</v>
      </c>
      <c r="G678" s="0" t="s">
        <v>3877</v>
      </c>
    </row>
    <row r="679" customFormat="false" ht="15" hidden="false" customHeight="false" outlineLevel="0" collapsed="false">
      <c r="A679" s="0" t="s">
        <v>154</v>
      </c>
      <c r="B679" s="0" t="n">
        <v>2019</v>
      </c>
      <c r="C679" s="0" t="s">
        <v>61</v>
      </c>
      <c r="D679" s="0" t="n">
        <v>12128.43</v>
      </c>
      <c r="E679" s="0" t="s">
        <v>3876</v>
      </c>
      <c r="G679" s="0" t="s">
        <v>3877</v>
      </c>
    </row>
    <row r="680" customFormat="false" ht="15" hidden="false" customHeight="false" outlineLevel="0" collapsed="false">
      <c r="A680" s="0" t="s">
        <v>154</v>
      </c>
      <c r="B680" s="0" t="n">
        <v>2019</v>
      </c>
      <c r="C680" s="0" t="s">
        <v>63</v>
      </c>
      <c r="D680" s="0" t="n">
        <v>6130.6</v>
      </c>
      <c r="E680" s="0" t="s">
        <v>3876</v>
      </c>
      <c r="G680" s="0" t="s">
        <v>3877</v>
      </c>
    </row>
    <row r="681" customFormat="false" ht="15" hidden="false" customHeight="false" outlineLevel="0" collapsed="false">
      <c r="A681" s="0" t="s">
        <v>154</v>
      </c>
      <c r="B681" s="0" t="n">
        <v>2019</v>
      </c>
      <c r="C681" s="0" t="s">
        <v>266</v>
      </c>
      <c r="D681" s="0" t="n">
        <v>7.38</v>
      </c>
      <c r="E681" s="0" t="s">
        <v>3876</v>
      </c>
      <c r="G681" s="0" t="s">
        <v>3877</v>
      </c>
    </row>
    <row r="682" customFormat="false" ht="15" hidden="false" customHeight="false" outlineLevel="0" collapsed="false">
      <c r="A682" s="0" t="s">
        <v>154</v>
      </c>
      <c r="B682" s="0" t="n">
        <v>2019</v>
      </c>
      <c r="C682" s="0" t="s">
        <v>69</v>
      </c>
      <c r="D682" s="0" t="n">
        <v>13.6</v>
      </c>
      <c r="E682" s="0" t="s">
        <v>3876</v>
      </c>
      <c r="G682" s="0" t="s">
        <v>3877</v>
      </c>
    </row>
    <row r="683" customFormat="false" ht="15" hidden="false" customHeight="false" outlineLevel="0" collapsed="false">
      <c r="A683" s="0" t="s">
        <v>154</v>
      </c>
      <c r="B683" s="0" t="n">
        <v>2019</v>
      </c>
      <c r="C683" s="0" t="s">
        <v>73</v>
      </c>
      <c r="D683" s="0" t="n">
        <v>0</v>
      </c>
      <c r="E683" s="0" t="s">
        <v>3876</v>
      </c>
      <c r="G683" s="0" t="s">
        <v>3877</v>
      </c>
    </row>
    <row r="684" customFormat="false" ht="15" hidden="false" customHeight="false" outlineLevel="0" collapsed="false">
      <c r="A684" s="0" t="s">
        <v>154</v>
      </c>
      <c r="B684" s="0" t="n">
        <v>2019</v>
      </c>
      <c r="C684" s="0" t="s">
        <v>920</v>
      </c>
      <c r="D684" s="0" t="s">
        <v>994</v>
      </c>
      <c r="E684" s="0" t="s">
        <v>3876</v>
      </c>
      <c r="G684" s="0" t="s">
        <v>3877</v>
      </c>
    </row>
    <row r="685" customFormat="false" ht="15" hidden="false" customHeight="false" outlineLevel="0" collapsed="false">
      <c r="A685" s="0" t="s">
        <v>154</v>
      </c>
      <c r="B685" s="0" t="n">
        <v>2020</v>
      </c>
      <c r="C685" s="0" t="s">
        <v>54</v>
      </c>
      <c r="D685" s="0" t="n">
        <v>4592.22</v>
      </c>
      <c r="E685" s="0" t="s">
        <v>3876</v>
      </c>
      <c r="G685" s="0" t="s">
        <v>3877</v>
      </c>
    </row>
    <row r="686" customFormat="false" ht="15" hidden="false" customHeight="false" outlineLevel="0" collapsed="false">
      <c r="A686" s="0" t="s">
        <v>154</v>
      </c>
      <c r="B686" s="0" t="n">
        <v>2020</v>
      </c>
      <c r="C686" s="0" t="s">
        <v>670</v>
      </c>
      <c r="D686" s="0" t="n">
        <v>79876.99</v>
      </c>
      <c r="E686" s="0" t="s">
        <v>3876</v>
      </c>
      <c r="G686" s="0" t="s">
        <v>3877</v>
      </c>
    </row>
    <row r="687" customFormat="false" ht="15" hidden="false" customHeight="false" outlineLevel="0" collapsed="false">
      <c r="A687" s="0" t="s">
        <v>154</v>
      </c>
      <c r="B687" s="0" t="n">
        <v>2020</v>
      </c>
      <c r="C687" s="0" t="s">
        <v>55</v>
      </c>
      <c r="D687" s="0" t="n">
        <v>968582.08</v>
      </c>
      <c r="E687" s="0" t="s">
        <v>3876</v>
      </c>
      <c r="G687" s="0" t="s">
        <v>3877</v>
      </c>
    </row>
    <row r="688" customFormat="false" ht="15" hidden="false" customHeight="false" outlineLevel="0" collapsed="false">
      <c r="A688" s="0" t="s">
        <v>154</v>
      </c>
      <c r="B688" s="0" t="n">
        <v>2020</v>
      </c>
      <c r="C688" s="0" t="s">
        <v>60</v>
      </c>
      <c r="D688" s="0" t="n">
        <v>375039.66</v>
      </c>
      <c r="E688" s="0" t="s">
        <v>3876</v>
      </c>
      <c r="G688" s="0" t="s">
        <v>3877</v>
      </c>
    </row>
    <row r="689" customFormat="false" ht="15" hidden="false" customHeight="false" outlineLevel="0" collapsed="false">
      <c r="A689" s="0" t="s">
        <v>154</v>
      </c>
      <c r="B689" s="0" t="n">
        <v>2020</v>
      </c>
      <c r="C689" s="0" t="s">
        <v>61</v>
      </c>
      <c r="D689" s="0" t="n">
        <v>14963.58</v>
      </c>
      <c r="E689" s="0" t="s">
        <v>3876</v>
      </c>
      <c r="G689" s="0" t="s">
        <v>3877</v>
      </c>
    </row>
    <row r="690" customFormat="false" ht="15" hidden="false" customHeight="false" outlineLevel="0" collapsed="false">
      <c r="A690" s="0" t="s">
        <v>154</v>
      </c>
      <c r="B690" s="0" t="n">
        <v>2020</v>
      </c>
      <c r="C690" s="0" t="s">
        <v>63</v>
      </c>
      <c r="D690" s="0" t="n">
        <v>5635.17</v>
      </c>
      <c r="E690" s="0" t="s">
        <v>3876</v>
      </c>
      <c r="G690" s="0" t="s">
        <v>3877</v>
      </c>
    </row>
    <row r="691" customFormat="false" ht="15" hidden="false" customHeight="false" outlineLevel="0" collapsed="false">
      <c r="A691" s="0" t="s">
        <v>154</v>
      </c>
      <c r="B691" s="0" t="n">
        <v>2020</v>
      </c>
      <c r="C691" s="0" t="s">
        <v>266</v>
      </c>
      <c r="D691" s="0" t="n">
        <v>4.69</v>
      </c>
      <c r="E691" s="0" t="s">
        <v>3876</v>
      </c>
      <c r="G691" s="0" t="s">
        <v>3877</v>
      </c>
    </row>
    <row r="692" customFormat="false" ht="15" hidden="false" customHeight="false" outlineLevel="0" collapsed="false">
      <c r="A692" s="0" t="s">
        <v>154</v>
      </c>
      <c r="B692" s="0" t="n">
        <v>2020</v>
      </c>
      <c r="C692" s="0" t="s">
        <v>69</v>
      </c>
      <c r="D692" s="0" t="n">
        <v>15.01</v>
      </c>
      <c r="E692" s="0" t="s">
        <v>3876</v>
      </c>
      <c r="G692" s="0" t="s">
        <v>3877</v>
      </c>
    </row>
    <row r="693" customFormat="false" ht="15" hidden="false" customHeight="false" outlineLevel="0" collapsed="false">
      <c r="A693" s="0" t="s">
        <v>154</v>
      </c>
      <c r="B693" s="0" t="n">
        <v>2020</v>
      </c>
      <c r="C693" s="0" t="s">
        <v>73</v>
      </c>
      <c r="D693" s="0" t="n">
        <v>0</v>
      </c>
      <c r="E693" s="0" t="s">
        <v>3876</v>
      </c>
      <c r="G693" s="0" t="s">
        <v>3877</v>
      </c>
    </row>
    <row r="694" customFormat="false" ht="15" hidden="false" customHeight="false" outlineLevel="0" collapsed="false">
      <c r="A694" s="0" t="s">
        <v>154</v>
      </c>
      <c r="B694" s="0" t="n">
        <v>2020</v>
      </c>
      <c r="C694" s="0" t="s">
        <v>920</v>
      </c>
      <c r="D694" s="0" t="s">
        <v>994</v>
      </c>
      <c r="E694" s="0" t="s">
        <v>3876</v>
      </c>
      <c r="G694" s="0" t="s">
        <v>3877</v>
      </c>
    </row>
    <row r="695" customFormat="false" ht="15" hidden="false" customHeight="false" outlineLevel="0" collapsed="false">
      <c r="A695" s="0" t="s">
        <v>154</v>
      </c>
      <c r="B695" s="0" t="n">
        <v>2021</v>
      </c>
      <c r="C695" s="0" t="s">
        <v>54</v>
      </c>
      <c r="D695" s="0" t="n">
        <v>8933</v>
      </c>
      <c r="E695" s="0" t="s">
        <v>3876</v>
      </c>
      <c r="G695" s="0" t="s">
        <v>3877</v>
      </c>
    </row>
    <row r="696" customFormat="false" ht="15" hidden="false" customHeight="false" outlineLevel="0" collapsed="false">
      <c r="A696" s="0" t="s">
        <v>154</v>
      </c>
      <c r="B696" s="0" t="n">
        <v>2021</v>
      </c>
      <c r="C696" s="0" t="s">
        <v>670</v>
      </c>
      <c r="D696" s="0" t="n">
        <v>92137</v>
      </c>
      <c r="E696" s="0" t="s">
        <v>3876</v>
      </c>
      <c r="G696" s="0" t="s">
        <v>3877</v>
      </c>
    </row>
    <row r="697" customFormat="false" ht="15" hidden="false" customHeight="false" outlineLevel="0" collapsed="false">
      <c r="A697" s="0" t="s">
        <v>154</v>
      </c>
      <c r="B697" s="0" t="n">
        <v>2021</v>
      </c>
      <c r="C697" s="0" t="s">
        <v>55</v>
      </c>
      <c r="D697" s="0" t="n">
        <v>1164518</v>
      </c>
      <c r="E697" s="0" t="s">
        <v>3876</v>
      </c>
      <c r="G697" s="0" t="s">
        <v>3877</v>
      </c>
    </row>
    <row r="698" customFormat="false" ht="15" hidden="false" customHeight="false" outlineLevel="0" collapsed="false">
      <c r="A698" s="0" t="s">
        <v>154</v>
      </c>
      <c r="B698" s="0" t="n">
        <v>2021</v>
      </c>
      <c r="C698" s="0" t="s">
        <v>60</v>
      </c>
      <c r="D698" s="0" t="n">
        <v>435552</v>
      </c>
      <c r="E698" s="0" t="s">
        <v>3876</v>
      </c>
      <c r="G698" s="0" t="s">
        <v>3877</v>
      </c>
    </row>
    <row r="699" customFormat="false" ht="15" hidden="false" customHeight="false" outlineLevel="0" collapsed="false">
      <c r="A699" s="0" t="s">
        <v>154</v>
      </c>
      <c r="B699" s="0" t="n">
        <v>2021</v>
      </c>
      <c r="C699" s="0" t="s">
        <v>61</v>
      </c>
      <c r="D699" s="0" t="n">
        <v>16688</v>
      </c>
      <c r="E699" s="0" t="s">
        <v>3876</v>
      </c>
      <c r="G699" s="0" t="s">
        <v>3877</v>
      </c>
    </row>
    <row r="700" customFormat="false" ht="15" hidden="false" customHeight="false" outlineLevel="0" collapsed="false">
      <c r="A700" s="0" t="s">
        <v>154</v>
      </c>
      <c r="B700" s="0" t="n">
        <v>2021</v>
      </c>
      <c r="C700" s="0" t="s">
        <v>63</v>
      </c>
      <c r="D700" s="0" t="n">
        <v>2104</v>
      </c>
      <c r="E700" s="0" t="s">
        <v>3876</v>
      </c>
      <c r="G700" s="0" t="s">
        <v>3877</v>
      </c>
    </row>
    <row r="701" customFormat="false" ht="15" hidden="false" customHeight="false" outlineLevel="0" collapsed="false">
      <c r="A701" s="0" t="s">
        <v>154</v>
      </c>
      <c r="B701" s="0" t="n">
        <v>2021</v>
      </c>
      <c r="C701" s="0" t="s">
        <v>266</v>
      </c>
      <c r="D701" s="0" t="n">
        <v>4.88</v>
      </c>
      <c r="E701" s="0" t="s">
        <v>3876</v>
      </c>
      <c r="G701" s="0" t="s">
        <v>3877</v>
      </c>
    </row>
    <row r="702" customFormat="false" ht="15" hidden="false" customHeight="false" outlineLevel="0" collapsed="false">
      <c r="A702" s="0" t="s">
        <v>154</v>
      </c>
      <c r="B702" s="0" t="n">
        <v>2021</v>
      </c>
      <c r="C702" s="0" t="s">
        <v>69</v>
      </c>
      <c r="D702" s="0" t="n">
        <v>11.71</v>
      </c>
      <c r="E702" s="0" t="s">
        <v>3876</v>
      </c>
      <c r="G702" s="0" t="s">
        <v>3877</v>
      </c>
    </row>
    <row r="703" customFormat="false" ht="15" hidden="false" customHeight="false" outlineLevel="0" collapsed="false">
      <c r="A703" s="0" t="s">
        <v>154</v>
      </c>
      <c r="B703" s="0" t="n">
        <v>2021</v>
      </c>
      <c r="C703" s="0" t="s">
        <v>73</v>
      </c>
      <c r="D703" s="0" t="n">
        <v>0</v>
      </c>
      <c r="E703" s="0" t="s">
        <v>3876</v>
      </c>
      <c r="G703" s="0" t="s">
        <v>3877</v>
      </c>
    </row>
    <row r="704" customFormat="false" ht="15" hidden="false" customHeight="false" outlineLevel="0" collapsed="false">
      <c r="A704" s="0" t="s">
        <v>154</v>
      </c>
      <c r="B704" s="0" t="n">
        <v>2021</v>
      </c>
      <c r="C704" s="0" t="s">
        <v>920</v>
      </c>
      <c r="D704" s="0" t="s">
        <v>1973</v>
      </c>
      <c r="E704" s="0" t="s">
        <v>3876</v>
      </c>
      <c r="G704" s="0" t="s">
        <v>3877</v>
      </c>
    </row>
    <row r="705" customFormat="false" ht="15" hidden="false" customHeight="false" outlineLevel="0" collapsed="false">
      <c r="A705" s="0" t="s">
        <v>154</v>
      </c>
      <c r="B705" s="0" t="n">
        <v>2022</v>
      </c>
      <c r="C705" s="0" t="s">
        <v>54</v>
      </c>
      <c r="D705" s="0" t="n">
        <v>11214</v>
      </c>
      <c r="E705" s="0" t="s">
        <v>3876</v>
      </c>
      <c r="G705" s="0" t="s">
        <v>3877</v>
      </c>
    </row>
    <row r="706" customFormat="false" ht="15" hidden="false" customHeight="false" outlineLevel="0" collapsed="false">
      <c r="A706" s="0" t="s">
        <v>154</v>
      </c>
      <c r="B706" s="0" t="n">
        <v>2022</v>
      </c>
      <c r="C706" s="0" t="s">
        <v>670</v>
      </c>
      <c r="D706" s="0" t="n">
        <v>131083</v>
      </c>
      <c r="E706" s="0" t="s">
        <v>3876</v>
      </c>
      <c r="G706" s="0" t="s">
        <v>3877</v>
      </c>
    </row>
    <row r="707" customFormat="false" ht="15" hidden="false" customHeight="false" outlineLevel="0" collapsed="false">
      <c r="A707" s="0" t="s">
        <v>154</v>
      </c>
      <c r="B707" s="0" t="n">
        <v>2022</v>
      </c>
      <c r="C707" s="0" t="s">
        <v>55</v>
      </c>
      <c r="D707" s="0" t="n">
        <v>1433704</v>
      </c>
      <c r="E707" s="0" t="s">
        <v>3876</v>
      </c>
      <c r="G707" s="0" t="s">
        <v>3877</v>
      </c>
    </row>
    <row r="708" customFormat="false" ht="15" hidden="false" customHeight="false" outlineLevel="0" collapsed="false">
      <c r="A708" s="0" t="s">
        <v>154</v>
      </c>
      <c r="B708" s="0" t="n">
        <v>2022</v>
      </c>
      <c r="C708" s="0" t="s">
        <v>60</v>
      </c>
      <c r="D708" s="0" t="n">
        <v>539372</v>
      </c>
      <c r="E708" s="0" t="s">
        <v>3876</v>
      </c>
      <c r="G708" s="0" t="s">
        <v>3877</v>
      </c>
    </row>
    <row r="709" customFormat="false" ht="15" hidden="false" customHeight="false" outlineLevel="0" collapsed="false">
      <c r="A709" s="0" t="s">
        <v>154</v>
      </c>
      <c r="B709" s="0" t="n">
        <v>2022</v>
      </c>
      <c r="C709" s="0" t="s">
        <v>61</v>
      </c>
      <c r="D709" s="0" t="n">
        <v>17941</v>
      </c>
      <c r="E709" s="0" t="s">
        <v>3876</v>
      </c>
      <c r="G709" s="0" t="s">
        <v>3877</v>
      </c>
    </row>
    <row r="710" customFormat="false" ht="15" hidden="false" customHeight="false" outlineLevel="0" collapsed="false">
      <c r="A710" s="0" t="s">
        <v>154</v>
      </c>
      <c r="B710" s="0" t="n">
        <v>2022</v>
      </c>
      <c r="C710" s="0" t="s">
        <v>63</v>
      </c>
      <c r="D710" s="0" t="n">
        <v>4808</v>
      </c>
      <c r="E710" s="0" t="s">
        <v>3876</v>
      </c>
      <c r="G710" s="0" t="s">
        <v>3877</v>
      </c>
    </row>
    <row r="711" customFormat="false" ht="15" hidden="false" customHeight="false" outlineLevel="0" collapsed="false">
      <c r="A711" s="0" t="s">
        <v>154</v>
      </c>
      <c r="B711" s="0" t="n">
        <v>2022</v>
      </c>
      <c r="C711" s="0" t="s">
        <v>266</v>
      </c>
      <c r="D711" s="0" t="n">
        <v>6.08</v>
      </c>
      <c r="E711" s="0" t="s">
        <v>3876</v>
      </c>
      <c r="G711" s="0" t="s">
        <v>3877</v>
      </c>
    </row>
    <row r="712" customFormat="false" ht="15" hidden="false" customHeight="false" outlineLevel="0" collapsed="false">
      <c r="A712" s="0" t="s">
        <v>154</v>
      </c>
      <c r="B712" s="0" t="n">
        <v>2022</v>
      </c>
      <c r="C712" s="0" t="s">
        <v>69</v>
      </c>
      <c r="D712" s="0" t="n">
        <v>12.74</v>
      </c>
      <c r="E712" s="0" t="s">
        <v>3876</v>
      </c>
      <c r="G712" s="0" t="s">
        <v>3877</v>
      </c>
    </row>
    <row r="713" customFormat="false" ht="15" hidden="false" customHeight="false" outlineLevel="0" collapsed="false">
      <c r="A713" s="0" t="s">
        <v>154</v>
      </c>
      <c r="B713" s="0" t="n">
        <v>2022</v>
      </c>
      <c r="C713" s="0" t="s">
        <v>73</v>
      </c>
      <c r="D713" s="0" t="n">
        <v>0</v>
      </c>
      <c r="E713" s="0" t="s">
        <v>3876</v>
      </c>
      <c r="G713" s="0" t="s">
        <v>3877</v>
      </c>
    </row>
    <row r="714" customFormat="false" ht="15" hidden="false" customHeight="false" outlineLevel="0" collapsed="false">
      <c r="A714" s="0" t="s">
        <v>154</v>
      </c>
      <c r="B714" s="0" t="n">
        <v>2022</v>
      </c>
      <c r="C714" s="0" t="s">
        <v>920</v>
      </c>
      <c r="D714" s="0" t="s">
        <v>1973</v>
      </c>
      <c r="E714" s="0" t="s">
        <v>3876</v>
      </c>
      <c r="G714" s="0" t="s">
        <v>3877</v>
      </c>
    </row>
    <row r="715" customFormat="false" ht="15" hidden="false" customHeight="false" outlineLevel="0" collapsed="false">
      <c r="A715" s="0" t="s">
        <v>1246</v>
      </c>
      <c r="B715" s="0" t="n">
        <v>2015</v>
      </c>
      <c r="C715" s="0" t="s">
        <v>54</v>
      </c>
      <c r="D715" s="0" t="n">
        <v>3542</v>
      </c>
      <c r="E715" s="0" t="s">
        <v>3876</v>
      </c>
      <c r="G715" s="0" t="s">
        <v>3877</v>
      </c>
    </row>
    <row r="716" customFormat="false" ht="15" hidden="false" customHeight="false" outlineLevel="0" collapsed="false">
      <c r="A716" s="0" t="s">
        <v>1246</v>
      </c>
      <c r="B716" s="0" t="n">
        <v>2015</v>
      </c>
      <c r="C716" s="0" t="s">
        <v>670</v>
      </c>
      <c r="D716" s="0" t="n">
        <v>84900</v>
      </c>
      <c r="E716" s="0" t="s">
        <v>3876</v>
      </c>
      <c r="G716" s="0" t="s">
        <v>3877</v>
      </c>
    </row>
    <row r="717" customFormat="false" ht="15" hidden="false" customHeight="false" outlineLevel="0" collapsed="false">
      <c r="A717" s="0" t="s">
        <v>1246</v>
      </c>
      <c r="B717" s="0" t="n">
        <v>2015</v>
      </c>
      <c r="C717" s="0" t="s">
        <v>55</v>
      </c>
      <c r="D717" s="0" t="n">
        <v>1150144</v>
      </c>
      <c r="E717" s="0" t="s">
        <v>3876</v>
      </c>
      <c r="G717" s="0" t="s">
        <v>3877</v>
      </c>
    </row>
    <row r="718" customFormat="false" ht="15" hidden="false" customHeight="false" outlineLevel="0" collapsed="false">
      <c r="A718" s="0" t="s">
        <v>1246</v>
      </c>
      <c r="B718" s="0" t="n">
        <v>2015</v>
      </c>
      <c r="C718" s="0" t="s">
        <v>60</v>
      </c>
      <c r="D718" s="0" t="n">
        <v>592672</v>
      </c>
      <c r="E718" s="0" t="s">
        <v>3876</v>
      </c>
      <c r="G718" s="0" t="s">
        <v>3877</v>
      </c>
    </row>
    <row r="719" customFormat="false" ht="15" hidden="false" customHeight="false" outlineLevel="0" collapsed="false">
      <c r="A719" s="0" t="s">
        <v>1246</v>
      </c>
      <c r="B719" s="0" t="n">
        <v>2015</v>
      </c>
      <c r="C719" s="0" t="s">
        <v>61</v>
      </c>
      <c r="D719" s="0" t="n">
        <v>36587</v>
      </c>
      <c r="E719" s="0" t="s">
        <v>3876</v>
      </c>
      <c r="G719" s="0" t="s">
        <v>3877</v>
      </c>
    </row>
    <row r="720" customFormat="false" ht="15" hidden="false" customHeight="false" outlineLevel="0" collapsed="false">
      <c r="A720" s="0" t="s">
        <v>1246</v>
      </c>
      <c r="B720" s="0" t="n">
        <v>2015</v>
      </c>
      <c r="C720" s="0" t="s">
        <v>63</v>
      </c>
      <c r="D720" s="0" t="n">
        <v>14102</v>
      </c>
      <c r="E720" s="0" t="s">
        <v>3876</v>
      </c>
      <c r="G720" s="0" t="s">
        <v>3877</v>
      </c>
    </row>
    <row r="721" customFormat="false" ht="15" hidden="false" customHeight="false" outlineLevel="0" collapsed="false">
      <c r="A721" s="0" t="s">
        <v>1246</v>
      </c>
      <c r="B721" s="0" t="n">
        <v>2015</v>
      </c>
      <c r="C721" s="0" t="s">
        <v>266</v>
      </c>
      <c r="D721" s="0" t="n">
        <v>4.15</v>
      </c>
      <c r="E721" s="0" t="s">
        <v>3876</v>
      </c>
      <c r="G721" s="0" t="s">
        <v>3877</v>
      </c>
    </row>
    <row r="722" customFormat="false" ht="15" hidden="false" customHeight="false" outlineLevel="0" collapsed="false">
      <c r="A722" s="0" t="s">
        <v>1246</v>
      </c>
      <c r="B722" s="0" t="n">
        <v>2015</v>
      </c>
      <c r="C722" s="0" t="s">
        <v>69</v>
      </c>
      <c r="D722" s="0" t="n">
        <v>16.88</v>
      </c>
      <c r="E722" s="0" t="s">
        <v>3876</v>
      </c>
      <c r="G722" s="0" t="s">
        <v>3877</v>
      </c>
    </row>
    <row r="723" customFormat="false" ht="15" hidden="false" customHeight="false" outlineLevel="0" collapsed="false">
      <c r="A723" s="0" t="s">
        <v>1246</v>
      </c>
      <c r="B723" s="0" t="n">
        <v>2015</v>
      </c>
      <c r="C723" s="0" t="s">
        <v>73</v>
      </c>
      <c r="D723" s="0" t="n">
        <v>0</v>
      </c>
      <c r="E723" s="0" t="s">
        <v>3876</v>
      </c>
      <c r="G723" s="0" t="s">
        <v>3877</v>
      </c>
    </row>
    <row r="724" customFormat="false" ht="15" hidden="false" customHeight="false" outlineLevel="0" collapsed="false">
      <c r="A724" s="0" t="s">
        <v>1246</v>
      </c>
      <c r="B724" s="0" t="n">
        <v>2015</v>
      </c>
      <c r="C724" s="0" t="s">
        <v>920</v>
      </c>
      <c r="D724" s="0" t="s">
        <v>1973</v>
      </c>
      <c r="E724" s="0" t="s">
        <v>3876</v>
      </c>
      <c r="G724" s="0" t="s">
        <v>3877</v>
      </c>
    </row>
    <row r="725" customFormat="false" ht="15" hidden="false" customHeight="false" outlineLevel="0" collapsed="false">
      <c r="A725" s="0" t="s">
        <v>1246</v>
      </c>
      <c r="B725" s="0" t="n">
        <v>2016</v>
      </c>
      <c r="C725" s="0" t="s">
        <v>54</v>
      </c>
      <c r="D725" s="0" t="n">
        <v>12076</v>
      </c>
      <c r="E725" s="0" t="s">
        <v>3876</v>
      </c>
      <c r="G725" s="0" t="s">
        <v>3877</v>
      </c>
    </row>
    <row r="726" customFormat="false" ht="15" hidden="false" customHeight="false" outlineLevel="0" collapsed="false">
      <c r="A726" s="0" t="s">
        <v>1246</v>
      </c>
      <c r="B726" s="0" t="n">
        <v>2016</v>
      </c>
      <c r="C726" s="0" t="s">
        <v>670</v>
      </c>
      <c r="D726" s="0" t="n">
        <v>112581</v>
      </c>
      <c r="E726" s="0" t="s">
        <v>3876</v>
      </c>
      <c r="G726" s="0" t="s">
        <v>3877</v>
      </c>
    </row>
    <row r="727" customFormat="false" ht="15" hidden="false" customHeight="false" outlineLevel="0" collapsed="false">
      <c r="A727" s="0" t="s">
        <v>1246</v>
      </c>
      <c r="B727" s="0" t="n">
        <v>2016</v>
      </c>
      <c r="C727" s="0" t="s">
        <v>55</v>
      </c>
      <c r="D727" s="0" t="n">
        <v>1163435</v>
      </c>
      <c r="E727" s="0" t="s">
        <v>3876</v>
      </c>
      <c r="G727" s="0" t="s">
        <v>3877</v>
      </c>
    </row>
    <row r="728" customFormat="false" ht="15" hidden="false" customHeight="false" outlineLevel="0" collapsed="false">
      <c r="A728" s="0" t="s">
        <v>1246</v>
      </c>
      <c r="B728" s="0" t="n">
        <v>2016</v>
      </c>
      <c r="C728" s="0" t="s">
        <v>60</v>
      </c>
      <c r="D728" s="0" t="n">
        <v>659700</v>
      </c>
      <c r="E728" s="0" t="s">
        <v>3876</v>
      </c>
      <c r="G728" s="0" t="s">
        <v>3877</v>
      </c>
    </row>
    <row r="729" customFormat="false" ht="15" hidden="false" customHeight="false" outlineLevel="0" collapsed="false">
      <c r="A729" s="0" t="s">
        <v>1246</v>
      </c>
      <c r="B729" s="0" t="n">
        <v>2016</v>
      </c>
      <c r="C729" s="0" t="s">
        <v>61</v>
      </c>
      <c r="D729" s="0" t="n">
        <v>33247</v>
      </c>
      <c r="E729" s="0" t="s">
        <v>3876</v>
      </c>
      <c r="G729" s="0" t="s">
        <v>3877</v>
      </c>
    </row>
    <row r="730" customFormat="false" ht="15" hidden="false" customHeight="false" outlineLevel="0" collapsed="false">
      <c r="A730" s="0" t="s">
        <v>1246</v>
      </c>
      <c r="B730" s="0" t="n">
        <v>2016</v>
      </c>
      <c r="C730" s="0" t="s">
        <v>63</v>
      </c>
      <c r="D730" s="0" t="n">
        <v>35311</v>
      </c>
      <c r="E730" s="0" t="s">
        <v>3876</v>
      </c>
      <c r="G730" s="0" t="s">
        <v>3877</v>
      </c>
    </row>
    <row r="731" customFormat="false" ht="15" hidden="false" customHeight="false" outlineLevel="0" collapsed="false">
      <c r="A731" s="0" t="s">
        <v>1246</v>
      </c>
      <c r="B731" s="0" t="n">
        <v>2016</v>
      </c>
      <c r="C731" s="0" t="s">
        <v>266</v>
      </c>
      <c r="D731" s="0" t="n">
        <v>3.74</v>
      </c>
      <c r="E731" s="0" t="s">
        <v>3876</v>
      </c>
      <c r="G731" s="0" t="s">
        <v>3877</v>
      </c>
    </row>
    <row r="732" customFormat="false" ht="15" hidden="false" customHeight="false" outlineLevel="0" collapsed="false">
      <c r="A732" s="0" t="s">
        <v>1246</v>
      </c>
      <c r="B732" s="0" t="n">
        <v>2016</v>
      </c>
      <c r="C732" s="0" t="s">
        <v>69</v>
      </c>
      <c r="D732" s="0" t="n">
        <v>16.54</v>
      </c>
      <c r="E732" s="0" t="s">
        <v>3876</v>
      </c>
      <c r="G732" s="0" t="s">
        <v>3877</v>
      </c>
    </row>
    <row r="733" customFormat="false" ht="15" hidden="false" customHeight="false" outlineLevel="0" collapsed="false">
      <c r="A733" s="0" t="s">
        <v>1246</v>
      </c>
      <c r="B733" s="0" t="n">
        <v>2016</v>
      </c>
      <c r="C733" s="0" t="s">
        <v>73</v>
      </c>
      <c r="D733" s="0" t="n">
        <v>0</v>
      </c>
      <c r="E733" s="0" t="s">
        <v>3876</v>
      </c>
      <c r="G733" s="0" t="s">
        <v>3877</v>
      </c>
    </row>
    <row r="734" customFormat="false" ht="15" hidden="false" customHeight="false" outlineLevel="0" collapsed="false">
      <c r="A734" s="0" t="s">
        <v>1246</v>
      </c>
      <c r="B734" s="0" t="n">
        <v>2016</v>
      </c>
      <c r="C734" s="0" t="s">
        <v>920</v>
      </c>
      <c r="D734" s="0" t="s">
        <v>1973</v>
      </c>
      <c r="E734" s="0" t="s">
        <v>3876</v>
      </c>
      <c r="G734" s="0" t="s">
        <v>3877</v>
      </c>
    </row>
    <row r="735" customFormat="false" ht="15" hidden="false" customHeight="false" outlineLevel="0" collapsed="false">
      <c r="A735" s="0" t="s">
        <v>1246</v>
      </c>
      <c r="B735" s="0" t="n">
        <v>2017</v>
      </c>
      <c r="C735" s="0" t="s">
        <v>54</v>
      </c>
      <c r="D735" s="0" t="n">
        <v>6794</v>
      </c>
      <c r="E735" s="0" t="s">
        <v>3876</v>
      </c>
      <c r="G735" s="0" t="s">
        <v>3877</v>
      </c>
    </row>
    <row r="736" customFormat="false" ht="15" hidden="false" customHeight="false" outlineLevel="0" collapsed="false">
      <c r="A736" s="0" t="s">
        <v>1246</v>
      </c>
      <c r="B736" s="0" t="n">
        <v>2017</v>
      </c>
      <c r="C736" s="0" t="s">
        <v>670</v>
      </c>
      <c r="D736" s="0" t="n">
        <v>98239</v>
      </c>
      <c r="E736" s="0" t="s">
        <v>3876</v>
      </c>
      <c r="G736" s="0" t="s">
        <v>3877</v>
      </c>
    </row>
    <row r="737" customFormat="false" ht="15" hidden="false" customHeight="false" outlineLevel="0" collapsed="false">
      <c r="A737" s="0" t="s">
        <v>1246</v>
      </c>
      <c r="B737" s="0" t="n">
        <v>2017</v>
      </c>
      <c r="C737" s="0" t="s">
        <v>55</v>
      </c>
      <c r="D737" s="0" t="n">
        <v>1169344</v>
      </c>
      <c r="E737" s="0" t="s">
        <v>3876</v>
      </c>
      <c r="G737" s="0" t="s">
        <v>3877</v>
      </c>
    </row>
    <row r="738" customFormat="false" ht="15" hidden="false" customHeight="false" outlineLevel="0" collapsed="false">
      <c r="A738" s="0" t="s">
        <v>1246</v>
      </c>
      <c r="B738" s="0" t="n">
        <v>2017</v>
      </c>
      <c r="C738" s="0" t="s">
        <v>60</v>
      </c>
      <c r="D738" s="0" t="n">
        <v>649379</v>
      </c>
      <c r="E738" s="0" t="s">
        <v>3876</v>
      </c>
      <c r="G738" s="0" t="s">
        <v>3877</v>
      </c>
    </row>
    <row r="739" customFormat="false" ht="15" hidden="false" customHeight="false" outlineLevel="0" collapsed="false">
      <c r="A739" s="0" t="s">
        <v>1246</v>
      </c>
      <c r="B739" s="0" t="n">
        <v>2017</v>
      </c>
      <c r="C739" s="0" t="s">
        <v>61</v>
      </c>
      <c r="D739" s="0" t="n">
        <v>25305</v>
      </c>
      <c r="E739" s="0" t="s">
        <v>3876</v>
      </c>
      <c r="G739" s="0" t="s">
        <v>3877</v>
      </c>
    </row>
    <row r="740" customFormat="false" ht="15" hidden="false" customHeight="false" outlineLevel="0" collapsed="false">
      <c r="A740" s="0" t="s">
        <v>1246</v>
      </c>
      <c r="B740" s="0" t="n">
        <v>2017</v>
      </c>
      <c r="C740" s="0" t="s">
        <v>63</v>
      </c>
      <c r="D740" s="0" t="n">
        <v>22653</v>
      </c>
      <c r="E740" s="0" t="s">
        <v>3876</v>
      </c>
      <c r="G740" s="0" t="s">
        <v>3877</v>
      </c>
    </row>
    <row r="741" customFormat="false" ht="15" hidden="false" customHeight="false" outlineLevel="0" collapsed="false">
      <c r="A741" s="0" t="s">
        <v>1246</v>
      </c>
      <c r="B741" s="0" t="n">
        <v>2017</v>
      </c>
      <c r="C741" s="0" t="s">
        <v>266</v>
      </c>
      <c r="D741" s="0" t="n">
        <v>4.92</v>
      </c>
      <c r="E741" s="0" t="s">
        <v>3876</v>
      </c>
      <c r="G741" s="0" t="s">
        <v>3877</v>
      </c>
    </row>
    <row r="742" customFormat="false" ht="15" hidden="false" customHeight="false" outlineLevel="0" collapsed="false">
      <c r="A742" s="0" t="s">
        <v>1246</v>
      </c>
      <c r="B742" s="0" t="n">
        <v>2017</v>
      </c>
      <c r="C742" s="0" t="s">
        <v>69</v>
      </c>
      <c r="D742" s="0" t="n">
        <v>17.21</v>
      </c>
      <c r="E742" s="0" t="s">
        <v>3876</v>
      </c>
      <c r="G742" s="0" t="s">
        <v>3877</v>
      </c>
    </row>
    <row r="743" customFormat="false" ht="15" hidden="false" customHeight="false" outlineLevel="0" collapsed="false">
      <c r="A743" s="0" t="s">
        <v>1246</v>
      </c>
      <c r="B743" s="0" t="n">
        <v>2017</v>
      </c>
      <c r="C743" s="0" t="s">
        <v>73</v>
      </c>
      <c r="D743" s="0" t="n">
        <v>0</v>
      </c>
      <c r="E743" s="0" t="s">
        <v>3876</v>
      </c>
      <c r="G743" s="0" t="s">
        <v>3877</v>
      </c>
    </row>
    <row r="744" customFormat="false" ht="15" hidden="false" customHeight="false" outlineLevel="0" collapsed="false">
      <c r="A744" s="0" t="s">
        <v>1246</v>
      </c>
      <c r="B744" s="0" t="n">
        <v>2017</v>
      </c>
      <c r="C744" s="0" t="s">
        <v>920</v>
      </c>
      <c r="D744" s="0" t="s">
        <v>1973</v>
      </c>
      <c r="E744" s="0" t="s">
        <v>3876</v>
      </c>
      <c r="G744" s="0" t="s">
        <v>3877</v>
      </c>
    </row>
    <row r="745" customFormat="false" ht="15" hidden="false" customHeight="false" outlineLevel="0" collapsed="false">
      <c r="A745" s="0" t="s">
        <v>1246</v>
      </c>
      <c r="B745" s="0" t="n">
        <v>2018</v>
      </c>
      <c r="C745" s="0" t="s">
        <v>54</v>
      </c>
      <c r="D745" s="0" t="n">
        <v>12355</v>
      </c>
      <c r="E745" s="0" t="s">
        <v>3876</v>
      </c>
      <c r="G745" s="0" t="s">
        <v>3877</v>
      </c>
    </row>
    <row r="746" customFormat="false" ht="15" hidden="false" customHeight="false" outlineLevel="0" collapsed="false">
      <c r="A746" s="0" t="s">
        <v>1246</v>
      </c>
      <c r="B746" s="0" t="n">
        <v>2018</v>
      </c>
      <c r="C746" s="0" t="s">
        <v>670</v>
      </c>
      <c r="D746" s="0" t="n">
        <v>101385</v>
      </c>
      <c r="E746" s="0" t="s">
        <v>3876</v>
      </c>
      <c r="G746" s="0" t="s">
        <v>3877</v>
      </c>
    </row>
    <row r="747" customFormat="false" ht="15" hidden="false" customHeight="false" outlineLevel="0" collapsed="false">
      <c r="A747" s="0" t="s">
        <v>1246</v>
      </c>
      <c r="B747" s="0" t="n">
        <v>2018</v>
      </c>
      <c r="C747" s="0" t="s">
        <v>55</v>
      </c>
      <c r="D747" s="0" t="n">
        <v>1391479</v>
      </c>
      <c r="E747" s="0" t="s">
        <v>3876</v>
      </c>
      <c r="G747" s="0" t="s">
        <v>3877</v>
      </c>
    </row>
    <row r="748" customFormat="false" ht="15" hidden="false" customHeight="false" outlineLevel="0" collapsed="false">
      <c r="A748" s="0" t="s">
        <v>1246</v>
      </c>
      <c r="B748" s="0" t="n">
        <v>2018</v>
      </c>
      <c r="C748" s="0" t="s">
        <v>60</v>
      </c>
      <c r="D748" s="0" t="n">
        <v>616006</v>
      </c>
      <c r="E748" s="0" t="s">
        <v>3876</v>
      </c>
      <c r="G748" s="0" t="s">
        <v>3877</v>
      </c>
    </row>
    <row r="749" customFormat="false" ht="15" hidden="false" customHeight="false" outlineLevel="0" collapsed="false">
      <c r="A749" s="0" t="s">
        <v>1246</v>
      </c>
      <c r="B749" s="0" t="n">
        <v>2018</v>
      </c>
      <c r="C749" s="0" t="s">
        <v>61</v>
      </c>
      <c r="D749" s="0" t="n">
        <v>48291</v>
      </c>
      <c r="E749" s="0" t="s">
        <v>3876</v>
      </c>
      <c r="G749" s="0" t="s">
        <v>3877</v>
      </c>
    </row>
    <row r="750" customFormat="false" ht="15" hidden="false" customHeight="false" outlineLevel="0" collapsed="false">
      <c r="A750" s="0" t="s">
        <v>1246</v>
      </c>
      <c r="B750" s="0" t="n">
        <v>2018</v>
      </c>
      <c r="C750" s="0" t="s">
        <v>63</v>
      </c>
      <c r="D750" s="0" t="n">
        <v>13954</v>
      </c>
      <c r="E750" s="0" t="s">
        <v>3876</v>
      </c>
      <c r="G750" s="0" t="s">
        <v>3877</v>
      </c>
    </row>
    <row r="751" customFormat="false" ht="15" hidden="false" customHeight="false" outlineLevel="0" collapsed="false">
      <c r="A751" s="0" t="s">
        <v>1246</v>
      </c>
      <c r="B751" s="0" t="n">
        <v>2018</v>
      </c>
      <c r="C751" s="0" t="s">
        <v>266</v>
      </c>
      <c r="D751" s="0" t="n">
        <v>5.9</v>
      </c>
      <c r="E751" s="0" t="s">
        <v>3876</v>
      </c>
      <c r="G751" s="0" t="s">
        <v>3877</v>
      </c>
    </row>
    <row r="752" customFormat="false" ht="15" hidden="false" customHeight="false" outlineLevel="0" collapsed="false">
      <c r="A752" s="0" t="s">
        <v>1246</v>
      </c>
      <c r="B752" s="0" t="n">
        <v>2018</v>
      </c>
      <c r="C752" s="0" t="s">
        <v>69</v>
      </c>
      <c r="D752" s="0" t="n">
        <v>15.79</v>
      </c>
      <c r="E752" s="0" t="s">
        <v>3876</v>
      </c>
      <c r="G752" s="0" t="s">
        <v>3877</v>
      </c>
    </row>
    <row r="753" customFormat="false" ht="15" hidden="false" customHeight="false" outlineLevel="0" collapsed="false">
      <c r="A753" s="0" t="s">
        <v>1246</v>
      </c>
      <c r="B753" s="0" t="n">
        <v>2018</v>
      </c>
      <c r="C753" s="0" t="s">
        <v>73</v>
      </c>
      <c r="D753" s="0" t="n">
        <v>0</v>
      </c>
      <c r="E753" s="0" t="s">
        <v>3876</v>
      </c>
      <c r="G753" s="0" t="s">
        <v>3877</v>
      </c>
    </row>
    <row r="754" customFormat="false" ht="15" hidden="false" customHeight="false" outlineLevel="0" collapsed="false">
      <c r="A754" s="0" t="s">
        <v>1246</v>
      </c>
      <c r="B754" s="0" t="n">
        <v>2018</v>
      </c>
      <c r="C754" s="0" t="s">
        <v>920</v>
      </c>
      <c r="D754" s="0" t="s">
        <v>1973</v>
      </c>
      <c r="E754" s="0" t="s">
        <v>3876</v>
      </c>
      <c r="G754" s="0" t="s">
        <v>3877</v>
      </c>
    </row>
    <row r="755" customFormat="false" ht="15" hidden="false" customHeight="false" outlineLevel="0" collapsed="false">
      <c r="A755" s="0" t="s">
        <v>1246</v>
      </c>
      <c r="B755" s="0" t="n">
        <v>2019</v>
      </c>
      <c r="C755" s="0" t="s">
        <v>54</v>
      </c>
      <c r="D755" s="0" t="n">
        <v>13642</v>
      </c>
      <c r="E755" s="0" t="s">
        <v>3876</v>
      </c>
      <c r="G755" s="0" t="s">
        <v>3877</v>
      </c>
    </row>
    <row r="756" customFormat="false" ht="15" hidden="false" customHeight="false" outlineLevel="0" collapsed="false">
      <c r="A756" s="0" t="s">
        <v>1246</v>
      </c>
      <c r="B756" s="0" t="n">
        <v>2019</v>
      </c>
      <c r="C756" s="0" t="s">
        <v>670</v>
      </c>
      <c r="D756" s="0" t="n">
        <v>94910</v>
      </c>
      <c r="E756" s="0" t="s">
        <v>3876</v>
      </c>
      <c r="G756" s="0" t="s">
        <v>3877</v>
      </c>
    </row>
    <row r="757" customFormat="false" ht="15" hidden="false" customHeight="false" outlineLevel="0" collapsed="false">
      <c r="A757" s="0" t="s">
        <v>1246</v>
      </c>
      <c r="B757" s="0" t="n">
        <v>2019</v>
      </c>
      <c r="C757" s="0" t="s">
        <v>55</v>
      </c>
      <c r="D757" s="0" t="n">
        <v>1621454</v>
      </c>
      <c r="E757" s="0" t="s">
        <v>3876</v>
      </c>
      <c r="G757" s="0" t="s">
        <v>3877</v>
      </c>
    </row>
    <row r="758" customFormat="false" ht="15" hidden="false" customHeight="false" outlineLevel="0" collapsed="false">
      <c r="A758" s="0" t="s">
        <v>1246</v>
      </c>
      <c r="B758" s="0" t="n">
        <v>2019</v>
      </c>
      <c r="C758" s="0" t="s">
        <v>60</v>
      </c>
      <c r="D758" s="0" t="n">
        <v>692974</v>
      </c>
      <c r="E758" s="0" t="s">
        <v>3876</v>
      </c>
      <c r="G758" s="0" t="s">
        <v>3877</v>
      </c>
    </row>
    <row r="759" customFormat="false" ht="15" hidden="false" customHeight="false" outlineLevel="0" collapsed="false">
      <c r="A759" s="0" t="s">
        <v>1246</v>
      </c>
      <c r="B759" s="0" t="n">
        <v>2019</v>
      </c>
      <c r="C759" s="0" t="s">
        <v>61</v>
      </c>
      <c r="D759" s="0" t="n">
        <v>46747</v>
      </c>
      <c r="E759" s="0" t="s">
        <v>3876</v>
      </c>
      <c r="G759" s="0" t="s">
        <v>3877</v>
      </c>
    </row>
    <row r="760" customFormat="false" ht="15" hidden="false" customHeight="false" outlineLevel="0" collapsed="false">
      <c r="A760" s="0" t="s">
        <v>1246</v>
      </c>
      <c r="B760" s="0" t="n">
        <v>2019</v>
      </c>
      <c r="C760" s="0" t="s">
        <v>63</v>
      </c>
      <c r="D760" s="0" t="n">
        <v>13406</v>
      </c>
      <c r="E760" s="0" t="s">
        <v>3876</v>
      </c>
      <c r="G760" s="0" t="s">
        <v>3877</v>
      </c>
    </row>
    <row r="761" customFormat="false" ht="15" hidden="false" customHeight="false" outlineLevel="0" collapsed="false">
      <c r="A761" s="0" t="s">
        <v>1246</v>
      </c>
      <c r="B761" s="0" t="n">
        <v>2019</v>
      </c>
      <c r="C761" s="0" t="s">
        <v>266</v>
      </c>
      <c r="D761" s="0" t="n">
        <v>3.7</v>
      </c>
      <c r="E761" s="0" t="s">
        <v>3876</v>
      </c>
      <c r="G761" s="0" t="s">
        <v>3877</v>
      </c>
    </row>
    <row r="762" customFormat="false" ht="15" hidden="false" customHeight="false" outlineLevel="0" collapsed="false">
      <c r="A762" s="0" t="s">
        <v>1246</v>
      </c>
      <c r="B762" s="0" t="n">
        <v>2019</v>
      </c>
      <c r="C762" s="0" t="s">
        <v>69</v>
      </c>
      <c r="D762" s="0" t="n">
        <v>17.16</v>
      </c>
      <c r="E762" s="0" t="s">
        <v>3876</v>
      </c>
      <c r="G762" s="0" t="s">
        <v>3877</v>
      </c>
    </row>
    <row r="763" customFormat="false" ht="15" hidden="false" customHeight="false" outlineLevel="0" collapsed="false">
      <c r="A763" s="0" t="s">
        <v>1246</v>
      </c>
      <c r="B763" s="0" t="n">
        <v>2019</v>
      </c>
      <c r="C763" s="0" t="s">
        <v>73</v>
      </c>
      <c r="D763" s="0" t="n">
        <v>0</v>
      </c>
      <c r="E763" s="0" t="s">
        <v>3876</v>
      </c>
      <c r="G763" s="0" t="s">
        <v>3877</v>
      </c>
    </row>
    <row r="764" customFormat="false" ht="15" hidden="false" customHeight="false" outlineLevel="0" collapsed="false">
      <c r="A764" s="0" t="s">
        <v>1246</v>
      </c>
      <c r="B764" s="0" t="n">
        <v>2019</v>
      </c>
      <c r="C764" s="0" t="s">
        <v>920</v>
      </c>
      <c r="D764" s="0" t="s">
        <v>1973</v>
      </c>
      <c r="E764" s="0" t="s">
        <v>3876</v>
      </c>
      <c r="G764" s="0" t="s">
        <v>3877</v>
      </c>
    </row>
    <row r="765" customFormat="false" ht="15" hidden="false" customHeight="false" outlineLevel="0" collapsed="false">
      <c r="A765" s="0" t="s">
        <v>1246</v>
      </c>
      <c r="B765" s="0" t="n">
        <v>2020</v>
      </c>
      <c r="C765" s="0" t="s">
        <v>54</v>
      </c>
      <c r="D765" s="0" t="n">
        <v>14510</v>
      </c>
      <c r="E765" s="0" t="s">
        <v>3876</v>
      </c>
      <c r="G765" s="0" t="s">
        <v>3877</v>
      </c>
    </row>
    <row r="766" customFormat="false" ht="15" hidden="false" customHeight="false" outlineLevel="0" collapsed="false">
      <c r="A766" s="0" t="s">
        <v>1246</v>
      </c>
      <c r="B766" s="0" t="n">
        <v>2020</v>
      </c>
      <c r="C766" s="0" t="s">
        <v>670</v>
      </c>
      <c r="D766" s="0" t="n">
        <v>109885</v>
      </c>
      <c r="E766" s="0" t="s">
        <v>3876</v>
      </c>
      <c r="G766" s="0" t="s">
        <v>3877</v>
      </c>
    </row>
    <row r="767" customFormat="false" ht="15" hidden="false" customHeight="false" outlineLevel="0" collapsed="false">
      <c r="A767" s="0" t="s">
        <v>1246</v>
      </c>
      <c r="B767" s="0" t="n">
        <v>2020</v>
      </c>
      <c r="C767" s="0" t="s">
        <v>55</v>
      </c>
      <c r="D767" s="0" t="n">
        <v>2014277</v>
      </c>
      <c r="E767" s="0" t="s">
        <v>3876</v>
      </c>
      <c r="G767" s="0" t="s">
        <v>3877</v>
      </c>
    </row>
    <row r="768" customFormat="false" ht="15" hidden="false" customHeight="false" outlineLevel="0" collapsed="false">
      <c r="A768" s="0" t="s">
        <v>1246</v>
      </c>
      <c r="B768" s="0" t="n">
        <v>2020</v>
      </c>
      <c r="C768" s="0" t="s">
        <v>60</v>
      </c>
      <c r="D768" s="0" t="n">
        <v>801282</v>
      </c>
      <c r="E768" s="0" t="s">
        <v>3876</v>
      </c>
      <c r="G768" s="0" t="s">
        <v>3877</v>
      </c>
    </row>
    <row r="769" customFormat="false" ht="15" hidden="false" customHeight="false" outlineLevel="0" collapsed="false">
      <c r="A769" s="0" t="s">
        <v>1246</v>
      </c>
      <c r="B769" s="0" t="n">
        <v>2020</v>
      </c>
      <c r="C769" s="0" t="s">
        <v>61</v>
      </c>
      <c r="D769" s="0" t="n">
        <v>56248</v>
      </c>
      <c r="E769" s="0" t="s">
        <v>3876</v>
      </c>
      <c r="G769" s="0" t="s">
        <v>3877</v>
      </c>
    </row>
    <row r="770" customFormat="false" ht="15" hidden="false" customHeight="false" outlineLevel="0" collapsed="false">
      <c r="A770" s="0" t="s">
        <v>1246</v>
      </c>
      <c r="B770" s="0" t="n">
        <v>2020</v>
      </c>
      <c r="C770" s="0" t="s">
        <v>63</v>
      </c>
      <c r="D770" s="0" t="n">
        <v>20697</v>
      </c>
      <c r="E770" s="0" t="s">
        <v>3876</v>
      </c>
      <c r="G770" s="0" t="s">
        <v>3877</v>
      </c>
    </row>
    <row r="771" customFormat="false" ht="15" hidden="false" customHeight="false" outlineLevel="0" collapsed="false">
      <c r="A771" s="0" t="s">
        <v>1246</v>
      </c>
      <c r="B771" s="0" t="n">
        <v>2020</v>
      </c>
      <c r="C771" s="0" t="s">
        <v>266</v>
      </c>
      <c r="D771" s="0" t="n">
        <v>3.3</v>
      </c>
      <c r="E771" s="0" t="s">
        <v>3876</v>
      </c>
      <c r="G771" s="0" t="s">
        <v>3877</v>
      </c>
    </row>
    <row r="772" customFormat="false" ht="15" hidden="false" customHeight="false" outlineLevel="0" collapsed="false">
      <c r="A772" s="0" t="s">
        <v>1246</v>
      </c>
      <c r="B772" s="0" t="n">
        <v>2020</v>
      </c>
      <c r="C772" s="0" t="s">
        <v>69</v>
      </c>
      <c r="D772" s="0" t="n">
        <v>17.49</v>
      </c>
      <c r="E772" s="0" t="s">
        <v>3876</v>
      </c>
      <c r="G772" s="0" t="s">
        <v>3877</v>
      </c>
    </row>
    <row r="773" customFormat="false" ht="15" hidden="false" customHeight="false" outlineLevel="0" collapsed="false">
      <c r="A773" s="0" t="s">
        <v>1246</v>
      </c>
      <c r="B773" s="0" t="n">
        <v>2020</v>
      </c>
      <c r="C773" s="0" t="s">
        <v>73</v>
      </c>
      <c r="D773" s="0" t="n">
        <v>0</v>
      </c>
      <c r="E773" s="0" t="s">
        <v>3876</v>
      </c>
      <c r="G773" s="0" t="s">
        <v>3877</v>
      </c>
    </row>
    <row r="774" customFormat="false" ht="15" hidden="false" customHeight="false" outlineLevel="0" collapsed="false">
      <c r="A774" s="0" t="s">
        <v>1246</v>
      </c>
      <c r="B774" s="0" t="n">
        <v>2020</v>
      </c>
      <c r="C774" s="0" t="s">
        <v>920</v>
      </c>
      <c r="D774" s="0" t="s">
        <v>3883</v>
      </c>
      <c r="E774" s="0" t="s">
        <v>3876</v>
      </c>
      <c r="G774" s="0" t="s">
        <v>3877</v>
      </c>
    </row>
    <row r="775" customFormat="false" ht="15" hidden="false" customHeight="false" outlineLevel="0" collapsed="false">
      <c r="A775" s="0" t="s">
        <v>1246</v>
      </c>
      <c r="B775" s="0" t="n">
        <v>2021</v>
      </c>
      <c r="C775" s="0" t="s">
        <v>54</v>
      </c>
      <c r="D775" s="0" t="n">
        <v>16176</v>
      </c>
      <c r="E775" s="0" t="s">
        <v>3876</v>
      </c>
      <c r="G775" s="0" t="s">
        <v>3877</v>
      </c>
    </row>
    <row r="776" customFormat="false" ht="15" hidden="false" customHeight="false" outlineLevel="0" collapsed="false">
      <c r="A776" s="0" t="s">
        <v>1246</v>
      </c>
      <c r="B776" s="0" t="n">
        <v>2021</v>
      </c>
      <c r="C776" s="0" t="s">
        <v>670</v>
      </c>
      <c r="D776" s="0" t="n">
        <v>183785</v>
      </c>
      <c r="E776" s="0" t="s">
        <v>3876</v>
      </c>
      <c r="G776" s="0" t="s">
        <v>3877</v>
      </c>
    </row>
    <row r="777" customFormat="false" ht="15" hidden="false" customHeight="false" outlineLevel="0" collapsed="false">
      <c r="A777" s="0" t="s">
        <v>1246</v>
      </c>
      <c r="B777" s="0" t="n">
        <v>2021</v>
      </c>
      <c r="C777" s="0" t="s">
        <v>55</v>
      </c>
      <c r="D777" s="0" t="n">
        <v>2434973</v>
      </c>
      <c r="E777" s="0" t="s">
        <v>3876</v>
      </c>
      <c r="G777" s="0" t="s">
        <v>3877</v>
      </c>
    </row>
    <row r="778" customFormat="false" ht="15" hidden="false" customHeight="false" outlineLevel="0" collapsed="false">
      <c r="A778" s="0" t="s">
        <v>1246</v>
      </c>
      <c r="B778" s="0" t="n">
        <v>2021</v>
      </c>
      <c r="C778" s="0" t="s">
        <v>60</v>
      </c>
      <c r="D778" s="0" t="n">
        <v>1039831</v>
      </c>
      <c r="E778" s="0" t="s">
        <v>3876</v>
      </c>
      <c r="G778" s="0" t="s">
        <v>3877</v>
      </c>
    </row>
    <row r="779" customFormat="false" ht="15" hidden="false" customHeight="false" outlineLevel="0" collapsed="false">
      <c r="A779" s="0" t="s">
        <v>1246</v>
      </c>
      <c r="B779" s="0" t="n">
        <v>2021</v>
      </c>
      <c r="C779" s="0" t="s">
        <v>61</v>
      </c>
      <c r="D779" s="0" t="n">
        <v>77924</v>
      </c>
      <c r="E779" s="0" t="s">
        <v>3876</v>
      </c>
      <c r="G779" s="0" t="s">
        <v>3877</v>
      </c>
    </row>
    <row r="780" customFormat="false" ht="15" hidden="false" customHeight="false" outlineLevel="0" collapsed="false">
      <c r="A780" s="0" t="s">
        <v>1246</v>
      </c>
      <c r="B780" s="0" t="n">
        <v>2021</v>
      </c>
      <c r="C780" s="0" t="s">
        <v>63</v>
      </c>
      <c r="D780" s="0" t="n">
        <v>13870</v>
      </c>
      <c r="E780" s="0" t="s">
        <v>3876</v>
      </c>
      <c r="G780" s="0" t="s">
        <v>3877</v>
      </c>
    </row>
    <row r="781" customFormat="false" ht="15" hidden="false" customHeight="false" outlineLevel="0" collapsed="false">
      <c r="A781" s="0" t="s">
        <v>1246</v>
      </c>
      <c r="B781" s="0" t="n">
        <v>2021</v>
      </c>
      <c r="C781" s="0" t="s">
        <v>266</v>
      </c>
      <c r="D781" s="0" t="n">
        <v>4.1</v>
      </c>
      <c r="E781" s="0" t="s">
        <v>3876</v>
      </c>
      <c r="G781" s="0" t="s">
        <v>3877</v>
      </c>
    </row>
    <row r="782" customFormat="false" ht="15" hidden="false" customHeight="false" outlineLevel="0" collapsed="false">
      <c r="A782" s="0" t="s">
        <v>1246</v>
      </c>
      <c r="B782" s="0" t="n">
        <v>2021</v>
      </c>
      <c r="C782" s="0" t="s">
        <v>69</v>
      </c>
      <c r="D782" s="0" t="n">
        <v>14.89</v>
      </c>
      <c r="E782" s="0" t="s">
        <v>3876</v>
      </c>
      <c r="G782" s="0" t="s">
        <v>3877</v>
      </c>
    </row>
    <row r="783" customFormat="false" ht="15" hidden="false" customHeight="false" outlineLevel="0" collapsed="false">
      <c r="A783" s="0" t="s">
        <v>1246</v>
      </c>
      <c r="B783" s="0" t="n">
        <v>2021</v>
      </c>
      <c r="C783" s="0" t="s">
        <v>73</v>
      </c>
      <c r="D783" s="0" t="n">
        <v>0</v>
      </c>
      <c r="E783" s="0" t="s">
        <v>3876</v>
      </c>
      <c r="G783" s="0" t="s">
        <v>3877</v>
      </c>
    </row>
    <row r="784" customFormat="false" ht="15" hidden="false" customHeight="false" outlineLevel="0" collapsed="false">
      <c r="A784" s="0" t="s">
        <v>1246</v>
      </c>
      <c r="B784" s="0" t="n">
        <v>2021</v>
      </c>
      <c r="C784" s="0" t="s">
        <v>920</v>
      </c>
      <c r="D784" s="0" t="s">
        <v>3883</v>
      </c>
      <c r="E784" s="0" t="s">
        <v>3876</v>
      </c>
      <c r="G784" s="0" t="s">
        <v>3877</v>
      </c>
    </row>
    <row r="785" customFormat="false" ht="15" hidden="false" customHeight="false" outlineLevel="0" collapsed="false">
      <c r="A785" s="0" t="s">
        <v>1246</v>
      </c>
      <c r="B785" s="0" t="n">
        <v>2022</v>
      </c>
      <c r="C785" s="0" t="s">
        <v>54</v>
      </c>
      <c r="D785" s="0" t="n">
        <v>24557</v>
      </c>
      <c r="E785" s="0" t="s">
        <v>3876</v>
      </c>
      <c r="G785" s="0" t="s">
        <v>3877</v>
      </c>
    </row>
    <row r="786" customFormat="false" ht="15" hidden="false" customHeight="false" outlineLevel="0" collapsed="false">
      <c r="A786" s="0" t="s">
        <v>1246</v>
      </c>
      <c r="B786" s="0" t="n">
        <v>2022</v>
      </c>
      <c r="C786" s="0" t="s">
        <v>670</v>
      </c>
      <c r="D786" s="0" t="n">
        <v>246936</v>
      </c>
      <c r="E786" s="0" t="s">
        <v>3876</v>
      </c>
      <c r="G786" s="0" t="s">
        <v>3877</v>
      </c>
    </row>
    <row r="787" customFormat="false" ht="15" hidden="false" customHeight="false" outlineLevel="0" collapsed="false">
      <c r="A787" s="0" t="s">
        <v>1246</v>
      </c>
      <c r="B787" s="0" t="n">
        <v>2022</v>
      </c>
      <c r="C787" s="0" t="s">
        <v>55</v>
      </c>
      <c r="D787" s="0" t="n">
        <v>2907400</v>
      </c>
      <c r="E787" s="0" t="s">
        <v>3876</v>
      </c>
      <c r="G787" s="0" t="s">
        <v>3877</v>
      </c>
    </row>
    <row r="788" customFormat="false" ht="15" hidden="false" customHeight="false" outlineLevel="0" collapsed="false">
      <c r="A788" s="0" t="s">
        <v>1246</v>
      </c>
      <c r="B788" s="0" t="n">
        <v>2022</v>
      </c>
      <c r="C788" s="0" t="s">
        <v>60</v>
      </c>
      <c r="D788" s="0" t="n">
        <v>1166622</v>
      </c>
      <c r="E788" s="0" t="s">
        <v>3876</v>
      </c>
      <c r="G788" s="0" t="s">
        <v>3877</v>
      </c>
    </row>
    <row r="789" customFormat="false" ht="15" hidden="false" customHeight="false" outlineLevel="0" collapsed="false">
      <c r="A789" s="0" t="s">
        <v>1246</v>
      </c>
      <c r="B789" s="0" t="n">
        <v>2022</v>
      </c>
      <c r="C789" s="0" t="s">
        <v>61</v>
      </c>
      <c r="D789" s="0" t="n">
        <v>86459</v>
      </c>
      <c r="E789" s="0" t="s">
        <v>3876</v>
      </c>
      <c r="G789" s="0" t="s">
        <v>3877</v>
      </c>
    </row>
    <row r="790" customFormat="false" ht="15" hidden="false" customHeight="false" outlineLevel="0" collapsed="false">
      <c r="A790" s="0" t="s">
        <v>1246</v>
      </c>
      <c r="B790" s="0" t="n">
        <v>2022</v>
      </c>
      <c r="C790" s="0" t="s">
        <v>63</v>
      </c>
      <c r="D790" s="0" t="n">
        <v>23862</v>
      </c>
      <c r="E790" s="0" t="s">
        <v>3876</v>
      </c>
      <c r="G790" s="0" t="s">
        <v>3877</v>
      </c>
    </row>
    <row r="791" customFormat="false" ht="15" hidden="false" customHeight="false" outlineLevel="0" collapsed="false">
      <c r="A791" s="0" t="s">
        <v>1246</v>
      </c>
      <c r="B791" s="0" t="n">
        <v>2022</v>
      </c>
      <c r="C791" s="0" t="s">
        <v>266</v>
      </c>
      <c r="D791" s="0" t="n">
        <v>6.6</v>
      </c>
      <c r="E791" s="0" t="s">
        <v>3876</v>
      </c>
      <c r="G791" s="0" t="s">
        <v>3877</v>
      </c>
    </row>
    <row r="792" customFormat="false" ht="15" hidden="false" customHeight="false" outlineLevel="0" collapsed="false">
      <c r="A792" s="0" t="s">
        <v>1246</v>
      </c>
      <c r="B792" s="0" t="n">
        <v>2022</v>
      </c>
      <c r="C792" s="0" t="s">
        <v>69</v>
      </c>
      <c r="D792" s="0" t="n">
        <v>16.03</v>
      </c>
      <c r="E792" s="0" t="s">
        <v>3876</v>
      </c>
      <c r="G792" s="0" t="s">
        <v>3877</v>
      </c>
    </row>
    <row r="793" customFormat="false" ht="15" hidden="false" customHeight="false" outlineLevel="0" collapsed="false">
      <c r="A793" s="0" t="s">
        <v>1246</v>
      </c>
      <c r="B793" s="0" t="n">
        <v>2022</v>
      </c>
      <c r="C793" s="0" t="s">
        <v>73</v>
      </c>
      <c r="D793" s="0" t="n">
        <v>0</v>
      </c>
      <c r="E793" s="0" t="s">
        <v>3876</v>
      </c>
      <c r="G793" s="0" t="s">
        <v>3877</v>
      </c>
    </row>
    <row r="794" customFormat="false" ht="15" hidden="false" customHeight="false" outlineLevel="0" collapsed="false">
      <c r="A794" s="0" t="s">
        <v>1246</v>
      </c>
      <c r="B794" s="0" t="n">
        <v>2022</v>
      </c>
      <c r="C794" s="0" t="s">
        <v>920</v>
      </c>
      <c r="D794" s="0" t="s">
        <v>3883</v>
      </c>
      <c r="E794" s="0" t="s">
        <v>3876</v>
      </c>
      <c r="G794" s="0" t="s">
        <v>3877</v>
      </c>
    </row>
    <row r="795" customFormat="false" ht="15" hidden="false" customHeight="false" outlineLevel="0" collapsed="false">
      <c r="A795" s="0" t="s">
        <v>83</v>
      </c>
      <c r="B795" s="0" t="n">
        <v>2015</v>
      </c>
      <c r="C795" s="0" t="s">
        <v>54</v>
      </c>
      <c r="D795" s="0" t="n">
        <v>5756</v>
      </c>
      <c r="E795" s="0" t="s">
        <v>3876</v>
      </c>
      <c r="G795" s="0" t="s">
        <v>3877</v>
      </c>
    </row>
    <row r="796" customFormat="false" ht="15" hidden="false" customHeight="false" outlineLevel="0" collapsed="false">
      <c r="A796" s="0" t="s">
        <v>83</v>
      </c>
      <c r="B796" s="0" t="n">
        <v>2015</v>
      </c>
      <c r="C796" s="0" t="s">
        <v>670</v>
      </c>
      <c r="D796" s="0" t="n">
        <v>204210</v>
      </c>
      <c r="E796" s="0" t="s">
        <v>3876</v>
      </c>
      <c r="G796" s="0" t="s">
        <v>3877</v>
      </c>
    </row>
    <row r="797" customFormat="false" ht="15" hidden="false" customHeight="false" outlineLevel="0" collapsed="false">
      <c r="A797" s="0" t="s">
        <v>83</v>
      </c>
      <c r="B797" s="0" t="n">
        <v>2015</v>
      </c>
      <c r="C797" s="0" t="s">
        <v>55</v>
      </c>
      <c r="D797" s="0" t="n">
        <v>1160000</v>
      </c>
      <c r="E797" s="0" t="s">
        <v>3876</v>
      </c>
      <c r="G797" s="0" t="s">
        <v>3877</v>
      </c>
    </row>
    <row r="798" customFormat="false" ht="15" hidden="false" customHeight="false" outlineLevel="0" collapsed="false">
      <c r="A798" s="0" t="s">
        <v>83</v>
      </c>
      <c r="B798" s="0" t="n">
        <v>2015</v>
      </c>
      <c r="C798" s="0" t="s">
        <v>60</v>
      </c>
      <c r="D798" s="0" t="n">
        <v>730419</v>
      </c>
      <c r="E798" s="0" t="s">
        <v>3876</v>
      </c>
      <c r="G798" s="0" t="s">
        <v>3877</v>
      </c>
    </row>
    <row r="799" customFormat="false" ht="15" hidden="false" customHeight="false" outlineLevel="0" collapsed="false">
      <c r="A799" s="0" t="s">
        <v>83</v>
      </c>
      <c r="B799" s="0" t="n">
        <v>2015</v>
      </c>
      <c r="C799" s="0" t="s">
        <v>61</v>
      </c>
      <c r="D799" s="0" t="n">
        <v>38910</v>
      </c>
      <c r="E799" s="0" t="s">
        <v>3876</v>
      </c>
      <c r="G799" s="0" t="s">
        <v>3877</v>
      </c>
    </row>
    <row r="800" customFormat="false" ht="15" hidden="false" customHeight="false" outlineLevel="0" collapsed="false">
      <c r="A800" s="0" t="s">
        <v>83</v>
      </c>
      <c r="B800" s="0" t="n">
        <v>2015</v>
      </c>
      <c r="C800" s="0" t="s">
        <v>63</v>
      </c>
      <c r="D800" s="0" t="n">
        <v>45210</v>
      </c>
      <c r="E800" s="0" t="s">
        <v>3876</v>
      </c>
      <c r="G800" s="0" t="s">
        <v>3877</v>
      </c>
    </row>
    <row r="801" customFormat="false" ht="15" hidden="false" customHeight="false" outlineLevel="0" collapsed="false">
      <c r="A801" s="0" t="s">
        <v>83</v>
      </c>
      <c r="B801" s="0" t="n">
        <v>2015</v>
      </c>
      <c r="C801" s="0" t="s">
        <v>266</v>
      </c>
      <c r="D801" s="0" t="n">
        <v>8.2</v>
      </c>
      <c r="E801" s="0" t="s">
        <v>3876</v>
      </c>
      <c r="G801" s="0" t="s">
        <v>3877</v>
      </c>
    </row>
    <row r="802" customFormat="false" ht="15" hidden="false" customHeight="false" outlineLevel="0" collapsed="false">
      <c r="A802" s="0" t="s">
        <v>83</v>
      </c>
      <c r="B802" s="0" t="n">
        <v>2015</v>
      </c>
      <c r="C802" s="0" t="s">
        <v>69</v>
      </c>
      <c r="D802" s="0" t="n">
        <v>15</v>
      </c>
      <c r="E802" s="0" t="s">
        <v>3876</v>
      </c>
      <c r="G802" s="0" t="s">
        <v>3877</v>
      </c>
    </row>
    <row r="803" customFormat="false" ht="15" hidden="false" customHeight="false" outlineLevel="0" collapsed="false">
      <c r="A803" s="0" t="s">
        <v>83</v>
      </c>
      <c r="B803" s="0" t="n">
        <v>2015</v>
      </c>
      <c r="C803" s="0" t="s">
        <v>73</v>
      </c>
      <c r="D803" s="0" t="n">
        <v>0</v>
      </c>
      <c r="E803" s="0" t="s">
        <v>3876</v>
      </c>
      <c r="G803" s="0" t="s">
        <v>3877</v>
      </c>
    </row>
    <row r="804" customFormat="false" ht="15" hidden="false" customHeight="false" outlineLevel="0" collapsed="false">
      <c r="A804" s="0" t="s">
        <v>83</v>
      </c>
      <c r="B804" s="0" t="n">
        <v>2015</v>
      </c>
      <c r="C804" s="0" t="s">
        <v>920</v>
      </c>
      <c r="D804" s="0" t="s">
        <v>3883</v>
      </c>
      <c r="E804" s="0" t="s">
        <v>3876</v>
      </c>
      <c r="G804" s="0" t="s">
        <v>3877</v>
      </c>
    </row>
    <row r="805" customFormat="false" ht="15" hidden="false" customHeight="false" outlineLevel="0" collapsed="false">
      <c r="A805" s="0" t="s">
        <v>83</v>
      </c>
      <c r="B805" s="0" t="n">
        <v>2016</v>
      </c>
      <c r="C805" s="0" t="s">
        <v>54</v>
      </c>
      <c r="D805" s="0" t="n">
        <v>5780</v>
      </c>
      <c r="E805" s="0" t="s">
        <v>3876</v>
      </c>
      <c r="G805" s="0" t="s">
        <v>3877</v>
      </c>
    </row>
    <row r="806" customFormat="false" ht="15" hidden="false" customHeight="false" outlineLevel="0" collapsed="false">
      <c r="A806" s="0" t="s">
        <v>83</v>
      </c>
      <c r="B806" s="0" t="n">
        <v>2016</v>
      </c>
      <c r="C806" s="0" t="s">
        <v>670</v>
      </c>
      <c r="D806" s="0" t="n">
        <v>259584</v>
      </c>
      <c r="E806" s="0" t="s">
        <v>3876</v>
      </c>
      <c r="G806" s="0" t="s">
        <v>3877</v>
      </c>
    </row>
    <row r="807" customFormat="false" ht="15" hidden="false" customHeight="false" outlineLevel="0" collapsed="false">
      <c r="A807" s="0" t="s">
        <v>83</v>
      </c>
      <c r="B807" s="0" t="n">
        <v>2016</v>
      </c>
      <c r="C807" s="0" t="s">
        <v>55</v>
      </c>
      <c r="D807" s="0" t="n">
        <v>1808503</v>
      </c>
      <c r="E807" s="0" t="s">
        <v>3876</v>
      </c>
      <c r="G807" s="0" t="s">
        <v>3877</v>
      </c>
    </row>
    <row r="808" customFormat="false" ht="15" hidden="false" customHeight="false" outlineLevel="0" collapsed="false">
      <c r="A808" s="0" t="s">
        <v>83</v>
      </c>
      <c r="B808" s="0" t="n">
        <v>2016</v>
      </c>
      <c r="C808" s="0" t="s">
        <v>60</v>
      </c>
      <c r="D808" s="0" t="n">
        <v>869872</v>
      </c>
      <c r="E808" s="0" t="s">
        <v>3876</v>
      </c>
      <c r="G808" s="0" t="s">
        <v>3877</v>
      </c>
    </row>
    <row r="809" customFormat="false" ht="15" hidden="false" customHeight="false" outlineLevel="0" collapsed="false">
      <c r="A809" s="0" t="s">
        <v>83</v>
      </c>
      <c r="B809" s="0" t="n">
        <v>2016</v>
      </c>
      <c r="C809" s="0" t="s">
        <v>61</v>
      </c>
      <c r="D809" s="0" t="n">
        <v>116480</v>
      </c>
      <c r="E809" s="0" t="s">
        <v>3876</v>
      </c>
      <c r="G809" s="0" t="s">
        <v>3877</v>
      </c>
    </row>
    <row r="810" customFormat="false" ht="15" hidden="false" customHeight="false" outlineLevel="0" collapsed="false">
      <c r="A810" s="0" t="s">
        <v>83</v>
      </c>
      <c r="B810" s="0" t="n">
        <v>2016</v>
      </c>
      <c r="C810" s="0" t="s">
        <v>63</v>
      </c>
      <c r="D810" s="0" t="n">
        <v>82783</v>
      </c>
      <c r="E810" s="0" t="s">
        <v>3876</v>
      </c>
      <c r="G810" s="0" t="s">
        <v>3877</v>
      </c>
    </row>
    <row r="811" customFormat="false" ht="15" hidden="false" customHeight="false" outlineLevel="0" collapsed="false">
      <c r="A811" s="0" t="s">
        <v>83</v>
      </c>
      <c r="B811" s="0" t="n">
        <v>2016</v>
      </c>
      <c r="C811" s="0" t="s">
        <v>266</v>
      </c>
      <c r="D811" s="0" t="n">
        <v>9.1</v>
      </c>
      <c r="E811" s="0" t="s">
        <v>3876</v>
      </c>
      <c r="G811" s="0" t="s">
        <v>3877</v>
      </c>
    </row>
    <row r="812" customFormat="false" ht="15" hidden="false" customHeight="false" outlineLevel="0" collapsed="false">
      <c r="A812" s="0" t="s">
        <v>83</v>
      </c>
      <c r="B812" s="0" t="n">
        <v>2016</v>
      </c>
      <c r="C812" s="0" t="s">
        <v>69</v>
      </c>
      <c r="D812" s="0" t="n">
        <v>15</v>
      </c>
      <c r="E812" s="0" t="s">
        <v>3876</v>
      </c>
      <c r="G812" s="0" t="s">
        <v>3877</v>
      </c>
    </row>
    <row r="813" customFormat="false" ht="15" hidden="false" customHeight="false" outlineLevel="0" collapsed="false">
      <c r="A813" s="0" t="s">
        <v>83</v>
      </c>
      <c r="B813" s="0" t="n">
        <v>2016</v>
      </c>
      <c r="C813" s="0" t="s">
        <v>73</v>
      </c>
      <c r="D813" s="0" t="n">
        <v>0</v>
      </c>
      <c r="E813" s="0" t="s">
        <v>3876</v>
      </c>
      <c r="G813" s="0" t="s">
        <v>3877</v>
      </c>
    </row>
    <row r="814" customFormat="false" ht="15" hidden="false" customHeight="false" outlineLevel="0" collapsed="false">
      <c r="A814" s="0" t="s">
        <v>83</v>
      </c>
      <c r="B814" s="0" t="n">
        <v>2016</v>
      </c>
      <c r="C814" s="0" t="s">
        <v>920</v>
      </c>
      <c r="D814" s="0" t="s">
        <v>3883</v>
      </c>
      <c r="E814" s="0" t="s">
        <v>3876</v>
      </c>
      <c r="G814" s="0" t="s">
        <v>3877</v>
      </c>
    </row>
    <row r="815" customFormat="false" ht="15" hidden="false" customHeight="false" outlineLevel="0" collapsed="false">
      <c r="A815" s="0" t="s">
        <v>83</v>
      </c>
      <c r="B815" s="0" t="n">
        <v>2017</v>
      </c>
      <c r="C815" s="0" t="s">
        <v>54</v>
      </c>
      <c r="D815" s="0" t="n">
        <v>20204</v>
      </c>
      <c r="E815" s="0" t="s">
        <v>3876</v>
      </c>
      <c r="G815" s="0" t="s">
        <v>3877</v>
      </c>
    </row>
    <row r="816" customFormat="false" ht="15" hidden="false" customHeight="false" outlineLevel="0" collapsed="false">
      <c r="A816" s="0" t="s">
        <v>83</v>
      </c>
      <c r="B816" s="0" t="n">
        <v>2017</v>
      </c>
      <c r="C816" s="0" t="s">
        <v>670</v>
      </c>
      <c r="D816" s="0" t="n">
        <v>251061</v>
      </c>
      <c r="E816" s="0" t="s">
        <v>3876</v>
      </c>
      <c r="G816" s="0" t="s">
        <v>3877</v>
      </c>
    </row>
    <row r="817" customFormat="false" ht="15" hidden="false" customHeight="false" outlineLevel="0" collapsed="false">
      <c r="A817" s="0" t="s">
        <v>83</v>
      </c>
      <c r="B817" s="0" t="n">
        <v>2017</v>
      </c>
      <c r="C817" s="0" t="s">
        <v>55</v>
      </c>
      <c r="D817" s="0" t="n">
        <v>1829761</v>
      </c>
      <c r="E817" s="0" t="s">
        <v>3876</v>
      </c>
      <c r="G817" s="0" t="s">
        <v>3877</v>
      </c>
    </row>
    <row r="818" customFormat="false" ht="15" hidden="false" customHeight="false" outlineLevel="0" collapsed="false">
      <c r="A818" s="0" t="s">
        <v>83</v>
      </c>
      <c r="B818" s="0" t="n">
        <v>2017</v>
      </c>
      <c r="C818" s="0" t="s">
        <v>60</v>
      </c>
      <c r="D818" s="0" t="n">
        <v>831573</v>
      </c>
      <c r="E818" s="0" t="s">
        <v>3876</v>
      </c>
      <c r="G818" s="0" t="s">
        <v>3877</v>
      </c>
    </row>
    <row r="819" customFormat="false" ht="15" hidden="false" customHeight="false" outlineLevel="0" collapsed="false">
      <c r="A819" s="0" t="s">
        <v>83</v>
      </c>
      <c r="B819" s="0" t="n">
        <v>2017</v>
      </c>
      <c r="C819" s="0" t="s">
        <v>61</v>
      </c>
      <c r="D819" s="0" t="n">
        <v>120510</v>
      </c>
      <c r="E819" s="0" t="s">
        <v>3876</v>
      </c>
      <c r="G819" s="0" t="s">
        <v>3877</v>
      </c>
    </row>
    <row r="820" customFormat="false" ht="15" hidden="false" customHeight="false" outlineLevel="0" collapsed="false">
      <c r="A820" s="0" t="s">
        <v>83</v>
      </c>
      <c r="B820" s="0" t="n">
        <v>2017</v>
      </c>
      <c r="C820" s="0" t="s">
        <v>63</v>
      </c>
      <c r="D820" s="0" t="n">
        <v>59901</v>
      </c>
      <c r="E820" s="0" t="s">
        <v>3876</v>
      </c>
      <c r="G820" s="0" t="s">
        <v>3877</v>
      </c>
    </row>
    <row r="821" customFormat="false" ht="15" hidden="false" customHeight="false" outlineLevel="0" collapsed="false">
      <c r="A821" s="0" t="s">
        <v>83</v>
      </c>
      <c r="B821" s="0" t="n">
        <v>2017</v>
      </c>
      <c r="C821" s="0" t="s">
        <v>266</v>
      </c>
      <c r="D821" s="0" t="n">
        <v>14.5</v>
      </c>
      <c r="E821" s="0" t="s">
        <v>3876</v>
      </c>
      <c r="G821" s="0" t="s">
        <v>3877</v>
      </c>
    </row>
    <row r="822" customFormat="false" ht="15" hidden="false" customHeight="false" outlineLevel="0" collapsed="false">
      <c r="A822" s="0" t="s">
        <v>83</v>
      </c>
      <c r="B822" s="0" t="n">
        <v>2017</v>
      </c>
      <c r="C822" s="0" t="s">
        <v>69</v>
      </c>
      <c r="D822" s="0" t="n">
        <v>13.6</v>
      </c>
      <c r="E822" s="0" t="s">
        <v>3876</v>
      </c>
      <c r="G822" s="0" t="s">
        <v>3877</v>
      </c>
    </row>
    <row r="823" customFormat="false" ht="15" hidden="false" customHeight="false" outlineLevel="0" collapsed="false">
      <c r="A823" s="0" t="s">
        <v>83</v>
      </c>
      <c r="B823" s="0" t="n">
        <v>2017</v>
      </c>
      <c r="C823" s="0" t="s">
        <v>73</v>
      </c>
      <c r="D823" s="0" t="n">
        <v>0</v>
      </c>
      <c r="E823" s="0" t="s">
        <v>3876</v>
      </c>
      <c r="G823" s="0" t="s">
        <v>3877</v>
      </c>
    </row>
    <row r="824" customFormat="false" ht="15" hidden="false" customHeight="false" outlineLevel="0" collapsed="false">
      <c r="A824" s="0" t="s">
        <v>83</v>
      </c>
      <c r="B824" s="0" t="n">
        <v>2017</v>
      </c>
      <c r="C824" s="0" t="s">
        <v>920</v>
      </c>
      <c r="D824" s="0" t="s">
        <v>3883</v>
      </c>
      <c r="E824" s="0" t="s">
        <v>3876</v>
      </c>
      <c r="G824" s="0" t="s">
        <v>3877</v>
      </c>
    </row>
    <row r="825" customFormat="false" ht="15" hidden="false" customHeight="false" outlineLevel="0" collapsed="false">
      <c r="A825" s="0" t="s">
        <v>83</v>
      </c>
      <c r="B825" s="0" t="n">
        <v>2018</v>
      </c>
      <c r="C825" s="0" t="s">
        <v>54</v>
      </c>
      <c r="D825" s="0" t="n">
        <v>27540</v>
      </c>
      <c r="E825" s="0" t="s">
        <v>3876</v>
      </c>
      <c r="G825" s="0" t="s">
        <v>3877</v>
      </c>
    </row>
    <row r="826" customFormat="false" ht="15" hidden="false" customHeight="false" outlineLevel="0" collapsed="false">
      <c r="A826" s="0" t="s">
        <v>83</v>
      </c>
      <c r="B826" s="0" t="n">
        <v>2018</v>
      </c>
      <c r="C826" s="0" t="s">
        <v>670</v>
      </c>
      <c r="D826" s="0" t="n">
        <v>179820</v>
      </c>
      <c r="E826" s="0" t="s">
        <v>3876</v>
      </c>
      <c r="G826" s="0" t="s">
        <v>3877</v>
      </c>
    </row>
    <row r="827" customFormat="false" ht="15" hidden="false" customHeight="false" outlineLevel="0" collapsed="false">
      <c r="A827" s="0" t="s">
        <v>83</v>
      </c>
      <c r="B827" s="0" t="n">
        <v>2018</v>
      </c>
      <c r="C827" s="0" t="s">
        <v>55</v>
      </c>
      <c r="D827" s="0" t="n">
        <v>1661886</v>
      </c>
      <c r="E827" s="0" t="s">
        <v>3876</v>
      </c>
      <c r="G827" s="0" t="s">
        <v>3877</v>
      </c>
    </row>
    <row r="828" customFormat="false" ht="15" hidden="false" customHeight="false" outlineLevel="0" collapsed="false">
      <c r="A828" s="0" t="s">
        <v>83</v>
      </c>
      <c r="B828" s="0" t="n">
        <v>2018</v>
      </c>
      <c r="C828" s="0" t="s">
        <v>60</v>
      </c>
      <c r="D828" s="0" t="n">
        <v>691500</v>
      </c>
      <c r="E828" s="0" t="s">
        <v>3876</v>
      </c>
      <c r="G828" s="0" t="s">
        <v>3877</v>
      </c>
    </row>
    <row r="829" customFormat="false" ht="15" hidden="false" customHeight="false" outlineLevel="0" collapsed="false">
      <c r="A829" s="0" t="s">
        <v>83</v>
      </c>
      <c r="B829" s="0" t="n">
        <v>2018</v>
      </c>
      <c r="C829" s="0" t="s">
        <v>61</v>
      </c>
      <c r="D829" s="0" t="n">
        <v>102300</v>
      </c>
      <c r="E829" s="0" t="s">
        <v>3876</v>
      </c>
      <c r="G829" s="0" t="s">
        <v>3877</v>
      </c>
    </row>
    <row r="830" customFormat="false" ht="15" hidden="false" customHeight="false" outlineLevel="0" collapsed="false">
      <c r="A830" s="0" t="s">
        <v>83</v>
      </c>
      <c r="B830" s="0" t="n">
        <v>2018</v>
      </c>
      <c r="C830" s="0" t="s">
        <v>63</v>
      </c>
      <c r="D830" s="0" t="n">
        <v>24510</v>
      </c>
      <c r="E830" s="0" t="s">
        <v>3876</v>
      </c>
      <c r="G830" s="0" t="s">
        <v>3877</v>
      </c>
    </row>
    <row r="831" customFormat="false" ht="15" hidden="false" customHeight="false" outlineLevel="0" collapsed="false">
      <c r="A831" s="0" t="s">
        <v>83</v>
      </c>
      <c r="B831" s="0" t="n">
        <v>2018</v>
      </c>
      <c r="C831" s="0" t="s">
        <v>266</v>
      </c>
      <c r="D831" s="0" t="n">
        <v>13.7</v>
      </c>
      <c r="E831" s="0" t="s">
        <v>3876</v>
      </c>
      <c r="G831" s="0" t="s">
        <v>3877</v>
      </c>
    </row>
    <row r="832" customFormat="false" ht="15" hidden="false" customHeight="false" outlineLevel="0" collapsed="false">
      <c r="A832" s="0" t="s">
        <v>83</v>
      </c>
      <c r="B832" s="0" t="n">
        <v>2018</v>
      </c>
      <c r="C832" s="0" t="s">
        <v>69</v>
      </c>
      <c r="D832" s="0" t="n">
        <v>12.1</v>
      </c>
      <c r="E832" s="0" t="s">
        <v>3876</v>
      </c>
      <c r="G832" s="0" t="s">
        <v>3877</v>
      </c>
    </row>
    <row r="833" customFormat="false" ht="15" hidden="false" customHeight="false" outlineLevel="0" collapsed="false">
      <c r="A833" s="0" t="s">
        <v>83</v>
      </c>
      <c r="B833" s="0" t="n">
        <v>2018</v>
      </c>
      <c r="C833" s="0" t="s">
        <v>73</v>
      </c>
      <c r="D833" s="0" t="n">
        <v>0</v>
      </c>
      <c r="E833" s="0" t="s">
        <v>3876</v>
      </c>
      <c r="G833" s="0" t="s">
        <v>3877</v>
      </c>
    </row>
    <row r="834" customFormat="false" ht="15" hidden="false" customHeight="false" outlineLevel="0" collapsed="false">
      <c r="A834" s="0" t="s">
        <v>83</v>
      </c>
      <c r="B834" s="0" t="n">
        <v>2018</v>
      </c>
      <c r="C834" s="0" t="s">
        <v>920</v>
      </c>
      <c r="D834" s="0" t="s">
        <v>3883</v>
      </c>
      <c r="E834" s="0" t="s">
        <v>3876</v>
      </c>
      <c r="G834" s="0" t="s">
        <v>3877</v>
      </c>
    </row>
    <row r="835" customFormat="false" ht="15" hidden="false" customHeight="false" outlineLevel="0" collapsed="false">
      <c r="A835" s="0" t="s">
        <v>83</v>
      </c>
      <c r="B835" s="0" t="n">
        <v>2019</v>
      </c>
      <c r="C835" s="0" t="s">
        <v>54</v>
      </c>
      <c r="D835" s="0" t="n">
        <v>32410</v>
      </c>
      <c r="E835" s="0" t="s">
        <v>3876</v>
      </c>
      <c r="G835" s="0" t="s">
        <v>3877</v>
      </c>
    </row>
    <row r="836" customFormat="false" ht="15" hidden="false" customHeight="false" outlineLevel="0" collapsed="false">
      <c r="A836" s="0" t="s">
        <v>83</v>
      </c>
      <c r="B836" s="0" t="n">
        <v>2019</v>
      </c>
      <c r="C836" s="0" t="s">
        <v>670</v>
      </c>
      <c r="D836" s="0" t="n">
        <v>161550</v>
      </c>
      <c r="E836" s="0" t="s">
        <v>3876</v>
      </c>
      <c r="G836" s="0" t="s">
        <v>3877</v>
      </c>
    </row>
    <row r="837" customFormat="false" ht="15" hidden="false" customHeight="false" outlineLevel="0" collapsed="false">
      <c r="A837" s="0" t="s">
        <v>83</v>
      </c>
      <c r="B837" s="0" t="n">
        <v>2019</v>
      </c>
      <c r="C837" s="0" t="s">
        <v>55</v>
      </c>
      <c r="D837" s="0" t="n">
        <v>1832100</v>
      </c>
      <c r="E837" s="0" t="s">
        <v>3876</v>
      </c>
      <c r="G837" s="0" t="s">
        <v>3877</v>
      </c>
    </row>
    <row r="838" customFormat="false" ht="15" hidden="false" customHeight="false" outlineLevel="0" collapsed="false">
      <c r="A838" s="0" t="s">
        <v>83</v>
      </c>
      <c r="B838" s="0" t="n">
        <v>2019</v>
      </c>
      <c r="C838" s="0" t="s">
        <v>60</v>
      </c>
      <c r="D838" s="0" t="n">
        <v>765400</v>
      </c>
      <c r="E838" s="0" t="s">
        <v>3876</v>
      </c>
      <c r="G838" s="0" t="s">
        <v>3877</v>
      </c>
    </row>
    <row r="839" customFormat="false" ht="15" hidden="false" customHeight="false" outlineLevel="0" collapsed="false">
      <c r="A839" s="0" t="s">
        <v>83</v>
      </c>
      <c r="B839" s="0" t="n">
        <v>2019</v>
      </c>
      <c r="C839" s="0" t="s">
        <v>61</v>
      </c>
      <c r="D839" s="0" t="n">
        <v>115400</v>
      </c>
      <c r="E839" s="0" t="s">
        <v>3876</v>
      </c>
      <c r="G839" s="0" t="s">
        <v>3877</v>
      </c>
    </row>
    <row r="840" customFormat="false" ht="15" hidden="false" customHeight="false" outlineLevel="0" collapsed="false">
      <c r="A840" s="0" t="s">
        <v>83</v>
      </c>
      <c r="B840" s="0" t="n">
        <v>2019</v>
      </c>
      <c r="C840" s="0" t="s">
        <v>63</v>
      </c>
      <c r="D840" s="0" t="n">
        <v>14200</v>
      </c>
      <c r="E840" s="0" t="s">
        <v>3876</v>
      </c>
      <c r="G840" s="0" t="s">
        <v>3877</v>
      </c>
    </row>
    <row r="841" customFormat="false" ht="15" hidden="false" customHeight="false" outlineLevel="0" collapsed="false">
      <c r="A841" s="0" t="s">
        <v>83</v>
      </c>
      <c r="B841" s="0" t="n">
        <v>2019</v>
      </c>
      <c r="C841" s="0" t="s">
        <v>266</v>
      </c>
      <c r="D841" s="0" t="n">
        <v>23.9</v>
      </c>
      <c r="E841" s="0" t="s">
        <v>3876</v>
      </c>
      <c r="G841" s="0" t="s">
        <v>3877</v>
      </c>
    </row>
    <row r="842" customFormat="false" ht="15" hidden="false" customHeight="false" outlineLevel="0" collapsed="false">
      <c r="A842" s="0" t="s">
        <v>83</v>
      </c>
      <c r="B842" s="0" t="n">
        <v>2019</v>
      </c>
      <c r="C842" s="0" t="s">
        <v>69</v>
      </c>
      <c r="D842" s="0" t="n">
        <v>10.6</v>
      </c>
      <c r="E842" s="0" t="s">
        <v>3876</v>
      </c>
      <c r="G842" s="0" t="s">
        <v>3877</v>
      </c>
    </row>
    <row r="843" customFormat="false" ht="15" hidden="false" customHeight="false" outlineLevel="0" collapsed="false">
      <c r="A843" s="0" t="s">
        <v>83</v>
      </c>
      <c r="B843" s="0" t="n">
        <v>2019</v>
      </c>
      <c r="C843" s="0" t="s">
        <v>73</v>
      </c>
      <c r="D843" s="0" t="n">
        <v>0</v>
      </c>
      <c r="E843" s="0" t="s">
        <v>3876</v>
      </c>
      <c r="G843" s="0" t="s">
        <v>3877</v>
      </c>
    </row>
    <row r="844" customFormat="false" ht="15" hidden="false" customHeight="false" outlineLevel="0" collapsed="false">
      <c r="A844" s="0" t="s">
        <v>83</v>
      </c>
      <c r="B844" s="0" t="n">
        <v>2019</v>
      </c>
      <c r="C844" s="0" t="s">
        <v>920</v>
      </c>
      <c r="D844" s="0" t="s">
        <v>3883</v>
      </c>
      <c r="E844" s="0" t="s">
        <v>3876</v>
      </c>
      <c r="G844" s="0" t="s">
        <v>3877</v>
      </c>
    </row>
    <row r="845" customFormat="false" ht="15" hidden="false" customHeight="false" outlineLevel="0" collapsed="false">
      <c r="A845" s="0" t="s">
        <v>83</v>
      </c>
      <c r="B845" s="0" t="n">
        <v>2020</v>
      </c>
      <c r="C845" s="0" t="s">
        <v>54</v>
      </c>
      <c r="D845" s="0" t="n">
        <v>8087</v>
      </c>
      <c r="E845" s="0" t="s">
        <v>3876</v>
      </c>
      <c r="G845" s="0" t="s">
        <v>3877</v>
      </c>
    </row>
    <row r="846" customFormat="false" ht="15" hidden="false" customHeight="false" outlineLevel="0" collapsed="false">
      <c r="A846" s="0" t="s">
        <v>83</v>
      </c>
      <c r="B846" s="0" t="n">
        <v>2020</v>
      </c>
      <c r="C846" s="0" t="s">
        <v>670</v>
      </c>
      <c r="D846" s="0" t="n">
        <v>158750</v>
      </c>
      <c r="E846" s="0" t="s">
        <v>3876</v>
      </c>
      <c r="G846" s="0" t="s">
        <v>3877</v>
      </c>
    </row>
    <row r="847" customFormat="false" ht="15" hidden="false" customHeight="false" outlineLevel="0" collapsed="false">
      <c r="A847" s="0" t="s">
        <v>83</v>
      </c>
      <c r="B847" s="0" t="n">
        <v>2020</v>
      </c>
      <c r="C847" s="0" t="s">
        <v>55</v>
      </c>
      <c r="D847" s="0" t="n">
        <v>2186711</v>
      </c>
      <c r="E847" s="0" t="s">
        <v>3876</v>
      </c>
      <c r="G847" s="0" t="s">
        <v>3877</v>
      </c>
    </row>
    <row r="848" customFormat="false" ht="15" hidden="false" customHeight="false" outlineLevel="0" collapsed="false">
      <c r="A848" s="0" t="s">
        <v>83</v>
      </c>
      <c r="B848" s="0" t="n">
        <v>2020</v>
      </c>
      <c r="C848" s="0" t="s">
        <v>60</v>
      </c>
      <c r="D848" s="0" t="n">
        <v>993191</v>
      </c>
      <c r="E848" s="0" t="s">
        <v>3876</v>
      </c>
      <c r="G848" s="0" t="s">
        <v>3877</v>
      </c>
    </row>
    <row r="849" customFormat="false" ht="15" hidden="false" customHeight="false" outlineLevel="0" collapsed="false">
      <c r="A849" s="0" t="s">
        <v>83</v>
      </c>
      <c r="B849" s="0" t="n">
        <v>2020</v>
      </c>
      <c r="C849" s="0" t="s">
        <v>61</v>
      </c>
      <c r="D849" s="0" t="n">
        <v>111609</v>
      </c>
      <c r="E849" s="0" t="s">
        <v>3876</v>
      </c>
      <c r="G849" s="0" t="s">
        <v>3877</v>
      </c>
    </row>
    <row r="850" customFormat="false" ht="15" hidden="false" customHeight="false" outlineLevel="0" collapsed="false">
      <c r="A850" s="0" t="s">
        <v>83</v>
      </c>
      <c r="B850" s="0" t="n">
        <v>2020</v>
      </c>
      <c r="C850" s="0" t="s">
        <v>63</v>
      </c>
      <c r="D850" s="0" t="n">
        <v>9164</v>
      </c>
      <c r="E850" s="0" t="s">
        <v>3876</v>
      </c>
      <c r="G850" s="0" t="s">
        <v>3877</v>
      </c>
    </row>
    <row r="851" customFormat="false" ht="15" hidden="false" customHeight="false" outlineLevel="0" collapsed="false">
      <c r="A851" s="0" t="s">
        <v>83</v>
      </c>
      <c r="B851" s="0" t="n">
        <v>2020</v>
      </c>
      <c r="C851" s="0" t="s">
        <v>266</v>
      </c>
      <c r="D851" s="0" t="n">
        <v>19.86</v>
      </c>
      <c r="E851" s="0" t="s">
        <v>3876</v>
      </c>
      <c r="G851" s="0" t="s">
        <v>3877</v>
      </c>
    </row>
    <row r="852" customFormat="false" ht="15" hidden="false" customHeight="false" outlineLevel="0" collapsed="false">
      <c r="A852" s="0" t="s">
        <v>83</v>
      </c>
      <c r="B852" s="0" t="n">
        <v>2020</v>
      </c>
      <c r="C852" s="0" t="s">
        <v>69</v>
      </c>
      <c r="D852" s="0" t="n">
        <v>23.21</v>
      </c>
      <c r="E852" s="0" t="s">
        <v>3876</v>
      </c>
      <c r="G852" s="0" t="s">
        <v>3877</v>
      </c>
    </row>
    <row r="853" customFormat="false" ht="15" hidden="false" customHeight="false" outlineLevel="0" collapsed="false">
      <c r="A853" s="0" t="s">
        <v>83</v>
      </c>
      <c r="B853" s="0" t="n">
        <v>2020</v>
      </c>
      <c r="C853" s="0" t="s">
        <v>73</v>
      </c>
      <c r="D853" s="0" t="n">
        <v>0</v>
      </c>
      <c r="E853" s="0" t="s">
        <v>3876</v>
      </c>
      <c r="G853" s="0" t="s">
        <v>3877</v>
      </c>
    </row>
    <row r="854" customFormat="false" ht="15" hidden="false" customHeight="false" outlineLevel="0" collapsed="false">
      <c r="A854" s="0" t="s">
        <v>83</v>
      </c>
      <c r="B854" s="0" t="n">
        <v>2020</v>
      </c>
      <c r="C854" s="0" t="s">
        <v>920</v>
      </c>
      <c r="D854" s="0" t="s">
        <v>976</v>
      </c>
      <c r="E854" s="0" t="s">
        <v>3876</v>
      </c>
      <c r="G854" s="0" t="s">
        <v>3877</v>
      </c>
    </row>
    <row r="855" customFormat="false" ht="15" hidden="false" customHeight="false" outlineLevel="0" collapsed="false">
      <c r="A855" s="0" t="s">
        <v>83</v>
      </c>
      <c r="B855" s="0" t="n">
        <v>2021</v>
      </c>
      <c r="C855" s="0" t="s">
        <v>54</v>
      </c>
      <c r="D855" s="0" t="n">
        <v>9766</v>
      </c>
      <c r="E855" s="0" t="s">
        <v>3876</v>
      </c>
      <c r="G855" s="0" t="s">
        <v>3877</v>
      </c>
    </row>
    <row r="856" customFormat="false" ht="15" hidden="false" customHeight="false" outlineLevel="0" collapsed="false">
      <c r="A856" s="0" t="s">
        <v>83</v>
      </c>
      <c r="B856" s="0" t="n">
        <v>2021</v>
      </c>
      <c r="C856" s="0" t="s">
        <v>670</v>
      </c>
      <c r="D856" s="0" t="n">
        <v>164304</v>
      </c>
      <c r="E856" s="0" t="s">
        <v>3876</v>
      </c>
      <c r="G856" s="0" t="s">
        <v>3877</v>
      </c>
    </row>
    <row r="857" customFormat="false" ht="15" hidden="false" customHeight="false" outlineLevel="0" collapsed="false">
      <c r="A857" s="0" t="s">
        <v>83</v>
      </c>
      <c r="B857" s="0" t="n">
        <v>2021</v>
      </c>
      <c r="C857" s="0" t="s">
        <v>55</v>
      </c>
      <c r="D857" s="0" t="n">
        <v>2475079</v>
      </c>
      <c r="E857" s="0" t="s">
        <v>3876</v>
      </c>
      <c r="G857" s="0" t="s">
        <v>3877</v>
      </c>
    </row>
    <row r="858" customFormat="false" ht="15" hidden="false" customHeight="false" outlineLevel="0" collapsed="false">
      <c r="A858" s="0" t="s">
        <v>83</v>
      </c>
      <c r="B858" s="0" t="n">
        <v>2021</v>
      </c>
      <c r="C858" s="0" t="s">
        <v>60</v>
      </c>
      <c r="D858" s="0" t="n">
        <v>1113022</v>
      </c>
      <c r="E858" s="0" t="s">
        <v>3876</v>
      </c>
      <c r="G858" s="0" t="s">
        <v>3877</v>
      </c>
    </row>
    <row r="859" customFormat="false" ht="15" hidden="false" customHeight="false" outlineLevel="0" collapsed="false">
      <c r="A859" s="0" t="s">
        <v>83</v>
      </c>
      <c r="B859" s="0" t="n">
        <v>2021</v>
      </c>
      <c r="C859" s="0" t="s">
        <v>61</v>
      </c>
      <c r="D859" s="0" t="n">
        <v>97419</v>
      </c>
      <c r="E859" s="0" t="s">
        <v>3876</v>
      </c>
      <c r="G859" s="0" t="s">
        <v>3877</v>
      </c>
    </row>
    <row r="860" customFormat="false" ht="15" hidden="false" customHeight="false" outlineLevel="0" collapsed="false">
      <c r="A860" s="0" t="s">
        <v>83</v>
      </c>
      <c r="B860" s="0" t="n">
        <v>2021</v>
      </c>
      <c r="C860" s="0" t="s">
        <v>63</v>
      </c>
      <c r="D860" s="0" t="n">
        <v>7041</v>
      </c>
      <c r="E860" s="0" t="s">
        <v>3876</v>
      </c>
      <c r="G860" s="0" t="s">
        <v>3877</v>
      </c>
    </row>
    <row r="861" customFormat="false" ht="15" hidden="false" customHeight="false" outlineLevel="0" collapsed="false">
      <c r="A861" s="0" t="s">
        <v>83</v>
      </c>
      <c r="B861" s="0" t="n">
        <v>2021</v>
      </c>
      <c r="C861" s="0" t="s">
        <v>266</v>
      </c>
      <c r="D861" s="0" t="n">
        <v>16.35</v>
      </c>
      <c r="E861" s="0" t="s">
        <v>3876</v>
      </c>
      <c r="G861" s="0" t="s">
        <v>3877</v>
      </c>
    </row>
    <row r="862" customFormat="false" ht="15" hidden="false" customHeight="false" outlineLevel="0" collapsed="false">
      <c r="A862" s="0" t="s">
        <v>83</v>
      </c>
      <c r="B862" s="0" t="n">
        <v>2021</v>
      </c>
      <c r="C862" s="0" t="s">
        <v>69</v>
      </c>
      <c r="D862" s="0" t="n">
        <v>11.48</v>
      </c>
      <c r="E862" s="0" t="s">
        <v>3876</v>
      </c>
      <c r="G862" s="0" t="s">
        <v>3877</v>
      </c>
    </row>
    <row r="863" customFormat="false" ht="15" hidden="false" customHeight="false" outlineLevel="0" collapsed="false">
      <c r="A863" s="0" t="s">
        <v>83</v>
      </c>
      <c r="B863" s="0" t="n">
        <v>2021</v>
      </c>
      <c r="C863" s="0" t="s">
        <v>73</v>
      </c>
      <c r="D863" s="0" t="n">
        <v>0</v>
      </c>
      <c r="E863" s="0" t="s">
        <v>3876</v>
      </c>
      <c r="G863" s="0" t="s">
        <v>3877</v>
      </c>
    </row>
    <row r="864" customFormat="false" ht="15" hidden="false" customHeight="false" outlineLevel="0" collapsed="false">
      <c r="A864" s="0" t="s">
        <v>83</v>
      </c>
      <c r="B864" s="0" t="n">
        <v>2021</v>
      </c>
      <c r="C864" s="0" t="s">
        <v>920</v>
      </c>
      <c r="D864" s="0" t="s">
        <v>976</v>
      </c>
      <c r="E864" s="0" t="s">
        <v>3876</v>
      </c>
      <c r="G864" s="0" t="s">
        <v>3877</v>
      </c>
    </row>
    <row r="865" customFormat="false" ht="15" hidden="false" customHeight="false" outlineLevel="0" collapsed="false">
      <c r="A865" s="0" t="s">
        <v>83</v>
      </c>
      <c r="B865" s="0" t="n">
        <v>2022</v>
      </c>
      <c r="C865" s="0" t="s">
        <v>54</v>
      </c>
      <c r="D865" s="0" t="n">
        <v>10396</v>
      </c>
      <c r="E865" s="0" t="s">
        <v>3876</v>
      </c>
      <c r="G865" s="0" t="s">
        <v>3877</v>
      </c>
    </row>
    <row r="866" customFormat="false" ht="15" hidden="false" customHeight="false" outlineLevel="0" collapsed="false">
      <c r="A866" s="0" t="s">
        <v>83</v>
      </c>
      <c r="B866" s="0" t="n">
        <v>2022</v>
      </c>
      <c r="C866" s="0" t="s">
        <v>670</v>
      </c>
      <c r="D866" s="0" t="n">
        <v>211771</v>
      </c>
      <c r="E866" s="0" t="s">
        <v>3876</v>
      </c>
      <c r="G866" s="0" t="s">
        <v>3877</v>
      </c>
    </row>
    <row r="867" customFormat="false" ht="15" hidden="false" customHeight="false" outlineLevel="0" collapsed="false">
      <c r="A867" s="0" t="s">
        <v>83</v>
      </c>
      <c r="B867" s="0" t="n">
        <v>2022</v>
      </c>
      <c r="C867" s="0" t="s">
        <v>55</v>
      </c>
      <c r="D867" s="0" t="n">
        <v>2917689</v>
      </c>
      <c r="E867" s="0" t="s">
        <v>3876</v>
      </c>
      <c r="G867" s="0" t="s">
        <v>3877</v>
      </c>
    </row>
    <row r="868" customFormat="false" ht="15" hidden="false" customHeight="false" outlineLevel="0" collapsed="false">
      <c r="A868" s="0" t="s">
        <v>83</v>
      </c>
      <c r="B868" s="0" t="n">
        <v>2022</v>
      </c>
      <c r="C868" s="0" t="s">
        <v>60</v>
      </c>
      <c r="D868" s="0" t="n">
        <v>1190306</v>
      </c>
      <c r="E868" s="0" t="s">
        <v>3876</v>
      </c>
      <c r="G868" s="0" t="s">
        <v>3877</v>
      </c>
    </row>
    <row r="869" customFormat="false" ht="15" hidden="false" customHeight="false" outlineLevel="0" collapsed="false">
      <c r="A869" s="0" t="s">
        <v>83</v>
      </c>
      <c r="B869" s="0" t="n">
        <v>2022</v>
      </c>
      <c r="C869" s="0" t="s">
        <v>61</v>
      </c>
      <c r="D869" s="0" t="n">
        <v>62880</v>
      </c>
      <c r="E869" s="0" t="s">
        <v>3876</v>
      </c>
      <c r="G869" s="0" t="s">
        <v>3877</v>
      </c>
    </row>
    <row r="870" customFormat="false" ht="15" hidden="false" customHeight="false" outlineLevel="0" collapsed="false">
      <c r="A870" s="0" t="s">
        <v>83</v>
      </c>
      <c r="B870" s="0" t="n">
        <v>2022</v>
      </c>
      <c r="C870" s="0" t="s">
        <v>63</v>
      </c>
      <c r="D870" s="0" t="n">
        <v>12377</v>
      </c>
      <c r="E870" s="0" t="s">
        <v>3876</v>
      </c>
      <c r="G870" s="0" t="s">
        <v>3877</v>
      </c>
    </row>
    <row r="871" customFormat="false" ht="15" hidden="false" customHeight="false" outlineLevel="0" collapsed="false">
      <c r="A871" s="0" t="s">
        <v>83</v>
      </c>
      <c r="B871" s="0" t="n">
        <v>2022</v>
      </c>
      <c r="C871" s="0" t="s">
        <v>266</v>
      </c>
      <c r="D871" s="0" t="n">
        <v>6.9</v>
      </c>
      <c r="E871" s="0" t="s">
        <v>3876</v>
      </c>
      <c r="G871" s="0" t="s">
        <v>3877</v>
      </c>
    </row>
    <row r="872" customFormat="false" ht="15" hidden="false" customHeight="false" outlineLevel="0" collapsed="false">
      <c r="A872" s="0" t="s">
        <v>83</v>
      </c>
      <c r="B872" s="0" t="n">
        <v>2022</v>
      </c>
      <c r="C872" s="0" t="s">
        <v>69</v>
      </c>
      <c r="D872" s="0" t="n">
        <v>13.27</v>
      </c>
      <c r="E872" s="0" t="s">
        <v>3876</v>
      </c>
      <c r="G872" s="0" t="s">
        <v>3877</v>
      </c>
    </row>
    <row r="873" customFormat="false" ht="15" hidden="false" customHeight="false" outlineLevel="0" collapsed="false">
      <c r="A873" s="0" t="s">
        <v>83</v>
      </c>
      <c r="B873" s="0" t="n">
        <v>2022</v>
      </c>
      <c r="C873" s="0" t="s">
        <v>73</v>
      </c>
      <c r="D873" s="0" t="n">
        <v>0</v>
      </c>
      <c r="E873" s="0" t="s">
        <v>3876</v>
      </c>
      <c r="G873" s="0" t="s">
        <v>3877</v>
      </c>
    </row>
    <row r="874" customFormat="false" ht="15" hidden="false" customHeight="false" outlineLevel="0" collapsed="false">
      <c r="A874" s="0" t="s">
        <v>83</v>
      </c>
      <c r="B874" s="0" t="n">
        <v>2022</v>
      </c>
      <c r="C874" s="0" t="s">
        <v>920</v>
      </c>
      <c r="D874" s="0" t="s">
        <v>976</v>
      </c>
      <c r="E874" s="0" t="s">
        <v>3876</v>
      </c>
      <c r="G874" s="0" t="s">
        <v>3877</v>
      </c>
    </row>
    <row r="875" customFormat="false" ht="15" hidden="false" customHeight="false" outlineLevel="0" collapsed="false">
      <c r="A875" s="0" t="s">
        <v>152</v>
      </c>
      <c r="B875" s="0" t="n">
        <v>2015</v>
      </c>
      <c r="C875" s="0" t="s">
        <v>54</v>
      </c>
      <c r="D875" s="0" t="n">
        <v>6255</v>
      </c>
      <c r="E875" s="0" t="s">
        <v>3876</v>
      </c>
      <c r="G875" s="0" t="s">
        <v>3877</v>
      </c>
    </row>
    <row r="876" customFormat="false" ht="15" hidden="false" customHeight="false" outlineLevel="0" collapsed="false">
      <c r="A876" s="0" t="s">
        <v>152</v>
      </c>
      <c r="B876" s="0" t="n">
        <v>2015</v>
      </c>
      <c r="C876" s="0" t="s">
        <v>670</v>
      </c>
      <c r="D876" s="0" t="n">
        <v>69663</v>
      </c>
      <c r="E876" s="0" t="s">
        <v>3876</v>
      </c>
      <c r="G876" s="0" t="s">
        <v>3877</v>
      </c>
    </row>
    <row r="877" customFormat="false" ht="15" hidden="false" customHeight="false" outlineLevel="0" collapsed="false">
      <c r="A877" s="0" t="s">
        <v>152</v>
      </c>
      <c r="B877" s="0" t="n">
        <v>2015</v>
      </c>
      <c r="C877" s="0" t="s">
        <v>55</v>
      </c>
      <c r="D877" s="0" t="n">
        <v>476586</v>
      </c>
      <c r="E877" s="0" t="s">
        <v>3876</v>
      </c>
      <c r="G877" s="0" t="s">
        <v>3877</v>
      </c>
    </row>
    <row r="878" customFormat="false" ht="15" hidden="false" customHeight="false" outlineLevel="0" collapsed="false">
      <c r="A878" s="0" t="s">
        <v>152</v>
      </c>
      <c r="B878" s="0" t="n">
        <v>2015</v>
      </c>
      <c r="C878" s="0" t="s">
        <v>60</v>
      </c>
      <c r="D878" s="0" t="n">
        <v>216221</v>
      </c>
      <c r="E878" s="0" t="s">
        <v>3876</v>
      </c>
      <c r="G878" s="0" t="s">
        <v>3877</v>
      </c>
    </row>
    <row r="879" customFormat="false" ht="15" hidden="false" customHeight="false" outlineLevel="0" collapsed="false">
      <c r="A879" s="0" t="s">
        <v>152</v>
      </c>
      <c r="B879" s="0" t="n">
        <v>2015</v>
      </c>
      <c r="C879" s="0" t="s">
        <v>61</v>
      </c>
      <c r="D879" s="0" t="n">
        <v>13450</v>
      </c>
      <c r="E879" s="0" t="s">
        <v>3876</v>
      </c>
      <c r="G879" s="0" t="s">
        <v>3877</v>
      </c>
    </row>
    <row r="880" customFormat="false" ht="15" hidden="false" customHeight="false" outlineLevel="0" collapsed="false">
      <c r="A880" s="0" t="s">
        <v>152</v>
      </c>
      <c r="B880" s="0" t="n">
        <v>2015</v>
      </c>
      <c r="C880" s="0" t="s">
        <v>63</v>
      </c>
      <c r="D880" s="0" t="n">
        <v>1800</v>
      </c>
      <c r="E880" s="0" t="s">
        <v>3876</v>
      </c>
      <c r="G880" s="0" t="s">
        <v>3877</v>
      </c>
    </row>
    <row r="881" customFormat="false" ht="15" hidden="false" customHeight="false" outlineLevel="0" collapsed="false">
      <c r="A881" s="0" t="s">
        <v>152</v>
      </c>
      <c r="B881" s="0" t="n">
        <v>2015</v>
      </c>
      <c r="C881" s="0" t="s">
        <v>266</v>
      </c>
      <c r="D881" s="0" t="n">
        <v>12</v>
      </c>
      <c r="E881" s="0" t="s">
        <v>3876</v>
      </c>
      <c r="G881" s="0" t="s">
        <v>3877</v>
      </c>
    </row>
    <row r="882" customFormat="false" ht="15" hidden="false" customHeight="false" outlineLevel="0" collapsed="false">
      <c r="A882" s="0" t="s">
        <v>152</v>
      </c>
      <c r="B882" s="0" t="n">
        <v>2015</v>
      </c>
      <c r="C882" s="0" t="s">
        <v>69</v>
      </c>
      <c r="D882" s="0" t="n">
        <v>16</v>
      </c>
      <c r="E882" s="0" t="s">
        <v>3876</v>
      </c>
      <c r="G882" s="0" t="s">
        <v>3877</v>
      </c>
    </row>
    <row r="883" customFormat="false" ht="15" hidden="false" customHeight="false" outlineLevel="0" collapsed="false">
      <c r="A883" s="0" t="s">
        <v>152</v>
      </c>
      <c r="B883" s="0" t="n">
        <v>2015</v>
      </c>
      <c r="C883" s="0" t="s">
        <v>73</v>
      </c>
      <c r="D883" s="0" t="n">
        <v>0</v>
      </c>
      <c r="E883" s="0" t="s">
        <v>3876</v>
      </c>
      <c r="G883" s="0" t="s">
        <v>3877</v>
      </c>
    </row>
    <row r="884" customFormat="false" ht="15" hidden="false" customHeight="false" outlineLevel="0" collapsed="false">
      <c r="A884" s="0" t="s">
        <v>152</v>
      </c>
      <c r="B884" s="0" t="n">
        <v>2015</v>
      </c>
      <c r="C884" s="0" t="s">
        <v>920</v>
      </c>
      <c r="D884" s="0" t="s">
        <v>3884</v>
      </c>
      <c r="E884" s="0" t="s">
        <v>3876</v>
      </c>
      <c r="G884" s="0" t="s">
        <v>3877</v>
      </c>
    </row>
    <row r="885" customFormat="false" ht="15" hidden="false" customHeight="false" outlineLevel="0" collapsed="false">
      <c r="A885" s="0" t="s">
        <v>152</v>
      </c>
      <c r="B885" s="0" t="n">
        <v>2016</v>
      </c>
      <c r="C885" s="0" t="s">
        <v>54</v>
      </c>
      <c r="D885" s="0" t="n">
        <v>3200</v>
      </c>
      <c r="E885" s="0" t="s">
        <v>3876</v>
      </c>
      <c r="G885" s="0" t="s">
        <v>3877</v>
      </c>
    </row>
    <row r="886" customFormat="false" ht="15" hidden="false" customHeight="false" outlineLevel="0" collapsed="false">
      <c r="A886" s="0" t="s">
        <v>152</v>
      </c>
      <c r="B886" s="0" t="n">
        <v>2016</v>
      </c>
      <c r="C886" s="0" t="s">
        <v>670</v>
      </c>
      <c r="D886" s="0" t="n">
        <v>82026</v>
      </c>
      <c r="E886" s="0" t="s">
        <v>3876</v>
      </c>
      <c r="G886" s="0" t="s">
        <v>3877</v>
      </c>
    </row>
    <row r="887" customFormat="false" ht="15" hidden="false" customHeight="false" outlineLevel="0" collapsed="false">
      <c r="A887" s="0" t="s">
        <v>152</v>
      </c>
      <c r="B887" s="0" t="n">
        <v>2016</v>
      </c>
      <c r="C887" s="0" t="s">
        <v>55</v>
      </c>
      <c r="D887" s="0" t="n">
        <v>492021</v>
      </c>
      <c r="E887" s="0" t="s">
        <v>3876</v>
      </c>
      <c r="G887" s="0" t="s">
        <v>3877</v>
      </c>
    </row>
    <row r="888" customFormat="false" ht="15" hidden="false" customHeight="false" outlineLevel="0" collapsed="false">
      <c r="A888" s="0" t="s">
        <v>152</v>
      </c>
      <c r="B888" s="0" t="n">
        <v>2016</v>
      </c>
      <c r="C888" s="0" t="s">
        <v>60</v>
      </c>
      <c r="D888" s="0" t="n">
        <v>237996</v>
      </c>
      <c r="E888" s="0" t="s">
        <v>3876</v>
      </c>
      <c r="G888" s="0" t="s">
        <v>3877</v>
      </c>
    </row>
    <row r="889" customFormat="false" ht="15" hidden="false" customHeight="false" outlineLevel="0" collapsed="false">
      <c r="A889" s="0" t="s">
        <v>152</v>
      </c>
      <c r="B889" s="0" t="n">
        <v>2016</v>
      </c>
      <c r="C889" s="0" t="s">
        <v>61</v>
      </c>
      <c r="D889" s="0" t="n">
        <v>14650</v>
      </c>
      <c r="E889" s="0" t="s">
        <v>3876</v>
      </c>
      <c r="G889" s="0" t="s">
        <v>3877</v>
      </c>
    </row>
    <row r="890" customFormat="false" ht="15" hidden="false" customHeight="false" outlineLevel="0" collapsed="false">
      <c r="A890" s="0" t="s">
        <v>152</v>
      </c>
      <c r="B890" s="0" t="n">
        <v>2016</v>
      </c>
      <c r="C890" s="0" t="s">
        <v>63</v>
      </c>
      <c r="D890" s="0" t="n">
        <v>1200</v>
      </c>
      <c r="E890" s="0" t="s">
        <v>3876</v>
      </c>
      <c r="G890" s="0" t="s">
        <v>3877</v>
      </c>
    </row>
    <row r="891" customFormat="false" ht="15" hidden="false" customHeight="false" outlineLevel="0" collapsed="false">
      <c r="A891" s="0" t="s">
        <v>152</v>
      </c>
      <c r="B891" s="0" t="n">
        <v>2016</v>
      </c>
      <c r="C891" s="0" t="s">
        <v>266</v>
      </c>
      <c r="D891" s="0" t="n">
        <v>13</v>
      </c>
      <c r="E891" s="0" t="s">
        <v>3876</v>
      </c>
      <c r="G891" s="0" t="s">
        <v>3877</v>
      </c>
    </row>
    <row r="892" customFormat="false" ht="15" hidden="false" customHeight="false" outlineLevel="0" collapsed="false">
      <c r="A892" s="0" t="s">
        <v>152</v>
      </c>
      <c r="B892" s="0" t="n">
        <v>2016</v>
      </c>
      <c r="C892" s="0" t="s">
        <v>69</v>
      </c>
      <c r="D892" s="0" t="n">
        <v>17</v>
      </c>
      <c r="E892" s="0" t="s">
        <v>3876</v>
      </c>
      <c r="G892" s="0" t="s">
        <v>3877</v>
      </c>
    </row>
    <row r="893" customFormat="false" ht="15" hidden="false" customHeight="false" outlineLevel="0" collapsed="false">
      <c r="A893" s="0" t="s">
        <v>152</v>
      </c>
      <c r="B893" s="0" t="n">
        <v>2016</v>
      </c>
      <c r="C893" s="0" t="s">
        <v>73</v>
      </c>
      <c r="D893" s="0" t="n">
        <v>0</v>
      </c>
      <c r="E893" s="0" t="s">
        <v>3876</v>
      </c>
      <c r="G893" s="0" t="s">
        <v>3877</v>
      </c>
    </row>
    <row r="894" customFormat="false" ht="15" hidden="false" customHeight="false" outlineLevel="0" collapsed="false">
      <c r="A894" s="0" t="s">
        <v>152</v>
      </c>
      <c r="B894" s="0" t="n">
        <v>2016</v>
      </c>
      <c r="C894" s="0" t="s">
        <v>920</v>
      </c>
      <c r="D894" s="0" t="s">
        <v>3884</v>
      </c>
      <c r="E894" s="0" t="s">
        <v>3876</v>
      </c>
      <c r="G894" s="0" t="s">
        <v>3877</v>
      </c>
    </row>
    <row r="895" customFormat="false" ht="15" hidden="false" customHeight="false" outlineLevel="0" collapsed="false">
      <c r="A895" s="0" t="s">
        <v>152</v>
      </c>
      <c r="B895" s="0" t="n">
        <v>2017</v>
      </c>
      <c r="C895" s="0" t="s">
        <v>54</v>
      </c>
      <c r="D895" s="0" t="n">
        <v>-14918</v>
      </c>
      <c r="E895" s="0" t="s">
        <v>3876</v>
      </c>
      <c r="G895" s="0" t="s">
        <v>3877</v>
      </c>
    </row>
    <row r="896" customFormat="false" ht="15" hidden="false" customHeight="false" outlineLevel="0" collapsed="false">
      <c r="A896" s="0" t="s">
        <v>152</v>
      </c>
      <c r="B896" s="0" t="n">
        <v>2017</v>
      </c>
      <c r="C896" s="0" t="s">
        <v>670</v>
      </c>
      <c r="D896" s="0" t="n">
        <v>89926</v>
      </c>
      <c r="E896" s="0" t="s">
        <v>3876</v>
      </c>
      <c r="G896" s="0" t="s">
        <v>3877</v>
      </c>
    </row>
    <row r="897" customFormat="false" ht="15" hidden="false" customHeight="false" outlineLevel="0" collapsed="false">
      <c r="A897" s="0" t="s">
        <v>152</v>
      </c>
      <c r="B897" s="0" t="n">
        <v>2017</v>
      </c>
      <c r="C897" s="0" t="s">
        <v>55</v>
      </c>
      <c r="D897" s="0" t="n">
        <v>156507</v>
      </c>
      <c r="E897" s="0" t="s">
        <v>3876</v>
      </c>
      <c r="G897" s="0" t="s">
        <v>3877</v>
      </c>
    </row>
    <row r="898" customFormat="false" ht="15" hidden="false" customHeight="false" outlineLevel="0" collapsed="false">
      <c r="A898" s="0" t="s">
        <v>152</v>
      </c>
      <c r="B898" s="0" t="n">
        <v>2017</v>
      </c>
      <c r="C898" s="0" t="s">
        <v>60</v>
      </c>
      <c r="D898" s="0" t="n">
        <v>9467</v>
      </c>
      <c r="E898" s="0" t="s">
        <v>3876</v>
      </c>
      <c r="G898" s="0" t="s">
        <v>3877</v>
      </c>
    </row>
    <row r="899" customFormat="false" ht="15" hidden="false" customHeight="false" outlineLevel="0" collapsed="false">
      <c r="A899" s="0" t="s">
        <v>152</v>
      </c>
      <c r="B899" s="0" t="n">
        <v>2017</v>
      </c>
      <c r="C899" s="0" t="s">
        <v>61</v>
      </c>
      <c r="D899" s="0" t="n">
        <v>509</v>
      </c>
      <c r="E899" s="0" t="s">
        <v>3876</v>
      </c>
      <c r="G899" s="0" t="s">
        <v>3877</v>
      </c>
    </row>
    <row r="900" customFormat="false" ht="15" hidden="false" customHeight="false" outlineLevel="0" collapsed="false">
      <c r="A900" s="0" t="s">
        <v>152</v>
      </c>
      <c r="B900" s="0" t="n">
        <v>2017</v>
      </c>
      <c r="C900" s="0" t="s">
        <v>63</v>
      </c>
      <c r="D900" s="0" t="n">
        <v>44255</v>
      </c>
      <c r="E900" s="0" t="s">
        <v>3876</v>
      </c>
      <c r="G900" s="0" t="s">
        <v>3877</v>
      </c>
    </row>
    <row r="901" customFormat="false" ht="15" hidden="false" customHeight="false" outlineLevel="0" collapsed="false">
      <c r="A901" s="0" t="s">
        <v>152</v>
      </c>
      <c r="B901" s="0" t="n">
        <v>2017</v>
      </c>
      <c r="C901" s="0" t="s">
        <v>266</v>
      </c>
      <c r="D901" s="0" t="n">
        <v>0</v>
      </c>
      <c r="E901" s="0" t="s">
        <v>3876</v>
      </c>
      <c r="G901" s="0" t="s">
        <v>3877</v>
      </c>
    </row>
    <row r="902" customFormat="false" ht="15" hidden="false" customHeight="false" outlineLevel="0" collapsed="false">
      <c r="A902" s="0" t="s">
        <v>152</v>
      </c>
      <c r="B902" s="0" t="n">
        <v>2017</v>
      </c>
      <c r="C902" s="0" t="s">
        <v>69</v>
      </c>
      <c r="D902" s="0" t="n">
        <v>-198.07</v>
      </c>
      <c r="E902" s="0" t="s">
        <v>3876</v>
      </c>
      <c r="G902" s="0" t="s">
        <v>3877</v>
      </c>
    </row>
    <row r="903" customFormat="false" ht="15" hidden="false" customHeight="false" outlineLevel="0" collapsed="false">
      <c r="A903" s="0" t="s">
        <v>152</v>
      </c>
      <c r="B903" s="0" t="n">
        <v>2017</v>
      </c>
      <c r="C903" s="0" t="s">
        <v>73</v>
      </c>
      <c r="D903" s="0" t="n">
        <v>0</v>
      </c>
      <c r="E903" s="0" t="s">
        <v>3876</v>
      </c>
      <c r="G903" s="0" t="s">
        <v>3877</v>
      </c>
    </row>
    <row r="904" customFormat="false" ht="15" hidden="false" customHeight="false" outlineLevel="0" collapsed="false">
      <c r="A904" s="0" t="s">
        <v>152</v>
      </c>
      <c r="B904" s="0" t="n">
        <v>2017</v>
      </c>
      <c r="C904" s="0" t="s">
        <v>920</v>
      </c>
      <c r="D904" s="0" t="s">
        <v>3884</v>
      </c>
      <c r="E904" s="0" t="s">
        <v>3876</v>
      </c>
      <c r="G904" s="0" t="s">
        <v>3877</v>
      </c>
    </row>
    <row r="905" customFormat="false" ht="15" hidden="false" customHeight="false" outlineLevel="0" collapsed="false">
      <c r="A905" s="0" t="s">
        <v>152</v>
      </c>
      <c r="B905" s="0" t="n">
        <v>2018</v>
      </c>
      <c r="C905" s="0" t="s">
        <v>54</v>
      </c>
      <c r="D905" s="0" t="n">
        <v>1269</v>
      </c>
      <c r="E905" s="0" t="s">
        <v>3876</v>
      </c>
      <c r="G905" s="0" t="s">
        <v>3877</v>
      </c>
    </row>
    <row r="906" customFormat="false" ht="15" hidden="false" customHeight="false" outlineLevel="0" collapsed="false">
      <c r="A906" s="0" t="s">
        <v>152</v>
      </c>
      <c r="B906" s="0" t="n">
        <v>2018</v>
      </c>
      <c r="C906" s="0" t="s">
        <v>670</v>
      </c>
      <c r="D906" s="0" t="n">
        <v>37325</v>
      </c>
      <c r="E906" s="0" t="s">
        <v>3876</v>
      </c>
      <c r="G906" s="0" t="s">
        <v>3877</v>
      </c>
    </row>
    <row r="907" customFormat="false" ht="15" hidden="false" customHeight="false" outlineLevel="0" collapsed="false">
      <c r="A907" s="0" t="s">
        <v>152</v>
      </c>
      <c r="B907" s="0" t="n">
        <v>2018</v>
      </c>
      <c r="C907" s="0" t="s">
        <v>55</v>
      </c>
      <c r="D907" s="0" t="n">
        <v>235976</v>
      </c>
      <c r="E907" s="0" t="s">
        <v>3876</v>
      </c>
      <c r="G907" s="0" t="s">
        <v>3877</v>
      </c>
    </row>
    <row r="908" customFormat="false" ht="15" hidden="false" customHeight="false" outlineLevel="0" collapsed="false">
      <c r="A908" s="0" t="s">
        <v>152</v>
      </c>
      <c r="B908" s="0" t="n">
        <v>2018</v>
      </c>
      <c r="C908" s="0" t="s">
        <v>60</v>
      </c>
      <c r="D908" s="0" t="n">
        <v>44402</v>
      </c>
      <c r="E908" s="0" t="s">
        <v>3876</v>
      </c>
      <c r="G908" s="0" t="s">
        <v>3877</v>
      </c>
    </row>
    <row r="909" customFormat="false" ht="15" hidden="false" customHeight="false" outlineLevel="0" collapsed="false">
      <c r="A909" s="0" t="s">
        <v>152</v>
      </c>
      <c r="B909" s="0" t="n">
        <v>2018</v>
      </c>
      <c r="C909" s="0" t="s">
        <v>61</v>
      </c>
      <c r="D909" s="0" t="n">
        <v>744</v>
      </c>
      <c r="E909" s="0" t="s">
        <v>3876</v>
      </c>
      <c r="G909" s="0" t="s">
        <v>3877</v>
      </c>
    </row>
    <row r="910" customFormat="false" ht="15" hidden="false" customHeight="false" outlineLevel="0" collapsed="false">
      <c r="A910" s="0" t="s">
        <v>152</v>
      </c>
      <c r="B910" s="0" t="n">
        <v>2018</v>
      </c>
      <c r="C910" s="0" t="s">
        <v>63</v>
      </c>
      <c r="D910" s="0" t="n">
        <v>161</v>
      </c>
      <c r="E910" s="0" t="s">
        <v>3876</v>
      </c>
      <c r="G910" s="0" t="s">
        <v>3877</v>
      </c>
    </row>
    <row r="911" customFormat="false" ht="15" hidden="false" customHeight="false" outlineLevel="0" collapsed="false">
      <c r="A911" s="0" t="s">
        <v>152</v>
      </c>
      <c r="B911" s="0" t="n">
        <v>2018</v>
      </c>
      <c r="C911" s="0" t="s">
        <v>266</v>
      </c>
      <c r="D911" s="0" t="n">
        <v>0</v>
      </c>
      <c r="E911" s="0" t="s">
        <v>3876</v>
      </c>
      <c r="G911" s="0" t="s">
        <v>3877</v>
      </c>
    </row>
    <row r="912" customFormat="false" ht="15" hidden="false" customHeight="false" outlineLevel="0" collapsed="false">
      <c r="A912" s="0" t="s">
        <v>152</v>
      </c>
      <c r="B912" s="0" t="n">
        <v>2018</v>
      </c>
      <c r="C912" s="0" t="s">
        <v>69</v>
      </c>
      <c r="D912" s="0" t="n">
        <v>-198.56</v>
      </c>
      <c r="E912" s="0" t="s">
        <v>3876</v>
      </c>
      <c r="G912" s="0" t="s">
        <v>3877</v>
      </c>
    </row>
    <row r="913" customFormat="false" ht="15" hidden="false" customHeight="false" outlineLevel="0" collapsed="false">
      <c r="A913" s="0" t="s">
        <v>152</v>
      </c>
      <c r="B913" s="0" t="n">
        <v>2018</v>
      </c>
      <c r="C913" s="0" t="s">
        <v>73</v>
      </c>
      <c r="D913" s="0" t="n">
        <v>0</v>
      </c>
      <c r="E913" s="0" t="s">
        <v>3876</v>
      </c>
      <c r="G913" s="0" t="s">
        <v>3877</v>
      </c>
    </row>
    <row r="914" customFormat="false" ht="15" hidden="false" customHeight="false" outlineLevel="0" collapsed="false">
      <c r="A914" s="0" t="s">
        <v>152</v>
      </c>
      <c r="B914" s="0" t="n">
        <v>2018</v>
      </c>
      <c r="C914" s="0" t="s">
        <v>920</v>
      </c>
      <c r="D914" s="0" t="s">
        <v>3884</v>
      </c>
      <c r="E914" s="0" t="s">
        <v>3876</v>
      </c>
      <c r="G914" s="0" t="s">
        <v>3877</v>
      </c>
    </row>
    <row r="915" customFormat="false" ht="15" hidden="false" customHeight="false" outlineLevel="0" collapsed="false">
      <c r="A915" s="0" t="s">
        <v>152</v>
      </c>
      <c r="B915" s="0" t="n">
        <v>2019</v>
      </c>
      <c r="C915" s="0" t="s">
        <v>54</v>
      </c>
      <c r="D915" s="0" t="n">
        <v>3383</v>
      </c>
      <c r="E915" s="0" t="s">
        <v>3876</v>
      </c>
      <c r="G915" s="0" t="s">
        <v>3877</v>
      </c>
    </row>
    <row r="916" customFormat="false" ht="15" hidden="false" customHeight="false" outlineLevel="0" collapsed="false">
      <c r="A916" s="0" t="s">
        <v>152</v>
      </c>
      <c r="B916" s="0" t="n">
        <v>2019</v>
      </c>
      <c r="C916" s="0" t="s">
        <v>670</v>
      </c>
      <c r="D916" s="0" t="n">
        <v>44587</v>
      </c>
      <c r="E916" s="0" t="s">
        <v>3876</v>
      </c>
      <c r="G916" s="0" t="s">
        <v>3877</v>
      </c>
    </row>
    <row r="917" customFormat="false" ht="15" hidden="false" customHeight="false" outlineLevel="0" collapsed="false">
      <c r="A917" s="0" t="s">
        <v>152</v>
      </c>
      <c r="B917" s="0" t="n">
        <v>2019</v>
      </c>
      <c r="C917" s="0" t="s">
        <v>55</v>
      </c>
      <c r="D917" s="0" t="n">
        <v>293052</v>
      </c>
      <c r="E917" s="0" t="s">
        <v>3876</v>
      </c>
      <c r="G917" s="0" t="s">
        <v>3877</v>
      </c>
    </row>
    <row r="918" customFormat="false" ht="15" hidden="false" customHeight="false" outlineLevel="0" collapsed="false">
      <c r="A918" s="0" t="s">
        <v>152</v>
      </c>
      <c r="B918" s="0" t="n">
        <v>2019</v>
      </c>
      <c r="C918" s="0" t="s">
        <v>60</v>
      </c>
      <c r="D918" s="0" t="n">
        <v>106914</v>
      </c>
      <c r="E918" s="0" t="s">
        <v>3876</v>
      </c>
      <c r="G918" s="0" t="s">
        <v>3877</v>
      </c>
    </row>
    <row r="919" customFormat="false" ht="15" hidden="false" customHeight="false" outlineLevel="0" collapsed="false">
      <c r="A919" s="0" t="s">
        <v>152</v>
      </c>
      <c r="B919" s="0" t="n">
        <v>2019</v>
      </c>
      <c r="C919" s="0" t="s">
        <v>61</v>
      </c>
      <c r="D919" s="0" t="n">
        <v>14841</v>
      </c>
      <c r="E919" s="0" t="s">
        <v>3876</v>
      </c>
      <c r="G919" s="0" t="s">
        <v>3877</v>
      </c>
    </row>
    <row r="920" customFormat="false" ht="15" hidden="false" customHeight="false" outlineLevel="0" collapsed="false">
      <c r="A920" s="0" t="s">
        <v>152</v>
      </c>
      <c r="B920" s="0" t="n">
        <v>2019</v>
      </c>
      <c r="C920" s="0" t="s">
        <v>63</v>
      </c>
      <c r="D920" s="0" t="n">
        <v>-1922</v>
      </c>
      <c r="E920" s="0" t="s">
        <v>3876</v>
      </c>
      <c r="G920" s="0" t="s">
        <v>3877</v>
      </c>
    </row>
    <row r="921" customFormat="false" ht="15" hidden="false" customHeight="false" outlineLevel="0" collapsed="false">
      <c r="A921" s="0" t="s">
        <v>152</v>
      </c>
      <c r="B921" s="0" t="n">
        <v>2019</v>
      </c>
      <c r="C921" s="0" t="s">
        <v>266</v>
      </c>
      <c r="D921" s="0" t="n">
        <v>0.9</v>
      </c>
      <c r="E921" s="0" t="s">
        <v>3876</v>
      </c>
      <c r="G921" s="0" t="s">
        <v>3877</v>
      </c>
    </row>
    <row r="922" customFormat="false" ht="15" hidden="false" customHeight="false" outlineLevel="0" collapsed="false">
      <c r="A922" s="0" t="s">
        <v>152</v>
      </c>
      <c r="B922" s="0" t="n">
        <v>2019</v>
      </c>
      <c r="C922" s="0" t="s">
        <v>69</v>
      </c>
      <c r="D922" s="0" t="n">
        <v>-201.59</v>
      </c>
      <c r="E922" s="0" t="s">
        <v>3876</v>
      </c>
      <c r="G922" s="0" t="s">
        <v>3877</v>
      </c>
    </row>
    <row r="923" customFormat="false" ht="15" hidden="false" customHeight="false" outlineLevel="0" collapsed="false">
      <c r="A923" s="0" t="s">
        <v>152</v>
      </c>
      <c r="B923" s="0" t="n">
        <v>2019</v>
      </c>
      <c r="C923" s="0" t="s">
        <v>73</v>
      </c>
      <c r="D923" s="0" t="n">
        <v>1</v>
      </c>
      <c r="E923" s="0" t="s">
        <v>3876</v>
      </c>
      <c r="G923" s="0" t="s">
        <v>3877</v>
      </c>
    </row>
    <row r="924" customFormat="false" ht="15" hidden="false" customHeight="false" outlineLevel="0" collapsed="false">
      <c r="A924" s="0" t="s">
        <v>152</v>
      </c>
      <c r="B924" s="0" t="n">
        <v>2019</v>
      </c>
      <c r="C924" s="0" t="s">
        <v>920</v>
      </c>
      <c r="D924" s="0" t="s">
        <v>1973</v>
      </c>
      <c r="E924" s="0" t="s">
        <v>3876</v>
      </c>
      <c r="G924" s="0" t="s">
        <v>3877</v>
      </c>
    </row>
    <row r="925" customFormat="false" ht="15" hidden="false" customHeight="false" outlineLevel="0" collapsed="false">
      <c r="A925" s="0" t="s">
        <v>152</v>
      </c>
      <c r="B925" s="0" t="n">
        <v>2020</v>
      </c>
      <c r="C925" s="0" t="s">
        <v>54</v>
      </c>
      <c r="D925" s="0" t="n">
        <v>2086</v>
      </c>
      <c r="E925" s="0" t="s">
        <v>3876</v>
      </c>
      <c r="G925" s="0" t="s">
        <v>3877</v>
      </c>
    </row>
    <row r="926" customFormat="false" ht="15" hidden="false" customHeight="false" outlineLevel="0" collapsed="false">
      <c r="A926" s="0" t="s">
        <v>152</v>
      </c>
      <c r="B926" s="0" t="n">
        <v>2020</v>
      </c>
      <c r="C926" s="0" t="s">
        <v>670</v>
      </c>
      <c r="D926" s="0" t="n">
        <v>42709</v>
      </c>
      <c r="E926" s="0" t="s">
        <v>3876</v>
      </c>
      <c r="G926" s="0" t="s">
        <v>3877</v>
      </c>
    </row>
    <row r="927" customFormat="false" ht="15" hidden="false" customHeight="false" outlineLevel="0" collapsed="false">
      <c r="A927" s="0" t="s">
        <v>152</v>
      </c>
      <c r="B927" s="0" t="n">
        <v>2020</v>
      </c>
      <c r="C927" s="0" t="s">
        <v>55</v>
      </c>
      <c r="D927" s="0" t="n">
        <v>492020</v>
      </c>
      <c r="E927" s="0" t="s">
        <v>3876</v>
      </c>
      <c r="G927" s="0" t="s">
        <v>3877</v>
      </c>
    </row>
    <row r="928" customFormat="false" ht="15" hidden="false" customHeight="false" outlineLevel="0" collapsed="false">
      <c r="A928" s="0" t="s">
        <v>152</v>
      </c>
      <c r="B928" s="0" t="n">
        <v>2020</v>
      </c>
      <c r="C928" s="0" t="s">
        <v>60</v>
      </c>
      <c r="D928" s="0" t="n">
        <v>206206</v>
      </c>
      <c r="E928" s="0" t="s">
        <v>3876</v>
      </c>
      <c r="G928" s="0" t="s">
        <v>3877</v>
      </c>
    </row>
    <row r="929" customFormat="false" ht="15" hidden="false" customHeight="false" outlineLevel="0" collapsed="false">
      <c r="A929" s="0" t="s">
        <v>152</v>
      </c>
      <c r="B929" s="0" t="n">
        <v>2020</v>
      </c>
      <c r="C929" s="0" t="s">
        <v>61</v>
      </c>
      <c r="D929" s="0" t="n">
        <v>11909</v>
      </c>
      <c r="E929" s="0" t="s">
        <v>3876</v>
      </c>
      <c r="G929" s="0" t="s">
        <v>3877</v>
      </c>
    </row>
    <row r="930" customFormat="false" ht="15" hidden="false" customHeight="false" outlineLevel="0" collapsed="false">
      <c r="A930" s="0" t="s">
        <v>152</v>
      </c>
      <c r="B930" s="0" t="n">
        <v>2020</v>
      </c>
      <c r="C930" s="0" t="s">
        <v>63</v>
      </c>
      <c r="D930" s="0" t="n">
        <v>4127</v>
      </c>
      <c r="E930" s="0" t="s">
        <v>3876</v>
      </c>
      <c r="G930" s="0" t="s">
        <v>3877</v>
      </c>
    </row>
    <row r="931" customFormat="false" ht="15" hidden="false" customHeight="false" outlineLevel="0" collapsed="false">
      <c r="A931" s="0" t="s">
        <v>152</v>
      </c>
      <c r="B931" s="0" t="n">
        <v>2020</v>
      </c>
      <c r="C931" s="0" t="s">
        <v>266</v>
      </c>
      <c r="D931" s="0" t="n">
        <v>0.03</v>
      </c>
      <c r="E931" s="0" t="s">
        <v>3876</v>
      </c>
      <c r="G931" s="0" t="s">
        <v>3877</v>
      </c>
    </row>
    <row r="932" customFormat="false" ht="15" hidden="false" customHeight="false" outlineLevel="0" collapsed="false">
      <c r="A932" s="0" t="s">
        <v>152</v>
      </c>
      <c r="B932" s="0" t="n">
        <v>2020</v>
      </c>
      <c r="C932" s="0" t="s">
        <v>69</v>
      </c>
      <c r="D932" s="0" t="n">
        <v>-101.47</v>
      </c>
      <c r="E932" s="0" t="s">
        <v>3876</v>
      </c>
      <c r="G932" s="0" t="s">
        <v>3877</v>
      </c>
    </row>
    <row r="933" customFormat="false" ht="15" hidden="false" customHeight="false" outlineLevel="0" collapsed="false">
      <c r="A933" s="0" t="s">
        <v>152</v>
      </c>
      <c r="B933" s="0" t="n">
        <v>2020</v>
      </c>
      <c r="C933" s="0" t="s">
        <v>73</v>
      </c>
      <c r="D933" s="0" t="n">
        <v>1</v>
      </c>
      <c r="E933" s="0" t="s">
        <v>3876</v>
      </c>
      <c r="G933" s="0" t="s">
        <v>3877</v>
      </c>
    </row>
    <row r="934" customFormat="false" ht="15" hidden="false" customHeight="false" outlineLevel="0" collapsed="false">
      <c r="A934" s="0" t="s">
        <v>152</v>
      </c>
      <c r="B934" s="0" t="n">
        <v>2020</v>
      </c>
      <c r="C934" s="0" t="s">
        <v>920</v>
      </c>
      <c r="D934" s="0" t="s">
        <v>1973</v>
      </c>
      <c r="E934" s="0" t="s">
        <v>3876</v>
      </c>
      <c r="G934" s="0" t="s">
        <v>3877</v>
      </c>
    </row>
    <row r="935" customFormat="false" ht="15" hidden="false" customHeight="false" outlineLevel="0" collapsed="false">
      <c r="A935" s="0" t="s">
        <v>152</v>
      </c>
      <c r="B935" s="0" t="n">
        <v>2021</v>
      </c>
      <c r="C935" s="0" t="s">
        <v>54</v>
      </c>
      <c r="D935" s="0" t="n">
        <v>3173</v>
      </c>
      <c r="E935" s="0" t="s">
        <v>3876</v>
      </c>
      <c r="G935" s="0" t="s">
        <v>3877</v>
      </c>
    </row>
    <row r="936" customFormat="false" ht="15" hidden="false" customHeight="false" outlineLevel="0" collapsed="false">
      <c r="A936" s="0" t="s">
        <v>152</v>
      </c>
      <c r="B936" s="0" t="n">
        <v>2021</v>
      </c>
      <c r="C936" s="0" t="s">
        <v>670</v>
      </c>
      <c r="D936" s="0" t="n">
        <v>50284</v>
      </c>
      <c r="E936" s="0" t="s">
        <v>3876</v>
      </c>
      <c r="G936" s="0" t="s">
        <v>3877</v>
      </c>
    </row>
    <row r="937" customFormat="false" ht="15" hidden="false" customHeight="false" outlineLevel="0" collapsed="false">
      <c r="A937" s="0" t="s">
        <v>152</v>
      </c>
      <c r="B937" s="0" t="n">
        <v>2021</v>
      </c>
      <c r="C937" s="0" t="s">
        <v>55</v>
      </c>
      <c r="D937" s="0" t="n">
        <v>538869</v>
      </c>
      <c r="E937" s="0" t="s">
        <v>3876</v>
      </c>
      <c r="G937" s="0" t="s">
        <v>3877</v>
      </c>
    </row>
    <row r="938" customFormat="false" ht="15" hidden="false" customHeight="false" outlineLevel="0" collapsed="false">
      <c r="A938" s="0" t="s">
        <v>152</v>
      </c>
      <c r="B938" s="0" t="n">
        <v>2021</v>
      </c>
      <c r="C938" s="0" t="s">
        <v>60</v>
      </c>
      <c r="D938" s="0" t="n">
        <v>272469</v>
      </c>
      <c r="E938" s="0" t="s">
        <v>3876</v>
      </c>
      <c r="G938" s="0" t="s">
        <v>3877</v>
      </c>
    </row>
    <row r="939" customFormat="false" ht="15" hidden="false" customHeight="false" outlineLevel="0" collapsed="false">
      <c r="A939" s="0" t="s">
        <v>152</v>
      </c>
      <c r="B939" s="0" t="n">
        <v>2021</v>
      </c>
      <c r="C939" s="0" t="s">
        <v>61</v>
      </c>
      <c r="D939" s="0" t="n">
        <v>3199</v>
      </c>
      <c r="E939" s="0" t="s">
        <v>3876</v>
      </c>
      <c r="G939" s="0" t="s">
        <v>3877</v>
      </c>
    </row>
    <row r="940" customFormat="false" ht="15" hidden="false" customHeight="false" outlineLevel="0" collapsed="false">
      <c r="A940" s="0" t="s">
        <v>152</v>
      </c>
      <c r="B940" s="0" t="n">
        <v>2021</v>
      </c>
      <c r="C940" s="0" t="s">
        <v>63</v>
      </c>
      <c r="D940" s="0" t="n">
        <v>2564</v>
      </c>
      <c r="E940" s="0" t="s">
        <v>3876</v>
      </c>
      <c r="G940" s="0" t="s">
        <v>3877</v>
      </c>
    </row>
    <row r="941" customFormat="false" ht="15" hidden="false" customHeight="false" outlineLevel="0" collapsed="false">
      <c r="A941" s="0" t="s">
        <v>152</v>
      </c>
      <c r="B941" s="0" t="n">
        <v>2021</v>
      </c>
      <c r="C941" s="0" t="s">
        <v>266</v>
      </c>
      <c r="D941" s="0" t="n">
        <v>0.04</v>
      </c>
      <c r="E941" s="0" t="s">
        <v>3876</v>
      </c>
      <c r="G941" s="0" t="s">
        <v>3877</v>
      </c>
    </row>
    <row r="942" customFormat="false" ht="15" hidden="false" customHeight="false" outlineLevel="0" collapsed="false">
      <c r="A942" s="0" t="s">
        <v>152</v>
      </c>
      <c r="B942" s="0" t="n">
        <v>2021</v>
      </c>
      <c r="C942" s="0" t="s">
        <v>69</v>
      </c>
      <c r="D942" s="0" t="n">
        <v>-86.18</v>
      </c>
      <c r="E942" s="0" t="s">
        <v>3876</v>
      </c>
      <c r="G942" s="0" t="s">
        <v>3877</v>
      </c>
    </row>
    <row r="943" customFormat="false" ht="15" hidden="false" customHeight="false" outlineLevel="0" collapsed="false">
      <c r="A943" s="0" t="s">
        <v>152</v>
      </c>
      <c r="B943" s="0" t="n">
        <v>2021</v>
      </c>
      <c r="C943" s="0" t="s">
        <v>73</v>
      </c>
      <c r="D943" s="0" t="n">
        <v>1</v>
      </c>
      <c r="E943" s="0" t="s">
        <v>3876</v>
      </c>
      <c r="G943" s="0" t="s">
        <v>3877</v>
      </c>
    </row>
    <row r="944" customFormat="false" ht="15" hidden="false" customHeight="false" outlineLevel="0" collapsed="false">
      <c r="A944" s="0" t="s">
        <v>152</v>
      </c>
      <c r="B944" s="0" t="n">
        <v>2021</v>
      </c>
      <c r="C944" s="0" t="s">
        <v>920</v>
      </c>
      <c r="D944" s="0" t="s">
        <v>1973</v>
      </c>
      <c r="E944" s="0" t="s">
        <v>3876</v>
      </c>
      <c r="G944" s="0" t="s">
        <v>3877</v>
      </c>
    </row>
    <row r="945" customFormat="false" ht="15" hidden="false" customHeight="false" outlineLevel="0" collapsed="false">
      <c r="A945" s="0" t="s">
        <v>152</v>
      </c>
      <c r="B945" s="0" t="n">
        <v>2022</v>
      </c>
      <c r="C945" s="0" t="s">
        <v>54</v>
      </c>
      <c r="D945" s="0" t="n">
        <v>941</v>
      </c>
      <c r="E945" s="0" t="s">
        <v>3876</v>
      </c>
      <c r="G945" s="0" t="s">
        <v>3877</v>
      </c>
    </row>
    <row r="946" customFormat="false" ht="15" hidden="false" customHeight="false" outlineLevel="0" collapsed="false">
      <c r="A946" s="0" t="s">
        <v>152</v>
      </c>
      <c r="B946" s="0" t="n">
        <v>2022</v>
      </c>
      <c r="C946" s="0" t="s">
        <v>670</v>
      </c>
      <c r="D946" s="0" t="n">
        <v>57150</v>
      </c>
      <c r="E946" s="0" t="s">
        <v>3876</v>
      </c>
      <c r="G946" s="0" t="s">
        <v>3877</v>
      </c>
    </row>
    <row r="947" customFormat="false" ht="15" hidden="false" customHeight="false" outlineLevel="0" collapsed="false">
      <c r="A947" s="0" t="s">
        <v>152</v>
      </c>
      <c r="B947" s="0" t="n">
        <v>2022</v>
      </c>
      <c r="C947" s="0" t="s">
        <v>55</v>
      </c>
      <c r="D947" s="0" t="n">
        <v>510144</v>
      </c>
      <c r="E947" s="0" t="s">
        <v>3876</v>
      </c>
      <c r="G947" s="0" t="s">
        <v>3877</v>
      </c>
    </row>
    <row r="948" customFormat="false" ht="15" hidden="false" customHeight="false" outlineLevel="0" collapsed="false">
      <c r="A948" s="0" t="s">
        <v>152</v>
      </c>
      <c r="B948" s="0" t="n">
        <v>2022</v>
      </c>
      <c r="C948" s="0" t="s">
        <v>60</v>
      </c>
      <c r="D948" s="0" t="n">
        <v>292969</v>
      </c>
      <c r="E948" s="0" t="s">
        <v>3876</v>
      </c>
      <c r="G948" s="0" t="s">
        <v>3877</v>
      </c>
    </row>
    <row r="949" customFormat="false" ht="15" hidden="false" customHeight="false" outlineLevel="0" collapsed="false">
      <c r="A949" s="0" t="s">
        <v>152</v>
      </c>
      <c r="B949" s="0" t="n">
        <v>2022</v>
      </c>
      <c r="C949" s="0" t="s">
        <v>61</v>
      </c>
      <c r="D949" s="0" t="n">
        <v>3613</v>
      </c>
      <c r="E949" s="0" t="s">
        <v>3876</v>
      </c>
      <c r="G949" s="0" t="s">
        <v>3877</v>
      </c>
    </row>
    <row r="950" customFormat="false" ht="15" hidden="false" customHeight="false" outlineLevel="0" collapsed="false">
      <c r="A950" s="0" t="s">
        <v>152</v>
      </c>
      <c r="B950" s="0" t="n">
        <v>2022</v>
      </c>
      <c r="C950" s="0" t="s">
        <v>63</v>
      </c>
      <c r="D950" s="0" t="n">
        <v>1204</v>
      </c>
      <c r="E950" s="0" t="s">
        <v>3876</v>
      </c>
      <c r="G950" s="0" t="s">
        <v>3877</v>
      </c>
    </row>
    <row r="951" customFormat="false" ht="15" hidden="false" customHeight="false" outlineLevel="0" collapsed="false">
      <c r="A951" s="0" t="s">
        <v>152</v>
      </c>
      <c r="B951" s="0" t="n">
        <v>2022</v>
      </c>
      <c r="C951" s="0" t="s">
        <v>266</v>
      </c>
      <c r="D951" s="0" t="n">
        <v>3.62</v>
      </c>
      <c r="E951" s="0" t="s">
        <v>3876</v>
      </c>
      <c r="G951" s="0" t="s">
        <v>3877</v>
      </c>
    </row>
    <row r="952" customFormat="false" ht="15" hidden="false" customHeight="false" outlineLevel="0" collapsed="false">
      <c r="A952" s="0" t="s">
        <v>152</v>
      </c>
      <c r="B952" s="0" t="n">
        <v>2022</v>
      </c>
      <c r="C952" s="0" t="s">
        <v>69</v>
      </c>
      <c r="D952" s="0" t="n">
        <v>-89.69</v>
      </c>
      <c r="E952" s="0" t="s">
        <v>3876</v>
      </c>
      <c r="G952" s="0" t="s">
        <v>3877</v>
      </c>
    </row>
    <row r="953" customFormat="false" ht="15" hidden="false" customHeight="false" outlineLevel="0" collapsed="false">
      <c r="A953" s="0" t="s">
        <v>152</v>
      </c>
      <c r="B953" s="0" t="n">
        <v>2022</v>
      </c>
      <c r="C953" s="0" t="s">
        <v>73</v>
      </c>
      <c r="D953" s="0" t="n">
        <v>1</v>
      </c>
      <c r="E953" s="0" t="s">
        <v>3876</v>
      </c>
      <c r="G953" s="0" t="s">
        <v>3877</v>
      </c>
    </row>
    <row r="954" customFormat="false" ht="15" hidden="false" customHeight="false" outlineLevel="0" collapsed="false">
      <c r="A954" s="0" t="s">
        <v>152</v>
      </c>
      <c r="B954" s="0" t="n">
        <v>2022</v>
      </c>
      <c r="C954" s="0" t="s">
        <v>920</v>
      </c>
      <c r="D954" s="0" t="s">
        <v>1973</v>
      </c>
      <c r="E954" s="0" t="s">
        <v>3876</v>
      </c>
      <c r="G954" s="0" t="s">
        <v>3877</v>
      </c>
    </row>
    <row r="955" customFormat="false" ht="15" hidden="false" customHeight="false" outlineLevel="0" collapsed="false">
      <c r="A955" s="0" t="s">
        <v>77</v>
      </c>
      <c r="B955" s="0" t="n">
        <v>2015</v>
      </c>
      <c r="C955" s="0" t="s">
        <v>54</v>
      </c>
      <c r="D955" s="0" t="n">
        <v>58925</v>
      </c>
      <c r="E955" s="0" t="s">
        <v>3885</v>
      </c>
      <c r="F955" s="0" t="s">
        <v>3886</v>
      </c>
      <c r="G955" s="0" t="s">
        <v>3877</v>
      </c>
    </row>
    <row r="956" customFormat="false" ht="15" hidden="false" customHeight="false" outlineLevel="0" collapsed="false">
      <c r="A956" s="0" t="s">
        <v>77</v>
      </c>
      <c r="B956" s="0" t="n">
        <v>2015</v>
      </c>
      <c r="C956" s="0" t="s">
        <v>670</v>
      </c>
      <c r="D956" s="0" t="n">
        <v>302062</v>
      </c>
      <c r="E956" s="0" t="s">
        <v>3885</v>
      </c>
      <c r="F956" s="0" t="s">
        <v>3886</v>
      </c>
      <c r="G956" s="0" t="s">
        <v>3877</v>
      </c>
    </row>
    <row r="957" customFormat="false" ht="15" hidden="false" customHeight="false" outlineLevel="0" collapsed="false">
      <c r="A957" s="0" t="s">
        <v>77</v>
      </c>
      <c r="B957" s="0" t="n">
        <v>2015</v>
      </c>
      <c r="C957" s="0" t="s">
        <v>55</v>
      </c>
      <c r="D957" s="0" t="n">
        <v>2411944</v>
      </c>
      <c r="E957" s="0" t="s">
        <v>3885</v>
      </c>
      <c r="F957" s="0" t="s">
        <v>3886</v>
      </c>
      <c r="G957" s="0" t="s">
        <v>3877</v>
      </c>
    </row>
    <row r="958" customFormat="false" ht="15" hidden="false" customHeight="false" outlineLevel="0" collapsed="false">
      <c r="A958" s="0" t="s">
        <v>77</v>
      </c>
      <c r="B958" s="0" t="n">
        <v>2015</v>
      </c>
      <c r="C958" s="0" t="s">
        <v>60</v>
      </c>
      <c r="D958" s="0" t="n">
        <v>1243215</v>
      </c>
      <c r="E958" s="0" t="s">
        <v>3885</v>
      </c>
      <c r="F958" s="0" t="s">
        <v>3886</v>
      </c>
      <c r="G958" s="0" t="s">
        <v>3877</v>
      </c>
    </row>
    <row r="959" customFormat="false" ht="15" hidden="false" customHeight="false" outlineLevel="0" collapsed="false">
      <c r="A959" s="0" t="s">
        <v>77</v>
      </c>
      <c r="B959" s="0" t="n">
        <v>2015</v>
      </c>
      <c r="C959" s="0" t="s">
        <v>61</v>
      </c>
      <c r="D959" s="0" t="n">
        <v>26906</v>
      </c>
      <c r="E959" s="0" t="s">
        <v>3885</v>
      </c>
      <c r="F959" s="0" t="s">
        <v>3886</v>
      </c>
      <c r="G959" s="0" t="s">
        <v>3877</v>
      </c>
    </row>
    <row r="960" customFormat="false" ht="15" hidden="false" customHeight="false" outlineLevel="0" collapsed="false">
      <c r="A960" s="0" t="s">
        <v>77</v>
      </c>
      <c r="B960" s="0" t="n">
        <v>2015</v>
      </c>
      <c r="C960" s="0" t="s">
        <v>63</v>
      </c>
      <c r="D960" s="0" t="n">
        <v>13288</v>
      </c>
      <c r="E960" s="0" t="s">
        <v>3885</v>
      </c>
      <c r="F960" s="0" t="s">
        <v>3886</v>
      </c>
      <c r="G960" s="0" t="s">
        <v>3877</v>
      </c>
    </row>
    <row r="961" customFormat="false" ht="15" hidden="false" customHeight="false" outlineLevel="0" collapsed="false">
      <c r="A961" s="0" t="s">
        <v>77</v>
      </c>
      <c r="B961" s="0" t="n">
        <v>2015</v>
      </c>
      <c r="C961" s="0" t="s">
        <v>266</v>
      </c>
      <c r="D961" s="0" t="n">
        <v>1.5</v>
      </c>
      <c r="E961" s="0" t="s">
        <v>3885</v>
      </c>
      <c r="F961" s="0" t="s">
        <v>3886</v>
      </c>
      <c r="G961" s="0" t="s">
        <v>3877</v>
      </c>
    </row>
    <row r="962" customFormat="false" ht="15" hidden="false" customHeight="false" outlineLevel="0" collapsed="false">
      <c r="A962" s="0" t="s">
        <v>77</v>
      </c>
      <c r="B962" s="0" t="n">
        <v>2015</v>
      </c>
      <c r="C962" s="0" t="s">
        <v>69</v>
      </c>
      <c r="D962" s="0" t="n">
        <v>18</v>
      </c>
      <c r="E962" s="0" t="s">
        <v>3885</v>
      </c>
      <c r="F962" s="0" t="s">
        <v>3886</v>
      </c>
      <c r="G962" s="0" t="s">
        <v>3877</v>
      </c>
    </row>
    <row r="963" customFormat="false" ht="15" hidden="false" customHeight="false" outlineLevel="0" collapsed="false">
      <c r="A963" s="0" t="s">
        <v>77</v>
      </c>
      <c r="B963" s="0" t="n">
        <v>2015</v>
      </c>
      <c r="C963" s="0" t="s">
        <v>73</v>
      </c>
      <c r="D963" s="0" t="n">
        <v>0</v>
      </c>
      <c r="E963" s="0" t="s">
        <v>3885</v>
      </c>
      <c r="F963" s="0" t="s">
        <v>3886</v>
      </c>
      <c r="G963" s="0" t="s">
        <v>3877</v>
      </c>
    </row>
    <row r="964" customFormat="false" ht="15" hidden="false" customHeight="false" outlineLevel="0" collapsed="false">
      <c r="A964" s="0" t="s">
        <v>77</v>
      </c>
      <c r="B964" s="0" t="n">
        <v>2015</v>
      </c>
      <c r="C964" s="0" t="s">
        <v>920</v>
      </c>
      <c r="D964" s="0" t="s">
        <v>3878</v>
      </c>
      <c r="E964" s="0" t="s">
        <v>3885</v>
      </c>
      <c r="F964" s="0" t="s">
        <v>3886</v>
      </c>
      <c r="G964" s="0" t="s">
        <v>3877</v>
      </c>
    </row>
    <row r="965" customFormat="false" ht="15" hidden="false" customHeight="false" outlineLevel="0" collapsed="false">
      <c r="A965" s="0" t="s">
        <v>77</v>
      </c>
      <c r="B965" s="0" t="n">
        <v>2016</v>
      </c>
      <c r="C965" s="0" t="s">
        <v>54</v>
      </c>
      <c r="D965" s="0" t="n">
        <v>64026</v>
      </c>
      <c r="E965" s="0" t="s">
        <v>3885</v>
      </c>
      <c r="F965" s="0" t="s">
        <v>3886</v>
      </c>
      <c r="G965" s="0" t="s">
        <v>3877</v>
      </c>
    </row>
    <row r="966" customFormat="false" ht="15" hidden="false" customHeight="false" outlineLevel="0" collapsed="false">
      <c r="A966" s="0" t="s">
        <v>77</v>
      </c>
      <c r="B966" s="0" t="n">
        <v>2016</v>
      </c>
      <c r="C966" s="0" t="s">
        <v>670</v>
      </c>
      <c r="D966" s="0" t="n">
        <v>331001</v>
      </c>
      <c r="E966" s="0" t="s">
        <v>3885</v>
      </c>
      <c r="F966" s="0" t="s">
        <v>3886</v>
      </c>
      <c r="G966" s="0" t="s">
        <v>3877</v>
      </c>
    </row>
    <row r="967" customFormat="false" ht="15" hidden="false" customHeight="false" outlineLevel="0" collapsed="false">
      <c r="A967" s="0" t="s">
        <v>77</v>
      </c>
      <c r="B967" s="0" t="n">
        <v>2016</v>
      </c>
      <c r="C967" s="0" t="s">
        <v>55</v>
      </c>
      <c r="D967" s="0" t="n">
        <v>3094961</v>
      </c>
      <c r="E967" s="0" t="s">
        <v>3885</v>
      </c>
      <c r="F967" s="0" t="s">
        <v>3886</v>
      </c>
      <c r="G967" s="0" t="s">
        <v>3877</v>
      </c>
    </row>
    <row r="968" customFormat="false" ht="15" hidden="false" customHeight="false" outlineLevel="0" collapsed="false">
      <c r="A968" s="0" t="s">
        <v>77</v>
      </c>
      <c r="B968" s="0" t="n">
        <v>2016</v>
      </c>
      <c r="C968" s="0" t="s">
        <v>60</v>
      </c>
      <c r="D968" s="0" t="n">
        <v>1594562</v>
      </c>
      <c r="E968" s="0" t="s">
        <v>3885</v>
      </c>
      <c r="F968" s="0" t="s">
        <v>3886</v>
      </c>
      <c r="G968" s="0" t="s">
        <v>3877</v>
      </c>
    </row>
    <row r="969" customFormat="false" ht="15" hidden="false" customHeight="false" outlineLevel="0" collapsed="false">
      <c r="A969" s="0" t="s">
        <v>77</v>
      </c>
      <c r="B969" s="0" t="n">
        <v>2016</v>
      </c>
      <c r="C969" s="0" t="s">
        <v>61</v>
      </c>
      <c r="D969" s="0" t="n">
        <v>30276</v>
      </c>
      <c r="E969" s="0" t="s">
        <v>3885</v>
      </c>
      <c r="F969" s="0" t="s">
        <v>3886</v>
      </c>
      <c r="G969" s="0" t="s">
        <v>3877</v>
      </c>
    </row>
    <row r="970" customFormat="false" ht="15" hidden="false" customHeight="false" outlineLevel="0" collapsed="false">
      <c r="A970" s="0" t="s">
        <v>77</v>
      </c>
      <c r="B970" s="0" t="n">
        <v>2016</v>
      </c>
      <c r="C970" s="0" t="s">
        <v>63</v>
      </c>
      <c r="D970" s="0" t="n">
        <v>17641</v>
      </c>
      <c r="E970" s="0" t="s">
        <v>3885</v>
      </c>
      <c r="F970" s="0" t="s">
        <v>3886</v>
      </c>
      <c r="G970" s="0" t="s">
        <v>3877</v>
      </c>
    </row>
    <row r="971" customFormat="false" ht="15" hidden="false" customHeight="false" outlineLevel="0" collapsed="false">
      <c r="A971" s="0" t="s">
        <v>77</v>
      </c>
      <c r="B971" s="0" t="n">
        <v>2016</v>
      </c>
      <c r="C971" s="0" t="s">
        <v>266</v>
      </c>
      <c r="D971" s="0" t="n">
        <v>1.8</v>
      </c>
      <c r="E971" s="0" t="s">
        <v>3885</v>
      </c>
      <c r="F971" s="0" t="s">
        <v>3886</v>
      </c>
      <c r="G971" s="0" t="s">
        <v>3877</v>
      </c>
    </row>
    <row r="972" customFormat="false" ht="15" hidden="false" customHeight="false" outlineLevel="0" collapsed="false">
      <c r="A972" s="0" t="s">
        <v>77</v>
      </c>
      <c r="B972" s="0" t="n">
        <v>2016</v>
      </c>
      <c r="C972" s="0" t="s">
        <v>69</v>
      </c>
      <c r="D972" s="0" t="n">
        <v>19.55</v>
      </c>
      <c r="E972" s="0" t="s">
        <v>3885</v>
      </c>
      <c r="F972" s="0" t="s">
        <v>3886</v>
      </c>
      <c r="G972" s="0" t="s">
        <v>3877</v>
      </c>
    </row>
    <row r="973" customFormat="false" ht="15" hidden="false" customHeight="false" outlineLevel="0" collapsed="false">
      <c r="A973" s="0" t="s">
        <v>77</v>
      </c>
      <c r="B973" s="0" t="n">
        <v>2016</v>
      </c>
      <c r="C973" s="0" t="s">
        <v>73</v>
      </c>
      <c r="D973" s="0" t="n">
        <v>0</v>
      </c>
      <c r="E973" s="0" t="s">
        <v>3885</v>
      </c>
      <c r="F973" s="0" t="s">
        <v>3886</v>
      </c>
      <c r="G973" s="0" t="s">
        <v>3877</v>
      </c>
    </row>
    <row r="974" customFormat="false" ht="15" hidden="false" customHeight="false" outlineLevel="0" collapsed="false">
      <c r="A974" s="0" t="s">
        <v>77</v>
      </c>
      <c r="B974" s="0" t="n">
        <v>2016</v>
      </c>
      <c r="C974" s="0" t="s">
        <v>920</v>
      </c>
      <c r="D974" s="0" t="s">
        <v>3878</v>
      </c>
      <c r="E974" s="0" t="s">
        <v>3885</v>
      </c>
      <c r="F974" s="0" t="s">
        <v>3886</v>
      </c>
      <c r="G974" s="0" t="s">
        <v>3877</v>
      </c>
    </row>
    <row r="975" customFormat="false" ht="15" hidden="false" customHeight="false" outlineLevel="0" collapsed="false">
      <c r="A975" s="0" t="s">
        <v>77</v>
      </c>
      <c r="B975" s="0" t="n">
        <v>2017</v>
      </c>
      <c r="C975" s="0" t="s">
        <v>54</v>
      </c>
      <c r="D975" s="0" t="n">
        <v>53239</v>
      </c>
      <c r="E975" s="0" t="s">
        <v>3885</v>
      </c>
      <c r="F975" s="0" t="s">
        <v>3886</v>
      </c>
      <c r="G975" s="0" t="s">
        <v>3877</v>
      </c>
    </row>
    <row r="976" customFormat="false" ht="15" hidden="false" customHeight="false" outlineLevel="0" collapsed="false">
      <c r="A976" s="0" t="s">
        <v>77</v>
      </c>
      <c r="B976" s="0" t="n">
        <v>2017</v>
      </c>
      <c r="C976" s="0" t="s">
        <v>670</v>
      </c>
      <c r="D976" s="0" t="n">
        <v>398162</v>
      </c>
      <c r="E976" s="0" t="s">
        <v>3885</v>
      </c>
      <c r="F976" s="0" t="s">
        <v>3886</v>
      </c>
      <c r="G976" s="0" t="s">
        <v>3877</v>
      </c>
    </row>
    <row r="977" customFormat="false" ht="15" hidden="false" customHeight="false" outlineLevel="0" collapsed="false">
      <c r="A977" s="0" t="s">
        <v>77</v>
      </c>
      <c r="B977" s="0" t="n">
        <v>2017</v>
      </c>
      <c r="C977" s="0" t="s">
        <v>55</v>
      </c>
      <c r="D977" s="0" t="n">
        <v>3499684</v>
      </c>
      <c r="E977" s="0" t="s">
        <v>3885</v>
      </c>
      <c r="F977" s="0" t="s">
        <v>3886</v>
      </c>
      <c r="G977" s="0" t="s">
        <v>3877</v>
      </c>
    </row>
    <row r="978" customFormat="false" ht="15" hidden="false" customHeight="false" outlineLevel="0" collapsed="false">
      <c r="A978" s="0" t="s">
        <v>77</v>
      </c>
      <c r="B978" s="0" t="n">
        <v>2017</v>
      </c>
      <c r="C978" s="0" t="s">
        <v>60</v>
      </c>
      <c r="D978" s="0" t="n">
        <v>1827389</v>
      </c>
      <c r="E978" s="0" t="s">
        <v>3885</v>
      </c>
      <c r="F978" s="0" t="s">
        <v>3886</v>
      </c>
      <c r="G978" s="0" t="s">
        <v>3877</v>
      </c>
    </row>
    <row r="979" customFormat="false" ht="15" hidden="false" customHeight="false" outlineLevel="0" collapsed="false">
      <c r="A979" s="0" t="s">
        <v>77</v>
      </c>
      <c r="B979" s="0" t="n">
        <v>2017</v>
      </c>
      <c r="C979" s="0" t="s">
        <v>61</v>
      </c>
      <c r="D979" s="0" t="n">
        <v>56331</v>
      </c>
      <c r="E979" s="0" t="s">
        <v>3885</v>
      </c>
      <c r="F979" s="0" t="s">
        <v>3886</v>
      </c>
      <c r="G979" s="0" t="s">
        <v>3877</v>
      </c>
    </row>
    <row r="980" customFormat="false" ht="15" hidden="false" customHeight="false" outlineLevel="0" collapsed="false">
      <c r="A980" s="0" t="s">
        <v>77</v>
      </c>
      <c r="B980" s="0" t="n">
        <v>2017</v>
      </c>
      <c r="C980" s="0" t="s">
        <v>63</v>
      </c>
      <c r="D980" s="0" t="n">
        <v>29150</v>
      </c>
      <c r="E980" s="0" t="s">
        <v>3885</v>
      </c>
      <c r="F980" s="0" t="s">
        <v>3886</v>
      </c>
      <c r="G980" s="0" t="s">
        <v>3877</v>
      </c>
    </row>
    <row r="981" customFormat="false" ht="15" hidden="false" customHeight="false" outlineLevel="0" collapsed="false">
      <c r="A981" s="0" t="s">
        <v>77</v>
      </c>
      <c r="B981" s="0" t="n">
        <v>2017</v>
      </c>
      <c r="C981" s="0" t="s">
        <v>266</v>
      </c>
      <c r="D981" s="0" t="n">
        <v>4.28</v>
      </c>
      <c r="E981" s="0" t="s">
        <v>3885</v>
      </c>
      <c r="F981" s="0" t="s">
        <v>3886</v>
      </c>
      <c r="G981" s="0" t="s">
        <v>3877</v>
      </c>
    </row>
    <row r="982" customFormat="false" ht="15" hidden="false" customHeight="false" outlineLevel="0" collapsed="false">
      <c r="A982" s="0" t="s">
        <v>77</v>
      </c>
      <c r="B982" s="0" t="n">
        <v>2017</v>
      </c>
      <c r="C982" s="0" t="s">
        <v>69</v>
      </c>
      <c r="D982" s="0" t="n">
        <v>18.18</v>
      </c>
      <c r="E982" s="0" t="s">
        <v>3885</v>
      </c>
      <c r="F982" s="0" t="s">
        <v>3886</v>
      </c>
      <c r="G982" s="0" t="s">
        <v>3877</v>
      </c>
    </row>
    <row r="983" customFormat="false" ht="15" hidden="false" customHeight="false" outlineLevel="0" collapsed="false">
      <c r="A983" s="0" t="s">
        <v>77</v>
      </c>
      <c r="B983" s="0" t="n">
        <v>2017</v>
      </c>
      <c r="C983" s="0" t="s">
        <v>73</v>
      </c>
      <c r="D983" s="0" t="n">
        <v>0</v>
      </c>
      <c r="E983" s="0" t="s">
        <v>3885</v>
      </c>
      <c r="F983" s="0" t="s">
        <v>3886</v>
      </c>
      <c r="G983" s="0" t="s">
        <v>3877</v>
      </c>
    </row>
    <row r="984" customFormat="false" ht="15" hidden="false" customHeight="false" outlineLevel="0" collapsed="false">
      <c r="A984" s="0" t="s">
        <v>77</v>
      </c>
      <c r="B984" s="0" t="n">
        <v>2017</v>
      </c>
      <c r="C984" s="0" t="s">
        <v>920</v>
      </c>
      <c r="D984" s="0" t="s">
        <v>3878</v>
      </c>
      <c r="E984" s="0" t="s">
        <v>3885</v>
      </c>
      <c r="F984" s="0" t="s">
        <v>3886</v>
      </c>
      <c r="G984" s="0" t="s">
        <v>3877</v>
      </c>
    </row>
    <row r="985" customFormat="false" ht="15" hidden="false" customHeight="false" outlineLevel="0" collapsed="false">
      <c r="A985" s="0" t="s">
        <v>77</v>
      </c>
      <c r="B985" s="0" t="n">
        <v>2018</v>
      </c>
      <c r="C985" s="0" t="s">
        <v>54</v>
      </c>
      <c r="D985" s="0" t="n">
        <v>73596</v>
      </c>
      <c r="E985" s="0" t="s">
        <v>3885</v>
      </c>
      <c r="F985" s="0" t="s">
        <v>3886</v>
      </c>
      <c r="G985" s="0" t="s">
        <v>3877</v>
      </c>
    </row>
    <row r="986" customFormat="false" ht="15" hidden="false" customHeight="false" outlineLevel="0" collapsed="false">
      <c r="A986" s="0" t="s">
        <v>77</v>
      </c>
      <c r="B986" s="0" t="n">
        <v>2018</v>
      </c>
      <c r="C986" s="0" t="s">
        <v>670</v>
      </c>
      <c r="D986" s="0" t="n">
        <v>435743</v>
      </c>
      <c r="E986" s="0" t="s">
        <v>3885</v>
      </c>
      <c r="F986" s="0" t="s">
        <v>3886</v>
      </c>
      <c r="G986" s="0" t="s">
        <v>3877</v>
      </c>
    </row>
    <row r="987" customFormat="false" ht="15" hidden="false" customHeight="false" outlineLevel="0" collapsed="false">
      <c r="A987" s="0" t="s">
        <v>77</v>
      </c>
      <c r="B987" s="0" t="n">
        <v>2018</v>
      </c>
      <c r="C987" s="0" t="s">
        <v>55</v>
      </c>
      <c r="D987" s="0" t="n">
        <v>3968115</v>
      </c>
      <c r="E987" s="0" t="s">
        <v>3885</v>
      </c>
      <c r="F987" s="0" t="s">
        <v>3886</v>
      </c>
      <c r="G987" s="0" t="s">
        <v>3877</v>
      </c>
    </row>
    <row r="988" customFormat="false" ht="15" hidden="false" customHeight="false" outlineLevel="0" collapsed="false">
      <c r="A988" s="0" t="s">
        <v>77</v>
      </c>
      <c r="B988" s="0" t="n">
        <v>2018</v>
      </c>
      <c r="C988" s="0" t="s">
        <v>60</v>
      </c>
      <c r="D988" s="0" t="n">
        <v>1753772</v>
      </c>
      <c r="E988" s="0" t="s">
        <v>3885</v>
      </c>
      <c r="F988" s="0" t="s">
        <v>3886</v>
      </c>
      <c r="G988" s="0" t="s">
        <v>3877</v>
      </c>
    </row>
    <row r="989" customFormat="false" ht="15" hidden="false" customHeight="false" outlineLevel="0" collapsed="false">
      <c r="A989" s="0" t="s">
        <v>77</v>
      </c>
      <c r="B989" s="0" t="n">
        <v>2018</v>
      </c>
      <c r="C989" s="0" t="s">
        <v>61</v>
      </c>
      <c r="D989" s="0" t="n">
        <v>72010</v>
      </c>
      <c r="E989" s="0" t="s">
        <v>3885</v>
      </c>
      <c r="F989" s="0" t="s">
        <v>3886</v>
      </c>
      <c r="G989" s="0" t="s">
        <v>3877</v>
      </c>
    </row>
    <row r="990" customFormat="false" ht="15" hidden="false" customHeight="false" outlineLevel="0" collapsed="false">
      <c r="A990" s="0" t="s">
        <v>77</v>
      </c>
      <c r="B990" s="0" t="n">
        <v>2018</v>
      </c>
      <c r="C990" s="0" t="s">
        <v>63</v>
      </c>
      <c r="D990" s="0" t="n">
        <v>10702</v>
      </c>
      <c r="E990" s="0" t="s">
        <v>3885</v>
      </c>
      <c r="F990" s="0" t="s">
        <v>3886</v>
      </c>
      <c r="G990" s="0" t="s">
        <v>3877</v>
      </c>
    </row>
    <row r="991" customFormat="false" ht="15" hidden="false" customHeight="false" outlineLevel="0" collapsed="false">
      <c r="A991" s="0" t="s">
        <v>77</v>
      </c>
      <c r="B991" s="0" t="n">
        <v>2018</v>
      </c>
      <c r="C991" s="0" t="s">
        <v>266</v>
      </c>
      <c r="D991" s="0" t="n">
        <v>2.38</v>
      </c>
      <c r="E991" s="0" t="s">
        <v>3885</v>
      </c>
      <c r="F991" s="0" t="s">
        <v>3886</v>
      </c>
      <c r="G991" s="0" t="s">
        <v>3877</v>
      </c>
    </row>
    <row r="992" customFormat="false" ht="15" hidden="false" customHeight="false" outlineLevel="0" collapsed="false">
      <c r="A992" s="0" t="s">
        <v>77</v>
      </c>
      <c r="B992" s="0" t="n">
        <v>2018</v>
      </c>
      <c r="C992" s="0" t="s">
        <v>69</v>
      </c>
      <c r="D992" s="0" t="n">
        <v>16.34</v>
      </c>
      <c r="E992" s="0" t="s">
        <v>3885</v>
      </c>
      <c r="F992" s="0" t="s">
        <v>3886</v>
      </c>
      <c r="G992" s="0" t="s">
        <v>3877</v>
      </c>
    </row>
    <row r="993" customFormat="false" ht="15" hidden="false" customHeight="false" outlineLevel="0" collapsed="false">
      <c r="A993" s="0" t="s">
        <v>77</v>
      </c>
      <c r="B993" s="0" t="n">
        <v>2018</v>
      </c>
      <c r="C993" s="0" t="s">
        <v>73</v>
      </c>
      <c r="D993" s="0" t="n">
        <v>0</v>
      </c>
      <c r="E993" s="0" t="s">
        <v>3885</v>
      </c>
      <c r="F993" s="0" t="s">
        <v>3886</v>
      </c>
      <c r="G993" s="0" t="s">
        <v>3877</v>
      </c>
    </row>
    <row r="994" customFormat="false" ht="15" hidden="false" customHeight="false" outlineLevel="0" collapsed="false">
      <c r="A994" s="0" t="s">
        <v>77</v>
      </c>
      <c r="B994" s="0" t="n">
        <v>2018</v>
      </c>
      <c r="C994" s="0" t="s">
        <v>920</v>
      </c>
      <c r="D994" s="0" t="s">
        <v>3878</v>
      </c>
      <c r="E994" s="0" t="s">
        <v>3885</v>
      </c>
      <c r="F994" s="0" t="s">
        <v>3886</v>
      </c>
      <c r="G994" s="0" t="s">
        <v>3877</v>
      </c>
    </row>
    <row r="995" customFormat="false" ht="15" hidden="false" customHeight="false" outlineLevel="0" collapsed="false">
      <c r="A995" s="0" t="s">
        <v>77</v>
      </c>
      <c r="B995" s="0" t="n">
        <v>2019</v>
      </c>
      <c r="C995" s="0" t="s">
        <v>54</v>
      </c>
      <c r="D995" s="0" t="n">
        <v>73569</v>
      </c>
      <c r="E995" s="0" t="s">
        <v>3885</v>
      </c>
      <c r="F995" s="0" t="s">
        <v>3886</v>
      </c>
      <c r="G995" s="0" t="s">
        <v>3877</v>
      </c>
    </row>
    <row r="996" customFormat="false" ht="15" hidden="false" customHeight="false" outlineLevel="0" collapsed="false">
      <c r="A996" s="0" t="s">
        <v>77</v>
      </c>
      <c r="B996" s="0" t="n">
        <v>2019</v>
      </c>
      <c r="C996" s="0" t="s">
        <v>670</v>
      </c>
      <c r="D996" s="0" t="n">
        <v>576348</v>
      </c>
      <c r="E996" s="0" t="s">
        <v>3885</v>
      </c>
      <c r="F996" s="0" t="s">
        <v>3886</v>
      </c>
      <c r="G996" s="0" t="s">
        <v>3877</v>
      </c>
    </row>
    <row r="997" customFormat="false" ht="15" hidden="false" customHeight="false" outlineLevel="0" collapsed="false">
      <c r="A997" s="0" t="s">
        <v>77</v>
      </c>
      <c r="B997" s="0" t="n">
        <v>2019</v>
      </c>
      <c r="C997" s="0" t="s">
        <v>55</v>
      </c>
      <c r="D997" s="0" t="n">
        <v>6311041</v>
      </c>
      <c r="E997" s="0" t="s">
        <v>3885</v>
      </c>
      <c r="F997" s="0" t="s">
        <v>3886</v>
      </c>
      <c r="G997" s="0" t="s">
        <v>3877</v>
      </c>
    </row>
    <row r="998" customFormat="false" ht="15" hidden="false" customHeight="false" outlineLevel="0" collapsed="false">
      <c r="A998" s="0" t="s">
        <v>77</v>
      </c>
      <c r="B998" s="0" t="n">
        <v>2019</v>
      </c>
      <c r="C998" s="0" t="s">
        <v>60</v>
      </c>
      <c r="D998" s="0" t="n">
        <v>2662623</v>
      </c>
      <c r="E998" s="0" t="s">
        <v>3885</v>
      </c>
      <c r="F998" s="0" t="s">
        <v>3886</v>
      </c>
      <c r="G998" s="0" t="s">
        <v>3877</v>
      </c>
    </row>
    <row r="999" customFormat="false" ht="15" hidden="false" customHeight="false" outlineLevel="0" collapsed="false">
      <c r="A999" s="0" t="s">
        <v>77</v>
      </c>
      <c r="B999" s="0" t="n">
        <v>2019</v>
      </c>
      <c r="C999" s="0" t="s">
        <v>61</v>
      </c>
      <c r="D999" s="0" t="n">
        <v>180999</v>
      </c>
      <c r="E999" s="0" t="s">
        <v>3885</v>
      </c>
      <c r="F999" s="0" t="s">
        <v>3886</v>
      </c>
      <c r="G999" s="0" t="s">
        <v>3877</v>
      </c>
    </row>
    <row r="1000" customFormat="false" ht="15" hidden="false" customHeight="false" outlineLevel="0" collapsed="false">
      <c r="A1000" s="0" t="s">
        <v>77</v>
      </c>
      <c r="B1000" s="0" t="n">
        <v>2019</v>
      </c>
      <c r="C1000" s="0" t="s">
        <v>63</v>
      </c>
      <c r="D1000" s="0" t="n">
        <v>21055</v>
      </c>
      <c r="E1000" s="0" t="s">
        <v>3885</v>
      </c>
      <c r="F1000" s="0" t="s">
        <v>3886</v>
      </c>
      <c r="G1000" s="0" t="s">
        <v>3877</v>
      </c>
    </row>
    <row r="1001" customFormat="false" ht="15" hidden="false" customHeight="false" outlineLevel="0" collapsed="false">
      <c r="A1001" s="0" t="s">
        <v>77</v>
      </c>
      <c r="B1001" s="0" t="n">
        <v>2019</v>
      </c>
      <c r="C1001" s="0" t="s">
        <v>266</v>
      </c>
      <c r="D1001" s="0" t="n">
        <v>6.1</v>
      </c>
      <c r="E1001" s="0" t="s">
        <v>3885</v>
      </c>
      <c r="F1001" s="0" t="s">
        <v>3886</v>
      </c>
      <c r="G1001" s="0" t="s">
        <v>3877</v>
      </c>
    </row>
    <row r="1002" customFormat="false" ht="15" hidden="false" customHeight="false" outlineLevel="0" collapsed="false">
      <c r="A1002" s="0" t="s">
        <v>77</v>
      </c>
      <c r="B1002" s="0" t="n">
        <v>2019</v>
      </c>
      <c r="C1002" s="0" t="s">
        <v>69</v>
      </c>
      <c r="D1002" s="0" t="n">
        <v>17.65</v>
      </c>
      <c r="E1002" s="0" t="s">
        <v>3885</v>
      </c>
      <c r="F1002" s="0" t="s">
        <v>3886</v>
      </c>
      <c r="G1002" s="0" t="s">
        <v>3877</v>
      </c>
    </row>
    <row r="1003" customFormat="false" ht="15" hidden="false" customHeight="false" outlineLevel="0" collapsed="false">
      <c r="A1003" s="0" t="s">
        <v>77</v>
      </c>
      <c r="B1003" s="0" t="n">
        <v>2019</v>
      </c>
      <c r="C1003" s="0" t="s">
        <v>73</v>
      </c>
      <c r="D1003" s="0" t="n">
        <v>0</v>
      </c>
      <c r="E1003" s="0" t="s">
        <v>3885</v>
      </c>
      <c r="F1003" s="0" t="s">
        <v>3886</v>
      </c>
      <c r="G1003" s="0" t="s">
        <v>3877</v>
      </c>
    </row>
    <row r="1004" customFormat="false" ht="15" hidden="false" customHeight="false" outlineLevel="0" collapsed="false">
      <c r="A1004" s="0" t="s">
        <v>77</v>
      </c>
      <c r="B1004" s="0" t="n">
        <v>2019</v>
      </c>
      <c r="C1004" s="0" t="s">
        <v>920</v>
      </c>
      <c r="D1004" s="0" t="s">
        <v>3878</v>
      </c>
      <c r="E1004" s="0" t="s">
        <v>3885</v>
      </c>
      <c r="F1004" s="0" t="s">
        <v>3886</v>
      </c>
      <c r="G1004" s="0" t="s">
        <v>3877</v>
      </c>
    </row>
    <row r="1005" customFormat="false" ht="15" hidden="false" customHeight="false" outlineLevel="0" collapsed="false">
      <c r="A1005" s="0" t="s">
        <v>77</v>
      </c>
      <c r="B1005" s="0" t="n">
        <v>2020</v>
      </c>
      <c r="C1005" s="0" t="s">
        <v>54</v>
      </c>
      <c r="D1005" s="0" t="n">
        <v>80039</v>
      </c>
      <c r="E1005" s="0" t="s">
        <v>3885</v>
      </c>
      <c r="F1005" s="0" t="s">
        <v>3886</v>
      </c>
      <c r="G1005" s="0" t="s">
        <v>3877</v>
      </c>
    </row>
    <row r="1006" customFormat="false" ht="15" hidden="false" customHeight="false" outlineLevel="0" collapsed="false">
      <c r="A1006" s="0" t="s">
        <v>77</v>
      </c>
      <c r="B1006" s="0" t="n">
        <v>2020</v>
      </c>
      <c r="C1006" s="0" t="s">
        <v>670</v>
      </c>
      <c r="D1006" s="0" t="n">
        <v>634864</v>
      </c>
      <c r="E1006" s="0" t="s">
        <v>3885</v>
      </c>
      <c r="F1006" s="0" t="s">
        <v>3886</v>
      </c>
      <c r="G1006" s="0" t="s">
        <v>3877</v>
      </c>
    </row>
    <row r="1007" customFormat="false" ht="15" hidden="false" customHeight="false" outlineLevel="0" collapsed="false">
      <c r="A1007" s="0" t="s">
        <v>77</v>
      </c>
      <c r="B1007" s="0" t="n">
        <v>2020</v>
      </c>
      <c r="C1007" s="0" t="s">
        <v>55</v>
      </c>
      <c r="D1007" s="0" t="n">
        <v>7624980</v>
      </c>
      <c r="E1007" s="0" t="s">
        <v>3885</v>
      </c>
      <c r="F1007" s="0" t="s">
        <v>3886</v>
      </c>
      <c r="G1007" s="0" t="s">
        <v>3877</v>
      </c>
    </row>
    <row r="1008" customFormat="false" ht="15" hidden="false" customHeight="false" outlineLevel="0" collapsed="false">
      <c r="A1008" s="0" t="s">
        <v>77</v>
      </c>
      <c r="B1008" s="0" t="n">
        <v>2020</v>
      </c>
      <c r="C1008" s="0" t="s">
        <v>60</v>
      </c>
      <c r="D1008" s="0" t="n">
        <v>2829171</v>
      </c>
      <c r="E1008" s="0" t="s">
        <v>3885</v>
      </c>
      <c r="F1008" s="0" t="s">
        <v>3886</v>
      </c>
      <c r="G1008" s="0" t="s">
        <v>3877</v>
      </c>
    </row>
    <row r="1009" customFormat="false" ht="15" hidden="false" customHeight="false" outlineLevel="0" collapsed="false">
      <c r="A1009" s="0" t="s">
        <v>77</v>
      </c>
      <c r="B1009" s="0" t="n">
        <v>2020</v>
      </c>
      <c r="C1009" s="0" t="s">
        <v>61</v>
      </c>
      <c r="D1009" s="0" t="n">
        <v>116211</v>
      </c>
      <c r="E1009" s="0" t="s">
        <v>3885</v>
      </c>
      <c r="F1009" s="0" t="s">
        <v>3886</v>
      </c>
      <c r="G1009" s="0" t="s">
        <v>3877</v>
      </c>
    </row>
    <row r="1010" customFormat="false" ht="15" hidden="false" customHeight="false" outlineLevel="0" collapsed="false">
      <c r="A1010" s="0" t="s">
        <v>77</v>
      </c>
      <c r="B1010" s="0" t="n">
        <v>2020</v>
      </c>
      <c r="C1010" s="0" t="s">
        <v>63</v>
      </c>
      <c r="D1010" s="0" t="n">
        <v>39651</v>
      </c>
      <c r="E1010" s="0" t="s">
        <v>3885</v>
      </c>
      <c r="F1010" s="0" t="s">
        <v>3886</v>
      </c>
      <c r="G1010" s="0" t="s">
        <v>3877</v>
      </c>
    </row>
    <row r="1011" customFormat="false" ht="15" hidden="false" customHeight="false" outlineLevel="0" collapsed="false">
      <c r="A1011" s="0" t="s">
        <v>77</v>
      </c>
      <c r="B1011" s="0" t="n">
        <v>2020</v>
      </c>
      <c r="C1011" s="0" t="s">
        <v>266</v>
      </c>
      <c r="D1011" s="0" t="n">
        <v>3.65</v>
      </c>
      <c r="E1011" s="0" t="s">
        <v>3885</v>
      </c>
      <c r="F1011" s="0" t="s">
        <v>3886</v>
      </c>
      <c r="G1011" s="0" t="s">
        <v>3877</v>
      </c>
    </row>
    <row r="1012" customFormat="false" ht="15" hidden="false" customHeight="false" outlineLevel="0" collapsed="false">
      <c r="A1012" s="0" t="s">
        <v>77</v>
      </c>
      <c r="B1012" s="0" t="n">
        <v>2020</v>
      </c>
      <c r="C1012" s="0" t="s">
        <v>69</v>
      </c>
      <c r="D1012" s="0" t="n">
        <v>16.83</v>
      </c>
      <c r="E1012" s="0" t="s">
        <v>3885</v>
      </c>
      <c r="F1012" s="0" t="s">
        <v>3886</v>
      </c>
      <c r="G1012" s="0" t="s">
        <v>3877</v>
      </c>
    </row>
    <row r="1013" customFormat="false" ht="15" hidden="false" customHeight="false" outlineLevel="0" collapsed="false">
      <c r="A1013" s="0" t="s">
        <v>77</v>
      </c>
      <c r="B1013" s="0" t="n">
        <v>2020</v>
      </c>
      <c r="C1013" s="0" t="s">
        <v>73</v>
      </c>
      <c r="D1013" s="0" t="n">
        <v>0</v>
      </c>
      <c r="E1013" s="0" t="s">
        <v>3885</v>
      </c>
      <c r="F1013" s="0" t="s">
        <v>3886</v>
      </c>
      <c r="G1013" s="0" t="s">
        <v>3877</v>
      </c>
    </row>
    <row r="1014" customFormat="false" ht="15" hidden="false" customHeight="false" outlineLevel="0" collapsed="false">
      <c r="A1014" s="0" t="s">
        <v>77</v>
      </c>
      <c r="B1014" s="0" t="n">
        <v>2020</v>
      </c>
      <c r="C1014" s="0" t="s">
        <v>920</v>
      </c>
      <c r="D1014" s="0" t="s">
        <v>3878</v>
      </c>
      <c r="E1014" s="0" t="s">
        <v>3885</v>
      </c>
      <c r="F1014" s="0" t="s">
        <v>3886</v>
      </c>
      <c r="G1014" s="0" t="s">
        <v>3877</v>
      </c>
    </row>
    <row r="1015" customFormat="false" ht="15" hidden="false" customHeight="false" outlineLevel="0" collapsed="false">
      <c r="A1015" s="0" t="s">
        <v>77</v>
      </c>
      <c r="B1015" s="0" t="n">
        <v>2021</v>
      </c>
      <c r="C1015" s="0" t="s">
        <v>54</v>
      </c>
      <c r="D1015" s="0" t="n">
        <v>111326</v>
      </c>
      <c r="E1015" s="0" t="s">
        <v>3885</v>
      </c>
      <c r="F1015" s="0" t="s">
        <v>3886</v>
      </c>
      <c r="G1015" s="0" t="s">
        <v>3877</v>
      </c>
    </row>
    <row r="1016" customFormat="false" ht="15" hidden="false" customHeight="false" outlineLevel="0" collapsed="false">
      <c r="A1016" s="0" t="s">
        <v>77</v>
      </c>
      <c r="B1016" s="0" t="n">
        <v>2021</v>
      </c>
      <c r="C1016" s="0" t="s">
        <v>670</v>
      </c>
      <c r="D1016" s="0" t="n">
        <v>734283</v>
      </c>
      <c r="E1016" s="0" t="s">
        <v>3885</v>
      </c>
      <c r="F1016" s="0" t="s">
        <v>3886</v>
      </c>
      <c r="G1016" s="0" t="s">
        <v>3877</v>
      </c>
    </row>
    <row r="1017" customFormat="false" ht="15" hidden="false" customHeight="false" outlineLevel="0" collapsed="false">
      <c r="A1017" s="0" t="s">
        <v>77</v>
      </c>
      <c r="B1017" s="0" t="n">
        <v>2021</v>
      </c>
      <c r="C1017" s="0" t="s">
        <v>55</v>
      </c>
      <c r="D1017" s="0" t="n">
        <v>9660761</v>
      </c>
      <c r="E1017" s="0" t="s">
        <v>3885</v>
      </c>
      <c r="F1017" s="0" t="s">
        <v>3886</v>
      </c>
      <c r="G1017" s="0" t="s">
        <v>3877</v>
      </c>
    </row>
    <row r="1018" customFormat="false" ht="15" hidden="false" customHeight="false" outlineLevel="0" collapsed="false">
      <c r="A1018" s="0" t="s">
        <v>77</v>
      </c>
      <c r="B1018" s="0" t="n">
        <v>2021</v>
      </c>
      <c r="C1018" s="0" t="s">
        <v>60</v>
      </c>
      <c r="D1018" s="0" t="n">
        <v>3343722</v>
      </c>
      <c r="E1018" s="0" t="s">
        <v>3885</v>
      </c>
      <c r="F1018" s="0" t="s">
        <v>3886</v>
      </c>
      <c r="G1018" s="0" t="s">
        <v>3877</v>
      </c>
    </row>
    <row r="1019" customFormat="false" ht="15" hidden="false" customHeight="false" outlineLevel="0" collapsed="false">
      <c r="A1019" s="0" t="s">
        <v>77</v>
      </c>
      <c r="B1019" s="0" t="n">
        <v>2021</v>
      </c>
      <c r="C1019" s="0" t="s">
        <v>61</v>
      </c>
      <c r="D1019" s="0" t="n">
        <v>87650</v>
      </c>
      <c r="E1019" s="0" t="s">
        <v>3885</v>
      </c>
      <c r="F1019" s="0" t="s">
        <v>3886</v>
      </c>
      <c r="G1019" s="0" t="s">
        <v>3877</v>
      </c>
    </row>
    <row r="1020" customFormat="false" ht="15" hidden="false" customHeight="false" outlineLevel="0" collapsed="false">
      <c r="A1020" s="0" t="s">
        <v>77</v>
      </c>
      <c r="B1020" s="0" t="n">
        <v>2021</v>
      </c>
      <c r="C1020" s="0" t="s">
        <v>63</v>
      </c>
      <c r="D1020" s="0" t="n">
        <v>53801</v>
      </c>
      <c r="E1020" s="0" t="s">
        <v>3885</v>
      </c>
      <c r="F1020" s="0" t="s">
        <v>3886</v>
      </c>
      <c r="G1020" s="0" t="s">
        <v>3877</v>
      </c>
    </row>
    <row r="1021" customFormat="false" ht="15" hidden="false" customHeight="false" outlineLevel="0" collapsed="false">
      <c r="A1021" s="0" t="s">
        <v>77</v>
      </c>
      <c r="B1021" s="0" t="n">
        <v>2021</v>
      </c>
      <c r="C1021" s="0" t="s">
        <v>266</v>
      </c>
      <c r="D1021" s="0" t="n">
        <v>2.03</v>
      </c>
      <c r="E1021" s="0" t="s">
        <v>3885</v>
      </c>
      <c r="F1021" s="0" t="s">
        <v>3886</v>
      </c>
      <c r="G1021" s="0" t="s">
        <v>3877</v>
      </c>
    </row>
    <row r="1022" customFormat="false" ht="15" hidden="false" customHeight="false" outlineLevel="0" collapsed="false">
      <c r="A1022" s="0" t="s">
        <v>77</v>
      </c>
      <c r="B1022" s="0" t="n">
        <v>2021</v>
      </c>
      <c r="C1022" s="0" t="s">
        <v>69</v>
      </c>
      <c r="D1022" s="0" t="n">
        <v>20.93</v>
      </c>
      <c r="E1022" s="0" t="s">
        <v>3885</v>
      </c>
      <c r="F1022" s="0" t="s">
        <v>3886</v>
      </c>
      <c r="G1022" s="0" t="s">
        <v>3877</v>
      </c>
    </row>
    <row r="1023" customFormat="false" ht="15" hidden="false" customHeight="false" outlineLevel="0" collapsed="false">
      <c r="A1023" s="0" t="s">
        <v>77</v>
      </c>
      <c r="B1023" s="0" t="n">
        <v>2021</v>
      </c>
      <c r="C1023" s="0" t="s">
        <v>73</v>
      </c>
      <c r="D1023" s="0" t="n">
        <v>0</v>
      </c>
      <c r="E1023" s="0" t="s">
        <v>3885</v>
      </c>
      <c r="F1023" s="0" t="s">
        <v>3886</v>
      </c>
      <c r="G1023" s="0" t="s">
        <v>3877</v>
      </c>
    </row>
    <row r="1024" customFormat="false" ht="15" hidden="false" customHeight="false" outlineLevel="0" collapsed="false">
      <c r="A1024" s="0" t="s">
        <v>77</v>
      </c>
      <c r="B1024" s="0" t="n">
        <v>2021</v>
      </c>
      <c r="C1024" s="0" t="s">
        <v>920</v>
      </c>
      <c r="D1024" s="0" t="s">
        <v>3878</v>
      </c>
      <c r="E1024" s="0" t="s">
        <v>3885</v>
      </c>
      <c r="F1024" s="0" t="s">
        <v>3886</v>
      </c>
      <c r="G1024" s="0" t="s">
        <v>3877</v>
      </c>
    </row>
    <row r="1025" customFormat="false" ht="15" hidden="false" customHeight="false" outlineLevel="0" collapsed="false">
      <c r="A1025" s="0" t="s">
        <v>77</v>
      </c>
      <c r="B1025" s="0" t="n">
        <v>2022</v>
      </c>
      <c r="C1025" s="0" t="s">
        <v>54</v>
      </c>
      <c r="D1025" s="0" t="n">
        <v>166660</v>
      </c>
      <c r="E1025" s="0" t="s">
        <v>3885</v>
      </c>
      <c r="F1025" s="0" t="s">
        <v>3886</v>
      </c>
      <c r="G1025" s="0" t="s">
        <v>3877</v>
      </c>
    </row>
    <row r="1026" customFormat="false" ht="15" hidden="false" customHeight="false" outlineLevel="0" collapsed="false">
      <c r="A1026" s="0" t="s">
        <v>77</v>
      </c>
      <c r="B1026" s="0" t="n">
        <v>2022</v>
      </c>
      <c r="C1026" s="0" t="s">
        <v>670</v>
      </c>
      <c r="D1026" s="0" t="n">
        <v>1125012</v>
      </c>
      <c r="E1026" s="0" t="s">
        <v>3885</v>
      </c>
      <c r="F1026" s="0" t="s">
        <v>3886</v>
      </c>
      <c r="G1026" s="0" t="s">
        <v>3877</v>
      </c>
    </row>
    <row r="1027" customFormat="false" ht="15" hidden="false" customHeight="false" outlineLevel="0" collapsed="false">
      <c r="A1027" s="0" t="s">
        <v>77</v>
      </c>
      <c r="B1027" s="0" t="n">
        <v>2022</v>
      </c>
      <c r="C1027" s="0" t="s">
        <v>55</v>
      </c>
      <c r="D1027" s="0" t="n">
        <v>12535280</v>
      </c>
      <c r="E1027" s="0" t="s">
        <v>3885</v>
      </c>
      <c r="F1027" s="0" t="s">
        <v>3886</v>
      </c>
      <c r="G1027" s="0" t="s">
        <v>3877</v>
      </c>
    </row>
    <row r="1028" customFormat="false" ht="15" hidden="false" customHeight="false" outlineLevel="0" collapsed="false">
      <c r="A1028" s="0" t="s">
        <v>77</v>
      </c>
      <c r="B1028" s="0" t="n">
        <v>2022</v>
      </c>
      <c r="C1028" s="0" t="s">
        <v>60</v>
      </c>
      <c r="D1028" s="0" t="n">
        <v>4149413</v>
      </c>
      <c r="E1028" s="0" t="s">
        <v>3885</v>
      </c>
      <c r="F1028" s="0" t="s">
        <v>3886</v>
      </c>
      <c r="G1028" s="0" t="s">
        <v>3877</v>
      </c>
    </row>
    <row r="1029" customFormat="false" ht="15" hidden="false" customHeight="false" outlineLevel="0" collapsed="false">
      <c r="A1029" s="0" t="s">
        <v>77</v>
      </c>
      <c r="B1029" s="0" t="n">
        <v>2022</v>
      </c>
      <c r="C1029" s="0" t="s">
        <v>61</v>
      </c>
      <c r="D1029" s="0" t="n">
        <v>65065</v>
      </c>
      <c r="E1029" s="0" t="s">
        <v>3885</v>
      </c>
      <c r="F1029" s="0" t="s">
        <v>3886</v>
      </c>
      <c r="G1029" s="0" t="s">
        <v>3877</v>
      </c>
    </row>
    <row r="1030" customFormat="false" ht="15" hidden="false" customHeight="false" outlineLevel="0" collapsed="false">
      <c r="A1030" s="0" t="s">
        <v>77</v>
      </c>
      <c r="B1030" s="0" t="n">
        <v>2022</v>
      </c>
      <c r="C1030" s="0" t="s">
        <v>63</v>
      </c>
      <c r="D1030" s="0" t="n">
        <v>118681</v>
      </c>
      <c r="E1030" s="0" t="s">
        <v>3885</v>
      </c>
      <c r="F1030" s="0" t="s">
        <v>3886</v>
      </c>
      <c r="G1030" s="0" t="s">
        <v>3877</v>
      </c>
    </row>
    <row r="1031" customFormat="false" ht="15" hidden="false" customHeight="false" outlineLevel="0" collapsed="false">
      <c r="A1031" s="0" t="s">
        <v>77</v>
      </c>
      <c r="B1031" s="0" t="n">
        <v>2022</v>
      </c>
      <c r="C1031" s="0" t="s">
        <v>266</v>
      </c>
      <c r="D1031" s="0" t="n">
        <v>1.92</v>
      </c>
      <c r="E1031" s="0" t="s">
        <v>3885</v>
      </c>
      <c r="F1031" s="0" t="s">
        <v>3886</v>
      </c>
      <c r="G1031" s="0" t="s">
        <v>3877</v>
      </c>
    </row>
    <row r="1032" customFormat="false" ht="15" hidden="false" customHeight="false" outlineLevel="0" collapsed="false">
      <c r="A1032" s="0" t="s">
        <v>77</v>
      </c>
      <c r="B1032" s="0" t="n">
        <v>2022</v>
      </c>
      <c r="C1032" s="0" t="s">
        <v>69</v>
      </c>
      <c r="D1032" s="0" t="n">
        <v>17.85</v>
      </c>
      <c r="E1032" s="0" t="s">
        <v>3885</v>
      </c>
      <c r="F1032" s="0" t="s">
        <v>3886</v>
      </c>
      <c r="G1032" s="0" t="s">
        <v>3877</v>
      </c>
    </row>
    <row r="1033" customFormat="false" ht="15" hidden="false" customHeight="false" outlineLevel="0" collapsed="false">
      <c r="A1033" s="0" t="s">
        <v>77</v>
      </c>
      <c r="B1033" s="0" t="n">
        <v>2022</v>
      </c>
      <c r="C1033" s="0" t="s">
        <v>73</v>
      </c>
      <c r="D1033" s="0" t="n">
        <v>0</v>
      </c>
      <c r="E1033" s="0" t="s">
        <v>3885</v>
      </c>
      <c r="F1033" s="0" t="s">
        <v>3886</v>
      </c>
      <c r="G1033" s="0" t="s">
        <v>3877</v>
      </c>
    </row>
    <row r="1034" customFormat="false" ht="15" hidden="false" customHeight="false" outlineLevel="0" collapsed="false">
      <c r="A1034" s="0" t="s">
        <v>77</v>
      </c>
      <c r="B1034" s="0" t="n">
        <v>2022</v>
      </c>
      <c r="C1034" s="0" t="s">
        <v>920</v>
      </c>
      <c r="D1034" s="0" t="s">
        <v>3878</v>
      </c>
      <c r="E1034" s="0" t="s">
        <v>3885</v>
      </c>
      <c r="F1034" s="0" t="s">
        <v>3886</v>
      </c>
      <c r="G1034" s="0" t="s">
        <v>3877</v>
      </c>
    </row>
    <row r="1035" customFormat="false" ht="15" hidden="false" customHeight="false" outlineLevel="0" collapsed="false">
      <c r="A1035" s="0" t="s">
        <v>163</v>
      </c>
      <c r="B1035" s="0" t="n">
        <v>2015</v>
      </c>
      <c r="C1035" s="0" t="s">
        <v>54</v>
      </c>
      <c r="D1035" s="0" t="n">
        <v>98784</v>
      </c>
      <c r="E1035" s="0" t="s">
        <v>3885</v>
      </c>
      <c r="F1035" s="0" t="s">
        <v>3887</v>
      </c>
      <c r="G1035" s="0" t="s">
        <v>3877</v>
      </c>
    </row>
    <row r="1036" customFormat="false" ht="15" hidden="false" customHeight="false" outlineLevel="0" collapsed="false">
      <c r="A1036" s="0" t="s">
        <v>163</v>
      </c>
      <c r="B1036" s="0" t="n">
        <v>2015</v>
      </c>
      <c r="C1036" s="0" t="s">
        <v>670</v>
      </c>
      <c r="D1036" s="0" t="n">
        <v>396653</v>
      </c>
      <c r="E1036" s="0" t="s">
        <v>3885</v>
      </c>
      <c r="F1036" s="0" t="s">
        <v>3887</v>
      </c>
      <c r="G1036" s="0" t="s">
        <v>3877</v>
      </c>
    </row>
    <row r="1037" customFormat="false" ht="15" hidden="false" customHeight="false" outlineLevel="0" collapsed="false">
      <c r="A1037" s="0" t="s">
        <v>163</v>
      </c>
      <c r="B1037" s="0" t="n">
        <v>2015</v>
      </c>
      <c r="C1037" s="0" t="s">
        <v>55</v>
      </c>
      <c r="D1037" s="0" t="n">
        <v>3750327</v>
      </c>
      <c r="E1037" s="0" t="s">
        <v>3885</v>
      </c>
      <c r="F1037" s="0" t="s">
        <v>3887</v>
      </c>
      <c r="G1037" s="0" t="s">
        <v>3877</v>
      </c>
    </row>
    <row r="1038" customFormat="false" ht="15" hidden="false" customHeight="false" outlineLevel="0" collapsed="false">
      <c r="A1038" s="0" t="s">
        <v>163</v>
      </c>
      <c r="B1038" s="0" t="n">
        <v>2015</v>
      </c>
      <c r="C1038" s="0" t="s">
        <v>60</v>
      </c>
      <c r="D1038" s="0" t="n">
        <v>1849225</v>
      </c>
      <c r="E1038" s="0" t="s">
        <v>3885</v>
      </c>
      <c r="F1038" s="0" t="s">
        <v>3887</v>
      </c>
      <c r="G1038" s="0" t="s">
        <v>3877</v>
      </c>
    </row>
    <row r="1039" customFormat="false" ht="15" hidden="false" customHeight="false" outlineLevel="0" collapsed="false">
      <c r="A1039" s="0" t="s">
        <v>163</v>
      </c>
      <c r="B1039" s="0" t="n">
        <v>2015</v>
      </c>
      <c r="C1039" s="0" t="s">
        <v>61</v>
      </c>
      <c r="D1039" s="0" t="n">
        <v>49433</v>
      </c>
      <c r="E1039" s="0" t="s">
        <v>3885</v>
      </c>
      <c r="F1039" s="0" t="s">
        <v>3887</v>
      </c>
      <c r="G1039" s="0" t="s">
        <v>3877</v>
      </c>
    </row>
    <row r="1040" customFormat="false" ht="15" hidden="false" customHeight="false" outlineLevel="0" collapsed="false">
      <c r="A1040" s="0" t="s">
        <v>163</v>
      </c>
      <c r="B1040" s="0" t="n">
        <v>2015</v>
      </c>
      <c r="C1040" s="0" t="s">
        <v>63</v>
      </c>
      <c r="D1040" s="0" t="n">
        <v>11091</v>
      </c>
      <c r="E1040" s="0" t="s">
        <v>3885</v>
      </c>
      <c r="F1040" s="0" t="s">
        <v>3887</v>
      </c>
      <c r="G1040" s="0" t="s">
        <v>3877</v>
      </c>
    </row>
    <row r="1041" customFormat="false" ht="15" hidden="false" customHeight="false" outlineLevel="0" collapsed="false">
      <c r="A1041" s="0" t="s">
        <v>163</v>
      </c>
      <c r="B1041" s="0" t="n">
        <v>2015</v>
      </c>
      <c r="C1041" s="0" t="s">
        <v>266</v>
      </c>
      <c r="D1041" s="0" t="n">
        <v>2.1</v>
      </c>
      <c r="E1041" s="0" t="s">
        <v>3885</v>
      </c>
      <c r="F1041" s="0" t="s">
        <v>3887</v>
      </c>
      <c r="G1041" s="0" t="s">
        <v>3877</v>
      </c>
    </row>
    <row r="1042" customFormat="false" ht="15" hidden="false" customHeight="false" outlineLevel="0" collapsed="false">
      <c r="A1042" s="0" t="s">
        <v>163</v>
      </c>
      <c r="B1042" s="0" t="n">
        <v>2015</v>
      </c>
      <c r="C1042" s="0" t="s">
        <v>69</v>
      </c>
      <c r="D1042" s="0" t="n">
        <v>21</v>
      </c>
      <c r="E1042" s="0" t="s">
        <v>3885</v>
      </c>
      <c r="F1042" s="0" t="s">
        <v>3887</v>
      </c>
      <c r="G1042" s="0" t="s">
        <v>3877</v>
      </c>
    </row>
    <row r="1043" customFormat="false" ht="15" hidden="false" customHeight="false" outlineLevel="0" collapsed="false">
      <c r="A1043" s="0" t="s">
        <v>163</v>
      </c>
      <c r="B1043" s="0" t="n">
        <v>2015</v>
      </c>
      <c r="C1043" s="0" t="s">
        <v>73</v>
      </c>
      <c r="D1043" s="0" t="n">
        <v>0</v>
      </c>
      <c r="E1043" s="0" t="s">
        <v>3885</v>
      </c>
      <c r="F1043" s="0" t="s">
        <v>3887</v>
      </c>
      <c r="G1043" s="0" t="s">
        <v>3877</v>
      </c>
    </row>
    <row r="1044" customFormat="false" ht="15" hidden="false" customHeight="false" outlineLevel="0" collapsed="false">
      <c r="A1044" s="0" t="s">
        <v>163</v>
      </c>
      <c r="B1044" s="0" t="n">
        <v>2015</v>
      </c>
      <c r="C1044" s="0" t="s">
        <v>920</v>
      </c>
      <c r="D1044" s="0" t="s">
        <v>1973</v>
      </c>
      <c r="E1044" s="0" t="s">
        <v>3885</v>
      </c>
      <c r="F1044" s="0" t="s">
        <v>3887</v>
      </c>
      <c r="G1044" s="0" t="s">
        <v>3877</v>
      </c>
    </row>
    <row r="1045" customFormat="false" ht="15" hidden="false" customHeight="false" outlineLevel="0" collapsed="false">
      <c r="A1045" s="0" t="s">
        <v>163</v>
      </c>
      <c r="B1045" s="0" t="n">
        <v>2016</v>
      </c>
      <c r="C1045" s="0" t="s">
        <v>54</v>
      </c>
      <c r="D1045" s="0" t="n">
        <v>119285</v>
      </c>
      <c r="E1045" s="0" t="s">
        <v>3885</v>
      </c>
      <c r="F1045" s="0" t="s">
        <v>3887</v>
      </c>
      <c r="G1045" s="0" t="s">
        <v>3877</v>
      </c>
    </row>
    <row r="1046" customFormat="false" ht="15" hidden="false" customHeight="false" outlineLevel="0" collapsed="false">
      <c r="A1046" s="0" t="s">
        <v>163</v>
      </c>
      <c r="B1046" s="0" t="n">
        <v>2016</v>
      </c>
      <c r="C1046" s="0" t="s">
        <v>670</v>
      </c>
      <c r="D1046" s="0" t="n">
        <v>454808</v>
      </c>
      <c r="E1046" s="0" t="s">
        <v>3885</v>
      </c>
      <c r="F1046" s="0" t="s">
        <v>3887</v>
      </c>
      <c r="G1046" s="0" t="s">
        <v>3877</v>
      </c>
    </row>
    <row r="1047" customFormat="false" ht="15" hidden="false" customHeight="false" outlineLevel="0" collapsed="false">
      <c r="A1047" s="0" t="s">
        <v>163</v>
      </c>
      <c r="B1047" s="0" t="n">
        <v>2016</v>
      </c>
      <c r="C1047" s="0" t="s">
        <v>55</v>
      </c>
      <c r="D1047" s="0" t="n">
        <v>4283736</v>
      </c>
      <c r="E1047" s="0" t="s">
        <v>3885</v>
      </c>
      <c r="F1047" s="0" t="s">
        <v>3887</v>
      </c>
      <c r="G1047" s="0" t="s">
        <v>3877</v>
      </c>
    </row>
    <row r="1048" customFormat="false" ht="15" hidden="false" customHeight="false" outlineLevel="0" collapsed="false">
      <c r="A1048" s="0" t="s">
        <v>163</v>
      </c>
      <c r="B1048" s="0" t="n">
        <v>2016</v>
      </c>
      <c r="C1048" s="0" t="s">
        <v>60</v>
      </c>
      <c r="D1048" s="0" t="n">
        <v>2193224</v>
      </c>
      <c r="E1048" s="0" t="s">
        <v>3885</v>
      </c>
      <c r="F1048" s="0" t="s">
        <v>3887</v>
      </c>
      <c r="G1048" s="0" t="s">
        <v>3877</v>
      </c>
    </row>
    <row r="1049" customFormat="false" ht="15" hidden="false" customHeight="false" outlineLevel="0" collapsed="false">
      <c r="A1049" s="0" t="s">
        <v>163</v>
      </c>
      <c r="B1049" s="0" t="n">
        <v>2016</v>
      </c>
      <c r="C1049" s="0" t="s">
        <v>61</v>
      </c>
      <c r="D1049" s="0" t="n">
        <v>55092</v>
      </c>
      <c r="E1049" s="0" t="s">
        <v>3885</v>
      </c>
      <c r="F1049" s="0" t="s">
        <v>3887</v>
      </c>
      <c r="G1049" s="0" t="s">
        <v>3877</v>
      </c>
    </row>
    <row r="1050" customFormat="false" ht="15" hidden="false" customHeight="false" outlineLevel="0" collapsed="false">
      <c r="A1050" s="0" t="s">
        <v>163</v>
      </c>
      <c r="B1050" s="0" t="n">
        <v>2016</v>
      </c>
      <c r="C1050" s="0" t="s">
        <v>63</v>
      </c>
      <c r="D1050" s="0" t="n">
        <v>26295</v>
      </c>
      <c r="E1050" s="0" t="s">
        <v>3885</v>
      </c>
      <c r="F1050" s="0" t="s">
        <v>3887</v>
      </c>
      <c r="G1050" s="0" t="s">
        <v>3877</v>
      </c>
    </row>
    <row r="1051" customFormat="false" ht="15" hidden="false" customHeight="false" outlineLevel="0" collapsed="false">
      <c r="A1051" s="0" t="s">
        <v>163</v>
      </c>
      <c r="B1051" s="0" t="n">
        <v>2016</v>
      </c>
      <c r="C1051" s="0" t="s">
        <v>266</v>
      </c>
      <c r="D1051" s="0" t="n">
        <v>2.63</v>
      </c>
      <c r="E1051" s="0" t="s">
        <v>3885</v>
      </c>
      <c r="F1051" s="0" t="s">
        <v>3887</v>
      </c>
      <c r="G1051" s="0" t="s">
        <v>3877</v>
      </c>
    </row>
    <row r="1052" customFormat="false" ht="15" hidden="false" customHeight="false" outlineLevel="0" collapsed="false">
      <c r="A1052" s="0" t="s">
        <v>163</v>
      </c>
      <c r="B1052" s="0" t="n">
        <v>2016</v>
      </c>
      <c r="C1052" s="0" t="s">
        <v>69</v>
      </c>
      <c r="D1052" s="0" t="n">
        <v>22</v>
      </c>
      <c r="E1052" s="0" t="s">
        <v>3885</v>
      </c>
      <c r="F1052" s="0" t="s">
        <v>3887</v>
      </c>
      <c r="G1052" s="0" t="s">
        <v>3877</v>
      </c>
    </row>
    <row r="1053" customFormat="false" ht="15" hidden="false" customHeight="false" outlineLevel="0" collapsed="false">
      <c r="A1053" s="0" t="s">
        <v>163</v>
      </c>
      <c r="B1053" s="0" t="n">
        <v>2016</v>
      </c>
      <c r="C1053" s="0" t="s">
        <v>73</v>
      </c>
      <c r="D1053" s="0" t="n">
        <v>0</v>
      </c>
      <c r="E1053" s="0" t="s">
        <v>3885</v>
      </c>
      <c r="F1053" s="0" t="s">
        <v>3887</v>
      </c>
      <c r="G1053" s="0" t="s">
        <v>3877</v>
      </c>
    </row>
    <row r="1054" customFormat="false" ht="15" hidden="false" customHeight="false" outlineLevel="0" collapsed="false">
      <c r="A1054" s="0" t="s">
        <v>163</v>
      </c>
      <c r="B1054" s="0" t="n">
        <v>2016</v>
      </c>
      <c r="C1054" s="0" t="s">
        <v>920</v>
      </c>
      <c r="D1054" s="0" t="s">
        <v>1973</v>
      </c>
      <c r="E1054" s="0" t="s">
        <v>3885</v>
      </c>
      <c r="F1054" s="0" t="s">
        <v>3887</v>
      </c>
      <c r="G1054" s="0" t="s">
        <v>3877</v>
      </c>
    </row>
    <row r="1055" customFormat="false" ht="15" hidden="false" customHeight="false" outlineLevel="0" collapsed="false">
      <c r="A1055" s="0" t="s">
        <v>163</v>
      </c>
      <c r="B1055" s="0" t="n">
        <v>2017</v>
      </c>
      <c r="C1055" s="0" t="s">
        <v>54</v>
      </c>
      <c r="D1055" s="0" t="n">
        <v>157145</v>
      </c>
      <c r="E1055" s="0" t="s">
        <v>3885</v>
      </c>
      <c r="F1055" s="0" t="s">
        <v>3887</v>
      </c>
      <c r="G1055" s="0" t="s">
        <v>3877</v>
      </c>
    </row>
    <row r="1056" customFormat="false" ht="15" hidden="false" customHeight="false" outlineLevel="0" collapsed="false">
      <c r="A1056" s="0" t="s">
        <v>163</v>
      </c>
      <c r="B1056" s="0" t="n">
        <v>2017</v>
      </c>
      <c r="C1056" s="0" t="s">
        <v>670</v>
      </c>
      <c r="D1056" s="0" t="n">
        <v>673636</v>
      </c>
      <c r="E1056" s="0" t="s">
        <v>3885</v>
      </c>
      <c r="F1056" s="0" t="s">
        <v>3887</v>
      </c>
      <c r="G1056" s="0" t="s">
        <v>3877</v>
      </c>
    </row>
    <row r="1057" customFormat="false" ht="15" hidden="false" customHeight="false" outlineLevel="0" collapsed="false">
      <c r="A1057" s="0" t="s">
        <v>163</v>
      </c>
      <c r="B1057" s="0" t="n">
        <v>2017</v>
      </c>
      <c r="C1057" s="0" t="s">
        <v>55</v>
      </c>
      <c r="D1057" s="0" t="n">
        <v>4833658</v>
      </c>
      <c r="E1057" s="0" t="s">
        <v>3885</v>
      </c>
      <c r="F1057" s="0" t="s">
        <v>3887</v>
      </c>
      <c r="G1057" s="0" t="s">
        <v>3877</v>
      </c>
    </row>
    <row r="1058" customFormat="false" ht="15" hidden="false" customHeight="false" outlineLevel="0" collapsed="false">
      <c r="A1058" s="0" t="s">
        <v>163</v>
      </c>
      <c r="B1058" s="0" t="n">
        <v>2017</v>
      </c>
      <c r="C1058" s="0" t="s">
        <v>60</v>
      </c>
      <c r="D1058" s="0" t="n">
        <v>2117069</v>
      </c>
      <c r="E1058" s="0" t="s">
        <v>3885</v>
      </c>
      <c r="F1058" s="0" t="s">
        <v>3887</v>
      </c>
      <c r="G1058" s="0" t="s">
        <v>3877</v>
      </c>
    </row>
    <row r="1059" customFormat="false" ht="15" hidden="false" customHeight="false" outlineLevel="0" collapsed="false">
      <c r="A1059" s="0" t="s">
        <v>163</v>
      </c>
      <c r="B1059" s="0" t="n">
        <v>2017</v>
      </c>
      <c r="C1059" s="0" t="s">
        <v>61</v>
      </c>
      <c r="D1059" s="0" t="n">
        <v>136605</v>
      </c>
      <c r="E1059" s="0" t="s">
        <v>3885</v>
      </c>
      <c r="F1059" s="0" t="s">
        <v>3887</v>
      </c>
      <c r="G1059" s="0" t="s">
        <v>3877</v>
      </c>
    </row>
    <row r="1060" customFormat="false" ht="15" hidden="false" customHeight="false" outlineLevel="0" collapsed="false">
      <c r="A1060" s="0" t="s">
        <v>163</v>
      </c>
      <c r="B1060" s="0" t="n">
        <v>2017</v>
      </c>
      <c r="C1060" s="0" t="s">
        <v>63</v>
      </c>
      <c r="D1060" s="0" t="n">
        <v>95244</v>
      </c>
      <c r="E1060" s="0" t="s">
        <v>3885</v>
      </c>
      <c r="F1060" s="0" t="s">
        <v>3887</v>
      </c>
      <c r="G1060" s="0" t="s">
        <v>3877</v>
      </c>
    </row>
    <row r="1061" customFormat="false" ht="15" hidden="false" customHeight="false" outlineLevel="0" collapsed="false">
      <c r="A1061" s="0" t="s">
        <v>163</v>
      </c>
      <c r="B1061" s="0" t="n">
        <v>2017</v>
      </c>
      <c r="C1061" s="0" t="s">
        <v>266</v>
      </c>
      <c r="D1061" s="0" t="n">
        <v>4.33</v>
      </c>
      <c r="E1061" s="0" t="s">
        <v>3885</v>
      </c>
      <c r="F1061" s="0" t="s">
        <v>3887</v>
      </c>
      <c r="G1061" s="0" t="s">
        <v>3877</v>
      </c>
    </row>
    <row r="1062" customFormat="false" ht="15" hidden="false" customHeight="false" outlineLevel="0" collapsed="false">
      <c r="A1062" s="0" t="s">
        <v>163</v>
      </c>
      <c r="B1062" s="0" t="n">
        <v>2017</v>
      </c>
      <c r="C1062" s="0" t="s">
        <v>69</v>
      </c>
      <c r="D1062" s="0" t="n">
        <v>24</v>
      </c>
      <c r="E1062" s="0" t="s">
        <v>3885</v>
      </c>
      <c r="F1062" s="0" t="s">
        <v>3887</v>
      </c>
      <c r="G1062" s="0" t="s">
        <v>3877</v>
      </c>
    </row>
    <row r="1063" customFormat="false" ht="15" hidden="false" customHeight="false" outlineLevel="0" collapsed="false">
      <c r="A1063" s="0" t="s">
        <v>163</v>
      </c>
      <c r="B1063" s="0" t="n">
        <v>2017</v>
      </c>
      <c r="C1063" s="0" t="s">
        <v>73</v>
      </c>
      <c r="D1063" s="0" t="n">
        <v>0</v>
      </c>
      <c r="E1063" s="0" t="s">
        <v>3885</v>
      </c>
      <c r="F1063" s="0" t="s">
        <v>3887</v>
      </c>
      <c r="G1063" s="0" t="s">
        <v>3877</v>
      </c>
    </row>
    <row r="1064" customFormat="false" ht="15" hidden="false" customHeight="false" outlineLevel="0" collapsed="false">
      <c r="A1064" s="0" t="s">
        <v>163</v>
      </c>
      <c r="B1064" s="0" t="n">
        <v>2017</v>
      </c>
      <c r="C1064" s="0" t="s">
        <v>920</v>
      </c>
      <c r="D1064" s="0" t="s">
        <v>1973</v>
      </c>
      <c r="E1064" s="0" t="s">
        <v>3885</v>
      </c>
      <c r="F1064" s="0" t="s">
        <v>3887</v>
      </c>
      <c r="G1064" s="0" t="s">
        <v>3877</v>
      </c>
    </row>
    <row r="1065" customFormat="false" ht="15" hidden="false" customHeight="false" outlineLevel="0" collapsed="false">
      <c r="A1065" s="0" t="s">
        <v>163</v>
      </c>
      <c r="B1065" s="0" t="n">
        <v>2018</v>
      </c>
      <c r="C1065" s="0" t="s">
        <v>54</v>
      </c>
      <c r="D1065" s="0" t="n">
        <v>160454</v>
      </c>
      <c r="E1065" s="0" t="s">
        <v>3885</v>
      </c>
      <c r="F1065" s="0" t="s">
        <v>3887</v>
      </c>
      <c r="G1065" s="0" t="s">
        <v>3877</v>
      </c>
    </row>
    <row r="1066" customFormat="false" ht="15" hidden="false" customHeight="false" outlineLevel="0" collapsed="false">
      <c r="A1066" s="0" t="s">
        <v>163</v>
      </c>
      <c r="B1066" s="0" t="n">
        <v>2018</v>
      </c>
      <c r="C1066" s="0" t="s">
        <v>670</v>
      </c>
      <c r="D1066" s="0" t="n">
        <v>531580</v>
      </c>
      <c r="E1066" s="0" t="s">
        <v>3885</v>
      </c>
      <c r="F1066" s="0" t="s">
        <v>3887</v>
      </c>
      <c r="G1066" s="0" t="s">
        <v>3877</v>
      </c>
    </row>
    <row r="1067" customFormat="false" ht="15" hidden="false" customHeight="false" outlineLevel="0" collapsed="false">
      <c r="A1067" s="0" t="s">
        <v>163</v>
      </c>
      <c r="B1067" s="0" t="n">
        <v>2018</v>
      </c>
      <c r="C1067" s="0" t="s">
        <v>55</v>
      </c>
      <c r="D1067" s="0" t="n">
        <v>4981855</v>
      </c>
      <c r="E1067" s="0" t="s">
        <v>3885</v>
      </c>
      <c r="F1067" s="0" t="s">
        <v>3887</v>
      </c>
      <c r="G1067" s="0" t="s">
        <v>3877</v>
      </c>
    </row>
    <row r="1068" customFormat="false" ht="15" hidden="false" customHeight="false" outlineLevel="0" collapsed="false">
      <c r="A1068" s="0" t="s">
        <v>163</v>
      </c>
      <c r="B1068" s="0" t="n">
        <v>2018</v>
      </c>
      <c r="C1068" s="0" t="s">
        <v>60</v>
      </c>
      <c r="D1068" s="0" t="n">
        <v>1823126</v>
      </c>
      <c r="E1068" s="0" t="s">
        <v>3885</v>
      </c>
      <c r="F1068" s="0" t="s">
        <v>3887</v>
      </c>
      <c r="G1068" s="0" t="s">
        <v>3877</v>
      </c>
    </row>
    <row r="1069" customFormat="false" ht="15" hidden="false" customHeight="false" outlineLevel="0" collapsed="false">
      <c r="A1069" s="0" t="s">
        <v>163</v>
      </c>
      <c r="B1069" s="0" t="n">
        <v>2018</v>
      </c>
      <c r="C1069" s="0" t="s">
        <v>61</v>
      </c>
      <c r="D1069" s="0" t="n">
        <v>144502</v>
      </c>
      <c r="E1069" s="0" t="s">
        <v>3885</v>
      </c>
      <c r="F1069" s="0" t="s">
        <v>3887</v>
      </c>
      <c r="G1069" s="0" t="s">
        <v>3877</v>
      </c>
    </row>
    <row r="1070" customFormat="false" ht="15" hidden="false" customHeight="false" outlineLevel="0" collapsed="false">
      <c r="A1070" s="0" t="s">
        <v>163</v>
      </c>
      <c r="B1070" s="0" t="n">
        <v>2018</v>
      </c>
      <c r="C1070" s="0" t="s">
        <v>63</v>
      </c>
      <c r="D1070" s="0" t="n">
        <v>15705</v>
      </c>
      <c r="E1070" s="0" t="s">
        <v>3885</v>
      </c>
      <c r="F1070" s="0" t="s">
        <v>3887</v>
      </c>
      <c r="G1070" s="0" t="s">
        <v>3877</v>
      </c>
    </row>
    <row r="1071" customFormat="false" ht="15" hidden="false" customHeight="false" outlineLevel="0" collapsed="false">
      <c r="A1071" s="0" t="s">
        <v>163</v>
      </c>
      <c r="B1071" s="0" t="n">
        <v>2018</v>
      </c>
      <c r="C1071" s="0" t="s">
        <v>266</v>
      </c>
      <c r="D1071" s="0" t="n">
        <v>4.98</v>
      </c>
      <c r="E1071" s="0" t="s">
        <v>3885</v>
      </c>
      <c r="F1071" s="0" t="s">
        <v>3887</v>
      </c>
      <c r="G1071" s="0" t="s">
        <v>3877</v>
      </c>
    </row>
    <row r="1072" customFormat="false" ht="15" hidden="false" customHeight="false" outlineLevel="0" collapsed="false">
      <c r="A1072" s="0" t="s">
        <v>163</v>
      </c>
      <c r="B1072" s="0" t="n">
        <v>2018</v>
      </c>
      <c r="C1072" s="0" t="s">
        <v>69</v>
      </c>
      <c r="D1072" s="0" t="n">
        <v>25</v>
      </c>
      <c r="E1072" s="0" t="s">
        <v>3885</v>
      </c>
      <c r="F1072" s="0" t="s">
        <v>3887</v>
      </c>
      <c r="G1072" s="0" t="s">
        <v>3877</v>
      </c>
    </row>
    <row r="1073" customFormat="false" ht="15" hidden="false" customHeight="false" outlineLevel="0" collapsed="false">
      <c r="A1073" s="0" t="s">
        <v>163</v>
      </c>
      <c r="B1073" s="0" t="n">
        <v>2018</v>
      </c>
      <c r="C1073" s="0" t="s">
        <v>73</v>
      </c>
      <c r="D1073" s="0" t="n">
        <v>0</v>
      </c>
      <c r="E1073" s="0" t="s">
        <v>3885</v>
      </c>
      <c r="F1073" s="0" t="s">
        <v>3887</v>
      </c>
      <c r="G1073" s="0" t="s">
        <v>3877</v>
      </c>
    </row>
    <row r="1074" customFormat="false" ht="15" hidden="false" customHeight="false" outlineLevel="0" collapsed="false">
      <c r="A1074" s="0" t="s">
        <v>163</v>
      </c>
      <c r="B1074" s="0" t="n">
        <v>2018</v>
      </c>
      <c r="C1074" s="0" t="s">
        <v>920</v>
      </c>
      <c r="D1074" s="0" t="s">
        <v>1973</v>
      </c>
      <c r="E1074" s="0" t="s">
        <v>3885</v>
      </c>
      <c r="F1074" s="0" t="s">
        <v>3887</v>
      </c>
      <c r="G1074" s="0" t="s">
        <v>3877</v>
      </c>
    </row>
    <row r="1075" customFormat="false" ht="15" hidden="false" customHeight="false" outlineLevel="0" collapsed="false">
      <c r="A1075" s="0" t="s">
        <v>163</v>
      </c>
      <c r="B1075" s="0" t="n">
        <v>2019</v>
      </c>
      <c r="C1075" s="0" t="s">
        <v>54</v>
      </c>
      <c r="D1075" s="0" t="n">
        <v>178003</v>
      </c>
      <c r="E1075" s="0" t="s">
        <v>3885</v>
      </c>
      <c r="F1075" s="0" t="s">
        <v>3887</v>
      </c>
      <c r="G1075" s="0" t="s">
        <v>3877</v>
      </c>
    </row>
    <row r="1076" customFormat="false" ht="15" hidden="false" customHeight="false" outlineLevel="0" collapsed="false">
      <c r="A1076" s="0" t="s">
        <v>163</v>
      </c>
      <c r="B1076" s="0" t="n">
        <v>2019</v>
      </c>
      <c r="C1076" s="0" t="s">
        <v>670</v>
      </c>
      <c r="D1076" s="0" t="n">
        <v>564687</v>
      </c>
      <c r="E1076" s="0" t="s">
        <v>3885</v>
      </c>
      <c r="F1076" s="0" t="s">
        <v>3887</v>
      </c>
      <c r="G1076" s="0" t="s">
        <v>3877</v>
      </c>
    </row>
    <row r="1077" customFormat="false" ht="15" hidden="false" customHeight="false" outlineLevel="0" collapsed="false">
      <c r="A1077" s="0" t="s">
        <v>163</v>
      </c>
      <c r="B1077" s="0" t="n">
        <v>2019</v>
      </c>
      <c r="C1077" s="0" t="s">
        <v>55</v>
      </c>
      <c r="D1077" s="0" t="n">
        <v>5435073</v>
      </c>
      <c r="E1077" s="0" t="s">
        <v>3885</v>
      </c>
      <c r="F1077" s="0" t="s">
        <v>3887</v>
      </c>
      <c r="G1077" s="0" t="s">
        <v>3877</v>
      </c>
    </row>
    <row r="1078" customFormat="false" ht="15" hidden="false" customHeight="false" outlineLevel="0" collapsed="false">
      <c r="A1078" s="0" t="s">
        <v>163</v>
      </c>
      <c r="B1078" s="0" t="n">
        <v>2019</v>
      </c>
      <c r="C1078" s="0" t="s">
        <v>60</v>
      </c>
      <c r="D1078" s="0" t="n">
        <v>2239472</v>
      </c>
      <c r="E1078" s="0" t="s">
        <v>3885</v>
      </c>
      <c r="F1078" s="0" t="s">
        <v>3887</v>
      </c>
      <c r="G1078" s="0" t="s">
        <v>3877</v>
      </c>
    </row>
    <row r="1079" customFormat="false" ht="15" hidden="false" customHeight="false" outlineLevel="0" collapsed="false">
      <c r="A1079" s="0" t="s">
        <v>163</v>
      </c>
      <c r="B1079" s="0" t="n">
        <v>2019</v>
      </c>
      <c r="C1079" s="0" t="s">
        <v>61</v>
      </c>
      <c r="D1079" s="0" t="n">
        <v>137745</v>
      </c>
      <c r="E1079" s="0" t="s">
        <v>3885</v>
      </c>
      <c r="F1079" s="0" t="s">
        <v>3887</v>
      </c>
      <c r="G1079" s="0" t="s">
        <v>3877</v>
      </c>
    </row>
    <row r="1080" customFormat="false" ht="15" hidden="false" customHeight="false" outlineLevel="0" collapsed="false">
      <c r="A1080" s="0" t="s">
        <v>163</v>
      </c>
      <c r="B1080" s="0" t="n">
        <v>2019</v>
      </c>
      <c r="C1080" s="0" t="s">
        <v>63</v>
      </c>
      <c r="D1080" s="0" t="n">
        <v>23393</v>
      </c>
      <c r="E1080" s="0" t="s">
        <v>3885</v>
      </c>
      <c r="F1080" s="0" t="s">
        <v>3887</v>
      </c>
      <c r="G1080" s="0" t="s">
        <v>3877</v>
      </c>
    </row>
    <row r="1081" customFormat="false" ht="15" hidden="false" customHeight="false" outlineLevel="0" collapsed="false">
      <c r="A1081" s="0" t="s">
        <v>163</v>
      </c>
      <c r="B1081" s="0" t="n">
        <v>2019</v>
      </c>
      <c r="C1081" s="0" t="s">
        <v>266</v>
      </c>
      <c r="D1081" s="0" t="n">
        <v>4.3</v>
      </c>
      <c r="E1081" s="0" t="s">
        <v>3885</v>
      </c>
      <c r="F1081" s="0" t="s">
        <v>3887</v>
      </c>
      <c r="G1081" s="0" t="s">
        <v>3877</v>
      </c>
    </row>
    <row r="1082" customFormat="false" ht="15" hidden="false" customHeight="false" outlineLevel="0" collapsed="false">
      <c r="A1082" s="0" t="s">
        <v>163</v>
      </c>
      <c r="B1082" s="0" t="n">
        <v>2019</v>
      </c>
      <c r="C1082" s="0" t="s">
        <v>69</v>
      </c>
      <c r="D1082" s="0" t="n">
        <v>22</v>
      </c>
      <c r="E1082" s="0" t="s">
        <v>3885</v>
      </c>
      <c r="F1082" s="0" t="s">
        <v>3887</v>
      </c>
      <c r="G1082" s="0" t="s">
        <v>3877</v>
      </c>
    </row>
    <row r="1083" customFormat="false" ht="15" hidden="false" customHeight="false" outlineLevel="0" collapsed="false">
      <c r="A1083" s="0" t="s">
        <v>163</v>
      </c>
      <c r="B1083" s="0" t="n">
        <v>2019</v>
      </c>
      <c r="C1083" s="0" t="s">
        <v>73</v>
      </c>
      <c r="D1083" s="0" t="n">
        <v>0</v>
      </c>
      <c r="E1083" s="0" t="s">
        <v>3885</v>
      </c>
      <c r="F1083" s="0" t="s">
        <v>3887</v>
      </c>
      <c r="G1083" s="0" t="s">
        <v>3877</v>
      </c>
    </row>
    <row r="1084" customFormat="false" ht="15" hidden="false" customHeight="false" outlineLevel="0" collapsed="false">
      <c r="A1084" s="0" t="s">
        <v>163</v>
      </c>
      <c r="B1084" s="0" t="n">
        <v>2019</v>
      </c>
      <c r="C1084" s="0" t="s">
        <v>920</v>
      </c>
      <c r="D1084" s="0" t="s">
        <v>1973</v>
      </c>
      <c r="E1084" s="0" t="s">
        <v>3885</v>
      </c>
      <c r="F1084" s="0" t="s">
        <v>3887</v>
      </c>
      <c r="G1084" s="0" t="s">
        <v>3877</v>
      </c>
    </row>
    <row r="1085" customFormat="false" ht="15" hidden="false" customHeight="false" outlineLevel="0" collapsed="false">
      <c r="A1085" s="0" t="s">
        <v>163</v>
      </c>
      <c r="B1085" s="0" t="n">
        <v>2020</v>
      </c>
      <c r="C1085" s="0" t="s">
        <v>54</v>
      </c>
      <c r="D1085" s="0" t="n">
        <v>197852</v>
      </c>
      <c r="E1085" s="0" t="s">
        <v>3885</v>
      </c>
      <c r="F1085" s="0" t="s">
        <v>3887</v>
      </c>
      <c r="G1085" s="0" t="s">
        <v>3877</v>
      </c>
    </row>
    <row r="1086" customFormat="false" ht="15" hidden="false" customHeight="false" outlineLevel="0" collapsed="false">
      <c r="A1086" s="0" t="s">
        <v>163</v>
      </c>
      <c r="B1086" s="0" t="n">
        <v>2020</v>
      </c>
      <c r="C1086" s="0" t="s">
        <v>670</v>
      </c>
      <c r="D1086" s="0" t="n">
        <v>595921</v>
      </c>
      <c r="E1086" s="0" t="s">
        <v>3885</v>
      </c>
      <c r="F1086" s="0" t="s">
        <v>3887</v>
      </c>
      <c r="G1086" s="0" t="s">
        <v>3877</v>
      </c>
    </row>
    <row r="1087" customFormat="false" ht="15" hidden="false" customHeight="false" outlineLevel="0" collapsed="false">
      <c r="A1087" s="0" t="s">
        <v>163</v>
      </c>
      <c r="B1087" s="0" t="n">
        <v>2020</v>
      </c>
      <c r="C1087" s="0" t="s">
        <v>55</v>
      </c>
      <c r="D1087" s="0" t="n">
        <v>7124987</v>
      </c>
      <c r="E1087" s="0" t="s">
        <v>3885</v>
      </c>
      <c r="F1087" s="0" t="s">
        <v>3887</v>
      </c>
      <c r="G1087" s="0" t="s">
        <v>3877</v>
      </c>
    </row>
    <row r="1088" customFormat="false" ht="15" hidden="false" customHeight="false" outlineLevel="0" collapsed="false">
      <c r="A1088" s="0" t="s">
        <v>163</v>
      </c>
      <c r="B1088" s="0" t="n">
        <v>2020</v>
      </c>
      <c r="C1088" s="0" t="s">
        <v>60</v>
      </c>
      <c r="D1088" s="0" t="n">
        <v>2639797</v>
      </c>
      <c r="E1088" s="0" t="s">
        <v>3885</v>
      </c>
      <c r="F1088" s="0" t="s">
        <v>3887</v>
      </c>
      <c r="G1088" s="0" t="s">
        <v>3877</v>
      </c>
    </row>
    <row r="1089" customFormat="false" ht="15" hidden="false" customHeight="false" outlineLevel="0" collapsed="false">
      <c r="A1089" s="0" t="s">
        <v>163</v>
      </c>
      <c r="B1089" s="0" t="n">
        <v>2020</v>
      </c>
      <c r="C1089" s="0" t="s">
        <v>61</v>
      </c>
      <c r="D1089" s="0" t="n">
        <v>161585</v>
      </c>
      <c r="E1089" s="0" t="s">
        <v>3885</v>
      </c>
      <c r="F1089" s="0" t="s">
        <v>3887</v>
      </c>
      <c r="G1089" s="0" t="s">
        <v>3877</v>
      </c>
    </row>
    <row r="1090" customFormat="false" ht="15" hidden="false" customHeight="false" outlineLevel="0" collapsed="false">
      <c r="A1090" s="0" t="s">
        <v>163</v>
      </c>
      <c r="B1090" s="0" t="n">
        <v>2020</v>
      </c>
      <c r="C1090" s="0" t="s">
        <v>63</v>
      </c>
      <c r="D1090" s="0" t="n">
        <v>37237</v>
      </c>
      <c r="E1090" s="0" t="s">
        <v>3885</v>
      </c>
      <c r="F1090" s="0" t="s">
        <v>3887</v>
      </c>
      <c r="G1090" s="0" t="s">
        <v>3877</v>
      </c>
    </row>
    <row r="1091" customFormat="false" ht="15" hidden="false" customHeight="false" outlineLevel="0" collapsed="false">
      <c r="A1091" s="0" t="s">
        <v>163</v>
      </c>
      <c r="B1091" s="0" t="n">
        <v>2020</v>
      </c>
      <c r="C1091" s="0" t="s">
        <v>266</v>
      </c>
      <c r="D1091" s="0" t="n">
        <v>4.29</v>
      </c>
      <c r="E1091" s="0" t="s">
        <v>3885</v>
      </c>
      <c r="F1091" s="0" t="s">
        <v>3887</v>
      </c>
      <c r="G1091" s="0" t="s">
        <v>3877</v>
      </c>
    </row>
    <row r="1092" customFormat="false" ht="15" hidden="false" customHeight="false" outlineLevel="0" collapsed="false">
      <c r="A1092" s="0" t="s">
        <v>163</v>
      </c>
      <c r="B1092" s="0" t="n">
        <v>2020</v>
      </c>
      <c r="C1092" s="0" t="s">
        <v>69</v>
      </c>
      <c r="D1092" s="0" t="n">
        <v>21.1</v>
      </c>
      <c r="E1092" s="0" t="s">
        <v>3885</v>
      </c>
      <c r="F1092" s="0" t="s">
        <v>3887</v>
      </c>
      <c r="G1092" s="0" t="s">
        <v>3877</v>
      </c>
    </row>
    <row r="1093" customFormat="false" ht="15" hidden="false" customHeight="false" outlineLevel="0" collapsed="false">
      <c r="A1093" s="0" t="s">
        <v>163</v>
      </c>
      <c r="B1093" s="0" t="n">
        <v>2020</v>
      </c>
      <c r="C1093" s="0" t="s">
        <v>73</v>
      </c>
      <c r="D1093" s="0" t="n">
        <v>0</v>
      </c>
      <c r="E1093" s="0" t="s">
        <v>3885</v>
      </c>
      <c r="F1093" s="0" t="s">
        <v>3887</v>
      </c>
      <c r="G1093" s="0" t="s">
        <v>3877</v>
      </c>
    </row>
    <row r="1094" customFormat="false" ht="15" hidden="false" customHeight="false" outlineLevel="0" collapsed="false">
      <c r="A1094" s="0" t="s">
        <v>163</v>
      </c>
      <c r="B1094" s="0" t="n">
        <v>2020</v>
      </c>
      <c r="C1094" s="0" t="s">
        <v>920</v>
      </c>
      <c r="D1094" s="0" t="s">
        <v>3878</v>
      </c>
      <c r="E1094" s="0" t="s">
        <v>3885</v>
      </c>
      <c r="F1094" s="0" t="s">
        <v>3887</v>
      </c>
      <c r="G1094" s="0" t="s">
        <v>3877</v>
      </c>
    </row>
    <row r="1095" customFormat="false" ht="15" hidden="false" customHeight="false" outlineLevel="0" collapsed="false">
      <c r="A1095" s="0" t="s">
        <v>163</v>
      </c>
      <c r="B1095" s="0" t="n">
        <v>2021</v>
      </c>
      <c r="C1095" s="0" t="s">
        <v>54</v>
      </c>
      <c r="D1095" s="0" t="n">
        <v>233133</v>
      </c>
      <c r="E1095" s="0" t="s">
        <v>3885</v>
      </c>
      <c r="F1095" s="0" t="s">
        <v>3887</v>
      </c>
      <c r="G1095" s="0" t="s">
        <v>3877</v>
      </c>
    </row>
    <row r="1096" customFormat="false" ht="15" hidden="false" customHeight="false" outlineLevel="0" collapsed="false">
      <c r="A1096" s="0" t="s">
        <v>163</v>
      </c>
      <c r="B1096" s="0" t="n">
        <v>2021</v>
      </c>
      <c r="C1096" s="0" t="s">
        <v>670</v>
      </c>
      <c r="D1096" s="0" t="n">
        <v>677283</v>
      </c>
      <c r="E1096" s="0" t="s">
        <v>3885</v>
      </c>
      <c r="F1096" s="0" t="s">
        <v>3887</v>
      </c>
      <c r="G1096" s="0" t="s">
        <v>3877</v>
      </c>
    </row>
    <row r="1097" customFormat="false" ht="15" hidden="false" customHeight="false" outlineLevel="0" collapsed="false">
      <c r="A1097" s="0" t="s">
        <v>163</v>
      </c>
      <c r="B1097" s="0" t="n">
        <v>2021</v>
      </c>
      <c r="C1097" s="0" t="s">
        <v>55</v>
      </c>
      <c r="D1097" s="0" t="n">
        <v>7872292</v>
      </c>
      <c r="E1097" s="0" t="s">
        <v>3885</v>
      </c>
      <c r="F1097" s="0" t="s">
        <v>3887</v>
      </c>
      <c r="G1097" s="0" t="s">
        <v>3877</v>
      </c>
    </row>
    <row r="1098" customFormat="false" ht="15" hidden="false" customHeight="false" outlineLevel="0" collapsed="false">
      <c r="A1098" s="0" t="s">
        <v>163</v>
      </c>
      <c r="B1098" s="0" t="n">
        <v>2021</v>
      </c>
      <c r="C1098" s="0" t="s">
        <v>60</v>
      </c>
      <c r="D1098" s="0" t="n">
        <v>3099452</v>
      </c>
      <c r="E1098" s="0" t="s">
        <v>3885</v>
      </c>
      <c r="F1098" s="0" t="s">
        <v>3887</v>
      </c>
      <c r="G1098" s="0" t="s">
        <v>3877</v>
      </c>
    </row>
    <row r="1099" customFormat="false" ht="15" hidden="false" customHeight="false" outlineLevel="0" collapsed="false">
      <c r="A1099" s="0" t="s">
        <v>163</v>
      </c>
      <c r="B1099" s="0" t="n">
        <v>2021</v>
      </c>
      <c r="C1099" s="0" t="s">
        <v>61</v>
      </c>
      <c r="D1099" s="0" t="n">
        <v>184456</v>
      </c>
      <c r="E1099" s="0" t="s">
        <v>3885</v>
      </c>
      <c r="F1099" s="0" t="s">
        <v>3887</v>
      </c>
      <c r="G1099" s="0" t="s">
        <v>3877</v>
      </c>
    </row>
    <row r="1100" customFormat="false" ht="15" hidden="false" customHeight="false" outlineLevel="0" collapsed="false">
      <c r="A1100" s="0" t="s">
        <v>163</v>
      </c>
      <c r="B1100" s="0" t="n">
        <v>2021</v>
      </c>
      <c r="C1100" s="0" t="s">
        <v>63</v>
      </c>
      <c r="D1100" s="0" t="n">
        <v>56175</v>
      </c>
      <c r="E1100" s="0" t="s">
        <v>3885</v>
      </c>
      <c r="F1100" s="0" t="s">
        <v>3887</v>
      </c>
      <c r="G1100" s="0" t="s">
        <v>3877</v>
      </c>
    </row>
    <row r="1101" customFormat="false" ht="15" hidden="false" customHeight="false" outlineLevel="0" collapsed="false">
      <c r="A1101" s="0" t="s">
        <v>163</v>
      </c>
      <c r="B1101" s="0" t="n">
        <v>2021</v>
      </c>
      <c r="C1101" s="0" t="s">
        <v>266</v>
      </c>
      <c r="D1101" s="0" t="n">
        <v>4.19</v>
      </c>
      <c r="E1101" s="0" t="s">
        <v>3885</v>
      </c>
      <c r="F1101" s="0" t="s">
        <v>3887</v>
      </c>
      <c r="G1101" s="0" t="s">
        <v>3877</v>
      </c>
    </row>
    <row r="1102" customFormat="false" ht="15" hidden="false" customHeight="false" outlineLevel="0" collapsed="false">
      <c r="A1102" s="0" t="s">
        <v>163</v>
      </c>
      <c r="B1102" s="0" t="n">
        <v>2021</v>
      </c>
      <c r="C1102" s="0" t="s">
        <v>69</v>
      </c>
      <c r="D1102" s="0" t="n">
        <v>19.8</v>
      </c>
      <c r="E1102" s="0" t="s">
        <v>3885</v>
      </c>
      <c r="F1102" s="0" t="s">
        <v>3887</v>
      </c>
      <c r="G1102" s="0" t="s">
        <v>3877</v>
      </c>
    </row>
    <row r="1103" customFormat="false" ht="15" hidden="false" customHeight="false" outlineLevel="0" collapsed="false">
      <c r="A1103" s="0" t="s">
        <v>163</v>
      </c>
      <c r="B1103" s="0" t="n">
        <v>2021</v>
      </c>
      <c r="C1103" s="0" t="s">
        <v>73</v>
      </c>
      <c r="D1103" s="0" t="n">
        <v>0</v>
      </c>
      <c r="E1103" s="0" t="s">
        <v>3885</v>
      </c>
      <c r="F1103" s="0" t="s">
        <v>3887</v>
      </c>
      <c r="G1103" s="0" t="s">
        <v>3877</v>
      </c>
    </row>
    <row r="1104" customFormat="false" ht="15" hidden="false" customHeight="false" outlineLevel="0" collapsed="false">
      <c r="A1104" s="0" t="s">
        <v>163</v>
      </c>
      <c r="B1104" s="0" t="n">
        <v>2021</v>
      </c>
      <c r="C1104" s="0" t="s">
        <v>920</v>
      </c>
      <c r="D1104" s="0" t="s">
        <v>3878</v>
      </c>
      <c r="E1104" s="0" t="s">
        <v>3885</v>
      </c>
      <c r="F1104" s="0" t="s">
        <v>3887</v>
      </c>
      <c r="G1104" s="0" t="s">
        <v>3877</v>
      </c>
    </row>
    <row r="1105" customFormat="false" ht="15" hidden="false" customHeight="false" outlineLevel="0" collapsed="false">
      <c r="A1105" s="0" t="s">
        <v>163</v>
      </c>
      <c r="B1105" s="0" t="n">
        <v>2022</v>
      </c>
      <c r="C1105" s="0" t="s">
        <v>54</v>
      </c>
      <c r="D1105" s="0" t="n">
        <v>234593</v>
      </c>
      <c r="E1105" s="0" t="s">
        <v>3885</v>
      </c>
      <c r="F1105" s="0" t="s">
        <v>3887</v>
      </c>
      <c r="G1105" s="0" t="s">
        <v>3877</v>
      </c>
    </row>
    <row r="1106" customFormat="false" ht="15" hidden="false" customHeight="false" outlineLevel="0" collapsed="false">
      <c r="A1106" s="0" t="s">
        <v>163</v>
      </c>
      <c r="B1106" s="0" t="n">
        <v>2022</v>
      </c>
      <c r="C1106" s="0" t="s">
        <v>670</v>
      </c>
      <c r="D1106" s="0" t="n">
        <v>833087</v>
      </c>
      <c r="E1106" s="0" t="s">
        <v>3885</v>
      </c>
      <c r="F1106" s="0" t="s">
        <v>3887</v>
      </c>
      <c r="G1106" s="0" t="s">
        <v>3877</v>
      </c>
    </row>
    <row r="1107" customFormat="false" ht="15" hidden="false" customHeight="false" outlineLevel="0" collapsed="false">
      <c r="A1107" s="0" t="s">
        <v>163</v>
      </c>
      <c r="B1107" s="0" t="n">
        <v>2022</v>
      </c>
      <c r="C1107" s="0" t="s">
        <v>55</v>
      </c>
      <c r="D1107" s="0" t="n">
        <v>10570678</v>
      </c>
      <c r="E1107" s="0" t="s">
        <v>3885</v>
      </c>
      <c r="F1107" s="0" t="s">
        <v>3887</v>
      </c>
      <c r="G1107" s="0" t="s">
        <v>3877</v>
      </c>
    </row>
    <row r="1108" customFormat="false" ht="15" hidden="false" customHeight="false" outlineLevel="0" collapsed="false">
      <c r="A1108" s="0" t="s">
        <v>163</v>
      </c>
      <c r="B1108" s="0" t="n">
        <v>2022</v>
      </c>
      <c r="C1108" s="0" t="s">
        <v>60</v>
      </c>
      <c r="D1108" s="0" t="n">
        <v>3838805</v>
      </c>
      <c r="E1108" s="0" t="s">
        <v>3885</v>
      </c>
      <c r="F1108" s="0" t="s">
        <v>3887</v>
      </c>
      <c r="G1108" s="0" t="s">
        <v>3877</v>
      </c>
    </row>
    <row r="1109" customFormat="false" ht="15" hidden="false" customHeight="false" outlineLevel="0" collapsed="false">
      <c r="A1109" s="0" t="s">
        <v>163</v>
      </c>
      <c r="B1109" s="0" t="n">
        <v>2022</v>
      </c>
      <c r="C1109" s="0" t="s">
        <v>61</v>
      </c>
      <c r="D1109" s="0" t="n">
        <v>231245</v>
      </c>
      <c r="E1109" s="0" t="s">
        <v>3885</v>
      </c>
      <c r="F1109" s="0" t="s">
        <v>3887</v>
      </c>
      <c r="G1109" s="0" t="s">
        <v>3877</v>
      </c>
    </row>
    <row r="1110" customFormat="false" ht="15" hidden="false" customHeight="false" outlineLevel="0" collapsed="false">
      <c r="A1110" s="0" t="s">
        <v>163</v>
      </c>
      <c r="B1110" s="0" t="n">
        <v>2022</v>
      </c>
      <c r="C1110" s="0" t="s">
        <v>63</v>
      </c>
      <c r="D1110" s="0" t="n">
        <v>61896</v>
      </c>
      <c r="E1110" s="0" t="s">
        <v>3885</v>
      </c>
      <c r="F1110" s="0" t="s">
        <v>3887</v>
      </c>
      <c r="G1110" s="0" t="s">
        <v>3877</v>
      </c>
    </row>
    <row r="1111" customFormat="false" ht="15" hidden="false" customHeight="false" outlineLevel="0" collapsed="false">
      <c r="A1111" s="0" t="s">
        <v>163</v>
      </c>
      <c r="B1111" s="0" t="n">
        <v>2022</v>
      </c>
      <c r="C1111" s="0" t="s">
        <v>266</v>
      </c>
      <c r="D1111" s="0" t="n">
        <v>4.3</v>
      </c>
      <c r="E1111" s="0" t="s">
        <v>3885</v>
      </c>
      <c r="F1111" s="0" t="s">
        <v>3887</v>
      </c>
      <c r="G1111" s="0" t="s">
        <v>3877</v>
      </c>
    </row>
    <row r="1112" customFormat="false" ht="15" hidden="false" customHeight="false" outlineLevel="0" collapsed="false">
      <c r="A1112" s="0" t="s">
        <v>163</v>
      </c>
      <c r="B1112" s="0" t="n">
        <v>2022</v>
      </c>
      <c r="C1112" s="0" t="s">
        <v>69</v>
      </c>
      <c r="D1112" s="0" t="n">
        <v>19.3</v>
      </c>
      <c r="E1112" s="0" t="s">
        <v>3885</v>
      </c>
      <c r="F1112" s="0" t="s">
        <v>3887</v>
      </c>
      <c r="G1112" s="0" t="s">
        <v>3877</v>
      </c>
    </row>
    <row r="1113" customFormat="false" ht="15" hidden="false" customHeight="false" outlineLevel="0" collapsed="false">
      <c r="A1113" s="0" t="s">
        <v>163</v>
      </c>
      <c r="B1113" s="0" t="n">
        <v>2022</v>
      </c>
      <c r="C1113" s="0" t="s">
        <v>73</v>
      </c>
      <c r="D1113" s="0" t="n">
        <v>0</v>
      </c>
      <c r="E1113" s="0" t="s">
        <v>3885</v>
      </c>
      <c r="F1113" s="0" t="s">
        <v>3887</v>
      </c>
      <c r="G1113" s="0" t="s">
        <v>3877</v>
      </c>
    </row>
    <row r="1114" customFormat="false" ht="15" hidden="false" customHeight="false" outlineLevel="0" collapsed="false">
      <c r="A1114" s="0" t="s">
        <v>163</v>
      </c>
      <c r="B1114" s="0" t="n">
        <v>2022</v>
      </c>
      <c r="C1114" s="0" t="s">
        <v>920</v>
      </c>
      <c r="D1114" s="0" t="s">
        <v>3878</v>
      </c>
      <c r="E1114" s="0" t="s">
        <v>3885</v>
      </c>
      <c r="F1114" s="0" t="s">
        <v>3887</v>
      </c>
      <c r="G1114" s="0" t="s">
        <v>3877</v>
      </c>
    </row>
    <row r="1115" customFormat="false" ht="15" hidden="false" customHeight="false" outlineLevel="0" collapsed="false">
      <c r="A1115" s="0" t="s">
        <v>104</v>
      </c>
      <c r="B1115" s="0" t="n">
        <v>2015</v>
      </c>
      <c r="C1115" s="0" t="s">
        <v>54</v>
      </c>
      <c r="D1115" s="0" t="n">
        <v>37</v>
      </c>
      <c r="E1115" s="0" t="s">
        <v>3885</v>
      </c>
      <c r="F1115" s="0" t="s">
        <v>3888</v>
      </c>
      <c r="G1115" s="0" t="s">
        <v>3877</v>
      </c>
    </row>
    <row r="1116" customFormat="false" ht="15" hidden="false" customHeight="false" outlineLevel="0" collapsed="false">
      <c r="A1116" s="0" t="s">
        <v>104</v>
      </c>
      <c r="B1116" s="0" t="n">
        <v>2015</v>
      </c>
      <c r="C1116" s="0" t="s">
        <v>670</v>
      </c>
      <c r="D1116" s="0" t="n">
        <v>421227</v>
      </c>
      <c r="E1116" s="0" t="s">
        <v>3885</v>
      </c>
      <c r="F1116" s="0" t="s">
        <v>3888</v>
      </c>
      <c r="G1116" s="0" t="s">
        <v>3877</v>
      </c>
    </row>
    <row r="1117" customFormat="false" ht="15" hidden="false" customHeight="false" outlineLevel="0" collapsed="false">
      <c r="A1117" s="0" t="s">
        <v>104</v>
      </c>
      <c r="B1117" s="0" t="n">
        <v>2015</v>
      </c>
      <c r="C1117" s="0" t="s">
        <v>55</v>
      </c>
      <c r="D1117" s="0" t="n">
        <v>3332375</v>
      </c>
      <c r="E1117" s="0" t="s">
        <v>3885</v>
      </c>
      <c r="F1117" s="0" t="s">
        <v>3888</v>
      </c>
      <c r="G1117" s="0" t="s">
        <v>3877</v>
      </c>
    </row>
    <row r="1118" customFormat="false" ht="15" hidden="false" customHeight="false" outlineLevel="0" collapsed="false">
      <c r="A1118" s="0" t="s">
        <v>104</v>
      </c>
      <c r="B1118" s="0" t="n">
        <v>2015</v>
      </c>
      <c r="C1118" s="0" t="s">
        <v>60</v>
      </c>
      <c r="D1118" s="0" t="n">
        <v>1457285</v>
      </c>
      <c r="E1118" s="0" t="s">
        <v>3885</v>
      </c>
      <c r="F1118" s="0" t="s">
        <v>3888</v>
      </c>
      <c r="G1118" s="0" t="s">
        <v>3877</v>
      </c>
    </row>
    <row r="1119" customFormat="false" ht="15" hidden="false" customHeight="false" outlineLevel="0" collapsed="false">
      <c r="A1119" s="0" t="s">
        <v>104</v>
      </c>
      <c r="B1119" s="0" t="n">
        <v>2015</v>
      </c>
      <c r="C1119" s="0" t="s">
        <v>61</v>
      </c>
      <c r="D1119" s="0" t="n">
        <v>187640</v>
      </c>
      <c r="E1119" s="0" t="s">
        <v>3885</v>
      </c>
      <c r="F1119" s="0" t="s">
        <v>3888</v>
      </c>
      <c r="G1119" s="0" t="s">
        <v>3877</v>
      </c>
    </row>
    <row r="1120" customFormat="false" ht="15" hidden="false" customHeight="false" outlineLevel="0" collapsed="false">
      <c r="A1120" s="0" t="s">
        <v>104</v>
      </c>
      <c r="B1120" s="0" t="n">
        <v>2015</v>
      </c>
      <c r="C1120" s="0" t="s">
        <v>63</v>
      </c>
      <c r="D1120" s="0" t="n">
        <v>120046</v>
      </c>
      <c r="E1120" s="0" t="s">
        <v>3885</v>
      </c>
      <c r="F1120" s="0" t="s">
        <v>3888</v>
      </c>
      <c r="G1120" s="0" t="s">
        <v>3877</v>
      </c>
    </row>
    <row r="1121" customFormat="false" ht="15" hidden="false" customHeight="false" outlineLevel="0" collapsed="false">
      <c r="A1121" s="0" t="s">
        <v>104</v>
      </c>
      <c r="B1121" s="0" t="n">
        <v>2015</v>
      </c>
      <c r="C1121" s="0" t="s">
        <v>266</v>
      </c>
      <c r="D1121" s="0" t="n">
        <v>45</v>
      </c>
      <c r="E1121" s="0" t="s">
        <v>3885</v>
      </c>
      <c r="F1121" s="0" t="s">
        <v>3888</v>
      </c>
      <c r="G1121" s="0" t="s">
        <v>3877</v>
      </c>
    </row>
    <row r="1122" customFormat="false" ht="15" hidden="false" customHeight="false" outlineLevel="0" collapsed="false">
      <c r="A1122" s="0" t="s">
        <v>104</v>
      </c>
      <c r="B1122" s="0" t="n">
        <v>2015</v>
      </c>
      <c r="C1122" s="0" t="s">
        <v>69</v>
      </c>
      <c r="D1122" s="0" t="n">
        <v>17.1</v>
      </c>
      <c r="E1122" s="0" t="s">
        <v>3885</v>
      </c>
      <c r="F1122" s="0" t="s">
        <v>3888</v>
      </c>
      <c r="G1122" s="0" t="s">
        <v>3877</v>
      </c>
    </row>
    <row r="1123" customFormat="false" ht="15" hidden="false" customHeight="false" outlineLevel="0" collapsed="false">
      <c r="A1123" s="0" t="s">
        <v>104</v>
      </c>
      <c r="B1123" s="0" t="n">
        <v>2015</v>
      </c>
      <c r="C1123" s="0" t="s">
        <v>73</v>
      </c>
      <c r="D1123" s="0" t="n">
        <v>0</v>
      </c>
      <c r="E1123" s="0" t="s">
        <v>3885</v>
      </c>
      <c r="F1123" s="0" t="s">
        <v>3888</v>
      </c>
      <c r="G1123" s="0" t="s">
        <v>3877</v>
      </c>
    </row>
    <row r="1124" customFormat="false" ht="15" hidden="false" customHeight="false" outlineLevel="0" collapsed="false">
      <c r="A1124" s="0" t="s">
        <v>104</v>
      </c>
      <c r="B1124" s="0" t="n">
        <v>2015</v>
      </c>
      <c r="C1124" s="0" t="s">
        <v>920</v>
      </c>
      <c r="D1124" s="0" t="s">
        <v>3878</v>
      </c>
      <c r="E1124" s="0" t="s">
        <v>3885</v>
      </c>
      <c r="F1124" s="0" t="s">
        <v>3888</v>
      </c>
      <c r="G1124" s="0" t="s">
        <v>3877</v>
      </c>
    </row>
    <row r="1125" customFormat="false" ht="15" hidden="false" customHeight="false" outlineLevel="0" collapsed="false">
      <c r="A1125" s="0" t="s">
        <v>104</v>
      </c>
      <c r="B1125" s="0" t="n">
        <v>2016</v>
      </c>
      <c r="C1125" s="0" t="s">
        <v>54</v>
      </c>
      <c r="D1125" s="0" t="n">
        <v>11768</v>
      </c>
      <c r="E1125" s="0" t="s">
        <v>3885</v>
      </c>
      <c r="F1125" s="0" t="s">
        <v>3888</v>
      </c>
      <c r="G1125" s="0" t="s">
        <v>3877</v>
      </c>
    </row>
    <row r="1126" customFormat="false" ht="15" hidden="false" customHeight="false" outlineLevel="0" collapsed="false">
      <c r="A1126" s="0" t="s">
        <v>104</v>
      </c>
      <c r="B1126" s="0" t="n">
        <v>2016</v>
      </c>
      <c r="C1126" s="0" t="s">
        <v>670</v>
      </c>
      <c r="D1126" s="0" t="n">
        <v>434663</v>
      </c>
      <c r="E1126" s="0" t="s">
        <v>3885</v>
      </c>
      <c r="F1126" s="0" t="s">
        <v>3888</v>
      </c>
      <c r="G1126" s="0" t="s">
        <v>3877</v>
      </c>
    </row>
    <row r="1127" customFormat="false" ht="15" hidden="false" customHeight="false" outlineLevel="0" collapsed="false">
      <c r="A1127" s="0" t="s">
        <v>104</v>
      </c>
      <c r="B1127" s="0" t="n">
        <v>2016</v>
      </c>
      <c r="C1127" s="0" t="s">
        <v>55</v>
      </c>
      <c r="D1127" s="0" t="n">
        <v>4514792</v>
      </c>
      <c r="E1127" s="0" t="s">
        <v>3885</v>
      </c>
      <c r="F1127" s="0" t="s">
        <v>3888</v>
      </c>
      <c r="G1127" s="0" t="s">
        <v>3877</v>
      </c>
    </row>
    <row r="1128" customFormat="false" ht="15" hidden="false" customHeight="false" outlineLevel="0" collapsed="false">
      <c r="A1128" s="0" t="s">
        <v>104</v>
      </c>
      <c r="B1128" s="0" t="n">
        <v>2016</v>
      </c>
      <c r="C1128" s="0" t="s">
        <v>60</v>
      </c>
      <c r="D1128" s="0" t="n">
        <v>2086740</v>
      </c>
      <c r="E1128" s="0" t="s">
        <v>3885</v>
      </c>
      <c r="F1128" s="0" t="s">
        <v>3888</v>
      </c>
      <c r="G1128" s="0" t="s">
        <v>3877</v>
      </c>
    </row>
    <row r="1129" customFormat="false" ht="15" hidden="false" customHeight="false" outlineLevel="0" collapsed="false">
      <c r="A1129" s="0" t="s">
        <v>104</v>
      </c>
      <c r="B1129" s="0" t="n">
        <v>2016</v>
      </c>
      <c r="C1129" s="0" t="s">
        <v>61</v>
      </c>
      <c r="D1129" s="0" t="n">
        <v>240695</v>
      </c>
      <c r="E1129" s="0" t="s">
        <v>3885</v>
      </c>
      <c r="F1129" s="0" t="s">
        <v>3888</v>
      </c>
      <c r="G1129" s="0" t="s">
        <v>3877</v>
      </c>
    </row>
    <row r="1130" customFormat="false" ht="15" hidden="false" customHeight="false" outlineLevel="0" collapsed="false">
      <c r="A1130" s="0" t="s">
        <v>104</v>
      </c>
      <c r="B1130" s="0" t="n">
        <v>2016</v>
      </c>
      <c r="C1130" s="0" t="s">
        <v>63</v>
      </c>
      <c r="D1130" s="0" t="n">
        <v>224948</v>
      </c>
      <c r="E1130" s="0" t="s">
        <v>3885</v>
      </c>
      <c r="F1130" s="0" t="s">
        <v>3888</v>
      </c>
      <c r="G1130" s="0" t="s">
        <v>3877</v>
      </c>
    </row>
    <row r="1131" customFormat="false" ht="15" hidden="false" customHeight="false" outlineLevel="0" collapsed="false">
      <c r="A1131" s="0" t="s">
        <v>104</v>
      </c>
      <c r="B1131" s="0" t="n">
        <v>2016</v>
      </c>
      <c r="C1131" s="0" t="s">
        <v>266</v>
      </c>
      <c r="D1131" s="0" t="n">
        <v>24.4</v>
      </c>
      <c r="E1131" s="0" t="s">
        <v>3885</v>
      </c>
      <c r="F1131" s="0" t="s">
        <v>3888</v>
      </c>
      <c r="G1131" s="0" t="s">
        <v>3877</v>
      </c>
    </row>
    <row r="1132" customFormat="false" ht="15" hidden="false" customHeight="false" outlineLevel="0" collapsed="false">
      <c r="A1132" s="0" t="s">
        <v>104</v>
      </c>
      <c r="B1132" s="0" t="n">
        <v>2016</v>
      </c>
      <c r="C1132" s="0" t="s">
        <v>69</v>
      </c>
      <c r="D1132" s="0" t="n">
        <v>17.79</v>
      </c>
      <c r="E1132" s="0" t="s">
        <v>3885</v>
      </c>
      <c r="F1132" s="0" t="s">
        <v>3888</v>
      </c>
      <c r="G1132" s="0" t="s">
        <v>3877</v>
      </c>
    </row>
    <row r="1133" customFormat="false" ht="15" hidden="false" customHeight="false" outlineLevel="0" collapsed="false">
      <c r="A1133" s="0" t="s">
        <v>104</v>
      </c>
      <c r="B1133" s="0" t="n">
        <v>2016</v>
      </c>
      <c r="C1133" s="0" t="s">
        <v>73</v>
      </c>
      <c r="D1133" s="0" t="n">
        <v>0</v>
      </c>
      <c r="E1133" s="0" t="s">
        <v>3885</v>
      </c>
      <c r="F1133" s="0" t="s">
        <v>3888</v>
      </c>
      <c r="G1133" s="0" t="s">
        <v>3877</v>
      </c>
    </row>
    <row r="1134" customFormat="false" ht="15" hidden="false" customHeight="false" outlineLevel="0" collapsed="false">
      <c r="A1134" s="0" t="s">
        <v>104</v>
      </c>
      <c r="B1134" s="0" t="n">
        <v>2016</v>
      </c>
      <c r="C1134" s="0" t="s">
        <v>920</v>
      </c>
      <c r="D1134" s="0" t="s">
        <v>3878</v>
      </c>
      <c r="E1134" s="0" t="s">
        <v>3885</v>
      </c>
      <c r="F1134" s="0" t="s">
        <v>3888</v>
      </c>
      <c r="G1134" s="0" t="s">
        <v>3877</v>
      </c>
    </row>
    <row r="1135" customFormat="false" ht="15" hidden="false" customHeight="false" outlineLevel="0" collapsed="false">
      <c r="A1135" s="0" t="s">
        <v>104</v>
      </c>
      <c r="B1135" s="0" t="n">
        <v>2017</v>
      </c>
      <c r="C1135" s="0" t="s">
        <v>54</v>
      </c>
      <c r="D1135" s="0" t="n">
        <v>51475</v>
      </c>
      <c r="E1135" s="0" t="s">
        <v>3885</v>
      </c>
      <c r="F1135" s="0" t="s">
        <v>3888</v>
      </c>
      <c r="G1135" s="0" t="s">
        <v>3877</v>
      </c>
    </row>
    <row r="1136" customFormat="false" ht="15" hidden="false" customHeight="false" outlineLevel="0" collapsed="false">
      <c r="A1136" s="0" t="s">
        <v>104</v>
      </c>
      <c r="B1136" s="0" t="n">
        <v>2017</v>
      </c>
      <c r="C1136" s="0" t="s">
        <v>670</v>
      </c>
      <c r="D1136" s="0" t="n">
        <v>474866</v>
      </c>
      <c r="E1136" s="0" t="s">
        <v>3885</v>
      </c>
      <c r="F1136" s="0" t="s">
        <v>3888</v>
      </c>
      <c r="G1136" s="0" t="s">
        <v>3877</v>
      </c>
    </row>
    <row r="1137" customFormat="false" ht="15" hidden="false" customHeight="false" outlineLevel="0" collapsed="false">
      <c r="A1137" s="0" t="s">
        <v>104</v>
      </c>
      <c r="B1137" s="0" t="n">
        <v>2017</v>
      </c>
      <c r="C1137" s="0" t="s">
        <v>55</v>
      </c>
      <c r="D1137" s="0" t="n">
        <v>5014248</v>
      </c>
      <c r="E1137" s="0" t="s">
        <v>3885</v>
      </c>
      <c r="F1137" s="0" t="s">
        <v>3888</v>
      </c>
      <c r="G1137" s="0" t="s">
        <v>3877</v>
      </c>
    </row>
    <row r="1138" customFormat="false" ht="15" hidden="false" customHeight="false" outlineLevel="0" collapsed="false">
      <c r="A1138" s="0" t="s">
        <v>104</v>
      </c>
      <c r="B1138" s="0" t="n">
        <v>2017</v>
      </c>
      <c r="C1138" s="0" t="s">
        <v>60</v>
      </c>
      <c r="D1138" s="0" t="n">
        <v>2026038</v>
      </c>
      <c r="E1138" s="0" t="s">
        <v>3885</v>
      </c>
      <c r="F1138" s="0" t="s">
        <v>3888</v>
      </c>
      <c r="G1138" s="0" t="s">
        <v>3877</v>
      </c>
    </row>
    <row r="1139" customFormat="false" ht="15" hidden="false" customHeight="false" outlineLevel="0" collapsed="false">
      <c r="A1139" s="0" t="s">
        <v>104</v>
      </c>
      <c r="B1139" s="0" t="n">
        <v>2017</v>
      </c>
      <c r="C1139" s="0" t="s">
        <v>61</v>
      </c>
      <c r="D1139" s="0" t="n">
        <v>178719</v>
      </c>
      <c r="E1139" s="0" t="s">
        <v>3885</v>
      </c>
      <c r="F1139" s="0" t="s">
        <v>3888</v>
      </c>
      <c r="G1139" s="0" t="s">
        <v>3877</v>
      </c>
    </row>
    <row r="1140" customFormat="false" ht="15" hidden="false" customHeight="false" outlineLevel="0" collapsed="false">
      <c r="A1140" s="0" t="s">
        <v>104</v>
      </c>
      <c r="B1140" s="0" t="n">
        <v>2017</v>
      </c>
      <c r="C1140" s="0" t="s">
        <v>63</v>
      </c>
      <c r="D1140" s="0" t="n">
        <v>141275</v>
      </c>
      <c r="E1140" s="0" t="s">
        <v>3885</v>
      </c>
      <c r="F1140" s="0" t="s">
        <v>3888</v>
      </c>
      <c r="G1140" s="0" t="s">
        <v>3877</v>
      </c>
    </row>
    <row r="1141" customFormat="false" ht="15" hidden="false" customHeight="false" outlineLevel="0" collapsed="false">
      <c r="A1141" s="0" t="s">
        <v>104</v>
      </c>
      <c r="B1141" s="0" t="n">
        <v>2017</v>
      </c>
      <c r="C1141" s="0" t="s">
        <v>266</v>
      </c>
      <c r="D1141" s="0" t="n">
        <v>22.8</v>
      </c>
      <c r="E1141" s="0" t="s">
        <v>3885</v>
      </c>
      <c r="F1141" s="0" t="s">
        <v>3888</v>
      </c>
      <c r="G1141" s="0" t="s">
        <v>3877</v>
      </c>
    </row>
    <row r="1142" customFormat="false" ht="15" hidden="false" customHeight="false" outlineLevel="0" collapsed="false">
      <c r="A1142" s="0" t="s">
        <v>104</v>
      </c>
      <c r="B1142" s="0" t="n">
        <v>2017</v>
      </c>
      <c r="C1142" s="0" t="s">
        <v>69</v>
      </c>
      <c r="D1142" s="0" t="n">
        <v>17.74</v>
      </c>
      <c r="E1142" s="0" t="s">
        <v>3885</v>
      </c>
      <c r="F1142" s="0" t="s">
        <v>3888</v>
      </c>
      <c r="G1142" s="0" t="s">
        <v>3877</v>
      </c>
    </row>
    <row r="1143" customFormat="false" ht="15" hidden="false" customHeight="false" outlineLevel="0" collapsed="false">
      <c r="A1143" s="0" t="s">
        <v>104</v>
      </c>
      <c r="B1143" s="0" t="n">
        <v>2017</v>
      </c>
      <c r="C1143" s="0" t="s">
        <v>73</v>
      </c>
      <c r="D1143" s="0" t="n">
        <v>0</v>
      </c>
      <c r="E1143" s="0" t="s">
        <v>3885</v>
      </c>
      <c r="F1143" s="0" t="s">
        <v>3888</v>
      </c>
      <c r="G1143" s="0" t="s">
        <v>3877</v>
      </c>
    </row>
    <row r="1144" customFormat="false" ht="15" hidden="false" customHeight="false" outlineLevel="0" collapsed="false">
      <c r="A1144" s="0" t="s">
        <v>104</v>
      </c>
      <c r="B1144" s="0" t="n">
        <v>2017</v>
      </c>
      <c r="C1144" s="0" t="s">
        <v>920</v>
      </c>
      <c r="D1144" s="0" t="s">
        <v>3878</v>
      </c>
      <c r="E1144" s="0" t="s">
        <v>3885</v>
      </c>
      <c r="F1144" s="0" t="s">
        <v>3888</v>
      </c>
      <c r="G1144" s="0" t="s">
        <v>3877</v>
      </c>
    </row>
    <row r="1145" customFormat="false" ht="15" hidden="false" customHeight="false" outlineLevel="0" collapsed="false">
      <c r="A1145" s="0" t="s">
        <v>104</v>
      </c>
      <c r="B1145" s="0" t="n">
        <v>2018</v>
      </c>
      <c r="C1145" s="0" t="s">
        <v>54</v>
      </c>
      <c r="D1145" s="0" t="n">
        <v>38844</v>
      </c>
      <c r="E1145" s="0" t="s">
        <v>3885</v>
      </c>
      <c r="F1145" s="0" t="s">
        <v>3888</v>
      </c>
      <c r="G1145" s="0" t="s">
        <v>3877</v>
      </c>
    </row>
    <row r="1146" customFormat="false" ht="15" hidden="false" customHeight="false" outlineLevel="0" collapsed="false">
      <c r="A1146" s="0" t="s">
        <v>104</v>
      </c>
      <c r="B1146" s="0" t="n">
        <v>2018</v>
      </c>
      <c r="C1146" s="0" t="s">
        <v>670</v>
      </c>
      <c r="D1146" s="0" t="n">
        <v>363680</v>
      </c>
      <c r="E1146" s="0" t="s">
        <v>3885</v>
      </c>
      <c r="F1146" s="0" t="s">
        <v>3888</v>
      </c>
      <c r="G1146" s="0" t="s">
        <v>3877</v>
      </c>
    </row>
    <row r="1147" customFormat="false" ht="15" hidden="false" customHeight="false" outlineLevel="0" collapsed="false">
      <c r="A1147" s="0" t="s">
        <v>104</v>
      </c>
      <c r="B1147" s="0" t="n">
        <v>2018</v>
      </c>
      <c r="C1147" s="0" t="s">
        <v>55</v>
      </c>
      <c r="D1147" s="0" t="n">
        <v>5303327</v>
      </c>
      <c r="E1147" s="0" t="s">
        <v>3885</v>
      </c>
      <c r="F1147" s="0" t="s">
        <v>3888</v>
      </c>
      <c r="G1147" s="0" t="s">
        <v>3877</v>
      </c>
    </row>
    <row r="1148" customFormat="false" ht="15" hidden="false" customHeight="false" outlineLevel="0" collapsed="false">
      <c r="A1148" s="0" t="s">
        <v>104</v>
      </c>
      <c r="B1148" s="0" t="n">
        <v>2018</v>
      </c>
      <c r="C1148" s="0" t="s">
        <v>60</v>
      </c>
      <c r="D1148" s="0" t="n">
        <v>1694884</v>
      </c>
      <c r="E1148" s="0" t="s">
        <v>3885</v>
      </c>
      <c r="F1148" s="0" t="s">
        <v>3888</v>
      </c>
      <c r="G1148" s="0" t="s">
        <v>3877</v>
      </c>
    </row>
    <row r="1149" customFormat="false" ht="15" hidden="false" customHeight="false" outlineLevel="0" collapsed="false">
      <c r="A1149" s="0" t="s">
        <v>104</v>
      </c>
      <c r="B1149" s="0" t="n">
        <v>2018</v>
      </c>
      <c r="C1149" s="0" t="s">
        <v>61</v>
      </c>
      <c r="D1149" s="0" t="n">
        <v>166250</v>
      </c>
      <c r="E1149" s="0" t="s">
        <v>3885</v>
      </c>
      <c r="F1149" s="0" t="s">
        <v>3888</v>
      </c>
      <c r="G1149" s="0" t="s">
        <v>3877</v>
      </c>
    </row>
    <row r="1150" customFormat="false" ht="15" hidden="false" customHeight="false" outlineLevel="0" collapsed="false">
      <c r="A1150" s="0" t="s">
        <v>104</v>
      </c>
      <c r="B1150" s="0" t="n">
        <v>2018</v>
      </c>
      <c r="C1150" s="0" t="s">
        <v>63</v>
      </c>
      <c r="D1150" s="0" t="n">
        <v>92796</v>
      </c>
      <c r="E1150" s="0" t="s">
        <v>3885</v>
      </c>
      <c r="F1150" s="0" t="s">
        <v>3888</v>
      </c>
      <c r="G1150" s="0" t="s">
        <v>3877</v>
      </c>
    </row>
    <row r="1151" customFormat="false" ht="15" hidden="false" customHeight="false" outlineLevel="0" collapsed="false">
      <c r="A1151" s="0" t="s">
        <v>104</v>
      </c>
      <c r="B1151" s="0" t="n">
        <v>2018</v>
      </c>
      <c r="C1151" s="0" t="s">
        <v>266</v>
      </c>
      <c r="D1151" s="0" t="n">
        <v>24.7</v>
      </c>
      <c r="E1151" s="0" t="s">
        <v>3885</v>
      </c>
      <c r="F1151" s="0" t="s">
        <v>3888</v>
      </c>
      <c r="G1151" s="0" t="s">
        <v>3877</v>
      </c>
    </row>
    <row r="1152" customFormat="false" ht="15" hidden="false" customHeight="false" outlineLevel="0" collapsed="false">
      <c r="A1152" s="0" t="s">
        <v>104</v>
      </c>
      <c r="B1152" s="0" t="n">
        <v>2018</v>
      </c>
      <c r="C1152" s="0" t="s">
        <v>69</v>
      </c>
      <c r="D1152" s="0" t="n">
        <v>17.26</v>
      </c>
      <c r="E1152" s="0" t="s">
        <v>3885</v>
      </c>
      <c r="F1152" s="0" t="s">
        <v>3888</v>
      </c>
      <c r="G1152" s="0" t="s">
        <v>3877</v>
      </c>
    </row>
    <row r="1153" customFormat="false" ht="15" hidden="false" customHeight="false" outlineLevel="0" collapsed="false">
      <c r="A1153" s="0" t="s">
        <v>104</v>
      </c>
      <c r="B1153" s="0" t="n">
        <v>2018</v>
      </c>
      <c r="C1153" s="0" t="s">
        <v>73</v>
      </c>
      <c r="D1153" s="0" t="n">
        <v>0</v>
      </c>
      <c r="E1153" s="0" t="s">
        <v>3885</v>
      </c>
      <c r="F1153" s="0" t="s">
        <v>3888</v>
      </c>
      <c r="G1153" s="0" t="s">
        <v>3877</v>
      </c>
    </row>
    <row r="1154" customFormat="false" ht="15" hidden="false" customHeight="false" outlineLevel="0" collapsed="false">
      <c r="A1154" s="0" t="s">
        <v>104</v>
      </c>
      <c r="B1154" s="0" t="n">
        <v>2018</v>
      </c>
      <c r="C1154" s="0" t="s">
        <v>920</v>
      </c>
      <c r="D1154" s="0" t="s">
        <v>3878</v>
      </c>
      <c r="E1154" s="0" t="s">
        <v>3885</v>
      </c>
      <c r="F1154" s="0" t="s">
        <v>3888</v>
      </c>
      <c r="G1154" s="0" t="s">
        <v>3877</v>
      </c>
    </row>
    <row r="1155" customFormat="false" ht="15" hidden="false" customHeight="false" outlineLevel="0" collapsed="false">
      <c r="A1155" s="0" t="s">
        <v>104</v>
      </c>
      <c r="B1155" s="0" t="n">
        <v>2019</v>
      </c>
      <c r="C1155" s="0" t="s">
        <v>54</v>
      </c>
      <c r="D1155" s="0" t="n">
        <v>62667</v>
      </c>
      <c r="E1155" s="0" t="s">
        <v>3885</v>
      </c>
      <c r="F1155" s="0" t="s">
        <v>3888</v>
      </c>
      <c r="G1155" s="0" t="s">
        <v>3877</v>
      </c>
    </row>
    <row r="1156" customFormat="false" ht="15" hidden="false" customHeight="false" outlineLevel="0" collapsed="false">
      <c r="A1156" s="0" t="s">
        <v>104</v>
      </c>
      <c r="B1156" s="0" t="n">
        <v>2019</v>
      </c>
      <c r="C1156" s="0" t="s">
        <v>670</v>
      </c>
      <c r="D1156" s="0" t="n">
        <v>395926</v>
      </c>
      <c r="E1156" s="0" t="s">
        <v>3885</v>
      </c>
      <c r="F1156" s="0" t="s">
        <v>3888</v>
      </c>
      <c r="G1156" s="0" t="s">
        <v>3877</v>
      </c>
    </row>
    <row r="1157" customFormat="false" ht="15" hidden="false" customHeight="false" outlineLevel="0" collapsed="false">
      <c r="A1157" s="0" t="s">
        <v>104</v>
      </c>
      <c r="B1157" s="0" t="n">
        <v>2019</v>
      </c>
      <c r="C1157" s="0" t="s">
        <v>55</v>
      </c>
      <c r="D1157" s="0" t="n">
        <v>5869219</v>
      </c>
      <c r="E1157" s="0" t="s">
        <v>3885</v>
      </c>
      <c r="F1157" s="0" t="s">
        <v>3888</v>
      </c>
      <c r="G1157" s="0" t="s">
        <v>3877</v>
      </c>
    </row>
    <row r="1158" customFormat="false" ht="15" hidden="false" customHeight="false" outlineLevel="0" collapsed="false">
      <c r="A1158" s="0" t="s">
        <v>104</v>
      </c>
      <c r="B1158" s="0" t="n">
        <v>2019</v>
      </c>
      <c r="C1158" s="0" t="s">
        <v>60</v>
      </c>
      <c r="D1158" s="0" t="n">
        <v>1866023</v>
      </c>
      <c r="E1158" s="0" t="s">
        <v>3885</v>
      </c>
      <c r="F1158" s="0" t="s">
        <v>3888</v>
      </c>
      <c r="G1158" s="0" t="s">
        <v>3877</v>
      </c>
    </row>
    <row r="1159" customFormat="false" ht="15" hidden="false" customHeight="false" outlineLevel="0" collapsed="false">
      <c r="A1159" s="0" t="s">
        <v>104</v>
      </c>
      <c r="B1159" s="0" t="n">
        <v>2019</v>
      </c>
      <c r="C1159" s="0" t="s">
        <v>61</v>
      </c>
      <c r="D1159" s="0" t="n">
        <v>158400</v>
      </c>
      <c r="E1159" s="0" t="s">
        <v>3885</v>
      </c>
      <c r="F1159" s="0" t="s">
        <v>3888</v>
      </c>
      <c r="G1159" s="0" t="s">
        <v>3877</v>
      </c>
    </row>
    <row r="1160" customFormat="false" ht="15" hidden="false" customHeight="false" outlineLevel="0" collapsed="false">
      <c r="A1160" s="0" t="s">
        <v>104</v>
      </c>
      <c r="B1160" s="0" t="n">
        <v>2019</v>
      </c>
      <c r="C1160" s="0" t="s">
        <v>63</v>
      </c>
      <c r="D1160" s="0" t="n">
        <v>50821</v>
      </c>
      <c r="E1160" s="0" t="s">
        <v>3885</v>
      </c>
      <c r="F1160" s="0" t="s">
        <v>3888</v>
      </c>
      <c r="G1160" s="0" t="s">
        <v>3877</v>
      </c>
    </row>
    <row r="1161" customFormat="false" ht="15" hidden="false" customHeight="false" outlineLevel="0" collapsed="false">
      <c r="A1161" s="0" t="s">
        <v>104</v>
      </c>
      <c r="B1161" s="0" t="n">
        <v>2019</v>
      </c>
      <c r="C1161" s="0" t="s">
        <v>266</v>
      </c>
      <c r="D1161" s="0" t="n">
        <v>9.9</v>
      </c>
      <c r="E1161" s="0" t="s">
        <v>3885</v>
      </c>
      <c r="F1161" s="0" t="s">
        <v>3888</v>
      </c>
      <c r="G1161" s="0" t="s">
        <v>3877</v>
      </c>
    </row>
    <row r="1162" customFormat="false" ht="15" hidden="false" customHeight="false" outlineLevel="0" collapsed="false">
      <c r="A1162" s="0" t="s">
        <v>104</v>
      </c>
      <c r="B1162" s="0" t="n">
        <v>2019</v>
      </c>
      <c r="C1162" s="0" t="s">
        <v>69</v>
      </c>
      <c r="D1162" s="0" t="n">
        <v>15.45</v>
      </c>
      <c r="E1162" s="0" t="s">
        <v>3885</v>
      </c>
      <c r="F1162" s="0" t="s">
        <v>3888</v>
      </c>
      <c r="G1162" s="0" t="s">
        <v>3877</v>
      </c>
    </row>
    <row r="1163" customFormat="false" ht="15" hidden="false" customHeight="false" outlineLevel="0" collapsed="false">
      <c r="A1163" s="0" t="s">
        <v>104</v>
      </c>
      <c r="B1163" s="0" t="n">
        <v>2019</v>
      </c>
      <c r="C1163" s="0" t="s">
        <v>73</v>
      </c>
      <c r="D1163" s="0" t="n">
        <v>0</v>
      </c>
      <c r="E1163" s="0" t="s">
        <v>3885</v>
      </c>
      <c r="F1163" s="0" t="s">
        <v>3888</v>
      </c>
      <c r="G1163" s="0" t="s">
        <v>3877</v>
      </c>
    </row>
    <row r="1164" customFormat="false" ht="15" hidden="false" customHeight="false" outlineLevel="0" collapsed="false">
      <c r="A1164" s="0" t="s">
        <v>104</v>
      </c>
      <c r="B1164" s="0" t="n">
        <v>2019</v>
      </c>
      <c r="C1164" s="0" t="s">
        <v>920</v>
      </c>
      <c r="D1164" s="0" t="s">
        <v>3878</v>
      </c>
      <c r="E1164" s="0" t="s">
        <v>3885</v>
      </c>
      <c r="F1164" s="0" t="s">
        <v>3888</v>
      </c>
      <c r="G1164" s="0" t="s">
        <v>3877</v>
      </c>
    </row>
    <row r="1165" customFormat="false" ht="15" hidden="false" customHeight="false" outlineLevel="0" collapsed="false">
      <c r="A1165" s="0" t="s">
        <v>104</v>
      </c>
      <c r="B1165" s="0" t="n">
        <v>2020</v>
      </c>
      <c r="C1165" s="0" t="s">
        <v>54</v>
      </c>
      <c r="D1165" s="0" t="n">
        <v>67750</v>
      </c>
      <c r="E1165" s="0" t="s">
        <v>3885</v>
      </c>
      <c r="F1165" s="0" t="s">
        <v>3888</v>
      </c>
      <c r="G1165" s="0" t="s">
        <v>3877</v>
      </c>
    </row>
    <row r="1166" customFormat="false" ht="15" hidden="false" customHeight="false" outlineLevel="0" collapsed="false">
      <c r="A1166" s="0" t="s">
        <v>104</v>
      </c>
      <c r="B1166" s="0" t="n">
        <v>2020</v>
      </c>
      <c r="C1166" s="0" t="s">
        <v>670</v>
      </c>
      <c r="D1166" s="0" t="n">
        <v>399128</v>
      </c>
      <c r="E1166" s="0" t="s">
        <v>3885</v>
      </c>
      <c r="F1166" s="0" t="s">
        <v>3888</v>
      </c>
      <c r="G1166" s="0" t="s">
        <v>3877</v>
      </c>
    </row>
    <row r="1167" customFormat="false" ht="15" hidden="false" customHeight="false" outlineLevel="0" collapsed="false">
      <c r="A1167" s="0" t="s">
        <v>104</v>
      </c>
      <c r="B1167" s="0" t="n">
        <v>2020</v>
      </c>
      <c r="C1167" s="0" t="s">
        <v>55</v>
      </c>
      <c r="D1167" s="0" t="n">
        <v>7367465</v>
      </c>
      <c r="E1167" s="0" t="s">
        <v>3885</v>
      </c>
      <c r="F1167" s="0" t="s">
        <v>3888</v>
      </c>
      <c r="G1167" s="0" t="s">
        <v>3877</v>
      </c>
    </row>
    <row r="1168" customFormat="false" ht="15" hidden="false" customHeight="false" outlineLevel="0" collapsed="false">
      <c r="A1168" s="0" t="s">
        <v>104</v>
      </c>
      <c r="B1168" s="0" t="n">
        <v>2020</v>
      </c>
      <c r="C1168" s="0" t="s">
        <v>60</v>
      </c>
      <c r="D1168" s="0" t="n">
        <v>2222380</v>
      </c>
      <c r="E1168" s="0" t="s">
        <v>3885</v>
      </c>
      <c r="F1168" s="0" t="s">
        <v>3888</v>
      </c>
      <c r="G1168" s="0" t="s">
        <v>3877</v>
      </c>
    </row>
    <row r="1169" customFormat="false" ht="15" hidden="false" customHeight="false" outlineLevel="0" collapsed="false">
      <c r="A1169" s="0" t="s">
        <v>104</v>
      </c>
      <c r="B1169" s="0" t="n">
        <v>2020</v>
      </c>
      <c r="C1169" s="0" t="s">
        <v>61</v>
      </c>
      <c r="D1169" s="0" t="n">
        <v>144500</v>
      </c>
      <c r="E1169" s="0" t="s">
        <v>3885</v>
      </c>
      <c r="F1169" s="0" t="s">
        <v>3888</v>
      </c>
      <c r="G1169" s="0" t="s">
        <v>3877</v>
      </c>
    </row>
    <row r="1170" customFormat="false" ht="15" hidden="false" customHeight="false" outlineLevel="0" collapsed="false">
      <c r="A1170" s="0" t="s">
        <v>104</v>
      </c>
      <c r="B1170" s="0" t="n">
        <v>2020</v>
      </c>
      <c r="C1170" s="0" t="s">
        <v>63</v>
      </c>
      <c r="D1170" s="0" t="n">
        <v>64100</v>
      </c>
      <c r="E1170" s="0" t="s">
        <v>3885</v>
      </c>
      <c r="F1170" s="0" t="s">
        <v>3888</v>
      </c>
      <c r="G1170" s="0" t="s">
        <v>3877</v>
      </c>
    </row>
    <row r="1171" customFormat="false" ht="15" hidden="false" customHeight="false" outlineLevel="0" collapsed="false">
      <c r="A1171" s="0" t="s">
        <v>104</v>
      </c>
      <c r="B1171" s="0" t="n">
        <v>2020</v>
      </c>
      <c r="C1171" s="0" t="s">
        <v>266</v>
      </c>
      <c r="D1171" s="0" t="n">
        <v>7.7</v>
      </c>
      <c r="E1171" s="0" t="s">
        <v>3885</v>
      </c>
      <c r="F1171" s="0" t="s">
        <v>3888</v>
      </c>
      <c r="G1171" s="0" t="s">
        <v>3877</v>
      </c>
    </row>
    <row r="1172" customFormat="false" ht="15" hidden="false" customHeight="false" outlineLevel="0" collapsed="false">
      <c r="A1172" s="0" t="s">
        <v>104</v>
      </c>
      <c r="B1172" s="0" t="n">
        <v>2020</v>
      </c>
      <c r="C1172" s="0" t="s">
        <v>69</v>
      </c>
      <c r="D1172" s="0" t="n">
        <v>17.01</v>
      </c>
      <c r="E1172" s="0" t="s">
        <v>3885</v>
      </c>
      <c r="F1172" s="0" t="s">
        <v>3888</v>
      </c>
      <c r="G1172" s="0" t="s">
        <v>3877</v>
      </c>
    </row>
    <row r="1173" customFormat="false" ht="15" hidden="false" customHeight="false" outlineLevel="0" collapsed="false">
      <c r="A1173" s="0" t="s">
        <v>104</v>
      </c>
      <c r="B1173" s="0" t="n">
        <v>2020</v>
      </c>
      <c r="C1173" s="0" t="s">
        <v>73</v>
      </c>
      <c r="D1173" s="0" t="n">
        <v>0</v>
      </c>
      <c r="E1173" s="0" t="s">
        <v>3885</v>
      </c>
      <c r="F1173" s="0" t="s">
        <v>3888</v>
      </c>
      <c r="G1173" s="0" t="s">
        <v>3877</v>
      </c>
    </row>
    <row r="1174" customFormat="false" ht="15" hidden="false" customHeight="false" outlineLevel="0" collapsed="false">
      <c r="A1174" s="0" t="s">
        <v>104</v>
      </c>
      <c r="B1174" s="0" t="n">
        <v>2020</v>
      </c>
      <c r="C1174" s="0" t="s">
        <v>920</v>
      </c>
      <c r="D1174" s="0" t="s">
        <v>1973</v>
      </c>
      <c r="E1174" s="0" t="s">
        <v>3885</v>
      </c>
      <c r="F1174" s="0" t="s">
        <v>3888</v>
      </c>
      <c r="G1174" s="0" t="s">
        <v>3877</v>
      </c>
    </row>
    <row r="1175" customFormat="false" ht="15" hidden="false" customHeight="false" outlineLevel="0" collapsed="false">
      <c r="A1175" s="0" t="s">
        <v>104</v>
      </c>
      <c r="B1175" s="0" t="n">
        <v>2021</v>
      </c>
      <c r="C1175" s="0" t="s">
        <v>54</v>
      </c>
      <c r="D1175" s="0" t="n">
        <v>117840</v>
      </c>
      <c r="E1175" s="0" t="s">
        <v>3885</v>
      </c>
      <c r="F1175" s="0" t="s">
        <v>3888</v>
      </c>
      <c r="G1175" s="0" t="s">
        <v>3877</v>
      </c>
    </row>
    <row r="1176" customFormat="false" ht="15" hidden="false" customHeight="false" outlineLevel="0" collapsed="false">
      <c r="A1176" s="0" t="s">
        <v>104</v>
      </c>
      <c r="B1176" s="0" t="n">
        <v>2021</v>
      </c>
      <c r="C1176" s="0" t="s">
        <v>670</v>
      </c>
      <c r="D1176" s="0" t="n">
        <v>567875</v>
      </c>
      <c r="E1176" s="0" t="s">
        <v>3885</v>
      </c>
      <c r="F1176" s="0" t="s">
        <v>3888</v>
      </c>
      <c r="G1176" s="0" t="s">
        <v>3877</v>
      </c>
    </row>
    <row r="1177" customFormat="false" ht="15" hidden="false" customHeight="false" outlineLevel="0" collapsed="false">
      <c r="A1177" s="0" t="s">
        <v>104</v>
      </c>
      <c r="B1177" s="0" t="n">
        <v>2021</v>
      </c>
      <c r="C1177" s="0" t="s">
        <v>55</v>
      </c>
      <c r="D1177" s="0" t="n">
        <v>8542372</v>
      </c>
      <c r="E1177" s="0" t="s">
        <v>3885</v>
      </c>
      <c r="F1177" s="0" t="s">
        <v>3888</v>
      </c>
      <c r="G1177" s="0" t="s">
        <v>3877</v>
      </c>
    </row>
    <row r="1178" customFormat="false" ht="15" hidden="false" customHeight="false" outlineLevel="0" collapsed="false">
      <c r="A1178" s="0" t="s">
        <v>104</v>
      </c>
      <c r="B1178" s="0" t="n">
        <v>2021</v>
      </c>
      <c r="C1178" s="0" t="s">
        <v>60</v>
      </c>
      <c r="D1178" s="0" t="n">
        <v>2835233</v>
      </c>
      <c r="E1178" s="0" t="s">
        <v>3885</v>
      </c>
      <c r="F1178" s="0" t="s">
        <v>3888</v>
      </c>
      <c r="G1178" s="0" t="s">
        <v>3877</v>
      </c>
    </row>
    <row r="1179" customFormat="false" ht="15" hidden="false" customHeight="false" outlineLevel="0" collapsed="false">
      <c r="A1179" s="0" t="s">
        <v>104</v>
      </c>
      <c r="B1179" s="0" t="n">
        <v>2021</v>
      </c>
      <c r="C1179" s="0" t="s">
        <v>61</v>
      </c>
      <c r="D1179" s="0" t="n">
        <v>140200</v>
      </c>
      <c r="E1179" s="0" t="s">
        <v>3885</v>
      </c>
      <c r="F1179" s="0" t="s">
        <v>3888</v>
      </c>
      <c r="G1179" s="0" t="s">
        <v>3877</v>
      </c>
    </row>
    <row r="1180" customFormat="false" ht="15" hidden="false" customHeight="false" outlineLevel="0" collapsed="false">
      <c r="A1180" s="0" t="s">
        <v>104</v>
      </c>
      <c r="B1180" s="0" t="n">
        <v>2021</v>
      </c>
      <c r="C1180" s="0" t="s">
        <v>63</v>
      </c>
      <c r="D1180" s="0" t="n">
        <v>123080</v>
      </c>
      <c r="E1180" s="0" t="s">
        <v>3885</v>
      </c>
      <c r="F1180" s="0" t="s">
        <v>3888</v>
      </c>
      <c r="G1180" s="0" t="s">
        <v>3877</v>
      </c>
    </row>
    <row r="1181" customFormat="false" ht="15" hidden="false" customHeight="false" outlineLevel="0" collapsed="false">
      <c r="A1181" s="0" t="s">
        <v>104</v>
      </c>
      <c r="B1181" s="0" t="n">
        <v>2021</v>
      </c>
      <c r="C1181" s="0" t="s">
        <v>266</v>
      </c>
      <c r="D1181" s="0" t="n">
        <v>7.2</v>
      </c>
      <c r="E1181" s="0" t="s">
        <v>3885</v>
      </c>
      <c r="F1181" s="0" t="s">
        <v>3888</v>
      </c>
      <c r="G1181" s="0" t="s">
        <v>3877</v>
      </c>
    </row>
    <row r="1182" customFormat="false" ht="15" hidden="false" customHeight="false" outlineLevel="0" collapsed="false">
      <c r="A1182" s="0" t="s">
        <v>104</v>
      </c>
      <c r="B1182" s="0" t="n">
        <v>2021</v>
      </c>
      <c r="C1182" s="0" t="s">
        <v>69</v>
      </c>
      <c r="D1182" s="0" t="n">
        <v>17.39</v>
      </c>
      <c r="E1182" s="0" t="s">
        <v>3885</v>
      </c>
      <c r="F1182" s="0" t="s">
        <v>3888</v>
      </c>
      <c r="G1182" s="0" t="s">
        <v>3877</v>
      </c>
    </row>
    <row r="1183" customFormat="false" ht="15" hidden="false" customHeight="false" outlineLevel="0" collapsed="false">
      <c r="A1183" s="0" t="s">
        <v>104</v>
      </c>
      <c r="B1183" s="0" t="n">
        <v>2021</v>
      </c>
      <c r="C1183" s="0" t="s">
        <v>73</v>
      </c>
      <c r="D1183" s="0" t="n">
        <v>0</v>
      </c>
      <c r="E1183" s="0" t="s">
        <v>3885</v>
      </c>
      <c r="F1183" s="0" t="s">
        <v>3888</v>
      </c>
      <c r="G1183" s="0" t="s">
        <v>3877</v>
      </c>
    </row>
    <row r="1184" customFormat="false" ht="15" hidden="false" customHeight="false" outlineLevel="0" collapsed="false">
      <c r="A1184" s="0" t="s">
        <v>104</v>
      </c>
      <c r="B1184" s="0" t="n">
        <v>2021</v>
      </c>
      <c r="C1184" s="0" t="s">
        <v>920</v>
      </c>
      <c r="D1184" s="0" t="s">
        <v>1973</v>
      </c>
      <c r="E1184" s="0" t="s">
        <v>3885</v>
      </c>
      <c r="F1184" s="0" t="s">
        <v>3888</v>
      </c>
      <c r="G1184" s="0" t="s">
        <v>3877</v>
      </c>
    </row>
    <row r="1185" customFormat="false" ht="15" hidden="false" customHeight="false" outlineLevel="0" collapsed="false">
      <c r="A1185" s="0" t="s">
        <v>104</v>
      </c>
      <c r="B1185" s="0" t="n">
        <v>2022</v>
      </c>
      <c r="C1185" s="0" t="s">
        <v>54</v>
      </c>
      <c r="D1185" s="0" t="n">
        <v>129584</v>
      </c>
      <c r="E1185" s="0" t="s">
        <v>3885</v>
      </c>
      <c r="F1185" s="0" t="s">
        <v>3888</v>
      </c>
      <c r="G1185" s="0" t="s">
        <v>3877</v>
      </c>
    </row>
    <row r="1186" customFormat="false" ht="15" hidden="false" customHeight="false" outlineLevel="0" collapsed="false">
      <c r="A1186" s="0" t="s">
        <v>104</v>
      </c>
      <c r="B1186" s="0" t="n">
        <v>2022</v>
      </c>
      <c r="C1186" s="0" t="s">
        <v>670</v>
      </c>
      <c r="D1186" s="0" t="n">
        <v>555663</v>
      </c>
      <c r="E1186" s="0" t="s">
        <v>3885</v>
      </c>
      <c r="F1186" s="0" t="s">
        <v>3888</v>
      </c>
      <c r="G1186" s="0" t="s">
        <v>3877</v>
      </c>
    </row>
    <row r="1187" customFormat="false" ht="15" hidden="false" customHeight="false" outlineLevel="0" collapsed="false">
      <c r="A1187" s="0" t="s">
        <v>104</v>
      </c>
      <c r="B1187" s="0" t="n">
        <v>2022</v>
      </c>
      <c r="C1187" s="0" t="s">
        <v>55</v>
      </c>
      <c r="D1187" s="0" t="n">
        <v>10089910</v>
      </c>
      <c r="E1187" s="0" t="s">
        <v>3885</v>
      </c>
      <c r="F1187" s="0" t="s">
        <v>3888</v>
      </c>
      <c r="G1187" s="0" t="s">
        <v>3877</v>
      </c>
    </row>
    <row r="1188" customFormat="false" ht="15" hidden="false" customHeight="false" outlineLevel="0" collapsed="false">
      <c r="A1188" s="0" t="s">
        <v>104</v>
      </c>
      <c r="B1188" s="0" t="n">
        <v>2022</v>
      </c>
      <c r="C1188" s="0" t="s">
        <v>60</v>
      </c>
      <c r="D1188" s="0" t="n">
        <v>3699495</v>
      </c>
      <c r="E1188" s="0" t="s">
        <v>3885</v>
      </c>
      <c r="F1188" s="0" t="s">
        <v>3888</v>
      </c>
      <c r="G1188" s="0" t="s">
        <v>3877</v>
      </c>
    </row>
    <row r="1189" customFormat="false" ht="15" hidden="false" customHeight="false" outlineLevel="0" collapsed="false">
      <c r="A1189" s="0" t="s">
        <v>104</v>
      </c>
      <c r="B1189" s="0" t="n">
        <v>2022</v>
      </c>
      <c r="C1189" s="0" t="s">
        <v>61</v>
      </c>
      <c r="D1189" s="0" t="n">
        <v>132100</v>
      </c>
      <c r="E1189" s="0" t="s">
        <v>3885</v>
      </c>
      <c r="F1189" s="0" t="s">
        <v>3888</v>
      </c>
      <c r="G1189" s="0" t="s">
        <v>3877</v>
      </c>
    </row>
    <row r="1190" customFormat="false" ht="15" hidden="false" customHeight="false" outlineLevel="0" collapsed="false">
      <c r="A1190" s="0" t="s">
        <v>104</v>
      </c>
      <c r="B1190" s="0" t="n">
        <v>2022</v>
      </c>
      <c r="C1190" s="0" t="s">
        <v>63</v>
      </c>
      <c r="D1190" s="0" t="n">
        <v>66710</v>
      </c>
      <c r="E1190" s="0" t="s">
        <v>3885</v>
      </c>
      <c r="F1190" s="0" t="s">
        <v>3888</v>
      </c>
      <c r="G1190" s="0" t="s">
        <v>3877</v>
      </c>
    </row>
    <row r="1191" customFormat="false" ht="15" hidden="false" customHeight="false" outlineLevel="0" collapsed="false">
      <c r="A1191" s="0" t="s">
        <v>104</v>
      </c>
      <c r="B1191" s="0" t="n">
        <v>2022</v>
      </c>
      <c r="C1191" s="0" t="s">
        <v>266</v>
      </c>
      <c r="D1191" s="0" t="n">
        <v>5.4</v>
      </c>
      <c r="E1191" s="0" t="s">
        <v>3885</v>
      </c>
      <c r="F1191" s="0" t="s">
        <v>3888</v>
      </c>
      <c r="G1191" s="0" t="s">
        <v>3877</v>
      </c>
    </row>
    <row r="1192" customFormat="false" ht="15" hidden="false" customHeight="false" outlineLevel="0" collapsed="false">
      <c r="A1192" s="0" t="s">
        <v>104</v>
      </c>
      <c r="B1192" s="0" t="n">
        <v>2022</v>
      </c>
      <c r="C1192" s="0" t="s">
        <v>69</v>
      </c>
      <c r="D1192" s="0" t="n">
        <v>16.57</v>
      </c>
      <c r="E1192" s="0" t="s">
        <v>3885</v>
      </c>
      <c r="F1192" s="0" t="s">
        <v>3888</v>
      </c>
      <c r="G1192" s="0" t="s">
        <v>3877</v>
      </c>
    </row>
    <row r="1193" customFormat="false" ht="15" hidden="false" customHeight="false" outlineLevel="0" collapsed="false">
      <c r="A1193" s="0" t="s">
        <v>104</v>
      </c>
      <c r="B1193" s="0" t="n">
        <v>2022</v>
      </c>
      <c r="C1193" s="0" t="s">
        <v>73</v>
      </c>
      <c r="D1193" s="0" t="n">
        <v>0</v>
      </c>
      <c r="E1193" s="0" t="s">
        <v>3885</v>
      </c>
      <c r="F1193" s="0" t="s">
        <v>3888</v>
      </c>
      <c r="G1193" s="0" t="s">
        <v>3877</v>
      </c>
    </row>
    <row r="1194" customFormat="false" ht="15" hidden="false" customHeight="false" outlineLevel="0" collapsed="false">
      <c r="A1194" s="0" t="s">
        <v>104</v>
      </c>
      <c r="B1194" s="0" t="n">
        <v>2022</v>
      </c>
      <c r="C1194" s="0" t="s">
        <v>920</v>
      </c>
      <c r="D1194" s="0" t="s">
        <v>1973</v>
      </c>
      <c r="E1194" s="0" t="s">
        <v>3885</v>
      </c>
      <c r="F1194" s="0" t="s">
        <v>3888</v>
      </c>
      <c r="G1194" s="0" t="s">
        <v>3877</v>
      </c>
    </row>
    <row r="1195" customFormat="false" ht="15" hidden="false" customHeight="false" outlineLevel="0" collapsed="false">
      <c r="A1195" s="0" t="s">
        <v>129</v>
      </c>
      <c r="B1195" s="0" t="n">
        <v>2015</v>
      </c>
      <c r="C1195" s="0" t="s">
        <v>54</v>
      </c>
      <c r="D1195" s="0" t="n">
        <v>47642</v>
      </c>
      <c r="E1195" s="0" t="s">
        <v>3885</v>
      </c>
      <c r="F1195" s="0" t="s">
        <v>3889</v>
      </c>
      <c r="G1195" s="0" t="s">
        <v>3877</v>
      </c>
    </row>
    <row r="1196" customFormat="false" ht="15" hidden="false" customHeight="false" outlineLevel="0" collapsed="false">
      <c r="A1196" s="0" t="s">
        <v>129</v>
      </c>
      <c r="B1196" s="0" t="n">
        <v>2015</v>
      </c>
      <c r="C1196" s="0" t="s">
        <v>670</v>
      </c>
      <c r="D1196" s="0" t="n">
        <v>247378</v>
      </c>
      <c r="E1196" s="0" t="s">
        <v>3885</v>
      </c>
      <c r="F1196" s="0" t="s">
        <v>3889</v>
      </c>
      <c r="G1196" s="0" t="s">
        <v>3877</v>
      </c>
    </row>
    <row r="1197" customFormat="false" ht="15" hidden="false" customHeight="false" outlineLevel="0" collapsed="false">
      <c r="A1197" s="0" t="s">
        <v>129</v>
      </c>
      <c r="B1197" s="0" t="n">
        <v>2015</v>
      </c>
      <c r="C1197" s="0" t="s">
        <v>55</v>
      </c>
      <c r="D1197" s="0" t="n">
        <v>2216337</v>
      </c>
      <c r="E1197" s="0" t="s">
        <v>3885</v>
      </c>
      <c r="F1197" s="0" t="s">
        <v>3889</v>
      </c>
      <c r="G1197" s="0" t="s">
        <v>3877</v>
      </c>
    </row>
    <row r="1198" customFormat="false" ht="15" hidden="false" customHeight="false" outlineLevel="0" collapsed="false">
      <c r="A1198" s="0" t="s">
        <v>129</v>
      </c>
      <c r="B1198" s="0" t="n">
        <v>2015</v>
      </c>
      <c r="C1198" s="0" t="s">
        <v>60</v>
      </c>
      <c r="D1198" s="0" t="n">
        <v>835737</v>
      </c>
      <c r="E1198" s="0" t="s">
        <v>3885</v>
      </c>
      <c r="F1198" s="0" t="s">
        <v>3889</v>
      </c>
      <c r="G1198" s="0" t="s">
        <v>3877</v>
      </c>
    </row>
    <row r="1199" customFormat="false" ht="15" hidden="false" customHeight="false" outlineLevel="0" collapsed="false">
      <c r="A1199" s="0" t="s">
        <v>129</v>
      </c>
      <c r="B1199" s="0" t="n">
        <v>2015</v>
      </c>
      <c r="C1199" s="0" t="s">
        <v>61</v>
      </c>
      <c r="D1199" s="0" t="n">
        <v>14104</v>
      </c>
      <c r="E1199" s="0" t="s">
        <v>3885</v>
      </c>
      <c r="F1199" s="0" t="s">
        <v>3889</v>
      </c>
      <c r="G1199" s="0" t="s">
        <v>3877</v>
      </c>
    </row>
    <row r="1200" customFormat="false" ht="15" hidden="false" customHeight="false" outlineLevel="0" collapsed="false">
      <c r="A1200" s="0" t="s">
        <v>129</v>
      </c>
      <c r="B1200" s="0" t="n">
        <v>2015</v>
      </c>
      <c r="C1200" s="0" t="s">
        <v>63</v>
      </c>
      <c r="D1200" s="0" t="n">
        <v>3491</v>
      </c>
      <c r="E1200" s="0" t="s">
        <v>3885</v>
      </c>
      <c r="F1200" s="0" t="s">
        <v>3889</v>
      </c>
      <c r="G1200" s="0" t="s">
        <v>3877</v>
      </c>
    </row>
    <row r="1201" customFormat="false" ht="15" hidden="false" customHeight="false" outlineLevel="0" collapsed="false">
      <c r="A1201" s="0" t="s">
        <v>129</v>
      </c>
      <c r="B1201" s="0" t="n">
        <v>2015</v>
      </c>
      <c r="C1201" s="0" t="s">
        <v>266</v>
      </c>
      <c r="D1201" s="0" t="n">
        <v>0.91</v>
      </c>
      <c r="E1201" s="0" t="s">
        <v>3885</v>
      </c>
      <c r="F1201" s="0" t="s">
        <v>3889</v>
      </c>
      <c r="G1201" s="0" t="s">
        <v>3877</v>
      </c>
    </row>
    <row r="1202" customFormat="false" ht="15" hidden="false" customHeight="false" outlineLevel="0" collapsed="false">
      <c r="A1202" s="0" t="s">
        <v>129</v>
      </c>
      <c r="B1202" s="0" t="n">
        <v>2015</v>
      </c>
      <c r="C1202" s="0" t="s">
        <v>69</v>
      </c>
      <c r="D1202" s="0" t="n">
        <v>20</v>
      </c>
      <c r="E1202" s="0" t="s">
        <v>3885</v>
      </c>
      <c r="F1202" s="0" t="s">
        <v>3889</v>
      </c>
      <c r="G1202" s="0" t="s">
        <v>3877</v>
      </c>
    </row>
    <row r="1203" customFormat="false" ht="15" hidden="false" customHeight="false" outlineLevel="0" collapsed="false">
      <c r="A1203" s="0" t="s">
        <v>129</v>
      </c>
      <c r="B1203" s="0" t="n">
        <v>2015</v>
      </c>
      <c r="C1203" s="0" t="s">
        <v>73</v>
      </c>
      <c r="D1203" s="0" t="n">
        <v>0</v>
      </c>
      <c r="E1203" s="0" t="s">
        <v>3885</v>
      </c>
      <c r="F1203" s="0" t="s">
        <v>3889</v>
      </c>
      <c r="G1203" s="0" t="s">
        <v>3877</v>
      </c>
    </row>
    <row r="1204" customFormat="false" ht="15" hidden="false" customHeight="false" outlineLevel="0" collapsed="false">
      <c r="A1204" s="0" t="s">
        <v>129</v>
      </c>
      <c r="B1204" s="0" t="n">
        <v>2015</v>
      </c>
      <c r="C1204" s="0" t="s">
        <v>920</v>
      </c>
      <c r="D1204" s="0" t="s">
        <v>954</v>
      </c>
      <c r="E1204" s="0" t="s">
        <v>3885</v>
      </c>
      <c r="F1204" s="0" t="s">
        <v>3889</v>
      </c>
      <c r="G1204" s="0" t="s">
        <v>3877</v>
      </c>
    </row>
    <row r="1205" customFormat="false" ht="15" hidden="false" customHeight="false" outlineLevel="0" collapsed="false">
      <c r="A1205" s="0" t="s">
        <v>129</v>
      </c>
      <c r="B1205" s="0" t="n">
        <v>2016</v>
      </c>
      <c r="C1205" s="0" t="s">
        <v>54</v>
      </c>
      <c r="D1205" s="0" t="n">
        <v>47541</v>
      </c>
      <c r="E1205" s="0" t="s">
        <v>3885</v>
      </c>
      <c r="F1205" s="0" t="s">
        <v>3889</v>
      </c>
      <c r="G1205" s="0" t="s">
        <v>3877</v>
      </c>
    </row>
    <row r="1206" customFormat="false" ht="15" hidden="false" customHeight="false" outlineLevel="0" collapsed="false">
      <c r="A1206" s="0" t="s">
        <v>129</v>
      </c>
      <c r="B1206" s="0" t="n">
        <v>2016</v>
      </c>
      <c r="C1206" s="0" t="s">
        <v>670</v>
      </c>
      <c r="D1206" s="0" t="n">
        <v>269895</v>
      </c>
      <c r="E1206" s="0" t="s">
        <v>3885</v>
      </c>
      <c r="F1206" s="0" t="s">
        <v>3889</v>
      </c>
      <c r="G1206" s="0" t="s">
        <v>3877</v>
      </c>
    </row>
    <row r="1207" customFormat="false" ht="15" hidden="false" customHeight="false" outlineLevel="0" collapsed="false">
      <c r="A1207" s="0" t="s">
        <v>129</v>
      </c>
      <c r="B1207" s="0" t="n">
        <v>2016</v>
      </c>
      <c r="C1207" s="0" t="s">
        <v>55</v>
      </c>
      <c r="D1207" s="0" t="n">
        <v>2539585</v>
      </c>
      <c r="E1207" s="0" t="s">
        <v>3885</v>
      </c>
      <c r="F1207" s="0" t="s">
        <v>3889</v>
      </c>
      <c r="G1207" s="0" t="s">
        <v>3877</v>
      </c>
    </row>
    <row r="1208" customFormat="false" ht="15" hidden="false" customHeight="false" outlineLevel="0" collapsed="false">
      <c r="A1208" s="0" t="s">
        <v>129</v>
      </c>
      <c r="B1208" s="0" t="n">
        <v>2016</v>
      </c>
      <c r="C1208" s="0" t="s">
        <v>60</v>
      </c>
      <c r="D1208" s="0" t="n">
        <v>1120096</v>
      </c>
      <c r="E1208" s="0" t="s">
        <v>3885</v>
      </c>
      <c r="F1208" s="0" t="s">
        <v>3889</v>
      </c>
      <c r="G1208" s="0" t="s">
        <v>3877</v>
      </c>
    </row>
    <row r="1209" customFormat="false" ht="15" hidden="false" customHeight="false" outlineLevel="0" collapsed="false">
      <c r="A1209" s="0" t="s">
        <v>129</v>
      </c>
      <c r="B1209" s="0" t="n">
        <v>2016</v>
      </c>
      <c r="C1209" s="0" t="s">
        <v>61</v>
      </c>
      <c r="D1209" s="0" t="n">
        <v>32295</v>
      </c>
      <c r="E1209" s="0" t="s">
        <v>3885</v>
      </c>
      <c r="F1209" s="0" t="s">
        <v>3889</v>
      </c>
      <c r="G1209" s="0" t="s">
        <v>3877</v>
      </c>
    </row>
    <row r="1210" customFormat="false" ht="15" hidden="false" customHeight="false" outlineLevel="0" collapsed="false">
      <c r="A1210" s="0" t="s">
        <v>129</v>
      </c>
      <c r="B1210" s="0" t="n">
        <v>2016</v>
      </c>
      <c r="C1210" s="0" t="s">
        <v>63</v>
      </c>
      <c r="D1210" s="0" t="n">
        <v>25521</v>
      </c>
      <c r="E1210" s="0" t="s">
        <v>3885</v>
      </c>
      <c r="F1210" s="0" t="s">
        <v>3889</v>
      </c>
      <c r="G1210" s="0" t="s">
        <v>3877</v>
      </c>
    </row>
    <row r="1211" customFormat="false" ht="15" hidden="false" customHeight="false" outlineLevel="0" collapsed="false">
      <c r="A1211" s="0" t="s">
        <v>129</v>
      </c>
      <c r="B1211" s="0" t="n">
        <v>2016</v>
      </c>
      <c r="C1211" s="0" t="s">
        <v>266</v>
      </c>
      <c r="D1211" s="0" t="n">
        <v>5.1</v>
      </c>
      <c r="E1211" s="0" t="s">
        <v>3885</v>
      </c>
      <c r="F1211" s="0" t="s">
        <v>3889</v>
      </c>
      <c r="G1211" s="0" t="s">
        <v>3877</v>
      </c>
    </row>
    <row r="1212" customFormat="false" ht="15" hidden="false" customHeight="false" outlineLevel="0" collapsed="false">
      <c r="A1212" s="0" t="s">
        <v>129</v>
      </c>
      <c r="B1212" s="0" t="n">
        <v>2016</v>
      </c>
      <c r="C1212" s="0" t="s">
        <v>69</v>
      </c>
      <c r="D1212" s="0" t="n">
        <v>20</v>
      </c>
      <c r="E1212" s="0" t="s">
        <v>3885</v>
      </c>
      <c r="F1212" s="0" t="s">
        <v>3889</v>
      </c>
      <c r="G1212" s="0" t="s">
        <v>3877</v>
      </c>
    </row>
    <row r="1213" customFormat="false" ht="15" hidden="false" customHeight="false" outlineLevel="0" collapsed="false">
      <c r="A1213" s="0" t="s">
        <v>129</v>
      </c>
      <c r="B1213" s="0" t="n">
        <v>2016</v>
      </c>
      <c r="C1213" s="0" t="s">
        <v>73</v>
      </c>
      <c r="D1213" s="0" t="n">
        <v>0</v>
      </c>
      <c r="E1213" s="0" t="s">
        <v>3885</v>
      </c>
      <c r="F1213" s="0" t="s">
        <v>3889</v>
      </c>
      <c r="G1213" s="0" t="s">
        <v>3877</v>
      </c>
    </row>
    <row r="1214" customFormat="false" ht="15" hidden="false" customHeight="false" outlineLevel="0" collapsed="false">
      <c r="A1214" s="0" t="s">
        <v>129</v>
      </c>
      <c r="B1214" s="0" t="n">
        <v>2016</v>
      </c>
      <c r="C1214" s="0" t="s">
        <v>920</v>
      </c>
      <c r="D1214" s="0" t="s">
        <v>954</v>
      </c>
      <c r="E1214" s="0" t="s">
        <v>3885</v>
      </c>
      <c r="F1214" s="0" t="s">
        <v>3889</v>
      </c>
      <c r="G1214" s="0" t="s">
        <v>3877</v>
      </c>
    </row>
    <row r="1215" customFormat="false" ht="15" hidden="false" customHeight="false" outlineLevel="0" collapsed="false">
      <c r="A1215" s="0" t="s">
        <v>129</v>
      </c>
      <c r="B1215" s="0" t="n">
        <v>2017</v>
      </c>
      <c r="C1215" s="0" t="s">
        <v>54</v>
      </c>
      <c r="D1215" s="0" t="n">
        <v>41396</v>
      </c>
      <c r="E1215" s="0" t="s">
        <v>3885</v>
      </c>
      <c r="F1215" s="0" t="s">
        <v>3889</v>
      </c>
      <c r="G1215" s="0" t="s">
        <v>3877</v>
      </c>
    </row>
    <row r="1216" customFormat="false" ht="15" hidden="false" customHeight="false" outlineLevel="0" collapsed="false">
      <c r="A1216" s="0" t="s">
        <v>129</v>
      </c>
      <c r="B1216" s="0" t="n">
        <v>2017</v>
      </c>
      <c r="C1216" s="0" t="s">
        <v>670</v>
      </c>
      <c r="D1216" s="0" t="n">
        <v>316263</v>
      </c>
      <c r="E1216" s="0" t="s">
        <v>3885</v>
      </c>
      <c r="F1216" s="0" t="s">
        <v>3889</v>
      </c>
      <c r="G1216" s="0" t="s">
        <v>3877</v>
      </c>
    </row>
    <row r="1217" customFormat="false" ht="15" hidden="false" customHeight="false" outlineLevel="0" collapsed="false">
      <c r="A1217" s="0" t="s">
        <v>129</v>
      </c>
      <c r="B1217" s="0" t="n">
        <v>2017</v>
      </c>
      <c r="C1217" s="0" t="s">
        <v>55</v>
      </c>
      <c r="D1217" s="0" t="n">
        <v>2931826</v>
      </c>
      <c r="E1217" s="0" t="s">
        <v>3885</v>
      </c>
      <c r="F1217" s="0" t="s">
        <v>3889</v>
      </c>
      <c r="G1217" s="0" t="s">
        <v>3877</v>
      </c>
    </row>
    <row r="1218" customFormat="false" ht="15" hidden="false" customHeight="false" outlineLevel="0" collapsed="false">
      <c r="A1218" s="0" t="s">
        <v>129</v>
      </c>
      <c r="B1218" s="0" t="n">
        <v>2017</v>
      </c>
      <c r="C1218" s="0" t="s">
        <v>60</v>
      </c>
      <c r="D1218" s="0" t="n">
        <v>1204426</v>
      </c>
      <c r="E1218" s="0" t="s">
        <v>3885</v>
      </c>
      <c r="F1218" s="0" t="s">
        <v>3889</v>
      </c>
      <c r="G1218" s="0" t="s">
        <v>3877</v>
      </c>
    </row>
    <row r="1219" customFormat="false" ht="15" hidden="false" customHeight="false" outlineLevel="0" collapsed="false">
      <c r="A1219" s="0" t="s">
        <v>129</v>
      </c>
      <c r="B1219" s="0" t="n">
        <v>2017</v>
      </c>
      <c r="C1219" s="0" t="s">
        <v>61</v>
      </c>
      <c r="D1219" s="0" t="n">
        <v>31212</v>
      </c>
      <c r="E1219" s="0" t="s">
        <v>3885</v>
      </c>
      <c r="F1219" s="0" t="s">
        <v>3889</v>
      </c>
      <c r="G1219" s="0" t="s">
        <v>3877</v>
      </c>
    </row>
    <row r="1220" customFormat="false" ht="15" hidden="false" customHeight="false" outlineLevel="0" collapsed="false">
      <c r="A1220" s="0" t="s">
        <v>129</v>
      </c>
      <c r="B1220" s="0" t="n">
        <v>2017</v>
      </c>
      <c r="C1220" s="0" t="s">
        <v>63</v>
      </c>
      <c r="D1220" s="0" t="n">
        <v>30433</v>
      </c>
      <c r="E1220" s="0" t="s">
        <v>3885</v>
      </c>
      <c r="F1220" s="0" t="s">
        <v>3889</v>
      </c>
      <c r="G1220" s="0" t="s">
        <v>3877</v>
      </c>
    </row>
    <row r="1221" customFormat="false" ht="15" hidden="false" customHeight="false" outlineLevel="0" collapsed="false">
      <c r="A1221" s="0" t="s">
        <v>129</v>
      </c>
      <c r="B1221" s="0" t="n">
        <v>2017</v>
      </c>
      <c r="C1221" s="0" t="s">
        <v>266</v>
      </c>
      <c r="D1221" s="0" t="n">
        <v>3.7</v>
      </c>
      <c r="E1221" s="0" t="s">
        <v>3885</v>
      </c>
      <c r="F1221" s="0" t="s">
        <v>3889</v>
      </c>
      <c r="G1221" s="0" t="s">
        <v>3877</v>
      </c>
    </row>
    <row r="1222" customFormat="false" ht="15" hidden="false" customHeight="false" outlineLevel="0" collapsed="false">
      <c r="A1222" s="0" t="s">
        <v>129</v>
      </c>
      <c r="B1222" s="0" t="n">
        <v>2017</v>
      </c>
      <c r="C1222" s="0" t="s">
        <v>69</v>
      </c>
      <c r="D1222" s="0" t="n">
        <v>20</v>
      </c>
      <c r="E1222" s="0" t="s">
        <v>3885</v>
      </c>
      <c r="F1222" s="0" t="s">
        <v>3889</v>
      </c>
      <c r="G1222" s="0" t="s">
        <v>3877</v>
      </c>
    </row>
    <row r="1223" customFormat="false" ht="15" hidden="false" customHeight="false" outlineLevel="0" collapsed="false">
      <c r="A1223" s="0" t="s">
        <v>129</v>
      </c>
      <c r="B1223" s="0" t="n">
        <v>2017</v>
      </c>
      <c r="C1223" s="0" t="s">
        <v>73</v>
      </c>
      <c r="D1223" s="0" t="n">
        <v>0</v>
      </c>
      <c r="E1223" s="0" t="s">
        <v>3885</v>
      </c>
      <c r="F1223" s="0" t="s">
        <v>3889</v>
      </c>
      <c r="G1223" s="0" t="s">
        <v>3877</v>
      </c>
    </row>
    <row r="1224" customFormat="false" ht="15" hidden="false" customHeight="false" outlineLevel="0" collapsed="false">
      <c r="A1224" s="0" t="s">
        <v>129</v>
      </c>
      <c r="B1224" s="0" t="n">
        <v>2017</v>
      </c>
      <c r="C1224" s="0" t="s">
        <v>920</v>
      </c>
      <c r="D1224" s="0" t="s">
        <v>954</v>
      </c>
      <c r="E1224" s="0" t="s">
        <v>3885</v>
      </c>
      <c r="F1224" s="0" t="s">
        <v>3889</v>
      </c>
      <c r="G1224" s="0" t="s">
        <v>3877</v>
      </c>
    </row>
    <row r="1225" customFormat="false" ht="15" hidden="false" customHeight="false" outlineLevel="0" collapsed="false">
      <c r="A1225" s="0" t="s">
        <v>129</v>
      </c>
      <c r="B1225" s="0" t="n">
        <v>2018</v>
      </c>
      <c r="C1225" s="0" t="s">
        <v>54</v>
      </c>
      <c r="D1225" s="0" t="n">
        <v>41047</v>
      </c>
      <c r="E1225" s="0" t="s">
        <v>3885</v>
      </c>
      <c r="F1225" s="0" t="s">
        <v>3889</v>
      </c>
      <c r="G1225" s="0" t="s">
        <v>3877</v>
      </c>
    </row>
    <row r="1226" customFormat="false" ht="15" hidden="false" customHeight="false" outlineLevel="0" collapsed="false">
      <c r="A1226" s="0" t="s">
        <v>129</v>
      </c>
      <c r="B1226" s="0" t="n">
        <v>2018</v>
      </c>
      <c r="C1226" s="0" t="s">
        <v>670</v>
      </c>
      <c r="D1226" s="0" t="n">
        <v>341504</v>
      </c>
      <c r="E1226" s="0" t="s">
        <v>3885</v>
      </c>
      <c r="F1226" s="0" t="s">
        <v>3889</v>
      </c>
      <c r="G1226" s="0" t="s">
        <v>3877</v>
      </c>
    </row>
    <row r="1227" customFormat="false" ht="15" hidden="false" customHeight="false" outlineLevel="0" collapsed="false">
      <c r="A1227" s="0" t="s">
        <v>129</v>
      </c>
      <c r="B1227" s="0" t="n">
        <v>2018</v>
      </c>
      <c r="C1227" s="0" t="s">
        <v>55</v>
      </c>
      <c r="D1227" s="0" t="n">
        <v>3591305</v>
      </c>
      <c r="E1227" s="0" t="s">
        <v>3885</v>
      </c>
      <c r="F1227" s="0" t="s">
        <v>3889</v>
      </c>
      <c r="G1227" s="0" t="s">
        <v>3877</v>
      </c>
    </row>
    <row r="1228" customFormat="false" ht="15" hidden="false" customHeight="false" outlineLevel="0" collapsed="false">
      <c r="A1228" s="0" t="s">
        <v>129</v>
      </c>
      <c r="B1228" s="0" t="n">
        <v>2018</v>
      </c>
      <c r="C1228" s="0" t="s">
        <v>60</v>
      </c>
      <c r="D1228" s="0" t="n">
        <v>1274112</v>
      </c>
      <c r="E1228" s="0" t="s">
        <v>3885</v>
      </c>
      <c r="F1228" s="0" t="s">
        <v>3889</v>
      </c>
      <c r="G1228" s="0" t="s">
        <v>3877</v>
      </c>
    </row>
    <row r="1229" customFormat="false" ht="15" hidden="false" customHeight="false" outlineLevel="0" collapsed="false">
      <c r="A1229" s="0" t="s">
        <v>129</v>
      </c>
      <c r="B1229" s="0" t="n">
        <v>2018</v>
      </c>
      <c r="C1229" s="0" t="s">
        <v>61</v>
      </c>
      <c r="D1229" s="0" t="n">
        <v>60311</v>
      </c>
      <c r="E1229" s="0" t="s">
        <v>3885</v>
      </c>
      <c r="F1229" s="0" t="s">
        <v>3889</v>
      </c>
      <c r="G1229" s="0" t="s">
        <v>3877</v>
      </c>
    </row>
    <row r="1230" customFormat="false" ht="15" hidden="false" customHeight="false" outlineLevel="0" collapsed="false">
      <c r="A1230" s="0" t="s">
        <v>129</v>
      </c>
      <c r="B1230" s="0" t="n">
        <v>2018</v>
      </c>
      <c r="C1230" s="0" t="s">
        <v>63</v>
      </c>
      <c r="D1230" s="0" t="n">
        <v>4257</v>
      </c>
      <c r="E1230" s="0" t="s">
        <v>3885</v>
      </c>
      <c r="F1230" s="0" t="s">
        <v>3889</v>
      </c>
      <c r="G1230" s="0" t="s">
        <v>3877</v>
      </c>
    </row>
    <row r="1231" customFormat="false" ht="15" hidden="false" customHeight="false" outlineLevel="0" collapsed="false">
      <c r="A1231" s="0" t="s">
        <v>129</v>
      </c>
      <c r="B1231" s="0" t="n">
        <v>2018</v>
      </c>
      <c r="C1231" s="0" t="s">
        <v>266</v>
      </c>
      <c r="D1231" s="0" t="n">
        <v>4.2</v>
      </c>
      <c r="E1231" s="0" t="s">
        <v>3885</v>
      </c>
      <c r="F1231" s="0" t="s">
        <v>3889</v>
      </c>
      <c r="G1231" s="0" t="s">
        <v>3877</v>
      </c>
    </row>
    <row r="1232" customFormat="false" ht="15" hidden="false" customHeight="false" outlineLevel="0" collapsed="false">
      <c r="A1232" s="0" t="s">
        <v>129</v>
      </c>
      <c r="B1232" s="0" t="n">
        <v>2018</v>
      </c>
      <c r="C1232" s="0" t="s">
        <v>69</v>
      </c>
      <c r="D1232" s="0" t="n">
        <v>20</v>
      </c>
      <c r="E1232" s="0" t="s">
        <v>3885</v>
      </c>
      <c r="F1232" s="0" t="s">
        <v>3889</v>
      </c>
      <c r="G1232" s="0" t="s">
        <v>3877</v>
      </c>
    </row>
    <row r="1233" customFormat="false" ht="15" hidden="false" customHeight="false" outlineLevel="0" collapsed="false">
      <c r="A1233" s="0" t="s">
        <v>129</v>
      </c>
      <c r="B1233" s="0" t="n">
        <v>2018</v>
      </c>
      <c r="C1233" s="0" t="s">
        <v>73</v>
      </c>
      <c r="D1233" s="0" t="n">
        <v>0</v>
      </c>
      <c r="E1233" s="0" t="s">
        <v>3885</v>
      </c>
      <c r="F1233" s="0" t="s">
        <v>3889</v>
      </c>
      <c r="G1233" s="0" t="s">
        <v>3877</v>
      </c>
    </row>
    <row r="1234" customFormat="false" ht="15" hidden="false" customHeight="false" outlineLevel="0" collapsed="false">
      <c r="A1234" s="0" t="s">
        <v>129</v>
      </c>
      <c r="B1234" s="0" t="n">
        <v>2018</v>
      </c>
      <c r="C1234" s="0" t="s">
        <v>920</v>
      </c>
      <c r="D1234" s="0" t="s">
        <v>954</v>
      </c>
      <c r="E1234" s="0" t="s">
        <v>3885</v>
      </c>
      <c r="F1234" s="0" t="s">
        <v>3889</v>
      </c>
      <c r="G1234" s="0" t="s">
        <v>3877</v>
      </c>
    </row>
    <row r="1235" customFormat="false" ht="15" hidden="false" customHeight="false" outlineLevel="0" collapsed="false">
      <c r="A1235" s="0" t="s">
        <v>129</v>
      </c>
      <c r="B1235" s="0" t="n">
        <v>2019</v>
      </c>
      <c r="C1235" s="0" t="s">
        <v>54</v>
      </c>
      <c r="D1235" s="0" t="n">
        <v>62750</v>
      </c>
      <c r="E1235" s="0" t="s">
        <v>3885</v>
      </c>
      <c r="F1235" s="0" t="s">
        <v>3889</v>
      </c>
      <c r="G1235" s="0" t="s">
        <v>3877</v>
      </c>
    </row>
    <row r="1236" customFormat="false" ht="15" hidden="false" customHeight="false" outlineLevel="0" collapsed="false">
      <c r="A1236" s="0" t="s">
        <v>129</v>
      </c>
      <c r="B1236" s="0" t="n">
        <v>2019</v>
      </c>
      <c r="C1236" s="0" t="s">
        <v>670</v>
      </c>
      <c r="D1236" s="0" t="n">
        <v>412624</v>
      </c>
      <c r="E1236" s="0" t="s">
        <v>3885</v>
      </c>
      <c r="F1236" s="0" t="s">
        <v>3889</v>
      </c>
      <c r="G1236" s="0" t="s">
        <v>3877</v>
      </c>
    </row>
    <row r="1237" customFormat="false" ht="15" hidden="false" customHeight="false" outlineLevel="0" collapsed="false">
      <c r="A1237" s="0" t="s">
        <v>129</v>
      </c>
      <c r="B1237" s="0" t="n">
        <v>2019</v>
      </c>
      <c r="C1237" s="0" t="s">
        <v>55</v>
      </c>
      <c r="D1237" s="0" t="n">
        <v>4136493</v>
      </c>
      <c r="E1237" s="0" t="s">
        <v>3885</v>
      </c>
      <c r="F1237" s="0" t="s">
        <v>3889</v>
      </c>
      <c r="G1237" s="0" t="s">
        <v>3877</v>
      </c>
    </row>
    <row r="1238" customFormat="false" ht="15" hidden="false" customHeight="false" outlineLevel="0" collapsed="false">
      <c r="A1238" s="0" t="s">
        <v>129</v>
      </c>
      <c r="B1238" s="0" t="n">
        <v>2019</v>
      </c>
      <c r="C1238" s="0" t="s">
        <v>60</v>
      </c>
      <c r="D1238" s="0" t="n">
        <v>1557358</v>
      </c>
      <c r="E1238" s="0" t="s">
        <v>3885</v>
      </c>
      <c r="F1238" s="0" t="s">
        <v>3889</v>
      </c>
      <c r="G1238" s="0" t="s">
        <v>3877</v>
      </c>
    </row>
    <row r="1239" customFormat="false" ht="15" hidden="false" customHeight="false" outlineLevel="0" collapsed="false">
      <c r="A1239" s="0" t="s">
        <v>129</v>
      </c>
      <c r="B1239" s="0" t="n">
        <v>2019</v>
      </c>
      <c r="C1239" s="0" t="s">
        <v>61</v>
      </c>
      <c r="D1239" s="0" t="n">
        <v>53978</v>
      </c>
      <c r="E1239" s="0" t="s">
        <v>3885</v>
      </c>
      <c r="F1239" s="0" t="s">
        <v>3889</v>
      </c>
      <c r="G1239" s="0" t="s">
        <v>3877</v>
      </c>
    </row>
    <row r="1240" customFormat="false" ht="15" hidden="false" customHeight="false" outlineLevel="0" collapsed="false">
      <c r="A1240" s="0" t="s">
        <v>129</v>
      </c>
      <c r="B1240" s="0" t="n">
        <v>2019</v>
      </c>
      <c r="C1240" s="0" t="s">
        <v>63</v>
      </c>
      <c r="D1240" s="0" t="n">
        <v>16369</v>
      </c>
      <c r="E1240" s="0" t="s">
        <v>3885</v>
      </c>
      <c r="F1240" s="0" t="s">
        <v>3889</v>
      </c>
      <c r="G1240" s="0" t="s">
        <v>3877</v>
      </c>
    </row>
    <row r="1241" customFormat="false" ht="15" hidden="false" customHeight="false" outlineLevel="0" collapsed="false">
      <c r="A1241" s="0" t="s">
        <v>129</v>
      </c>
      <c r="B1241" s="0" t="n">
        <v>2019</v>
      </c>
      <c r="C1241" s="0" t="s">
        <v>266</v>
      </c>
      <c r="D1241" s="0" t="n">
        <v>2.87</v>
      </c>
      <c r="E1241" s="0" t="s">
        <v>3885</v>
      </c>
      <c r="F1241" s="0" t="s">
        <v>3889</v>
      </c>
      <c r="G1241" s="0" t="s">
        <v>3877</v>
      </c>
    </row>
    <row r="1242" customFormat="false" ht="15" hidden="false" customHeight="false" outlineLevel="0" collapsed="false">
      <c r="A1242" s="0" t="s">
        <v>129</v>
      </c>
      <c r="B1242" s="0" t="n">
        <v>2019</v>
      </c>
      <c r="C1242" s="0" t="s">
        <v>69</v>
      </c>
      <c r="D1242" s="0" t="n">
        <v>20.39</v>
      </c>
      <c r="E1242" s="0" t="s">
        <v>3885</v>
      </c>
      <c r="F1242" s="0" t="s">
        <v>3889</v>
      </c>
      <c r="G1242" s="0" t="s">
        <v>3877</v>
      </c>
    </row>
    <row r="1243" customFormat="false" ht="15" hidden="false" customHeight="false" outlineLevel="0" collapsed="false">
      <c r="A1243" s="0" t="s">
        <v>129</v>
      </c>
      <c r="B1243" s="0" t="n">
        <v>2019</v>
      </c>
      <c r="C1243" s="0" t="s">
        <v>73</v>
      </c>
      <c r="D1243" s="0" t="n">
        <v>0</v>
      </c>
      <c r="E1243" s="0" t="s">
        <v>3885</v>
      </c>
      <c r="F1243" s="0" t="s">
        <v>3889</v>
      </c>
      <c r="G1243" s="0" t="s">
        <v>3877</v>
      </c>
    </row>
    <row r="1244" customFormat="false" ht="15" hidden="false" customHeight="false" outlineLevel="0" collapsed="false">
      <c r="A1244" s="0" t="s">
        <v>129</v>
      </c>
      <c r="B1244" s="0" t="n">
        <v>2019</v>
      </c>
      <c r="C1244" s="0" t="s">
        <v>920</v>
      </c>
      <c r="D1244" s="0" t="s">
        <v>976</v>
      </c>
      <c r="E1244" s="0" t="s">
        <v>3885</v>
      </c>
      <c r="F1244" s="0" t="s">
        <v>3889</v>
      </c>
      <c r="G1244" s="0" t="s">
        <v>3877</v>
      </c>
    </row>
    <row r="1245" customFormat="false" ht="15" hidden="false" customHeight="false" outlineLevel="0" collapsed="false">
      <c r="A1245" s="0" t="s">
        <v>129</v>
      </c>
      <c r="B1245" s="0" t="n">
        <v>2020</v>
      </c>
      <c r="C1245" s="0" t="s">
        <v>54</v>
      </c>
      <c r="D1245" s="0" t="n">
        <v>56911</v>
      </c>
      <c r="E1245" s="0" t="s">
        <v>3885</v>
      </c>
      <c r="F1245" s="0" t="s">
        <v>3889</v>
      </c>
      <c r="G1245" s="0" t="s">
        <v>3877</v>
      </c>
    </row>
    <row r="1246" customFormat="false" ht="15" hidden="false" customHeight="false" outlineLevel="0" collapsed="false">
      <c r="A1246" s="0" t="s">
        <v>129</v>
      </c>
      <c r="B1246" s="0" t="n">
        <v>2020</v>
      </c>
      <c r="C1246" s="0" t="s">
        <v>670</v>
      </c>
      <c r="D1246" s="0" t="n">
        <v>381476</v>
      </c>
      <c r="E1246" s="0" t="s">
        <v>3885</v>
      </c>
      <c r="F1246" s="0" t="s">
        <v>3889</v>
      </c>
      <c r="G1246" s="0" t="s">
        <v>3877</v>
      </c>
    </row>
    <row r="1247" customFormat="false" ht="15" hidden="false" customHeight="false" outlineLevel="0" collapsed="false">
      <c r="A1247" s="0" t="s">
        <v>129</v>
      </c>
      <c r="B1247" s="0" t="n">
        <v>2020</v>
      </c>
      <c r="C1247" s="0" t="s">
        <v>55</v>
      </c>
      <c r="D1247" s="0" t="n">
        <v>5207833</v>
      </c>
      <c r="E1247" s="0" t="s">
        <v>3885</v>
      </c>
      <c r="F1247" s="0" t="s">
        <v>3889</v>
      </c>
      <c r="G1247" s="0" t="s">
        <v>3877</v>
      </c>
    </row>
    <row r="1248" customFormat="false" ht="15" hidden="false" customHeight="false" outlineLevel="0" collapsed="false">
      <c r="A1248" s="0" t="s">
        <v>129</v>
      </c>
      <c r="B1248" s="0" t="n">
        <v>2020</v>
      </c>
      <c r="C1248" s="0" t="s">
        <v>60</v>
      </c>
      <c r="D1248" s="0" t="n">
        <v>1874858</v>
      </c>
      <c r="E1248" s="0" t="s">
        <v>3885</v>
      </c>
      <c r="F1248" s="0" t="s">
        <v>3889</v>
      </c>
      <c r="G1248" s="0" t="s">
        <v>3877</v>
      </c>
    </row>
    <row r="1249" customFormat="false" ht="15" hidden="false" customHeight="false" outlineLevel="0" collapsed="false">
      <c r="A1249" s="0" t="s">
        <v>129</v>
      </c>
      <c r="B1249" s="0" t="n">
        <v>2020</v>
      </c>
      <c r="C1249" s="0" t="s">
        <v>61</v>
      </c>
      <c r="D1249" s="0" t="n">
        <v>62322</v>
      </c>
      <c r="E1249" s="0" t="s">
        <v>3885</v>
      </c>
      <c r="F1249" s="0" t="s">
        <v>3889</v>
      </c>
      <c r="G1249" s="0" t="s">
        <v>3877</v>
      </c>
    </row>
    <row r="1250" customFormat="false" ht="15" hidden="false" customHeight="false" outlineLevel="0" collapsed="false">
      <c r="A1250" s="0" t="s">
        <v>129</v>
      </c>
      <c r="B1250" s="0" t="n">
        <v>2020</v>
      </c>
      <c r="C1250" s="0" t="s">
        <v>63</v>
      </c>
      <c r="D1250" s="0" t="n">
        <v>21864</v>
      </c>
      <c r="E1250" s="0" t="s">
        <v>3885</v>
      </c>
      <c r="F1250" s="0" t="s">
        <v>3889</v>
      </c>
      <c r="G1250" s="0" t="s">
        <v>3877</v>
      </c>
    </row>
    <row r="1251" customFormat="false" ht="15" hidden="false" customHeight="false" outlineLevel="0" collapsed="false">
      <c r="A1251" s="0" t="s">
        <v>129</v>
      </c>
      <c r="B1251" s="0" t="n">
        <v>2020</v>
      </c>
      <c r="C1251" s="0" t="s">
        <v>266</v>
      </c>
      <c r="D1251" s="0" t="n">
        <v>2.2</v>
      </c>
      <c r="E1251" s="0" t="s">
        <v>3885</v>
      </c>
      <c r="F1251" s="0" t="s">
        <v>3889</v>
      </c>
      <c r="G1251" s="0" t="s">
        <v>3877</v>
      </c>
    </row>
    <row r="1252" customFormat="false" ht="15" hidden="false" customHeight="false" outlineLevel="0" collapsed="false">
      <c r="A1252" s="0" t="s">
        <v>129</v>
      </c>
      <c r="B1252" s="0" t="n">
        <v>2020</v>
      </c>
      <c r="C1252" s="0" t="s">
        <v>69</v>
      </c>
      <c r="D1252" s="0" t="n">
        <v>19.7</v>
      </c>
      <c r="E1252" s="0" t="s">
        <v>3885</v>
      </c>
      <c r="F1252" s="0" t="s">
        <v>3889</v>
      </c>
      <c r="G1252" s="0" t="s">
        <v>3877</v>
      </c>
    </row>
    <row r="1253" customFormat="false" ht="15" hidden="false" customHeight="false" outlineLevel="0" collapsed="false">
      <c r="A1253" s="0" t="s">
        <v>129</v>
      </c>
      <c r="B1253" s="0" t="n">
        <v>2020</v>
      </c>
      <c r="C1253" s="0" t="s">
        <v>73</v>
      </c>
      <c r="D1253" s="0" t="n">
        <v>0</v>
      </c>
      <c r="E1253" s="0" t="s">
        <v>3885</v>
      </c>
      <c r="F1253" s="0" t="s">
        <v>3889</v>
      </c>
      <c r="G1253" s="0" t="s">
        <v>3877</v>
      </c>
    </row>
    <row r="1254" customFormat="false" ht="15" hidden="false" customHeight="false" outlineLevel="0" collapsed="false">
      <c r="A1254" s="0" t="s">
        <v>129</v>
      </c>
      <c r="B1254" s="0" t="n">
        <v>2020</v>
      </c>
      <c r="C1254" s="0" t="s">
        <v>920</v>
      </c>
      <c r="D1254" s="0" t="s">
        <v>976</v>
      </c>
      <c r="E1254" s="0" t="s">
        <v>3885</v>
      </c>
      <c r="F1254" s="0" t="s">
        <v>3889</v>
      </c>
      <c r="G1254" s="0" t="s">
        <v>3877</v>
      </c>
    </row>
    <row r="1255" customFormat="false" ht="15" hidden="false" customHeight="false" outlineLevel="0" collapsed="false">
      <c r="A1255" s="0" t="s">
        <v>129</v>
      </c>
      <c r="B1255" s="0" t="n">
        <v>2021</v>
      </c>
      <c r="C1255" s="0" t="s">
        <v>54</v>
      </c>
      <c r="D1255" s="0" t="n">
        <v>58669</v>
      </c>
      <c r="E1255" s="0" t="s">
        <v>3885</v>
      </c>
      <c r="F1255" s="0" t="s">
        <v>3889</v>
      </c>
      <c r="G1255" s="0" t="s">
        <v>3877</v>
      </c>
    </row>
    <row r="1256" customFormat="false" ht="15" hidden="false" customHeight="false" outlineLevel="0" collapsed="false">
      <c r="A1256" s="0" t="s">
        <v>129</v>
      </c>
      <c r="B1256" s="0" t="n">
        <v>2021</v>
      </c>
      <c r="C1256" s="0" t="s">
        <v>670</v>
      </c>
      <c r="D1256" s="0" t="n">
        <v>381493</v>
      </c>
      <c r="E1256" s="0" t="s">
        <v>3885</v>
      </c>
      <c r="F1256" s="0" t="s">
        <v>3889</v>
      </c>
      <c r="G1256" s="0" t="s">
        <v>3877</v>
      </c>
    </row>
    <row r="1257" customFormat="false" ht="15" hidden="false" customHeight="false" outlineLevel="0" collapsed="false">
      <c r="A1257" s="0" t="s">
        <v>129</v>
      </c>
      <c r="B1257" s="0" t="n">
        <v>2021</v>
      </c>
      <c r="C1257" s="0" t="s">
        <v>55</v>
      </c>
      <c r="D1257" s="0" t="n">
        <v>5574976</v>
      </c>
      <c r="E1257" s="0" t="s">
        <v>3885</v>
      </c>
      <c r="F1257" s="0" t="s">
        <v>3889</v>
      </c>
      <c r="G1257" s="0" t="s">
        <v>3877</v>
      </c>
    </row>
    <row r="1258" customFormat="false" ht="15" hidden="false" customHeight="false" outlineLevel="0" collapsed="false">
      <c r="A1258" s="0" t="s">
        <v>129</v>
      </c>
      <c r="B1258" s="0" t="n">
        <v>2021</v>
      </c>
      <c r="C1258" s="0" t="s">
        <v>60</v>
      </c>
      <c r="D1258" s="0" t="n">
        <v>1913403</v>
      </c>
      <c r="E1258" s="0" t="s">
        <v>3885</v>
      </c>
      <c r="F1258" s="0" t="s">
        <v>3889</v>
      </c>
      <c r="G1258" s="0" t="s">
        <v>3877</v>
      </c>
    </row>
    <row r="1259" customFormat="false" ht="15" hidden="false" customHeight="false" outlineLevel="0" collapsed="false">
      <c r="A1259" s="0" t="s">
        <v>129</v>
      </c>
      <c r="B1259" s="0" t="n">
        <v>2021</v>
      </c>
      <c r="C1259" s="0" t="s">
        <v>61</v>
      </c>
      <c r="D1259" s="0" t="n">
        <v>65301</v>
      </c>
      <c r="E1259" s="0" t="s">
        <v>3885</v>
      </c>
      <c r="F1259" s="0" t="s">
        <v>3889</v>
      </c>
      <c r="G1259" s="0" t="s">
        <v>3877</v>
      </c>
    </row>
    <row r="1260" customFormat="false" ht="15" hidden="false" customHeight="false" outlineLevel="0" collapsed="false">
      <c r="A1260" s="0" t="s">
        <v>129</v>
      </c>
      <c r="B1260" s="0" t="n">
        <v>2021</v>
      </c>
      <c r="C1260" s="0" t="s">
        <v>63</v>
      </c>
      <c r="D1260" s="0" t="n">
        <v>9749</v>
      </c>
      <c r="E1260" s="0" t="s">
        <v>3885</v>
      </c>
      <c r="F1260" s="0" t="s">
        <v>3889</v>
      </c>
      <c r="G1260" s="0" t="s">
        <v>3877</v>
      </c>
    </row>
    <row r="1261" customFormat="false" ht="15" hidden="false" customHeight="false" outlineLevel="0" collapsed="false">
      <c r="A1261" s="0" t="s">
        <v>129</v>
      </c>
      <c r="B1261" s="0" t="n">
        <v>2021</v>
      </c>
      <c r="C1261" s="0" t="s">
        <v>266</v>
      </c>
      <c r="D1261" s="0" t="n">
        <v>3.2</v>
      </c>
      <c r="E1261" s="0" t="s">
        <v>3885</v>
      </c>
      <c r="F1261" s="0" t="s">
        <v>3889</v>
      </c>
      <c r="G1261" s="0" t="s">
        <v>3877</v>
      </c>
    </row>
    <row r="1262" customFormat="false" ht="15" hidden="false" customHeight="false" outlineLevel="0" collapsed="false">
      <c r="A1262" s="0" t="s">
        <v>129</v>
      </c>
      <c r="B1262" s="0" t="n">
        <v>2021</v>
      </c>
      <c r="C1262" s="0" t="s">
        <v>69</v>
      </c>
      <c r="D1262" s="0" t="n">
        <v>21.8</v>
      </c>
      <c r="E1262" s="0" t="s">
        <v>3885</v>
      </c>
      <c r="F1262" s="0" t="s">
        <v>3889</v>
      </c>
      <c r="G1262" s="0" t="s">
        <v>3877</v>
      </c>
    </row>
    <row r="1263" customFormat="false" ht="15" hidden="false" customHeight="false" outlineLevel="0" collapsed="false">
      <c r="A1263" s="0" t="s">
        <v>129</v>
      </c>
      <c r="B1263" s="0" t="n">
        <v>2021</v>
      </c>
      <c r="C1263" s="0" t="s">
        <v>73</v>
      </c>
      <c r="D1263" s="0" t="n">
        <v>0</v>
      </c>
      <c r="E1263" s="0" t="s">
        <v>3885</v>
      </c>
      <c r="F1263" s="0" t="s">
        <v>3889</v>
      </c>
      <c r="G1263" s="0" t="s">
        <v>3877</v>
      </c>
    </row>
    <row r="1264" customFormat="false" ht="15" hidden="false" customHeight="false" outlineLevel="0" collapsed="false">
      <c r="A1264" s="0" t="s">
        <v>129</v>
      </c>
      <c r="B1264" s="0" t="n">
        <v>2021</v>
      </c>
      <c r="C1264" s="0" t="s">
        <v>920</v>
      </c>
      <c r="D1264" s="0" t="s">
        <v>976</v>
      </c>
      <c r="E1264" s="0" t="s">
        <v>3885</v>
      </c>
      <c r="F1264" s="0" t="s">
        <v>3889</v>
      </c>
      <c r="G1264" s="0" t="s">
        <v>3877</v>
      </c>
    </row>
    <row r="1265" customFormat="false" ht="15" hidden="false" customHeight="false" outlineLevel="0" collapsed="false">
      <c r="A1265" s="0" t="s">
        <v>129</v>
      </c>
      <c r="B1265" s="0" t="n">
        <v>2022</v>
      </c>
      <c r="C1265" s="0" t="s">
        <v>54</v>
      </c>
      <c r="D1265" s="0" t="n">
        <v>133696</v>
      </c>
      <c r="E1265" s="0" t="s">
        <v>3885</v>
      </c>
      <c r="F1265" s="0" t="s">
        <v>3889</v>
      </c>
      <c r="G1265" s="0" t="s">
        <v>3877</v>
      </c>
    </row>
    <row r="1266" customFormat="false" ht="15" hidden="false" customHeight="false" outlineLevel="0" collapsed="false">
      <c r="A1266" s="0" t="s">
        <v>129</v>
      </c>
      <c r="B1266" s="0" t="n">
        <v>2022</v>
      </c>
      <c r="C1266" s="0" t="s">
        <v>670</v>
      </c>
      <c r="D1266" s="0" t="n">
        <v>564555</v>
      </c>
      <c r="E1266" s="0" t="s">
        <v>3885</v>
      </c>
      <c r="F1266" s="0" t="s">
        <v>3889</v>
      </c>
      <c r="G1266" s="0" t="s">
        <v>3877</v>
      </c>
    </row>
    <row r="1267" customFormat="false" ht="15" hidden="false" customHeight="false" outlineLevel="0" collapsed="false">
      <c r="A1267" s="0" t="s">
        <v>129</v>
      </c>
      <c r="B1267" s="0" t="n">
        <v>2022</v>
      </c>
      <c r="C1267" s="0" t="s">
        <v>55</v>
      </c>
      <c r="D1267" s="0" t="n">
        <v>7361044</v>
      </c>
      <c r="E1267" s="0" t="s">
        <v>3885</v>
      </c>
      <c r="F1267" s="0" t="s">
        <v>3889</v>
      </c>
      <c r="G1267" s="0" t="s">
        <v>3877</v>
      </c>
    </row>
    <row r="1268" customFormat="false" ht="15" hidden="false" customHeight="false" outlineLevel="0" collapsed="false">
      <c r="A1268" s="0" t="s">
        <v>129</v>
      </c>
      <c r="B1268" s="0" t="n">
        <v>2022</v>
      </c>
      <c r="C1268" s="0" t="s">
        <v>60</v>
      </c>
      <c r="D1268" s="0" t="n">
        <v>2174779</v>
      </c>
      <c r="E1268" s="0" t="s">
        <v>3885</v>
      </c>
      <c r="F1268" s="0" t="s">
        <v>3889</v>
      </c>
      <c r="G1268" s="0" t="s">
        <v>3877</v>
      </c>
    </row>
    <row r="1269" customFormat="false" ht="15" hidden="false" customHeight="false" outlineLevel="0" collapsed="false">
      <c r="A1269" s="0" t="s">
        <v>129</v>
      </c>
      <c r="B1269" s="0" t="n">
        <v>2022</v>
      </c>
      <c r="C1269" s="0" t="s">
        <v>61</v>
      </c>
      <c r="D1269" s="0" t="n">
        <v>51682</v>
      </c>
      <c r="E1269" s="0" t="s">
        <v>3885</v>
      </c>
      <c r="F1269" s="0" t="s">
        <v>3889</v>
      </c>
      <c r="G1269" s="0" t="s">
        <v>3877</v>
      </c>
    </row>
    <row r="1270" customFormat="false" ht="15" hidden="false" customHeight="false" outlineLevel="0" collapsed="false">
      <c r="A1270" s="0" t="s">
        <v>129</v>
      </c>
      <c r="B1270" s="0" t="n">
        <v>2022</v>
      </c>
      <c r="C1270" s="0" t="s">
        <v>63</v>
      </c>
      <c r="D1270" s="0" t="n">
        <v>10565</v>
      </c>
      <c r="E1270" s="0" t="s">
        <v>3885</v>
      </c>
      <c r="F1270" s="0" t="s">
        <v>3889</v>
      </c>
      <c r="G1270" s="0" t="s">
        <v>3877</v>
      </c>
    </row>
    <row r="1271" customFormat="false" ht="15" hidden="false" customHeight="false" outlineLevel="0" collapsed="false">
      <c r="A1271" s="0" t="s">
        <v>129</v>
      </c>
      <c r="B1271" s="0" t="n">
        <v>2022</v>
      </c>
      <c r="C1271" s="0" t="s">
        <v>266</v>
      </c>
      <c r="D1271" s="0" t="n">
        <v>3.1</v>
      </c>
      <c r="E1271" s="0" t="s">
        <v>3885</v>
      </c>
      <c r="F1271" s="0" t="s">
        <v>3889</v>
      </c>
      <c r="G1271" s="0" t="s">
        <v>3877</v>
      </c>
    </row>
    <row r="1272" customFormat="false" ht="15" hidden="false" customHeight="false" outlineLevel="0" collapsed="false">
      <c r="A1272" s="0" t="s">
        <v>129</v>
      </c>
      <c r="B1272" s="0" t="n">
        <v>2022</v>
      </c>
      <c r="C1272" s="0" t="s">
        <v>69</v>
      </c>
      <c r="D1272" s="0" t="n">
        <v>21.9</v>
      </c>
      <c r="E1272" s="0" t="s">
        <v>3885</v>
      </c>
      <c r="F1272" s="0" t="s">
        <v>3889</v>
      </c>
      <c r="G1272" s="0" t="s">
        <v>3877</v>
      </c>
    </row>
    <row r="1273" customFormat="false" ht="15" hidden="false" customHeight="false" outlineLevel="0" collapsed="false">
      <c r="A1273" s="0" t="s">
        <v>129</v>
      </c>
      <c r="B1273" s="0" t="n">
        <v>2022</v>
      </c>
      <c r="C1273" s="0" t="s">
        <v>73</v>
      </c>
      <c r="D1273" s="0" t="n">
        <v>0</v>
      </c>
      <c r="E1273" s="0" t="s">
        <v>3885</v>
      </c>
      <c r="F1273" s="0" t="s">
        <v>3889</v>
      </c>
      <c r="G1273" s="0" t="s">
        <v>3877</v>
      </c>
    </row>
    <row r="1274" customFormat="false" ht="15" hidden="false" customHeight="false" outlineLevel="0" collapsed="false">
      <c r="A1274" s="0" t="s">
        <v>129</v>
      </c>
      <c r="B1274" s="0" t="n">
        <v>2022</v>
      </c>
      <c r="C1274" s="0" t="s">
        <v>920</v>
      </c>
      <c r="D1274" s="0" t="s">
        <v>976</v>
      </c>
      <c r="E1274" s="0" t="s">
        <v>3885</v>
      </c>
      <c r="F1274" s="0" t="s">
        <v>3889</v>
      </c>
      <c r="G1274" s="0" t="s">
        <v>3877</v>
      </c>
    </row>
    <row r="1275" customFormat="false" ht="15" hidden="false" customHeight="false" outlineLevel="0" collapsed="false">
      <c r="A1275" s="0" t="s">
        <v>109</v>
      </c>
      <c r="B1275" s="0" t="n">
        <v>2015</v>
      </c>
      <c r="C1275" s="0" t="s">
        <v>54</v>
      </c>
      <c r="D1275" s="0" t="n">
        <v>94308</v>
      </c>
      <c r="E1275" s="0" t="s">
        <v>3885</v>
      </c>
      <c r="F1275" s="0" t="s">
        <v>3890</v>
      </c>
      <c r="G1275" s="0" t="s">
        <v>3877</v>
      </c>
    </row>
    <row r="1276" customFormat="false" ht="15" hidden="false" customHeight="false" outlineLevel="0" collapsed="false">
      <c r="A1276" s="0" t="s">
        <v>109</v>
      </c>
      <c r="B1276" s="0" t="n">
        <v>2015</v>
      </c>
      <c r="C1276" s="0" t="s">
        <v>670</v>
      </c>
      <c r="D1276" s="0" t="n">
        <v>268876</v>
      </c>
      <c r="E1276" s="0" t="s">
        <v>3885</v>
      </c>
      <c r="F1276" s="0" t="s">
        <v>3890</v>
      </c>
      <c r="G1276" s="0" t="s">
        <v>3877</v>
      </c>
    </row>
    <row r="1277" customFormat="false" ht="15" hidden="false" customHeight="false" outlineLevel="0" collapsed="false">
      <c r="A1277" s="0" t="s">
        <v>109</v>
      </c>
      <c r="B1277" s="0" t="n">
        <v>2015</v>
      </c>
      <c r="C1277" s="0" t="s">
        <v>55</v>
      </c>
      <c r="D1277" s="0" t="n">
        <v>2277629</v>
      </c>
      <c r="E1277" s="0" t="s">
        <v>3885</v>
      </c>
      <c r="F1277" s="0" t="s">
        <v>3890</v>
      </c>
      <c r="G1277" s="0" t="s">
        <v>3877</v>
      </c>
    </row>
    <row r="1278" customFormat="false" ht="15" hidden="false" customHeight="false" outlineLevel="0" collapsed="false">
      <c r="A1278" s="0" t="s">
        <v>109</v>
      </c>
      <c r="B1278" s="0" t="n">
        <v>2015</v>
      </c>
      <c r="C1278" s="0" t="s">
        <v>60</v>
      </c>
      <c r="D1278" s="0" t="n">
        <v>1265207</v>
      </c>
      <c r="E1278" s="0" t="s">
        <v>3885</v>
      </c>
      <c r="F1278" s="0" t="s">
        <v>3890</v>
      </c>
      <c r="G1278" s="0" t="s">
        <v>3877</v>
      </c>
    </row>
    <row r="1279" customFormat="false" ht="15" hidden="false" customHeight="false" outlineLevel="0" collapsed="false">
      <c r="A1279" s="0" t="s">
        <v>109</v>
      </c>
      <c r="B1279" s="0" t="n">
        <v>2015</v>
      </c>
      <c r="C1279" s="0" t="s">
        <v>61</v>
      </c>
      <c r="D1279" s="0" t="n">
        <v>26309</v>
      </c>
      <c r="E1279" s="0" t="s">
        <v>3885</v>
      </c>
      <c r="F1279" s="0" t="s">
        <v>3890</v>
      </c>
      <c r="G1279" s="0" t="s">
        <v>3877</v>
      </c>
    </row>
    <row r="1280" customFormat="false" ht="15" hidden="false" customHeight="false" outlineLevel="0" collapsed="false">
      <c r="A1280" s="0" t="s">
        <v>109</v>
      </c>
      <c r="B1280" s="0" t="n">
        <v>2015</v>
      </c>
      <c r="C1280" s="0" t="s">
        <v>63</v>
      </c>
      <c r="D1280" s="0" t="n">
        <v>11769</v>
      </c>
      <c r="E1280" s="0" t="s">
        <v>3885</v>
      </c>
      <c r="F1280" s="0" t="s">
        <v>3890</v>
      </c>
      <c r="G1280" s="0" t="s">
        <v>3877</v>
      </c>
    </row>
    <row r="1281" customFormat="false" ht="15" hidden="false" customHeight="false" outlineLevel="0" collapsed="false">
      <c r="A1281" s="0" t="s">
        <v>109</v>
      </c>
      <c r="B1281" s="0" t="n">
        <v>2015</v>
      </c>
      <c r="C1281" s="0" t="s">
        <v>266</v>
      </c>
      <c r="D1281" s="0" t="n">
        <v>15.72</v>
      </c>
      <c r="E1281" s="0" t="s">
        <v>3885</v>
      </c>
      <c r="F1281" s="0" t="s">
        <v>3890</v>
      </c>
      <c r="G1281" s="0" t="s">
        <v>3877</v>
      </c>
    </row>
    <row r="1282" customFormat="false" ht="15" hidden="false" customHeight="false" outlineLevel="0" collapsed="false">
      <c r="A1282" s="0" t="s">
        <v>109</v>
      </c>
      <c r="B1282" s="0" t="n">
        <v>2015</v>
      </c>
      <c r="C1282" s="0" t="s">
        <v>69</v>
      </c>
      <c r="D1282" s="0" t="n">
        <v>18.17</v>
      </c>
      <c r="E1282" s="0" t="s">
        <v>3885</v>
      </c>
      <c r="F1282" s="0" t="s">
        <v>3890</v>
      </c>
      <c r="G1282" s="0" t="s">
        <v>3877</v>
      </c>
    </row>
    <row r="1283" customFormat="false" ht="15" hidden="false" customHeight="false" outlineLevel="0" collapsed="false">
      <c r="A1283" s="0" t="s">
        <v>109</v>
      </c>
      <c r="B1283" s="0" t="n">
        <v>2015</v>
      </c>
      <c r="C1283" s="0" t="s">
        <v>73</v>
      </c>
      <c r="D1283" s="0" t="n">
        <v>0</v>
      </c>
      <c r="E1283" s="0" t="s">
        <v>3885</v>
      </c>
      <c r="F1283" s="0" t="s">
        <v>3890</v>
      </c>
      <c r="G1283" s="0" t="s">
        <v>3877</v>
      </c>
    </row>
    <row r="1284" customFormat="false" ht="15" hidden="false" customHeight="false" outlineLevel="0" collapsed="false">
      <c r="A1284" s="0" t="s">
        <v>109</v>
      </c>
      <c r="B1284" s="0" t="n">
        <v>2015</v>
      </c>
      <c r="C1284" s="0" t="s">
        <v>920</v>
      </c>
      <c r="D1284" s="0" t="s">
        <v>3878</v>
      </c>
      <c r="E1284" s="0" t="s">
        <v>3885</v>
      </c>
      <c r="F1284" s="0" t="s">
        <v>3890</v>
      </c>
      <c r="G1284" s="0" t="s">
        <v>3877</v>
      </c>
    </row>
    <row r="1285" customFormat="false" ht="15" hidden="false" customHeight="false" outlineLevel="0" collapsed="false">
      <c r="A1285" s="0" t="s">
        <v>109</v>
      </c>
      <c r="B1285" s="0" t="n">
        <v>2016</v>
      </c>
      <c r="C1285" s="0" t="s">
        <v>54</v>
      </c>
      <c r="D1285" s="0" t="n">
        <v>126837</v>
      </c>
      <c r="E1285" s="0" t="s">
        <v>3885</v>
      </c>
      <c r="F1285" s="0" t="s">
        <v>3890</v>
      </c>
      <c r="G1285" s="0" t="s">
        <v>3877</v>
      </c>
    </row>
    <row r="1286" customFormat="false" ht="15" hidden="false" customHeight="false" outlineLevel="0" collapsed="false">
      <c r="A1286" s="0" t="s">
        <v>109</v>
      </c>
      <c r="B1286" s="0" t="n">
        <v>2016</v>
      </c>
      <c r="C1286" s="0" t="s">
        <v>670</v>
      </c>
      <c r="D1286" s="0" t="n">
        <v>365917</v>
      </c>
      <c r="E1286" s="0" t="s">
        <v>3885</v>
      </c>
      <c r="F1286" s="0" t="s">
        <v>3890</v>
      </c>
      <c r="G1286" s="0" t="s">
        <v>3877</v>
      </c>
    </row>
    <row r="1287" customFormat="false" ht="15" hidden="false" customHeight="false" outlineLevel="0" collapsed="false">
      <c r="A1287" s="0" t="s">
        <v>109</v>
      </c>
      <c r="B1287" s="0" t="n">
        <v>2016</v>
      </c>
      <c r="C1287" s="0" t="s">
        <v>55</v>
      </c>
      <c r="D1287" s="0" t="n">
        <v>2613340</v>
      </c>
      <c r="E1287" s="0" t="s">
        <v>3885</v>
      </c>
      <c r="F1287" s="0" t="s">
        <v>3890</v>
      </c>
      <c r="G1287" s="0" t="s">
        <v>3877</v>
      </c>
    </row>
    <row r="1288" customFormat="false" ht="15" hidden="false" customHeight="false" outlineLevel="0" collapsed="false">
      <c r="A1288" s="0" t="s">
        <v>109</v>
      </c>
      <c r="B1288" s="0" t="n">
        <v>2016</v>
      </c>
      <c r="C1288" s="0" t="s">
        <v>60</v>
      </c>
      <c r="D1288" s="0" t="n">
        <v>1417218</v>
      </c>
      <c r="E1288" s="0" t="s">
        <v>3885</v>
      </c>
      <c r="F1288" s="0" t="s">
        <v>3890</v>
      </c>
      <c r="G1288" s="0" t="s">
        <v>3877</v>
      </c>
    </row>
    <row r="1289" customFormat="false" ht="15" hidden="false" customHeight="false" outlineLevel="0" collapsed="false">
      <c r="A1289" s="0" t="s">
        <v>109</v>
      </c>
      <c r="B1289" s="0" t="n">
        <v>2016</v>
      </c>
      <c r="C1289" s="0" t="s">
        <v>61</v>
      </c>
      <c r="D1289" s="0" t="n">
        <v>71819</v>
      </c>
      <c r="E1289" s="0" t="s">
        <v>3885</v>
      </c>
      <c r="F1289" s="0" t="s">
        <v>3890</v>
      </c>
      <c r="G1289" s="0" t="s">
        <v>3877</v>
      </c>
    </row>
    <row r="1290" customFormat="false" ht="15" hidden="false" customHeight="false" outlineLevel="0" collapsed="false">
      <c r="A1290" s="0" t="s">
        <v>109</v>
      </c>
      <c r="B1290" s="0" t="n">
        <v>2016</v>
      </c>
      <c r="C1290" s="0" t="s">
        <v>63</v>
      </c>
      <c r="D1290" s="0" t="n">
        <v>63543</v>
      </c>
      <c r="E1290" s="0" t="s">
        <v>3885</v>
      </c>
      <c r="F1290" s="0" t="s">
        <v>3890</v>
      </c>
      <c r="G1290" s="0" t="s">
        <v>3877</v>
      </c>
    </row>
    <row r="1291" customFormat="false" ht="15" hidden="false" customHeight="false" outlineLevel="0" collapsed="false">
      <c r="A1291" s="0" t="s">
        <v>109</v>
      </c>
      <c r="B1291" s="0" t="n">
        <v>2016</v>
      </c>
      <c r="C1291" s="0" t="s">
        <v>266</v>
      </c>
      <c r="D1291" s="0" t="n">
        <v>3.4</v>
      </c>
      <c r="E1291" s="0" t="s">
        <v>3885</v>
      </c>
      <c r="F1291" s="0" t="s">
        <v>3890</v>
      </c>
      <c r="G1291" s="0" t="s">
        <v>3877</v>
      </c>
    </row>
    <row r="1292" customFormat="false" ht="15" hidden="false" customHeight="false" outlineLevel="0" collapsed="false">
      <c r="A1292" s="0" t="s">
        <v>109</v>
      </c>
      <c r="B1292" s="0" t="n">
        <v>2016</v>
      </c>
      <c r="C1292" s="0" t="s">
        <v>69</v>
      </c>
      <c r="D1292" s="0" t="n">
        <v>19.79</v>
      </c>
      <c r="E1292" s="0" t="s">
        <v>3885</v>
      </c>
      <c r="F1292" s="0" t="s">
        <v>3890</v>
      </c>
      <c r="G1292" s="0" t="s">
        <v>3877</v>
      </c>
    </row>
    <row r="1293" customFormat="false" ht="15" hidden="false" customHeight="false" outlineLevel="0" collapsed="false">
      <c r="A1293" s="0" t="s">
        <v>109</v>
      </c>
      <c r="B1293" s="0" t="n">
        <v>2016</v>
      </c>
      <c r="C1293" s="0" t="s">
        <v>73</v>
      </c>
      <c r="D1293" s="0" t="n">
        <v>0</v>
      </c>
      <c r="E1293" s="0" t="s">
        <v>3885</v>
      </c>
      <c r="F1293" s="0" t="s">
        <v>3890</v>
      </c>
      <c r="G1293" s="0" t="s">
        <v>3877</v>
      </c>
    </row>
    <row r="1294" customFormat="false" ht="15" hidden="false" customHeight="false" outlineLevel="0" collapsed="false">
      <c r="A1294" s="0" t="s">
        <v>109</v>
      </c>
      <c r="B1294" s="0" t="n">
        <v>2016</v>
      </c>
      <c r="C1294" s="0" t="s">
        <v>920</v>
      </c>
      <c r="D1294" s="0" t="s">
        <v>3878</v>
      </c>
      <c r="E1294" s="0" t="s">
        <v>3885</v>
      </c>
      <c r="F1294" s="0" t="s">
        <v>3890</v>
      </c>
      <c r="G1294" s="0" t="s">
        <v>3877</v>
      </c>
    </row>
    <row r="1295" customFormat="false" ht="15" hidden="false" customHeight="false" outlineLevel="0" collapsed="false">
      <c r="A1295" s="0" t="s">
        <v>109</v>
      </c>
      <c r="B1295" s="0" t="n">
        <v>2017</v>
      </c>
      <c r="C1295" s="0" t="s">
        <v>54</v>
      </c>
      <c r="D1295" s="0" t="n">
        <v>161285</v>
      </c>
      <c r="E1295" s="0" t="s">
        <v>3885</v>
      </c>
      <c r="F1295" s="0" t="s">
        <v>3890</v>
      </c>
      <c r="G1295" s="0" t="s">
        <v>3877</v>
      </c>
    </row>
    <row r="1296" customFormat="false" ht="15" hidden="false" customHeight="false" outlineLevel="0" collapsed="false">
      <c r="A1296" s="0" t="s">
        <v>109</v>
      </c>
      <c r="B1296" s="0" t="n">
        <v>2017</v>
      </c>
      <c r="C1296" s="0" t="s">
        <v>670</v>
      </c>
      <c r="D1296" s="0" t="n">
        <v>360237</v>
      </c>
      <c r="E1296" s="0" t="s">
        <v>3885</v>
      </c>
      <c r="F1296" s="0" t="s">
        <v>3890</v>
      </c>
      <c r="G1296" s="0" t="s">
        <v>3877</v>
      </c>
    </row>
    <row r="1297" customFormat="false" ht="15" hidden="false" customHeight="false" outlineLevel="0" collapsed="false">
      <c r="A1297" s="0" t="s">
        <v>109</v>
      </c>
      <c r="B1297" s="0" t="n">
        <v>2017</v>
      </c>
      <c r="C1297" s="0" t="s">
        <v>55</v>
      </c>
      <c r="D1297" s="0" t="n">
        <v>2824929</v>
      </c>
      <c r="E1297" s="0" t="s">
        <v>3885</v>
      </c>
      <c r="F1297" s="0" t="s">
        <v>3890</v>
      </c>
      <c r="G1297" s="0" t="s">
        <v>3877</v>
      </c>
    </row>
    <row r="1298" customFormat="false" ht="15" hidden="false" customHeight="false" outlineLevel="0" collapsed="false">
      <c r="A1298" s="0" t="s">
        <v>109</v>
      </c>
      <c r="B1298" s="0" t="n">
        <v>2017</v>
      </c>
      <c r="C1298" s="0" t="s">
        <v>60</v>
      </c>
      <c r="D1298" s="0" t="n">
        <v>1163273</v>
      </c>
      <c r="E1298" s="0" t="s">
        <v>3885</v>
      </c>
      <c r="F1298" s="0" t="s">
        <v>3890</v>
      </c>
      <c r="G1298" s="0" t="s">
        <v>3877</v>
      </c>
    </row>
    <row r="1299" customFormat="false" ht="15" hidden="false" customHeight="false" outlineLevel="0" collapsed="false">
      <c r="A1299" s="0" t="s">
        <v>109</v>
      </c>
      <c r="B1299" s="0" t="n">
        <v>2017</v>
      </c>
      <c r="C1299" s="0" t="s">
        <v>61</v>
      </c>
      <c r="D1299" s="0" t="n">
        <v>57658</v>
      </c>
      <c r="E1299" s="0" t="s">
        <v>3885</v>
      </c>
      <c r="F1299" s="0" t="s">
        <v>3890</v>
      </c>
      <c r="G1299" s="0" t="s">
        <v>3877</v>
      </c>
    </row>
    <row r="1300" customFormat="false" ht="15" hidden="false" customHeight="false" outlineLevel="0" collapsed="false">
      <c r="A1300" s="0" t="s">
        <v>109</v>
      </c>
      <c r="B1300" s="0" t="n">
        <v>2017</v>
      </c>
      <c r="C1300" s="0" t="s">
        <v>63</v>
      </c>
      <c r="D1300" s="0" t="n">
        <v>10835</v>
      </c>
      <c r="E1300" s="0" t="s">
        <v>3885</v>
      </c>
      <c r="F1300" s="0" t="s">
        <v>3890</v>
      </c>
      <c r="G1300" s="0" t="s">
        <v>3877</v>
      </c>
    </row>
    <row r="1301" customFormat="false" ht="15" hidden="false" customHeight="false" outlineLevel="0" collapsed="false">
      <c r="A1301" s="0" t="s">
        <v>109</v>
      </c>
      <c r="B1301" s="0" t="n">
        <v>2017</v>
      </c>
      <c r="C1301" s="0" t="s">
        <v>266</v>
      </c>
      <c r="D1301" s="0" t="n">
        <v>8.83</v>
      </c>
      <c r="E1301" s="0" t="s">
        <v>3885</v>
      </c>
      <c r="F1301" s="0" t="s">
        <v>3890</v>
      </c>
      <c r="G1301" s="0" t="s">
        <v>3877</v>
      </c>
    </row>
    <row r="1302" customFormat="false" ht="15" hidden="false" customHeight="false" outlineLevel="0" collapsed="false">
      <c r="A1302" s="0" t="s">
        <v>109</v>
      </c>
      <c r="B1302" s="0" t="n">
        <v>2017</v>
      </c>
      <c r="C1302" s="0" t="s">
        <v>69</v>
      </c>
      <c r="D1302" s="0" t="n">
        <v>25.5</v>
      </c>
      <c r="E1302" s="0" t="s">
        <v>3885</v>
      </c>
      <c r="F1302" s="0" t="s">
        <v>3890</v>
      </c>
      <c r="G1302" s="0" t="s">
        <v>3877</v>
      </c>
    </row>
    <row r="1303" customFormat="false" ht="15" hidden="false" customHeight="false" outlineLevel="0" collapsed="false">
      <c r="A1303" s="0" t="s">
        <v>109</v>
      </c>
      <c r="B1303" s="0" t="n">
        <v>2017</v>
      </c>
      <c r="C1303" s="0" t="s">
        <v>73</v>
      </c>
      <c r="D1303" s="0" t="n">
        <v>0</v>
      </c>
      <c r="E1303" s="0" t="s">
        <v>3885</v>
      </c>
      <c r="F1303" s="0" t="s">
        <v>3890</v>
      </c>
      <c r="G1303" s="0" t="s">
        <v>3877</v>
      </c>
    </row>
    <row r="1304" customFormat="false" ht="15" hidden="false" customHeight="false" outlineLevel="0" collapsed="false">
      <c r="A1304" s="0" t="s">
        <v>109</v>
      </c>
      <c r="B1304" s="0" t="n">
        <v>2017</v>
      </c>
      <c r="C1304" s="0" t="s">
        <v>920</v>
      </c>
      <c r="D1304" s="0" t="s">
        <v>3878</v>
      </c>
      <c r="E1304" s="0" t="s">
        <v>3885</v>
      </c>
      <c r="F1304" s="0" t="s">
        <v>3890</v>
      </c>
      <c r="G1304" s="0" t="s">
        <v>3877</v>
      </c>
    </row>
    <row r="1305" customFormat="false" ht="15" hidden="false" customHeight="false" outlineLevel="0" collapsed="false">
      <c r="A1305" s="0" t="s">
        <v>109</v>
      </c>
      <c r="B1305" s="0" t="n">
        <v>2018</v>
      </c>
      <c r="C1305" s="0" t="s">
        <v>54</v>
      </c>
      <c r="D1305" s="0" t="n">
        <v>166753</v>
      </c>
      <c r="E1305" s="0" t="s">
        <v>3885</v>
      </c>
      <c r="F1305" s="0" t="s">
        <v>3890</v>
      </c>
      <c r="G1305" s="0" t="s">
        <v>3877</v>
      </c>
    </row>
    <row r="1306" customFormat="false" ht="15" hidden="false" customHeight="false" outlineLevel="0" collapsed="false">
      <c r="A1306" s="0" t="s">
        <v>109</v>
      </c>
      <c r="B1306" s="0" t="n">
        <v>2018</v>
      </c>
      <c r="C1306" s="0" t="s">
        <v>670</v>
      </c>
      <c r="D1306" s="0" t="n">
        <v>356380</v>
      </c>
      <c r="E1306" s="0" t="s">
        <v>3885</v>
      </c>
      <c r="F1306" s="0" t="s">
        <v>3890</v>
      </c>
      <c r="G1306" s="0" t="s">
        <v>3877</v>
      </c>
    </row>
    <row r="1307" customFormat="false" ht="15" hidden="false" customHeight="false" outlineLevel="0" collapsed="false">
      <c r="A1307" s="0" t="s">
        <v>109</v>
      </c>
      <c r="B1307" s="0" t="n">
        <v>2018</v>
      </c>
      <c r="C1307" s="0" t="s">
        <v>55</v>
      </c>
      <c r="D1307" s="0" t="n">
        <v>2712521</v>
      </c>
      <c r="E1307" s="0" t="s">
        <v>3885</v>
      </c>
      <c r="F1307" s="0" t="s">
        <v>3890</v>
      </c>
      <c r="G1307" s="0" t="s">
        <v>3877</v>
      </c>
    </row>
    <row r="1308" customFormat="false" ht="15" hidden="false" customHeight="false" outlineLevel="0" collapsed="false">
      <c r="A1308" s="0" t="s">
        <v>109</v>
      </c>
      <c r="B1308" s="0" t="n">
        <v>2018</v>
      </c>
      <c r="C1308" s="0" t="s">
        <v>60</v>
      </c>
      <c r="D1308" s="0" t="n">
        <v>1159030</v>
      </c>
      <c r="E1308" s="0" t="s">
        <v>3885</v>
      </c>
      <c r="F1308" s="0" t="s">
        <v>3890</v>
      </c>
      <c r="G1308" s="0" t="s">
        <v>3877</v>
      </c>
    </row>
    <row r="1309" customFormat="false" ht="15" hidden="false" customHeight="false" outlineLevel="0" collapsed="false">
      <c r="A1309" s="0" t="s">
        <v>109</v>
      </c>
      <c r="B1309" s="0" t="n">
        <v>2018</v>
      </c>
      <c r="C1309" s="0" t="s">
        <v>61</v>
      </c>
      <c r="D1309" s="0" t="n">
        <v>90984</v>
      </c>
      <c r="E1309" s="0" t="s">
        <v>3885</v>
      </c>
      <c r="F1309" s="0" t="s">
        <v>3890</v>
      </c>
      <c r="G1309" s="0" t="s">
        <v>3877</v>
      </c>
    </row>
    <row r="1310" customFormat="false" ht="15" hidden="false" customHeight="false" outlineLevel="0" collapsed="false">
      <c r="A1310" s="0" t="s">
        <v>109</v>
      </c>
      <c r="B1310" s="0" t="n">
        <v>2018</v>
      </c>
      <c r="C1310" s="0" t="s">
        <v>63</v>
      </c>
      <c r="D1310" s="0" t="n">
        <v>1504</v>
      </c>
      <c r="E1310" s="0" t="s">
        <v>3885</v>
      </c>
      <c r="F1310" s="0" t="s">
        <v>3890</v>
      </c>
      <c r="G1310" s="0" t="s">
        <v>3877</v>
      </c>
    </row>
    <row r="1311" customFormat="false" ht="15" hidden="false" customHeight="false" outlineLevel="0" collapsed="false">
      <c r="A1311" s="0" t="s">
        <v>109</v>
      </c>
      <c r="B1311" s="0" t="n">
        <v>2018</v>
      </c>
      <c r="C1311" s="0" t="s">
        <v>266</v>
      </c>
      <c r="D1311" s="0" t="n">
        <v>7.3</v>
      </c>
      <c r="E1311" s="0" t="s">
        <v>3885</v>
      </c>
      <c r="F1311" s="0" t="s">
        <v>3890</v>
      </c>
      <c r="G1311" s="0" t="s">
        <v>3877</v>
      </c>
    </row>
    <row r="1312" customFormat="false" ht="15" hidden="false" customHeight="false" outlineLevel="0" collapsed="false">
      <c r="A1312" s="0" t="s">
        <v>109</v>
      </c>
      <c r="B1312" s="0" t="n">
        <v>2018</v>
      </c>
      <c r="C1312" s="0" t="s">
        <v>69</v>
      </c>
      <c r="D1312" s="0" t="n">
        <v>20.93</v>
      </c>
      <c r="E1312" s="0" t="s">
        <v>3885</v>
      </c>
      <c r="F1312" s="0" t="s">
        <v>3890</v>
      </c>
      <c r="G1312" s="0" t="s">
        <v>3877</v>
      </c>
    </row>
    <row r="1313" customFormat="false" ht="15" hidden="false" customHeight="false" outlineLevel="0" collapsed="false">
      <c r="A1313" s="0" t="s">
        <v>109</v>
      </c>
      <c r="B1313" s="0" t="n">
        <v>2018</v>
      </c>
      <c r="C1313" s="0" t="s">
        <v>73</v>
      </c>
      <c r="D1313" s="0" t="n">
        <v>0</v>
      </c>
      <c r="E1313" s="0" t="s">
        <v>3885</v>
      </c>
      <c r="F1313" s="0" t="s">
        <v>3890</v>
      </c>
      <c r="G1313" s="0" t="s">
        <v>3877</v>
      </c>
    </row>
    <row r="1314" customFormat="false" ht="15" hidden="false" customHeight="false" outlineLevel="0" collapsed="false">
      <c r="A1314" s="0" t="s">
        <v>109</v>
      </c>
      <c r="B1314" s="0" t="n">
        <v>2018</v>
      </c>
      <c r="C1314" s="0" t="s">
        <v>920</v>
      </c>
      <c r="D1314" s="0" t="s">
        <v>3878</v>
      </c>
      <c r="E1314" s="0" t="s">
        <v>3885</v>
      </c>
      <c r="F1314" s="0" t="s">
        <v>3890</v>
      </c>
      <c r="G1314" s="0" t="s">
        <v>3877</v>
      </c>
    </row>
    <row r="1315" customFormat="false" ht="15" hidden="false" customHeight="false" outlineLevel="0" collapsed="false">
      <c r="A1315" s="0" t="s">
        <v>109</v>
      </c>
      <c r="B1315" s="0" t="n">
        <v>2019</v>
      </c>
      <c r="C1315" s="0" t="s">
        <v>54</v>
      </c>
      <c r="D1315" s="0" t="n">
        <v>175125</v>
      </c>
      <c r="E1315" s="0" t="s">
        <v>3885</v>
      </c>
      <c r="F1315" s="0" t="s">
        <v>3890</v>
      </c>
      <c r="G1315" s="0" t="s">
        <v>3877</v>
      </c>
    </row>
    <row r="1316" customFormat="false" ht="15" hidden="false" customHeight="false" outlineLevel="0" collapsed="false">
      <c r="A1316" s="0" t="s">
        <v>109</v>
      </c>
      <c r="B1316" s="0" t="n">
        <v>2019</v>
      </c>
      <c r="C1316" s="0" t="s">
        <v>670</v>
      </c>
      <c r="D1316" s="0" t="n">
        <v>350927</v>
      </c>
      <c r="E1316" s="0" t="s">
        <v>3885</v>
      </c>
      <c r="F1316" s="0" t="s">
        <v>3890</v>
      </c>
      <c r="G1316" s="0" t="s">
        <v>3877</v>
      </c>
    </row>
    <row r="1317" customFormat="false" ht="15" hidden="false" customHeight="false" outlineLevel="0" collapsed="false">
      <c r="A1317" s="0" t="s">
        <v>109</v>
      </c>
      <c r="B1317" s="0" t="n">
        <v>2019</v>
      </c>
      <c r="C1317" s="0" t="s">
        <v>55</v>
      </c>
      <c r="D1317" s="0" t="n">
        <v>3097248</v>
      </c>
      <c r="E1317" s="0" t="s">
        <v>3885</v>
      </c>
      <c r="F1317" s="0" t="s">
        <v>3890</v>
      </c>
      <c r="G1317" s="0" t="s">
        <v>3877</v>
      </c>
    </row>
    <row r="1318" customFormat="false" ht="15" hidden="false" customHeight="false" outlineLevel="0" collapsed="false">
      <c r="A1318" s="0" t="s">
        <v>109</v>
      </c>
      <c r="B1318" s="0" t="n">
        <v>2019</v>
      </c>
      <c r="C1318" s="0" t="s">
        <v>60</v>
      </c>
      <c r="D1318" s="0" t="n">
        <v>1357147</v>
      </c>
      <c r="E1318" s="0" t="s">
        <v>3885</v>
      </c>
      <c r="F1318" s="0" t="s">
        <v>3890</v>
      </c>
      <c r="G1318" s="0" t="s">
        <v>3877</v>
      </c>
    </row>
    <row r="1319" customFormat="false" ht="15" hidden="false" customHeight="false" outlineLevel="0" collapsed="false">
      <c r="A1319" s="0" t="s">
        <v>109</v>
      </c>
      <c r="B1319" s="0" t="n">
        <v>2019</v>
      </c>
      <c r="C1319" s="0" t="s">
        <v>61</v>
      </c>
      <c r="D1319" s="0" t="n">
        <v>56254</v>
      </c>
      <c r="E1319" s="0" t="s">
        <v>3885</v>
      </c>
      <c r="F1319" s="0" t="s">
        <v>3890</v>
      </c>
      <c r="G1319" s="0" t="s">
        <v>3877</v>
      </c>
    </row>
    <row r="1320" customFormat="false" ht="15" hidden="false" customHeight="false" outlineLevel="0" collapsed="false">
      <c r="A1320" s="0" t="s">
        <v>109</v>
      </c>
      <c r="B1320" s="0" t="n">
        <v>2019</v>
      </c>
      <c r="C1320" s="0" t="s">
        <v>63</v>
      </c>
      <c r="D1320" s="0" t="n">
        <v>2222</v>
      </c>
      <c r="E1320" s="0" t="s">
        <v>3885</v>
      </c>
      <c r="F1320" s="0" t="s">
        <v>3890</v>
      </c>
      <c r="G1320" s="0" t="s">
        <v>3877</v>
      </c>
    </row>
    <row r="1321" customFormat="false" ht="15" hidden="false" customHeight="false" outlineLevel="0" collapsed="false">
      <c r="A1321" s="0" t="s">
        <v>109</v>
      </c>
      <c r="B1321" s="0" t="n">
        <v>2019</v>
      </c>
      <c r="C1321" s="0" t="s">
        <v>266</v>
      </c>
      <c r="D1321" s="0" t="n">
        <v>6.5</v>
      </c>
      <c r="E1321" s="0" t="s">
        <v>3885</v>
      </c>
      <c r="F1321" s="0" t="s">
        <v>3890</v>
      </c>
      <c r="G1321" s="0" t="s">
        <v>3877</v>
      </c>
    </row>
    <row r="1322" customFormat="false" ht="15" hidden="false" customHeight="false" outlineLevel="0" collapsed="false">
      <c r="A1322" s="0" t="s">
        <v>109</v>
      </c>
      <c r="B1322" s="0" t="n">
        <v>2019</v>
      </c>
      <c r="C1322" s="0" t="s">
        <v>69</v>
      </c>
      <c r="D1322" s="0" t="n">
        <v>20.66</v>
      </c>
      <c r="E1322" s="0" t="s">
        <v>3885</v>
      </c>
      <c r="F1322" s="0" t="s">
        <v>3890</v>
      </c>
      <c r="G1322" s="0" t="s">
        <v>3877</v>
      </c>
    </row>
    <row r="1323" customFormat="false" ht="15" hidden="false" customHeight="false" outlineLevel="0" collapsed="false">
      <c r="A1323" s="0" t="s">
        <v>109</v>
      </c>
      <c r="B1323" s="0" t="n">
        <v>2019</v>
      </c>
      <c r="C1323" s="0" t="s">
        <v>73</v>
      </c>
      <c r="D1323" s="0" t="n">
        <v>0</v>
      </c>
      <c r="E1323" s="0" t="s">
        <v>3885</v>
      </c>
      <c r="F1323" s="0" t="s">
        <v>3890</v>
      </c>
      <c r="G1323" s="0" t="s">
        <v>3877</v>
      </c>
    </row>
    <row r="1324" customFormat="false" ht="15" hidden="false" customHeight="false" outlineLevel="0" collapsed="false">
      <c r="A1324" s="0" t="s">
        <v>109</v>
      </c>
      <c r="B1324" s="0" t="n">
        <v>2019</v>
      </c>
      <c r="C1324" s="0" t="s">
        <v>920</v>
      </c>
      <c r="D1324" s="0" t="s">
        <v>3878</v>
      </c>
      <c r="E1324" s="0" t="s">
        <v>3885</v>
      </c>
      <c r="F1324" s="0" t="s">
        <v>3890</v>
      </c>
      <c r="G1324" s="0" t="s">
        <v>3877</v>
      </c>
    </row>
    <row r="1325" customFormat="false" ht="15" hidden="false" customHeight="false" outlineLevel="0" collapsed="false">
      <c r="A1325" s="0" t="s">
        <v>109</v>
      </c>
      <c r="B1325" s="0" t="n">
        <v>2020</v>
      </c>
      <c r="C1325" s="0" t="s">
        <v>54</v>
      </c>
      <c r="D1325" s="0" t="n">
        <v>178188</v>
      </c>
      <c r="E1325" s="0" t="s">
        <v>3885</v>
      </c>
      <c r="F1325" s="0" t="s">
        <v>3890</v>
      </c>
      <c r="G1325" s="0" t="s">
        <v>3877</v>
      </c>
    </row>
    <row r="1326" customFormat="false" ht="15" hidden="false" customHeight="false" outlineLevel="0" collapsed="false">
      <c r="A1326" s="0" t="s">
        <v>109</v>
      </c>
      <c r="B1326" s="0" t="n">
        <v>2020</v>
      </c>
      <c r="C1326" s="0" t="s">
        <v>670</v>
      </c>
      <c r="D1326" s="0" t="n">
        <v>367058</v>
      </c>
      <c r="E1326" s="0" t="s">
        <v>3885</v>
      </c>
      <c r="F1326" s="0" t="s">
        <v>3890</v>
      </c>
      <c r="G1326" s="0" t="s">
        <v>3877</v>
      </c>
    </row>
    <row r="1327" customFormat="false" ht="15" hidden="false" customHeight="false" outlineLevel="0" collapsed="false">
      <c r="A1327" s="0" t="s">
        <v>109</v>
      </c>
      <c r="B1327" s="0" t="n">
        <v>2020</v>
      </c>
      <c r="C1327" s="0" t="s">
        <v>55</v>
      </c>
      <c r="D1327" s="0" t="n">
        <v>4061544</v>
      </c>
      <c r="E1327" s="0" t="s">
        <v>3885</v>
      </c>
      <c r="F1327" s="0" t="s">
        <v>3890</v>
      </c>
      <c r="G1327" s="0" t="s">
        <v>3877</v>
      </c>
    </row>
    <row r="1328" customFormat="false" ht="15" hidden="false" customHeight="false" outlineLevel="0" collapsed="false">
      <c r="A1328" s="0" t="s">
        <v>109</v>
      </c>
      <c r="B1328" s="0" t="n">
        <v>2020</v>
      </c>
      <c r="C1328" s="0" t="s">
        <v>60</v>
      </c>
      <c r="D1328" s="0" t="n">
        <v>1473566</v>
      </c>
      <c r="E1328" s="0" t="s">
        <v>3885</v>
      </c>
      <c r="F1328" s="0" t="s">
        <v>3890</v>
      </c>
      <c r="G1328" s="0" t="s">
        <v>3877</v>
      </c>
    </row>
    <row r="1329" customFormat="false" ht="15" hidden="false" customHeight="false" outlineLevel="0" collapsed="false">
      <c r="A1329" s="0" t="s">
        <v>109</v>
      </c>
      <c r="B1329" s="0" t="n">
        <v>2020</v>
      </c>
      <c r="C1329" s="0" t="s">
        <v>61</v>
      </c>
      <c r="D1329" s="0" t="n">
        <v>62948</v>
      </c>
      <c r="E1329" s="0" t="s">
        <v>3885</v>
      </c>
      <c r="F1329" s="0" t="s">
        <v>3890</v>
      </c>
      <c r="G1329" s="0" t="s">
        <v>3877</v>
      </c>
    </row>
    <row r="1330" customFormat="false" ht="15" hidden="false" customHeight="false" outlineLevel="0" collapsed="false">
      <c r="A1330" s="0" t="s">
        <v>109</v>
      </c>
      <c r="B1330" s="0" t="n">
        <v>2020</v>
      </c>
      <c r="C1330" s="0" t="s">
        <v>63</v>
      </c>
      <c r="D1330" s="0" t="n">
        <v>13667</v>
      </c>
      <c r="E1330" s="0" t="s">
        <v>3885</v>
      </c>
      <c r="F1330" s="0" t="s">
        <v>3890</v>
      </c>
      <c r="G1330" s="0" t="s">
        <v>3877</v>
      </c>
    </row>
    <row r="1331" customFormat="false" ht="15" hidden="false" customHeight="false" outlineLevel="0" collapsed="false">
      <c r="A1331" s="0" t="s">
        <v>109</v>
      </c>
      <c r="B1331" s="0" t="n">
        <v>2020</v>
      </c>
      <c r="C1331" s="0" t="s">
        <v>266</v>
      </c>
      <c r="D1331" s="0" t="n">
        <v>6.4</v>
      </c>
      <c r="E1331" s="0" t="s">
        <v>3885</v>
      </c>
      <c r="F1331" s="0" t="s">
        <v>3890</v>
      </c>
      <c r="G1331" s="0" t="s">
        <v>3877</v>
      </c>
    </row>
    <row r="1332" customFormat="false" ht="15" hidden="false" customHeight="false" outlineLevel="0" collapsed="false">
      <c r="A1332" s="0" t="s">
        <v>109</v>
      </c>
      <c r="B1332" s="0" t="n">
        <v>2020</v>
      </c>
      <c r="C1332" s="0" t="s">
        <v>69</v>
      </c>
      <c r="D1332" s="0" t="n">
        <v>19.55</v>
      </c>
      <c r="E1332" s="0" t="s">
        <v>3885</v>
      </c>
      <c r="F1332" s="0" t="s">
        <v>3890</v>
      </c>
      <c r="G1332" s="0" t="s">
        <v>3877</v>
      </c>
    </row>
    <row r="1333" customFormat="false" ht="15" hidden="false" customHeight="false" outlineLevel="0" collapsed="false">
      <c r="A1333" s="0" t="s">
        <v>109</v>
      </c>
      <c r="B1333" s="0" t="n">
        <v>2020</v>
      </c>
      <c r="C1333" s="0" t="s">
        <v>73</v>
      </c>
      <c r="D1333" s="0" t="n">
        <v>0</v>
      </c>
      <c r="E1333" s="0" t="s">
        <v>3885</v>
      </c>
      <c r="F1333" s="0" t="s">
        <v>3890</v>
      </c>
      <c r="G1333" s="0" t="s">
        <v>3877</v>
      </c>
    </row>
    <row r="1334" customFormat="false" ht="15" hidden="false" customHeight="false" outlineLevel="0" collapsed="false">
      <c r="A1334" s="0" t="s">
        <v>109</v>
      </c>
      <c r="B1334" s="0" t="n">
        <v>2020</v>
      </c>
      <c r="C1334" s="0" t="s">
        <v>920</v>
      </c>
      <c r="D1334" s="0" t="s">
        <v>3878</v>
      </c>
      <c r="E1334" s="0" t="s">
        <v>3885</v>
      </c>
      <c r="F1334" s="0" t="s">
        <v>3890</v>
      </c>
      <c r="G1334" s="0" t="s">
        <v>3877</v>
      </c>
    </row>
    <row r="1335" customFormat="false" ht="15" hidden="false" customHeight="false" outlineLevel="0" collapsed="false">
      <c r="A1335" s="0" t="s">
        <v>109</v>
      </c>
      <c r="B1335" s="0" t="n">
        <v>2021</v>
      </c>
      <c r="C1335" s="0" t="s">
        <v>54</v>
      </c>
      <c r="D1335" s="0" t="n">
        <v>146184</v>
      </c>
      <c r="E1335" s="0" t="s">
        <v>3885</v>
      </c>
      <c r="F1335" s="0" t="s">
        <v>3890</v>
      </c>
      <c r="G1335" s="0" t="s">
        <v>3877</v>
      </c>
    </row>
    <row r="1336" customFormat="false" ht="15" hidden="false" customHeight="false" outlineLevel="0" collapsed="false">
      <c r="A1336" s="0" t="s">
        <v>109</v>
      </c>
      <c r="B1336" s="0" t="n">
        <v>2021</v>
      </c>
      <c r="C1336" s="0" t="s">
        <v>670</v>
      </c>
      <c r="D1336" s="0" t="n">
        <v>303978</v>
      </c>
      <c r="E1336" s="0" t="s">
        <v>3885</v>
      </c>
      <c r="F1336" s="0" t="s">
        <v>3890</v>
      </c>
      <c r="G1336" s="0" t="s">
        <v>3877</v>
      </c>
    </row>
    <row r="1337" customFormat="false" ht="15" hidden="false" customHeight="false" outlineLevel="0" collapsed="false">
      <c r="A1337" s="0" t="s">
        <v>109</v>
      </c>
      <c r="B1337" s="0" t="n">
        <v>2021</v>
      </c>
      <c r="C1337" s="0" t="s">
        <v>55</v>
      </c>
      <c r="D1337" s="0" t="n">
        <v>4357033</v>
      </c>
      <c r="E1337" s="0" t="s">
        <v>3885</v>
      </c>
      <c r="F1337" s="0" t="s">
        <v>3890</v>
      </c>
      <c r="G1337" s="0" t="s">
        <v>3877</v>
      </c>
    </row>
    <row r="1338" customFormat="false" ht="15" hidden="false" customHeight="false" outlineLevel="0" collapsed="false">
      <c r="A1338" s="0" t="s">
        <v>109</v>
      </c>
      <c r="B1338" s="0" t="n">
        <v>2021</v>
      </c>
      <c r="C1338" s="0" t="s">
        <v>60</v>
      </c>
      <c r="D1338" s="0" t="n">
        <v>1475674</v>
      </c>
      <c r="E1338" s="0" t="s">
        <v>3885</v>
      </c>
      <c r="F1338" s="0" t="s">
        <v>3890</v>
      </c>
      <c r="G1338" s="0" t="s">
        <v>3877</v>
      </c>
    </row>
    <row r="1339" customFormat="false" ht="15" hidden="false" customHeight="false" outlineLevel="0" collapsed="false">
      <c r="A1339" s="0" t="s">
        <v>109</v>
      </c>
      <c r="B1339" s="0" t="n">
        <v>2021</v>
      </c>
      <c r="C1339" s="0" t="s">
        <v>61</v>
      </c>
      <c r="D1339" s="0" t="n">
        <v>67041</v>
      </c>
      <c r="E1339" s="0" t="s">
        <v>3885</v>
      </c>
      <c r="F1339" s="0" t="s">
        <v>3890</v>
      </c>
      <c r="G1339" s="0" t="s">
        <v>3877</v>
      </c>
    </row>
    <row r="1340" customFormat="false" ht="15" hidden="false" customHeight="false" outlineLevel="0" collapsed="false">
      <c r="A1340" s="0" t="s">
        <v>109</v>
      </c>
      <c r="B1340" s="0" t="n">
        <v>2021</v>
      </c>
      <c r="C1340" s="0" t="s">
        <v>63</v>
      </c>
      <c r="D1340" s="0" t="n">
        <v>4089</v>
      </c>
      <c r="E1340" s="0" t="s">
        <v>3885</v>
      </c>
      <c r="F1340" s="0" t="s">
        <v>3890</v>
      </c>
      <c r="G1340" s="0" t="s">
        <v>3877</v>
      </c>
    </row>
    <row r="1341" customFormat="false" ht="15" hidden="false" customHeight="false" outlineLevel="0" collapsed="false">
      <c r="A1341" s="0" t="s">
        <v>109</v>
      </c>
      <c r="B1341" s="0" t="n">
        <v>2021</v>
      </c>
      <c r="C1341" s="0" t="s">
        <v>266</v>
      </c>
      <c r="D1341" s="0" t="n">
        <v>6</v>
      </c>
      <c r="E1341" s="0" t="s">
        <v>3885</v>
      </c>
      <c r="F1341" s="0" t="s">
        <v>3890</v>
      </c>
      <c r="G1341" s="0" t="s">
        <v>3877</v>
      </c>
    </row>
    <row r="1342" customFormat="false" ht="15" hidden="false" customHeight="false" outlineLevel="0" collapsed="false">
      <c r="A1342" s="0" t="s">
        <v>109</v>
      </c>
      <c r="B1342" s="0" t="n">
        <v>2021</v>
      </c>
      <c r="C1342" s="0" t="s">
        <v>69</v>
      </c>
      <c r="D1342" s="0" t="n">
        <v>23.83</v>
      </c>
      <c r="E1342" s="0" t="s">
        <v>3885</v>
      </c>
      <c r="F1342" s="0" t="s">
        <v>3890</v>
      </c>
      <c r="G1342" s="0" t="s">
        <v>3877</v>
      </c>
    </row>
    <row r="1343" customFormat="false" ht="15" hidden="false" customHeight="false" outlineLevel="0" collapsed="false">
      <c r="A1343" s="0" t="s">
        <v>109</v>
      </c>
      <c r="B1343" s="0" t="n">
        <v>2021</v>
      </c>
      <c r="C1343" s="0" t="s">
        <v>73</v>
      </c>
      <c r="D1343" s="0" t="n">
        <v>0</v>
      </c>
      <c r="E1343" s="0" t="s">
        <v>3885</v>
      </c>
      <c r="F1343" s="0" t="s">
        <v>3890</v>
      </c>
      <c r="G1343" s="0" t="s">
        <v>3877</v>
      </c>
    </row>
    <row r="1344" customFormat="false" ht="15" hidden="false" customHeight="false" outlineLevel="0" collapsed="false">
      <c r="A1344" s="0" t="s">
        <v>109</v>
      </c>
      <c r="B1344" s="0" t="n">
        <v>2021</v>
      </c>
      <c r="C1344" s="0" t="s">
        <v>920</v>
      </c>
      <c r="D1344" s="0" t="s">
        <v>3878</v>
      </c>
      <c r="E1344" s="0" t="s">
        <v>3885</v>
      </c>
      <c r="F1344" s="0" t="s">
        <v>3890</v>
      </c>
      <c r="G1344" s="0" t="s">
        <v>3877</v>
      </c>
    </row>
    <row r="1345" customFormat="false" ht="15" hidden="false" customHeight="false" outlineLevel="0" collapsed="false">
      <c r="A1345" s="0" t="s">
        <v>109</v>
      </c>
      <c r="B1345" s="0" t="n">
        <v>2022</v>
      </c>
      <c r="C1345" s="0" t="s">
        <v>54</v>
      </c>
      <c r="D1345" s="0" t="n">
        <v>145296</v>
      </c>
      <c r="E1345" s="0" t="s">
        <v>3885</v>
      </c>
      <c r="F1345" s="0" t="s">
        <v>3890</v>
      </c>
      <c r="G1345" s="0" t="s">
        <v>3877</v>
      </c>
    </row>
    <row r="1346" customFormat="false" ht="15" hidden="false" customHeight="false" outlineLevel="0" collapsed="false">
      <c r="A1346" s="0" t="s">
        <v>109</v>
      </c>
      <c r="B1346" s="0" t="n">
        <v>2022</v>
      </c>
      <c r="C1346" s="0" t="s">
        <v>670</v>
      </c>
      <c r="D1346" s="0" t="n">
        <v>340912</v>
      </c>
      <c r="E1346" s="0" t="s">
        <v>3885</v>
      </c>
      <c r="F1346" s="0" t="s">
        <v>3890</v>
      </c>
      <c r="G1346" s="0" t="s">
        <v>3877</v>
      </c>
    </row>
    <row r="1347" customFormat="false" ht="15" hidden="false" customHeight="false" outlineLevel="0" collapsed="false">
      <c r="A1347" s="0" t="s">
        <v>109</v>
      </c>
      <c r="B1347" s="0" t="n">
        <v>2022</v>
      </c>
      <c r="C1347" s="0" t="s">
        <v>55</v>
      </c>
      <c r="D1347" s="0" t="n">
        <v>5208577</v>
      </c>
      <c r="E1347" s="0" t="s">
        <v>3885</v>
      </c>
      <c r="F1347" s="0" t="s">
        <v>3890</v>
      </c>
      <c r="G1347" s="0" t="s">
        <v>3877</v>
      </c>
    </row>
    <row r="1348" customFormat="false" ht="15" hidden="false" customHeight="false" outlineLevel="0" collapsed="false">
      <c r="A1348" s="0" t="s">
        <v>109</v>
      </c>
      <c r="B1348" s="0" t="n">
        <v>2022</v>
      </c>
      <c r="C1348" s="0" t="s">
        <v>60</v>
      </c>
      <c r="D1348" s="0" t="n">
        <v>1577192</v>
      </c>
      <c r="E1348" s="0" t="s">
        <v>3885</v>
      </c>
      <c r="F1348" s="0" t="s">
        <v>3890</v>
      </c>
      <c r="G1348" s="0" t="s">
        <v>3877</v>
      </c>
    </row>
    <row r="1349" customFormat="false" ht="15" hidden="false" customHeight="false" outlineLevel="0" collapsed="false">
      <c r="A1349" s="0" t="s">
        <v>109</v>
      </c>
      <c r="B1349" s="0" t="n">
        <v>2022</v>
      </c>
      <c r="C1349" s="0" t="s">
        <v>61</v>
      </c>
      <c r="D1349" s="0" t="n">
        <v>75972</v>
      </c>
      <c r="E1349" s="0" t="s">
        <v>3885</v>
      </c>
      <c r="F1349" s="0" t="s">
        <v>3890</v>
      </c>
      <c r="G1349" s="0" t="s">
        <v>3877</v>
      </c>
    </row>
    <row r="1350" customFormat="false" ht="15" hidden="false" customHeight="false" outlineLevel="0" collapsed="false">
      <c r="A1350" s="0" t="s">
        <v>109</v>
      </c>
      <c r="B1350" s="0" t="n">
        <v>2022</v>
      </c>
      <c r="C1350" s="0" t="s">
        <v>63</v>
      </c>
      <c r="D1350" s="0" t="n">
        <v>8937</v>
      </c>
      <c r="E1350" s="0" t="s">
        <v>3885</v>
      </c>
      <c r="F1350" s="0" t="s">
        <v>3890</v>
      </c>
      <c r="G1350" s="0" t="s">
        <v>3877</v>
      </c>
    </row>
    <row r="1351" customFormat="false" ht="15" hidden="false" customHeight="false" outlineLevel="0" collapsed="false">
      <c r="A1351" s="0" t="s">
        <v>109</v>
      </c>
      <c r="B1351" s="0" t="n">
        <v>2022</v>
      </c>
      <c r="C1351" s="0" t="s">
        <v>266</v>
      </c>
      <c r="D1351" s="0" t="n">
        <v>5.19</v>
      </c>
      <c r="E1351" s="0" t="s">
        <v>3885</v>
      </c>
      <c r="F1351" s="0" t="s">
        <v>3890</v>
      </c>
      <c r="G1351" s="0" t="s">
        <v>3877</v>
      </c>
    </row>
    <row r="1352" customFormat="false" ht="15" hidden="false" customHeight="false" outlineLevel="0" collapsed="false">
      <c r="A1352" s="0" t="s">
        <v>109</v>
      </c>
      <c r="B1352" s="0" t="n">
        <v>2022</v>
      </c>
      <c r="C1352" s="0" t="s">
        <v>69</v>
      </c>
      <c r="D1352" s="0" t="n">
        <v>24.08</v>
      </c>
      <c r="E1352" s="0" t="s">
        <v>3885</v>
      </c>
      <c r="F1352" s="0" t="s">
        <v>3890</v>
      </c>
      <c r="G1352" s="0" t="s">
        <v>3877</v>
      </c>
    </row>
    <row r="1353" customFormat="false" ht="15" hidden="false" customHeight="false" outlineLevel="0" collapsed="false">
      <c r="A1353" s="0" t="s">
        <v>109</v>
      </c>
      <c r="B1353" s="0" t="n">
        <v>2022</v>
      </c>
      <c r="C1353" s="0" t="s">
        <v>73</v>
      </c>
      <c r="D1353" s="0" t="n">
        <v>0</v>
      </c>
      <c r="E1353" s="0" t="s">
        <v>3885</v>
      </c>
      <c r="F1353" s="0" t="s">
        <v>3890</v>
      </c>
      <c r="G1353" s="0" t="s">
        <v>3877</v>
      </c>
    </row>
    <row r="1354" customFormat="false" ht="15" hidden="false" customHeight="false" outlineLevel="0" collapsed="false">
      <c r="A1354" s="0" t="s">
        <v>109</v>
      </c>
      <c r="B1354" s="0" t="n">
        <v>2022</v>
      </c>
      <c r="C1354" s="0" t="s">
        <v>920</v>
      </c>
      <c r="D1354" s="0" t="s">
        <v>3879</v>
      </c>
      <c r="E1354" s="0" t="s">
        <v>3885</v>
      </c>
      <c r="F1354" s="0" t="s">
        <v>3890</v>
      </c>
      <c r="G1354" s="0" t="s">
        <v>3877</v>
      </c>
    </row>
    <row r="1355" customFormat="false" ht="15" hidden="false" customHeight="false" outlineLevel="0" collapsed="false">
      <c r="A1355" s="0" t="s">
        <v>86</v>
      </c>
      <c r="B1355" s="0" t="n">
        <v>2015</v>
      </c>
      <c r="C1355" s="0" t="s">
        <v>54</v>
      </c>
      <c r="D1355" s="0" t="n">
        <v>13904</v>
      </c>
      <c r="E1355" s="0" t="s">
        <v>3885</v>
      </c>
      <c r="F1355" s="0" t="s">
        <v>3891</v>
      </c>
      <c r="G1355" s="0" t="s">
        <v>3877</v>
      </c>
    </row>
    <row r="1356" customFormat="false" ht="15" hidden="false" customHeight="false" outlineLevel="0" collapsed="false">
      <c r="A1356" s="0" t="s">
        <v>86</v>
      </c>
      <c r="B1356" s="0" t="n">
        <v>2015</v>
      </c>
      <c r="C1356" s="0" t="s">
        <v>670</v>
      </c>
      <c r="D1356" s="0" t="n">
        <v>146948</v>
      </c>
      <c r="E1356" s="0" t="s">
        <v>3885</v>
      </c>
      <c r="F1356" s="0" t="s">
        <v>3891</v>
      </c>
      <c r="G1356" s="0" t="s">
        <v>3877</v>
      </c>
    </row>
    <row r="1357" customFormat="false" ht="15" hidden="false" customHeight="false" outlineLevel="0" collapsed="false">
      <c r="A1357" s="0" t="s">
        <v>86</v>
      </c>
      <c r="B1357" s="0" t="n">
        <v>2015</v>
      </c>
      <c r="C1357" s="0" t="s">
        <v>55</v>
      </c>
      <c r="D1357" s="0" t="n">
        <v>1231722</v>
      </c>
      <c r="E1357" s="0" t="s">
        <v>3885</v>
      </c>
      <c r="F1357" s="0" t="s">
        <v>3891</v>
      </c>
      <c r="G1357" s="0" t="s">
        <v>3877</v>
      </c>
    </row>
    <row r="1358" customFormat="false" ht="15" hidden="false" customHeight="false" outlineLevel="0" collapsed="false">
      <c r="A1358" s="0" t="s">
        <v>86</v>
      </c>
      <c r="B1358" s="0" t="n">
        <v>2015</v>
      </c>
      <c r="C1358" s="0" t="s">
        <v>60</v>
      </c>
      <c r="D1358" s="0" t="n">
        <v>598978</v>
      </c>
      <c r="E1358" s="0" t="s">
        <v>3885</v>
      </c>
      <c r="F1358" s="0" t="s">
        <v>3891</v>
      </c>
      <c r="G1358" s="0" t="s">
        <v>3877</v>
      </c>
    </row>
    <row r="1359" customFormat="false" ht="15" hidden="false" customHeight="false" outlineLevel="0" collapsed="false">
      <c r="A1359" s="0" t="s">
        <v>86</v>
      </c>
      <c r="B1359" s="0" t="n">
        <v>2015</v>
      </c>
      <c r="C1359" s="0" t="s">
        <v>61</v>
      </c>
      <c r="D1359" s="0" t="n">
        <v>20776</v>
      </c>
      <c r="E1359" s="0" t="s">
        <v>3885</v>
      </c>
      <c r="F1359" s="0" t="s">
        <v>3891</v>
      </c>
      <c r="G1359" s="0" t="s">
        <v>3877</v>
      </c>
    </row>
    <row r="1360" customFormat="false" ht="15" hidden="false" customHeight="false" outlineLevel="0" collapsed="false">
      <c r="A1360" s="0" t="s">
        <v>86</v>
      </c>
      <c r="B1360" s="0" t="n">
        <v>2015</v>
      </c>
      <c r="C1360" s="0" t="s">
        <v>63</v>
      </c>
      <c r="D1360" s="0" t="n">
        <v>5764</v>
      </c>
      <c r="E1360" s="0" t="s">
        <v>3885</v>
      </c>
      <c r="F1360" s="0" t="s">
        <v>3891</v>
      </c>
      <c r="G1360" s="0" t="s">
        <v>3877</v>
      </c>
    </row>
    <row r="1361" customFormat="false" ht="15" hidden="false" customHeight="false" outlineLevel="0" collapsed="false">
      <c r="A1361" s="0" t="s">
        <v>86</v>
      </c>
      <c r="B1361" s="0" t="n">
        <v>2015</v>
      </c>
      <c r="C1361" s="0" t="s">
        <v>266</v>
      </c>
      <c r="D1361" s="0" t="n">
        <v>4.4</v>
      </c>
      <c r="E1361" s="0" t="s">
        <v>3885</v>
      </c>
      <c r="F1361" s="0" t="s">
        <v>3891</v>
      </c>
      <c r="G1361" s="0" t="s">
        <v>3877</v>
      </c>
    </row>
    <row r="1362" customFormat="false" ht="15" hidden="false" customHeight="false" outlineLevel="0" collapsed="false">
      <c r="A1362" s="0" t="s">
        <v>86</v>
      </c>
      <c r="B1362" s="0" t="n">
        <v>2015</v>
      </c>
      <c r="C1362" s="0" t="s">
        <v>69</v>
      </c>
      <c r="D1362" s="0" t="n">
        <v>19</v>
      </c>
      <c r="E1362" s="0" t="s">
        <v>3885</v>
      </c>
      <c r="F1362" s="0" t="s">
        <v>3891</v>
      </c>
      <c r="G1362" s="0" t="s">
        <v>3877</v>
      </c>
    </row>
    <row r="1363" customFormat="false" ht="15" hidden="false" customHeight="false" outlineLevel="0" collapsed="false">
      <c r="A1363" s="0" t="s">
        <v>86</v>
      </c>
      <c r="B1363" s="0" t="n">
        <v>2015</v>
      </c>
      <c r="C1363" s="0" t="s">
        <v>73</v>
      </c>
      <c r="D1363" s="0" t="n">
        <v>0</v>
      </c>
      <c r="E1363" s="0" t="s">
        <v>3885</v>
      </c>
      <c r="F1363" s="0" t="s">
        <v>3891</v>
      </c>
      <c r="G1363" s="0" t="s">
        <v>3877</v>
      </c>
    </row>
    <row r="1364" customFormat="false" ht="15" hidden="false" customHeight="false" outlineLevel="0" collapsed="false">
      <c r="A1364" s="0" t="s">
        <v>86</v>
      </c>
      <c r="B1364" s="0" t="n">
        <v>2015</v>
      </c>
      <c r="C1364" s="0" t="s">
        <v>920</v>
      </c>
      <c r="D1364" s="0" t="s">
        <v>3880</v>
      </c>
      <c r="E1364" s="0" t="s">
        <v>3885</v>
      </c>
      <c r="F1364" s="0" t="s">
        <v>3891</v>
      </c>
      <c r="G1364" s="0" t="s">
        <v>3877</v>
      </c>
    </row>
    <row r="1365" customFormat="false" ht="15" hidden="false" customHeight="false" outlineLevel="0" collapsed="false">
      <c r="A1365" s="0" t="s">
        <v>86</v>
      </c>
      <c r="B1365" s="0" t="n">
        <v>2016</v>
      </c>
      <c r="C1365" s="0" t="s">
        <v>54</v>
      </c>
      <c r="D1365" s="0" t="n">
        <v>9734</v>
      </c>
      <c r="E1365" s="0" t="s">
        <v>3885</v>
      </c>
      <c r="F1365" s="0" t="s">
        <v>3891</v>
      </c>
      <c r="G1365" s="0" t="s">
        <v>3877</v>
      </c>
    </row>
    <row r="1366" customFormat="false" ht="15" hidden="false" customHeight="false" outlineLevel="0" collapsed="false">
      <c r="A1366" s="0" t="s">
        <v>86</v>
      </c>
      <c r="B1366" s="0" t="n">
        <v>2016</v>
      </c>
      <c r="C1366" s="0" t="s">
        <v>670</v>
      </c>
      <c r="D1366" s="0" t="n">
        <v>152021</v>
      </c>
      <c r="E1366" s="0" t="s">
        <v>3885</v>
      </c>
      <c r="F1366" s="0" t="s">
        <v>3891</v>
      </c>
      <c r="G1366" s="0" t="s">
        <v>3877</v>
      </c>
    </row>
    <row r="1367" customFormat="false" ht="15" hidden="false" customHeight="false" outlineLevel="0" collapsed="false">
      <c r="A1367" s="0" t="s">
        <v>86</v>
      </c>
      <c r="B1367" s="0" t="n">
        <v>2016</v>
      </c>
      <c r="C1367" s="0" t="s">
        <v>55</v>
      </c>
      <c r="D1367" s="0" t="n">
        <v>1298141</v>
      </c>
      <c r="E1367" s="0" t="s">
        <v>3885</v>
      </c>
      <c r="F1367" s="0" t="s">
        <v>3891</v>
      </c>
      <c r="G1367" s="0" t="s">
        <v>3877</v>
      </c>
    </row>
    <row r="1368" customFormat="false" ht="15" hidden="false" customHeight="false" outlineLevel="0" collapsed="false">
      <c r="A1368" s="0" t="s">
        <v>86</v>
      </c>
      <c r="B1368" s="0" t="n">
        <v>2016</v>
      </c>
      <c r="C1368" s="0" t="s">
        <v>60</v>
      </c>
      <c r="D1368" s="0" t="n">
        <v>743120</v>
      </c>
      <c r="E1368" s="0" t="s">
        <v>3885</v>
      </c>
      <c r="F1368" s="0" t="s">
        <v>3891</v>
      </c>
      <c r="G1368" s="0" t="s">
        <v>3877</v>
      </c>
    </row>
    <row r="1369" customFormat="false" ht="15" hidden="false" customHeight="false" outlineLevel="0" collapsed="false">
      <c r="A1369" s="0" t="s">
        <v>86</v>
      </c>
      <c r="B1369" s="0" t="n">
        <v>2016</v>
      </c>
      <c r="C1369" s="0" t="s">
        <v>61</v>
      </c>
      <c r="D1369" s="0" t="n">
        <v>24719</v>
      </c>
      <c r="E1369" s="0" t="s">
        <v>3885</v>
      </c>
      <c r="F1369" s="0" t="s">
        <v>3891</v>
      </c>
      <c r="G1369" s="0" t="s">
        <v>3877</v>
      </c>
    </row>
    <row r="1370" customFormat="false" ht="15" hidden="false" customHeight="false" outlineLevel="0" collapsed="false">
      <c r="A1370" s="0" t="s">
        <v>86</v>
      </c>
      <c r="B1370" s="0" t="n">
        <v>2016</v>
      </c>
      <c r="C1370" s="0" t="s">
        <v>63</v>
      </c>
      <c r="D1370" s="0" t="n">
        <v>8671</v>
      </c>
      <c r="E1370" s="0" t="s">
        <v>3885</v>
      </c>
      <c r="F1370" s="0" t="s">
        <v>3891</v>
      </c>
      <c r="G1370" s="0" t="s">
        <v>3877</v>
      </c>
    </row>
    <row r="1371" customFormat="false" ht="15" hidden="false" customHeight="false" outlineLevel="0" collapsed="false">
      <c r="A1371" s="0" t="s">
        <v>86</v>
      </c>
      <c r="B1371" s="0" t="n">
        <v>2016</v>
      </c>
      <c r="C1371" s="0" t="s">
        <v>266</v>
      </c>
      <c r="D1371" s="0" t="n">
        <v>6.6</v>
      </c>
      <c r="E1371" s="0" t="s">
        <v>3885</v>
      </c>
      <c r="F1371" s="0" t="s">
        <v>3891</v>
      </c>
      <c r="G1371" s="0" t="s">
        <v>3877</v>
      </c>
    </row>
    <row r="1372" customFormat="false" ht="15" hidden="false" customHeight="false" outlineLevel="0" collapsed="false">
      <c r="A1372" s="0" t="s">
        <v>86</v>
      </c>
      <c r="B1372" s="0" t="n">
        <v>2016</v>
      </c>
      <c r="C1372" s="0" t="s">
        <v>69</v>
      </c>
      <c r="D1372" s="0" t="n">
        <v>17.2</v>
      </c>
      <c r="E1372" s="0" t="s">
        <v>3885</v>
      </c>
      <c r="F1372" s="0" t="s">
        <v>3891</v>
      </c>
      <c r="G1372" s="0" t="s">
        <v>3877</v>
      </c>
    </row>
    <row r="1373" customFormat="false" ht="15" hidden="false" customHeight="false" outlineLevel="0" collapsed="false">
      <c r="A1373" s="0" t="s">
        <v>86</v>
      </c>
      <c r="B1373" s="0" t="n">
        <v>2016</v>
      </c>
      <c r="C1373" s="0" t="s">
        <v>73</v>
      </c>
      <c r="D1373" s="0" t="n">
        <v>0</v>
      </c>
      <c r="E1373" s="0" t="s">
        <v>3885</v>
      </c>
      <c r="F1373" s="0" t="s">
        <v>3891</v>
      </c>
      <c r="G1373" s="0" t="s">
        <v>3877</v>
      </c>
    </row>
    <row r="1374" customFormat="false" ht="15" hidden="false" customHeight="false" outlineLevel="0" collapsed="false">
      <c r="A1374" s="0" t="s">
        <v>86</v>
      </c>
      <c r="B1374" s="0" t="n">
        <v>2016</v>
      </c>
      <c r="C1374" s="0" t="s">
        <v>920</v>
      </c>
      <c r="D1374" s="0" t="s">
        <v>3880</v>
      </c>
      <c r="E1374" s="0" t="s">
        <v>3885</v>
      </c>
      <c r="F1374" s="0" t="s">
        <v>3891</v>
      </c>
      <c r="G1374" s="0" t="s">
        <v>3877</v>
      </c>
    </row>
    <row r="1375" customFormat="false" ht="15" hidden="false" customHeight="false" outlineLevel="0" collapsed="false">
      <c r="A1375" s="0" t="s">
        <v>86</v>
      </c>
      <c r="B1375" s="0" t="n">
        <v>2017</v>
      </c>
      <c r="C1375" s="0" t="s">
        <v>54</v>
      </c>
      <c r="D1375" s="0" t="n">
        <v>17768</v>
      </c>
      <c r="E1375" s="0" t="s">
        <v>3885</v>
      </c>
      <c r="F1375" s="0" t="s">
        <v>3891</v>
      </c>
      <c r="G1375" s="0" t="s">
        <v>3877</v>
      </c>
    </row>
    <row r="1376" customFormat="false" ht="15" hidden="false" customHeight="false" outlineLevel="0" collapsed="false">
      <c r="A1376" s="0" t="s">
        <v>86</v>
      </c>
      <c r="B1376" s="0" t="n">
        <v>2017</v>
      </c>
      <c r="C1376" s="0" t="s">
        <v>670</v>
      </c>
      <c r="D1376" s="0" t="n">
        <v>180244</v>
      </c>
      <c r="E1376" s="0" t="s">
        <v>3885</v>
      </c>
      <c r="F1376" s="0" t="s">
        <v>3891</v>
      </c>
      <c r="G1376" s="0" t="s">
        <v>3877</v>
      </c>
    </row>
    <row r="1377" customFormat="false" ht="15" hidden="false" customHeight="false" outlineLevel="0" collapsed="false">
      <c r="A1377" s="0" t="s">
        <v>86</v>
      </c>
      <c r="B1377" s="0" t="n">
        <v>2017</v>
      </c>
      <c r="C1377" s="0" t="s">
        <v>55</v>
      </c>
      <c r="D1377" s="0" t="n">
        <v>1379214</v>
      </c>
      <c r="E1377" s="0" t="s">
        <v>3885</v>
      </c>
      <c r="F1377" s="0" t="s">
        <v>3891</v>
      </c>
      <c r="G1377" s="0" t="s">
        <v>3877</v>
      </c>
    </row>
    <row r="1378" customFormat="false" ht="15" hidden="false" customHeight="false" outlineLevel="0" collapsed="false">
      <c r="A1378" s="0" t="s">
        <v>86</v>
      </c>
      <c r="B1378" s="0" t="n">
        <v>2017</v>
      </c>
      <c r="C1378" s="0" t="s">
        <v>60</v>
      </c>
      <c r="D1378" s="0" t="n">
        <v>795315</v>
      </c>
      <c r="E1378" s="0" t="s">
        <v>3885</v>
      </c>
      <c r="F1378" s="0" t="s">
        <v>3891</v>
      </c>
      <c r="G1378" s="0" t="s">
        <v>3877</v>
      </c>
    </row>
    <row r="1379" customFormat="false" ht="15" hidden="false" customHeight="false" outlineLevel="0" collapsed="false">
      <c r="A1379" s="0" t="s">
        <v>86</v>
      </c>
      <c r="B1379" s="0" t="n">
        <v>2017</v>
      </c>
      <c r="C1379" s="0" t="s">
        <v>61</v>
      </c>
      <c r="D1379" s="0" t="n">
        <v>26578</v>
      </c>
      <c r="E1379" s="0" t="s">
        <v>3885</v>
      </c>
      <c r="F1379" s="0" t="s">
        <v>3891</v>
      </c>
      <c r="G1379" s="0" t="s">
        <v>3877</v>
      </c>
    </row>
    <row r="1380" customFormat="false" ht="15" hidden="false" customHeight="false" outlineLevel="0" collapsed="false">
      <c r="A1380" s="0" t="s">
        <v>86</v>
      </c>
      <c r="B1380" s="0" t="n">
        <v>2017</v>
      </c>
      <c r="C1380" s="0" t="s">
        <v>63</v>
      </c>
      <c r="D1380" s="0" t="n">
        <v>11315</v>
      </c>
      <c r="E1380" s="0" t="s">
        <v>3885</v>
      </c>
      <c r="F1380" s="0" t="s">
        <v>3891</v>
      </c>
      <c r="G1380" s="0" t="s">
        <v>3877</v>
      </c>
    </row>
    <row r="1381" customFormat="false" ht="15" hidden="false" customHeight="false" outlineLevel="0" collapsed="false">
      <c r="A1381" s="0" t="s">
        <v>86</v>
      </c>
      <c r="B1381" s="0" t="n">
        <v>2017</v>
      </c>
      <c r="C1381" s="0" t="s">
        <v>266</v>
      </c>
      <c r="D1381" s="0" t="n">
        <v>6.4</v>
      </c>
      <c r="E1381" s="0" t="s">
        <v>3885</v>
      </c>
      <c r="F1381" s="0" t="s">
        <v>3891</v>
      </c>
      <c r="G1381" s="0" t="s">
        <v>3877</v>
      </c>
    </row>
    <row r="1382" customFormat="false" ht="15" hidden="false" customHeight="false" outlineLevel="0" collapsed="false">
      <c r="A1382" s="0" t="s">
        <v>86</v>
      </c>
      <c r="B1382" s="0" t="n">
        <v>2017</v>
      </c>
      <c r="C1382" s="0" t="s">
        <v>69</v>
      </c>
      <c r="D1382" s="0" t="n">
        <v>16.03</v>
      </c>
      <c r="E1382" s="0" t="s">
        <v>3885</v>
      </c>
      <c r="F1382" s="0" t="s">
        <v>3891</v>
      </c>
      <c r="G1382" s="0" t="s">
        <v>3877</v>
      </c>
    </row>
    <row r="1383" customFormat="false" ht="15" hidden="false" customHeight="false" outlineLevel="0" collapsed="false">
      <c r="A1383" s="0" t="s">
        <v>86</v>
      </c>
      <c r="B1383" s="0" t="n">
        <v>2017</v>
      </c>
      <c r="C1383" s="0" t="s">
        <v>73</v>
      </c>
      <c r="D1383" s="0" t="n">
        <v>0</v>
      </c>
      <c r="E1383" s="0" t="s">
        <v>3885</v>
      </c>
      <c r="F1383" s="0" t="s">
        <v>3891</v>
      </c>
      <c r="G1383" s="0" t="s">
        <v>3877</v>
      </c>
    </row>
    <row r="1384" customFormat="false" ht="15" hidden="false" customHeight="false" outlineLevel="0" collapsed="false">
      <c r="A1384" s="0" t="s">
        <v>86</v>
      </c>
      <c r="B1384" s="0" t="n">
        <v>2017</v>
      </c>
      <c r="C1384" s="0" t="s">
        <v>920</v>
      </c>
      <c r="D1384" s="0" t="s">
        <v>3881</v>
      </c>
      <c r="E1384" s="0" t="s">
        <v>3885</v>
      </c>
      <c r="F1384" s="0" t="s">
        <v>3891</v>
      </c>
      <c r="G1384" s="0" t="s">
        <v>3877</v>
      </c>
    </row>
    <row r="1385" customFormat="false" ht="15" hidden="false" customHeight="false" outlineLevel="0" collapsed="false">
      <c r="A1385" s="0" t="s">
        <v>86</v>
      </c>
      <c r="B1385" s="0" t="n">
        <v>2018</v>
      </c>
      <c r="C1385" s="0" t="s">
        <v>54</v>
      </c>
      <c r="D1385" s="0" t="n">
        <v>22926</v>
      </c>
      <c r="E1385" s="0" t="s">
        <v>3885</v>
      </c>
      <c r="F1385" s="0" t="s">
        <v>3891</v>
      </c>
      <c r="G1385" s="0" t="s">
        <v>3877</v>
      </c>
    </row>
    <row r="1386" customFormat="false" ht="15" hidden="false" customHeight="false" outlineLevel="0" collapsed="false">
      <c r="A1386" s="0" t="s">
        <v>86</v>
      </c>
      <c r="B1386" s="0" t="n">
        <v>2018</v>
      </c>
      <c r="C1386" s="0" t="s">
        <v>670</v>
      </c>
      <c r="D1386" s="0" t="n">
        <v>188873</v>
      </c>
      <c r="E1386" s="0" t="s">
        <v>3885</v>
      </c>
      <c r="F1386" s="0" t="s">
        <v>3891</v>
      </c>
      <c r="G1386" s="0" t="s">
        <v>3877</v>
      </c>
    </row>
    <row r="1387" customFormat="false" ht="15" hidden="false" customHeight="false" outlineLevel="0" collapsed="false">
      <c r="A1387" s="0" t="s">
        <v>86</v>
      </c>
      <c r="B1387" s="0" t="n">
        <v>2018</v>
      </c>
      <c r="C1387" s="0" t="s">
        <v>55</v>
      </c>
      <c r="D1387" s="0" t="n">
        <v>1719883</v>
      </c>
      <c r="E1387" s="0" t="s">
        <v>3885</v>
      </c>
      <c r="F1387" s="0" t="s">
        <v>3891</v>
      </c>
      <c r="G1387" s="0" t="s">
        <v>3877</v>
      </c>
    </row>
    <row r="1388" customFormat="false" ht="15" hidden="false" customHeight="false" outlineLevel="0" collapsed="false">
      <c r="A1388" s="0" t="s">
        <v>86</v>
      </c>
      <c r="B1388" s="0" t="n">
        <v>2018</v>
      </c>
      <c r="C1388" s="0" t="s">
        <v>60</v>
      </c>
      <c r="D1388" s="0" t="n">
        <v>906623</v>
      </c>
      <c r="E1388" s="0" t="s">
        <v>3885</v>
      </c>
      <c r="F1388" s="0" t="s">
        <v>3891</v>
      </c>
      <c r="G1388" s="0" t="s">
        <v>3877</v>
      </c>
    </row>
    <row r="1389" customFormat="false" ht="15" hidden="false" customHeight="false" outlineLevel="0" collapsed="false">
      <c r="A1389" s="0" t="s">
        <v>86</v>
      </c>
      <c r="B1389" s="0" t="n">
        <v>2018</v>
      </c>
      <c r="C1389" s="0" t="s">
        <v>61</v>
      </c>
      <c r="D1389" s="0" t="n">
        <v>56743</v>
      </c>
      <c r="E1389" s="0" t="s">
        <v>3885</v>
      </c>
      <c r="F1389" s="0" t="s">
        <v>3891</v>
      </c>
      <c r="G1389" s="0" t="s">
        <v>3877</v>
      </c>
    </row>
    <row r="1390" customFormat="false" ht="15" hidden="false" customHeight="false" outlineLevel="0" collapsed="false">
      <c r="A1390" s="0" t="s">
        <v>86</v>
      </c>
      <c r="B1390" s="0" t="n">
        <v>2018</v>
      </c>
      <c r="C1390" s="0" t="s">
        <v>63</v>
      </c>
      <c r="D1390" s="0" t="n">
        <v>4215</v>
      </c>
      <c r="E1390" s="0" t="s">
        <v>3885</v>
      </c>
      <c r="F1390" s="0" t="s">
        <v>3891</v>
      </c>
      <c r="G1390" s="0" t="s">
        <v>3877</v>
      </c>
    </row>
    <row r="1391" customFormat="false" ht="15" hidden="false" customHeight="false" outlineLevel="0" collapsed="false">
      <c r="A1391" s="0" t="s">
        <v>86</v>
      </c>
      <c r="B1391" s="0" t="n">
        <v>2018</v>
      </c>
      <c r="C1391" s="0" t="s">
        <v>266</v>
      </c>
      <c r="D1391" s="0" t="n">
        <v>5.7</v>
      </c>
      <c r="E1391" s="0" t="s">
        <v>3885</v>
      </c>
      <c r="F1391" s="0" t="s">
        <v>3891</v>
      </c>
      <c r="G1391" s="0" t="s">
        <v>3877</v>
      </c>
    </row>
    <row r="1392" customFormat="false" ht="15" hidden="false" customHeight="false" outlineLevel="0" collapsed="false">
      <c r="A1392" s="0" t="s">
        <v>86</v>
      </c>
      <c r="B1392" s="0" t="n">
        <v>2018</v>
      </c>
      <c r="C1392" s="0" t="s">
        <v>69</v>
      </c>
      <c r="D1392" s="0" t="n">
        <v>16.7</v>
      </c>
      <c r="E1392" s="0" t="s">
        <v>3885</v>
      </c>
      <c r="F1392" s="0" t="s">
        <v>3891</v>
      </c>
      <c r="G1392" s="0" t="s">
        <v>3877</v>
      </c>
    </row>
    <row r="1393" customFormat="false" ht="15" hidden="false" customHeight="false" outlineLevel="0" collapsed="false">
      <c r="A1393" s="0" t="s">
        <v>86</v>
      </c>
      <c r="B1393" s="0" t="n">
        <v>2018</v>
      </c>
      <c r="C1393" s="0" t="s">
        <v>73</v>
      </c>
      <c r="D1393" s="0" t="n">
        <v>0</v>
      </c>
      <c r="E1393" s="0" t="s">
        <v>3885</v>
      </c>
      <c r="F1393" s="0" t="s">
        <v>3891</v>
      </c>
      <c r="G1393" s="0" t="s">
        <v>3877</v>
      </c>
    </row>
    <row r="1394" customFormat="false" ht="15" hidden="false" customHeight="false" outlineLevel="0" collapsed="false">
      <c r="A1394" s="0" t="s">
        <v>86</v>
      </c>
      <c r="B1394" s="0" t="n">
        <v>2018</v>
      </c>
      <c r="C1394" s="0" t="s">
        <v>920</v>
      </c>
      <c r="D1394" s="0" t="s">
        <v>976</v>
      </c>
      <c r="E1394" s="0" t="s">
        <v>3885</v>
      </c>
      <c r="F1394" s="0" t="s">
        <v>3891</v>
      </c>
      <c r="G1394" s="0" t="s">
        <v>3877</v>
      </c>
    </row>
    <row r="1395" customFormat="false" ht="15" hidden="false" customHeight="false" outlineLevel="0" collapsed="false">
      <c r="A1395" s="0" t="s">
        <v>86</v>
      </c>
      <c r="B1395" s="0" t="n">
        <v>2019</v>
      </c>
      <c r="C1395" s="0" t="s">
        <v>54</v>
      </c>
      <c r="D1395" s="0" t="n">
        <v>28425</v>
      </c>
      <c r="E1395" s="0" t="s">
        <v>3885</v>
      </c>
      <c r="F1395" s="0" t="s">
        <v>3891</v>
      </c>
      <c r="G1395" s="0" t="s">
        <v>3877</v>
      </c>
    </row>
    <row r="1396" customFormat="false" ht="15" hidden="false" customHeight="false" outlineLevel="0" collapsed="false">
      <c r="A1396" s="0" t="s">
        <v>86</v>
      </c>
      <c r="B1396" s="0" t="n">
        <v>2019</v>
      </c>
      <c r="C1396" s="0" t="s">
        <v>670</v>
      </c>
      <c r="D1396" s="0" t="n">
        <v>218011</v>
      </c>
      <c r="E1396" s="0" t="s">
        <v>3885</v>
      </c>
      <c r="F1396" s="0" t="s">
        <v>3891</v>
      </c>
      <c r="G1396" s="0" t="s">
        <v>3877</v>
      </c>
    </row>
    <row r="1397" customFormat="false" ht="15" hidden="false" customHeight="false" outlineLevel="0" collapsed="false">
      <c r="A1397" s="0" t="s">
        <v>86</v>
      </c>
      <c r="B1397" s="0" t="n">
        <v>2019</v>
      </c>
      <c r="C1397" s="0" t="s">
        <v>55</v>
      </c>
      <c r="D1397" s="0" t="n">
        <v>2114037</v>
      </c>
      <c r="E1397" s="0" t="s">
        <v>3885</v>
      </c>
      <c r="F1397" s="0" t="s">
        <v>3891</v>
      </c>
      <c r="G1397" s="0" t="s">
        <v>3877</v>
      </c>
    </row>
    <row r="1398" customFormat="false" ht="15" hidden="false" customHeight="false" outlineLevel="0" collapsed="false">
      <c r="A1398" s="0" t="s">
        <v>86</v>
      </c>
      <c r="B1398" s="0" t="n">
        <v>2019</v>
      </c>
      <c r="C1398" s="0" t="s">
        <v>60</v>
      </c>
      <c r="D1398" s="0" t="n">
        <v>1178389</v>
      </c>
      <c r="E1398" s="0" t="s">
        <v>3885</v>
      </c>
      <c r="F1398" s="0" t="s">
        <v>3891</v>
      </c>
      <c r="G1398" s="0" t="s">
        <v>3877</v>
      </c>
    </row>
    <row r="1399" customFormat="false" ht="15" hidden="false" customHeight="false" outlineLevel="0" collapsed="false">
      <c r="A1399" s="0" t="s">
        <v>86</v>
      </c>
      <c r="B1399" s="0" t="n">
        <v>2019</v>
      </c>
      <c r="C1399" s="0" t="s">
        <v>61</v>
      </c>
      <c r="D1399" s="0" t="n">
        <v>51415</v>
      </c>
      <c r="E1399" s="0" t="s">
        <v>3885</v>
      </c>
      <c r="F1399" s="0" t="s">
        <v>3891</v>
      </c>
      <c r="G1399" s="0" t="s">
        <v>3877</v>
      </c>
    </row>
    <row r="1400" customFormat="false" ht="15" hidden="false" customHeight="false" outlineLevel="0" collapsed="false">
      <c r="A1400" s="0" t="s">
        <v>86</v>
      </c>
      <c r="B1400" s="0" t="n">
        <v>2019</v>
      </c>
      <c r="C1400" s="0" t="s">
        <v>266</v>
      </c>
      <c r="D1400" s="0" t="n">
        <v>3.3</v>
      </c>
      <c r="E1400" s="0" t="s">
        <v>3885</v>
      </c>
      <c r="F1400" s="0" t="s">
        <v>3891</v>
      </c>
      <c r="G1400" s="0" t="s">
        <v>3877</v>
      </c>
    </row>
    <row r="1401" customFormat="false" ht="15" hidden="false" customHeight="false" outlineLevel="0" collapsed="false">
      <c r="A1401" s="0" t="s">
        <v>86</v>
      </c>
      <c r="B1401" s="0" t="n">
        <v>2019</v>
      </c>
      <c r="C1401" s="0" t="s">
        <v>69</v>
      </c>
      <c r="D1401" s="0" t="n">
        <v>18.3</v>
      </c>
      <c r="E1401" s="0" t="s">
        <v>3885</v>
      </c>
      <c r="F1401" s="0" t="s">
        <v>3891</v>
      </c>
      <c r="G1401" s="0" t="s">
        <v>3877</v>
      </c>
    </row>
    <row r="1402" customFormat="false" ht="15" hidden="false" customHeight="false" outlineLevel="0" collapsed="false">
      <c r="A1402" s="0" t="s">
        <v>86</v>
      </c>
      <c r="B1402" s="0" t="n">
        <v>2019</v>
      </c>
      <c r="C1402" s="0" t="s">
        <v>73</v>
      </c>
      <c r="D1402" s="0" t="n">
        <v>0</v>
      </c>
      <c r="E1402" s="0" t="s">
        <v>3885</v>
      </c>
      <c r="F1402" s="0" t="s">
        <v>3891</v>
      </c>
      <c r="G1402" s="0" t="s">
        <v>3877</v>
      </c>
    </row>
    <row r="1403" customFormat="false" ht="15" hidden="false" customHeight="false" outlineLevel="0" collapsed="false">
      <c r="A1403" s="0" t="s">
        <v>86</v>
      </c>
      <c r="B1403" s="0" t="n">
        <v>2019</v>
      </c>
      <c r="C1403" s="0" t="s">
        <v>920</v>
      </c>
      <c r="D1403" s="0" t="s">
        <v>976</v>
      </c>
      <c r="E1403" s="0" t="s">
        <v>3885</v>
      </c>
      <c r="F1403" s="0" t="s">
        <v>3891</v>
      </c>
      <c r="G1403" s="0" t="s">
        <v>3877</v>
      </c>
    </row>
    <row r="1404" customFormat="false" ht="15" hidden="false" customHeight="false" outlineLevel="0" collapsed="false">
      <c r="A1404" s="0" t="s">
        <v>86</v>
      </c>
      <c r="B1404" s="0" t="n">
        <v>2020</v>
      </c>
      <c r="C1404" s="0" t="s">
        <v>54</v>
      </c>
      <c r="D1404" s="0" t="n">
        <v>26650</v>
      </c>
      <c r="E1404" s="0" t="s">
        <v>3885</v>
      </c>
      <c r="F1404" s="0" t="s">
        <v>3891</v>
      </c>
      <c r="G1404" s="0" t="s">
        <v>3877</v>
      </c>
    </row>
    <row r="1405" customFormat="false" ht="15" hidden="false" customHeight="false" outlineLevel="0" collapsed="false">
      <c r="A1405" s="0" t="s">
        <v>86</v>
      </c>
      <c r="B1405" s="0" t="n">
        <v>2020</v>
      </c>
      <c r="C1405" s="0" t="s">
        <v>670</v>
      </c>
      <c r="D1405" s="0" t="n">
        <v>206204</v>
      </c>
      <c r="E1405" s="0" t="s">
        <v>3885</v>
      </c>
      <c r="F1405" s="0" t="s">
        <v>3891</v>
      </c>
      <c r="G1405" s="0" t="s">
        <v>3877</v>
      </c>
    </row>
    <row r="1406" customFormat="false" ht="15" hidden="false" customHeight="false" outlineLevel="0" collapsed="false">
      <c r="A1406" s="0" t="s">
        <v>86</v>
      </c>
      <c r="B1406" s="0" t="n">
        <v>2020</v>
      </c>
      <c r="C1406" s="0" t="s">
        <v>55</v>
      </c>
      <c r="D1406" s="0" t="n">
        <v>2758148</v>
      </c>
      <c r="E1406" s="0" t="s">
        <v>3885</v>
      </c>
      <c r="F1406" s="0" t="s">
        <v>3891</v>
      </c>
      <c r="G1406" s="0" t="s">
        <v>3877</v>
      </c>
    </row>
    <row r="1407" customFormat="false" ht="15" hidden="false" customHeight="false" outlineLevel="0" collapsed="false">
      <c r="A1407" s="0" t="s">
        <v>86</v>
      </c>
      <c r="B1407" s="0" t="n">
        <v>2020</v>
      </c>
      <c r="C1407" s="0" t="s">
        <v>60</v>
      </c>
      <c r="D1407" s="0" t="n">
        <v>1393624</v>
      </c>
      <c r="E1407" s="0" t="s">
        <v>3885</v>
      </c>
      <c r="F1407" s="0" t="s">
        <v>3891</v>
      </c>
      <c r="G1407" s="0" t="s">
        <v>3877</v>
      </c>
    </row>
    <row r="1408" customFormat="false" ht="15" hidden="false" customHeight="false" outlineLevel="0" collapsed="false">
      <c r="A1408" s="0" t="s">
        <v>86</v>
      </c>
      <c r="B1408" s="0" t="n">
        <v>2020</v>
      </c>
      <c r="C1408" s="0" t="s">
        <v>61</v>
      </c>
      <c r="D1408" s="0" t="n">
        <v>67518</v>
      </c>
      <c r="E1408" s="0" t="s">
        <v>3885</v>
      </c>
      <c r="F1408" s="0" t="s">
        <v>3891</v>
      </c>
      <c r="G1408" s="0" t="s">
        <v>3877</v>
      </c>
    </row>
    <row r="1409" customFormat="false" ht="15" hidden="false" customHeight="false" outlineLevel="0" collapsed="false">
      <c r="A1409" s="0" t="s">
        <v>86</v>
      </c>
      <c r="B1409" s="0" t="n">
        <v>2020</v>
      </c>
      <c r="C1409" s="0" t="s">
        <v>63</v>
      </c>
      <c r="D1409" s="0" t="n">
        <v>16858</v>
      </c>
      <c r="E1409" s="0" t="s">
        <v>3885</v>
      </c>
      <c r="F1409" s="0" t="s">
        <v>3891</v>
      </c>
      <c r="G1409" s="0" t="s">
        <v>3877</v>
      </c>
    </row>
    <row r="1410" customFormat="false" ht="15" hidden="false" customHeight="false" outlineLevel="0" collapsed="false">
      <c r="A1410" s="0" t="s">
        <v>86</v>
      </c>
      <c r="B1410" s="0" t="n">
        <v>2020</v>
      </c>
      <c r="C1410" s="0" t="s">
        <v>266</v>
      </c>
      <c r="D1410" s="0" t="n">
        <v>3.8</v>
      </c>
      <c r="E1410" s="0" t="s">
        <v>3885</v>
      </c>
      <c r="F1410" s="0" t="s">
        <v>3891</v>
      </c>
      <c r="G1410" s="0" t="s">
        <v>3877</v>
      </c>
    </row>
    <row r="1411" customFormat="false" ht="15" hidden="false" customHeight="false" outlineLevel="0" collapsed="false">
      <c r="A1411" s="0" t="s">
        <v>86</v>
      </c>
      <c r="B1411" s="0" t="n">
        <v>2020</v>
      </c>
      <c r="C1411" s="0" t="s">
        <v>69</v>
      </c>
      <c r="D1411" s="0" t="n">
        <v>18.2</v>
      </c>
      <c r="E1411" s="0" t="s">
        <v>3885</v>
      </c>
      <c r="F1411" s="0" t="s">
        <v>3891</v>
      </c>
      <c r="G1411" s="0" t="s">
        <v>3877</v>
      </c>
    </row>
    <row r="1412" customFormat="false" ht="15" hidden="false" customHeight="false" outlineLevel="0" collapsed="false">
      <c r="A1412" s="0" t="s">
        <v>86</v>
      </c>
      <c r="B1412" s="0" t="n">
        <v>2020</v>
      </c>
      <c r="C1412" s="0" t="s">
        <v>73</v>
      </c>
      <c r="D1412" s="0" t="n">
        <v>0</v>
      </c>
      <c r="E1412" s="0" t="s">
        <v>3885</v>
      </c>
      <c r="F1412" s="0" t="s">
        <v>3891</v>
      </c>
      <c r="G1412" s="0" t="s">
        <v>3877</v>
      </c>
    </row>
    <row r="1413" customFormat="false" ht="15" hidden="false" customHeight="false" outlineLevel="0" collapsed="false">
      <c r="A1413" s="0" t="s">
        <v>86</v>
      </c>
      <c r="B1413" s="0" t="n">
        <v>2020</v>
      </c>
      <c r="C1413" s="0" t="s">
        <v>920</v>
      </c>
      <c r="D1413" s="0" t="s">
        <v>976</v>
      </c>
      <c r="E1413" s="0" t="s">
        <v>3885</v>
      </c>
      <c r="F1413" s="0" t="s">
        <v>3891</v>
      </c>
      <c r="G1413" s="0" t="s">
        <v>3877</v>
      </c>
    </row>
    <row r="1414" customFormat="false" ht="15" hidden="false" customHeight="false" outlineLevel="0" collapsed="false">
      <c r="A1414" s="0" t="s">
        <v>86</v>
      </c>
      <c r="B1414" s="0" t="n">
        <v>2021</v>
      </c>
      <c r="C1414" s="0" t="s">
        <v>54</v>
      </c>
      <c r="D1414" s="0" t="n">
        <v>23104</v>
      </c>
      <c r="E1414" s="0" t="s">
        <v>3885</v>
      </c>
      <c r="F1414" s="0" t="s">
        <v>3891</v>
      </c>
      <c r="G1414" s="0" t="s">
        <v>3877</v>
      </c>
    </row>
    <row r="1415" customFormat="false" ht="15" hidden="false" customHeight="false" outlineLevel="0" collapsed="false">
      <c r="A1415" s="0" t="s">
        <v>86</v>
      </c>
      <c r="B1415" s="0" t="n">
        <v>2021</v>
      </c>
      <c r="C1415" s="0" t="s">
        <v>670</v>
      </c>
      <c r="D1415" s="0" t="n">
        <v>250776</v>
      </c>
      <c r="E1415" s="0" t="s">
        <v>3885</v>
      </c>
      <c r="F1415" s="0" t="s">
        <v>3891</v>
      </c>
      <c r="G1415" s="0" t="s">
        <v>3877</v>
      </c>
    </row>
    <row r="1416" customFormat="false" ht="15" hidden="false" customHeight="false" outlineLevel="0" collapsed="false">
      <c r="A1416" s="0" t="s">
        <v>86</v>
      </c>
      <c r="B1416" s="0" t="n">
        <v>2021</v>
      </c>
      <c r="C1416" s="0" t="s">
        <v>55</v>
      </c>
      <c r="D1416" s="0" t="n">
        <v>3280454</v>
      </c>
      <c r="E1416" s="0" t="s">
        <v>3885</v>
      </c>
      <c r="F1416" s="0" t="s">
        <v>3891</v>
      </c>
      <c r="G1416" s="0" t="s">
        <v>3877</v>
      </c>
    </row>
    <row r="1417" customFormat="false" ht="15" hidden="false" customHeight="false" outlineLevel="0" collapsed="false">
      <c r="A1417" s="0" t="s">
        <v>86</v>
      </c>
      <c r="B1417" s="0" t="n">
        <v>2021</v>
      </c>
      <c r="C1417" s="0" t="s">
        <v>60</v>
      </c>
      <c r="D1417" s="0" t="n">
        <v>1732543</v>
      </c>
      <c r="E1417" s="0" t="s">
        <v>3885</v>
      </c>
      <c r="F1417" s="0" t="s">
        <v>3891</v>
      </c>
      <c r="G1417" s="0" t="s">
        <v>3877</v>
      </c>
    </row>
    <row r="1418" customFormat="false" ht="15" hidden="false" customHeight="false" outlineLevel="0" collapsed="false">
      <c r="A1418" s="0" t="s">
        <v>86</v>
      </c>
      <c r="B1418" s="0" t="n">
        <v>2021</v>
      </c>
      <c r="C1418" s="0" t="s">
        <v>61</v>
      </c>
      <c r="D1418" s="0" t="n">
        <v>74131</v>
      </c>
      <c r="E1418" s="0" t="s">
        <v>3885</v>
      </c>
      <c r="F1418" s="0" t="s">
        <v>3891</v>
      </c>
      <c r="G1418" s="0" t="s">
        <v>3877</v>
      </c>
    </row>
    <row r="1419" customFormat="false" ht="15" hidden="false" customHeight="false" outlineLevel="0" collapsed="false">
      <c r="A1419" s="0" t="s">
        <v>86</v>
      </c>
      <c r="B1419" s="0" t="n">
        <v>2021</v>
      </c>
      <c r="C1419" s="0" t="s">
        <v>63</v>
      </c>
      <c r="D1419" s="0" t="n">
        <v>7034</v>
      </c>
      <c r="E1419" s="0" t="s">
        <v>3885</v>
      </c>
      <c r="F1419" s="0" t="s">
        <v>3891</v>
      </c>
      <c r="G1419" s="0" t="s">
        <v>3877</v>
      </c>
    </row>
    <row r="1420" customFormat="false" ht="15" hidden="false" customHeight="false" outlineLevel="0" collapsed="false">
      <c r="A1420" s="0" t="s">
        <v>86</v>
      </c>
      <c r="B1420" s="0" t="n">
        <v>2021</v>
      </c>
      <c r="C1420" s="0" t="s">
        <v>266</v>
      </c>
      <c r="D1420" s="0" t="n">
        <v>2.9</v>
      </c>
      <c r="E1420" s="0" t="s">
        <v>3885</v>
      </c>
      <c r="F1420" s="0" t="s">
        <v>3891</v>
      </c>
      <c r="G1420" s="0" t="s">
        <v>3877</v>
      </c>
    </row>
    <row r="1421" customFormat="false" ht="15" hidden="false" customHeight="false" outlineLevel="0" collapsed="false">
      <c r="A1421" s="0" t="s">
        <v>86</v>
      </c>
      <c r="B1421" s="0" t="n">
        <v>2021</v>
      </c>
      <c r="C1421" s="0" t="s">
        <v>69</v>
      </c>
      <c r="D1421" s="0" t="n">
        <v>19.15</v>
      </c>
      <c r="E1421" s="0" t="s">
        <v>3885</v>
      </c>
      <c r="F1421" s="0" t="s">
        <v>3891</v>
      </c>
      <c r="G1421" s="0" t="s">
        <v>3877</v>
      </c>
    </row>
    <row r="1422" customFormat="false" ht="15" hidden="false" customHeight="false" outlineLevel="0" collapsed="false">
      <c r="A1422" s="0" t="s">
        <v>86</v>
      </c>
      <c r="B1422" s="0" t="n">
        <v>2021</v>
      </c>
      <c r="C1422" s="0" t="s">
        <v>73</v>
      </c>
      <c r="D1422" s="0" t="n">
        <v>0</v>
      </c>
      <c r="E1422" s="0" t="s">
        <v>3885</v>
      </c>
      <c r="F1422" s="0" t="s">
        <v>3891</v>
      </c>
      <c r="G1422" s="0" t="s">
        <v>3877</v>
      </c>
    </row>
    <row r="1423" customFormat="false" ht="15" hidden="false" customHeight="false" outlineLevel="0" collapsed="false">
      <c r="A1423" s="0" t="s">
        <v>86</v>
      </c>
      <c r="B1423" s="0" t="n">
        <v>2021</v>
      </c>
      <c r="C1423" s="0" t="s">
        <v>920</v>
      </c>
      <c r="D1423" s="0" t="s">
        <v>994</v>
      </c>
      <c r="E1423" s="0" t="s">
        <v>3885</v>
      </c>
      <c r="F1423" s="0" t="s">
        <v>3891</v>
      </c>
      <c r="G1423" s="0" t="s">
        <v>3877</v>
      </c>
    </row>
    <row r="1424" customFormat="false" ht="15" hidden="false" customHeight="false" outlineLevel="0" collapsed="false">
      <c r="A1424" s="0" t="s">
        <v>86</v>
      </c>
      <c r="B1424" s="0" t="n">
        <v>2022</v>
      </c>
      <c r="C1424" s="0" t="s">
        <v>54</v>
      </c>
      <c r="D1424" s="0" t="n">
        <v>46724</v>
      </c>
      <c r="E1424" s="0" t="s">
        <v>3885</v>
      </c>
      <c r="F1424" s="0" t="s">
        <v>3891</v>
      </c>
      <c r="G1424" s="0" t="s">
        <v>3877</v>
      </c>
    </row>
    <row r="1425" customFormat="false" ht="15" hidden="false" customHeight="false" outlineLevel="0" collapsed="false">
      <c r="A1425" s="0" t="s">
        <v>86</v>
      </c>
      <c r="B1425" s="0" t="n">
        <v>2022</v>
      </c>
      <c r="C1425" s="0" t="s">
        <v>670</v>
      </c>
      <c r="D1425" s="0" t="n">
        <v>337050</v>
      </c>
      <c r="E1425" s="0" t="s">
        <v>3885</v>
      </c>
      <c r="F1425" s="0" t="s">
        <v>3891</v>
      </c>
      <c r="G1425" s="0" t="s">
        <v>3877</v>
      </c>
    </row>
    <row r="1426" customFormat="false" ht="15" hidden="false" customHeight="false" outlineLevel="0" collapsed="false">
      <c r="A1426" s="0" t="s">
        <v>86</v>
      </c>
      <c r="B1426" s="0" t="n">
        <v>2022</v>
      </c>
      <c r="C1426" s="0" t="s">
        <v>55</v>
      </c>
      <c r="D1426" s="0" t="n">
        <v>3989009</v>
      </c>
      <c r="E1426" s="0" t="s">
        <v>3885</v>
      </c>
      <c r="F1426" s="0" t="s">
        <v>3891</v>
      </c>
      <c r="G1426" s="0" t="s">
        <v>3877</v>
      </c>
    </row>
    <row r="1427" customFormat="false" ht="15" hidden="false" customHeight="false" outlineLevel="0" collapsed="false">
      <c r="A1427" s="0" t="s">
        <v>86</v>
      </c>
      <c r="B1427" s="0" t="n">
        <v>2022</v>
      </c>
      <c r="C1427" s="0" t="s">
        <v>60</v>
      </c>
      <c r="D1427" s="0" t="n">
        <v>2196760</v>
      </c>
      <c r="E1427" s="0" t="s">
        <v>3885</v>
      </c>
      <c r="F1427" s="0" t="s">
        <v>3891</v>
      </c>
      <c r="G1427" s="0" t="s">
        <v>3877</v>
      </c>
    </row>
    <row r="1428" customFormat="false" ht="15" hidden="false" customHeight="false" outlineLevel="0" collapsed="false">
      <c r="A1428" s="0" t="s">
        <v>86</v>
      </c>
      <c r="B1428" s="0" t="n">
        <v>2022</v>
      </c>
      <c r="C1428" s="0" t="s">
        <v>61</v>
      </c>
      <c r="D1428" s="0" t="n">
        <v>80548</v>
      </c>
      <c r="E1428" s="0" t="s">
        <v>3885</v>
      </c>
      <c r="F1428" s="0" t="s">
        <v>3891</v>
      </c>
      <c r="G1428" s="0" t="s">
        <v>3877</v>
      </c>
    </row>
    <row r="1429" customFormat="false" ht="15" hidden="false" customHeight="false" outlineLevel="0" collapsed="false">
      <c r="A1429" s="0" t="s">
        <v>86</v>
      </c>
      <c r="B1429" s="0" t="n">
        <v>2022</v>
      </c>
      <c r="C1429" s="0" t="s">
        <v>63</v>
      </c>
      <c r="D1429" s="0" t="n">
        <v>5443</v>
      </c>
      <c r="E1429" s="0" t="s">
        <v>3885</v>
      </c>
      <c r="F1429" s="0" t="s">
        <v>3891</v>
      </c>
      <c r="G1429" s="0" t="s">
        <v>3877</v>
      </c>
    </row>
    <row r="1430" customFormat="false" ht="15" hidden="false" customHeight="false" outlineLevel="0" collapsed="false">
      <c r="A1430" s="0" t="s">
        <v>86</v>
      </c>
      <c r="B1430" s="0" t="n">
        <v>2022</v>
      </c>
      <c r="C1430" s="0" t="s">
        <v>266</v>
      </c>
      <c r="D1430" s="0" t="n">
        <v>2.9</v>
      </c>
      <c r="E1430" s="0" t="s">
        <v>3885</v>
      </c>
      <c r="F1430" s="0" t="s">
        <v>3891</v>
      </c>
      <c r="G1430" s="0" t="s">
        <v>3877</v>
      </c>
    </row>
    <row r="1431" customFormat="false" ht="15" hidden="false" customHeight="false" outlineLevel="0" collapsed="false">
      <c r="A1431" s="0" t="s">
        <v>86</v>
      </c>
      <c r="B1431" s="0" t="n">
        <v>2022</v>
      </c>
      <c r="C1431" s="0" t="s">
        <v>69</v>
      </c>
      <c r="D1431" s="0" t="n">
        <v>18.14</v>
      </c>
      <c r="E1431" s="0" t="s">
        <v>3885</v>
      </c>
      <c r="F1431" s="0" t="s">
        <v>3891</v>
      </c>
      <c r="G1431" s="0" t="s">
        <v>3877</v>
      </c>
    </row>
    <row r="1432" customFormat="false" ht="15" hidden="false" customHeight="false" outlineLevel="0" collapsed="false">
      <c r="A1432" s="0" t="s">
        <v>86</v>
      </c>
      <c r="B1432" s="0" t="n">
        <v>2022</v>
      </c>
      <c r="C1432" s="0" t="s">
        <v>73</v>
      </c>
      <c r="D1432" s="0" t="n">
        <v>0</v>
      </c>
      <c r="E1432" s="0" t="s">
        <v>3885</v>
      </c>
      <c r="F1432" s="0" t="s">
        <v>3891</v>
      </c>
      <c r="G1432" s="0" t="s">
        <v>3877</v>
      </c>
    </row>
    <row r="1433" customFormat="false" ht="15" hidden="false" customHeight="false" outlineLevel="0" collapsed="false">
      <c r="A1433" s="0" t="s">
        <v>86</v>
      </c>
      <c r="B1433" s="0" t="n">
        <v>2022</v>
      </c>
      <c r="C1433" s="0" t="s">
        <v>920</v>
      </c>
      <c r="D1433" s="0" t="s">
        <v>994</v>
      </c>
      <c r="E1433" s="0" t="s">
        <v>3885</v>
      </c>
      <c r="F1433" s="0" t="s">
        <v>3891</v>
      </c>
      <c r="G1433" s="0" t="s">
        <v>3877</v>
      </c>
    </row>
    <row r="1434" customFormat="false" ht="15" hidden="false" customHeight="false" outlineLevel="0" collapsed="false">
      <c r="A1434" s="0" t="s">
        <v>116</v>
      </c>
      <c r="B1434" s="0" t="n">
        <v>2015</v>
      </c>
      <c r="C1434" s="0" t="s">
        <v>54</v>
      </c>
      <c r="D1434" s="0" t="n">
        <v>6232</v>
      </c>
      <c r="E1434" s="0" t="s">
        <v>3885</v>
      </c>
      <c r="F1434" s="0" t="s">
        <v>3892</v>
      </c>
      <c r="G1434" s="0" t="s">
        <v>3877</v>
      </c>
    </row>
    <row r="1435" customFormat="false" ht="15" hidden="false" customHeight="false" outlineLevel="0" collapsed="false">
      <c r="A1435" s="0" t="s">
        <v>116</v>
      </c>
      <c r="B1435" s="0" t="n">
        <v>2015</v>
      </c>
      <c r="C1435" s="0" t="s">
        <v>670</v>
      </c>
      <c r="D1435" s="0" t="n">
        <v>118400</v>
      </c>
      <c r="E1435" s="0" t="s">
        <v>3885</v>
      </c>
      <c r="F1435" s="0" t="s">
        <v>3892</v>
      </c>
      <c r="G1435" s="0" t="s">
        <v>3877</v>
      </c>
    </row>
    <row r="1436" customFormat="false" ht="15" hidden="false" customHeight="false" outlineLevel="0" collapsed="false">
      <c r="A1436" s="0" t="s">
        <v>116</v>
      </c>
      <c r="B1436" s="0" t="n">
        <v>2015</v>
      </c>
      <c r="C1436" s="0" t="s">
        <v>55</v>
      </c>
      <c r="D1436" s="0" t="n">
        <v>890580</v>
      </c>
      <c r="E1436" s="0" t="s">
        <v>3885</v>
      </c>
      <c r="F1436" s="0" t="s">
        <v>3892</v>
      </c>
      <c r="G1436" s="0" t="s">
        <v>3877</v>
      </c>
    </row>
    <row r="1437" customFormat="false" ht="15" hidden="false" customHeight="false" outlineLevel="0" collapsed="false">
      <c r="A1437" s="0" t="s">
        <v>116</v>
      </c>
      <c r="B1437" s="0" t="n">
        <v>2015</v>
      </c>
      <c r="C1437" s="0" t="s">
        <v>60</v>
      </c>
      <c r="D1437" s="0" t="n">
        <v>406210</v>
      </c>
      <c r="E1437" s="0" t="s">
        <v>3885</v>
      </c>
      <c r="F1437" s="0" t="s">
        <v>3892</v>
      </c>
      <c r="G1437" s="0" t="s">
        <v>3877</v>
      </c>
    </row>
    <row r="1438" customFormat="false" ht="15" hidden="false" customHeight="false" outlineLevel="0" collapsed="false">
      <c r="A1438" s="0" t="s">
        <v>116</v>
      </c>
      <c r="B1438" s="0" t="n">
        <v>2015</v>
      </c>
      <c r="C1438" s="0" t="s">
        <v>61</v>
      </c>
      <c r="D1438" s="0" t="n">
        <v>25915</v>
      </c>
      <c r="E1438" s="0" t="s">
        <v>3885</v>
      </c>
      <c r="F1438" s="0" t="s">
        <v>3892</v>
      </c>
      <c r="G1438" s="0" t="s">
        <v>3877</v>
      </c>
    </row>
    <row r="1439" customFormat="false" ht="15" hidden="false" customHeight="false" outlineLevel="0" collapsed="false">
      <c r="A1439" s="0" t="s">
        <v>116</v>
      </c>
      <c r="B1439" s="0" t="n">
        <v>2015</v>
      </c>
      <c r="C1439" s="0" t="s">
        <v>63</v>
      </c>
      <c r="D1439" s="0" t="n">
        <v>15114</v>
      </c>
      <c r="E1439" s="0" t="s">
        <v>3885</v>
      </c>
      <c r="F1439" s="0" t="s">
        <v>3892</v>
      </c>
      <c r="G1439" s="0" t="s">
        <v>3877</v>
      </c>
    </row>
    <row r="1440" customFormat="false" ht="15" hidden="false" customHeight="false" outlineLevel="0" collapsed="false">
      <c r="A1440" s="0" t="s">
        <v>116</v>
      </c>
      <c r="B1440" s="0" t="n">
        <v>2015</v>
      </c>
      <c r="C1440" s="0" t="s">
        <v>266</v>
      </c>
      <c r="D1440" s="0" t="n">
        <v>6.65</v>
      </c>
      <c r="E1440" s="0" t="s">
        <v>3885</v>
      </c>
      <c r="F1440" s="0" t="s">
        <v>3892</v>
      </c>
      <c r="G1440" s="0" t="s">
        <v>3877</v>
      </c>
    </row>
    <row r="1441" customFormat="false" ht="15" hidden="false" customHeight="false" outlineLevel="0" collapsed="false">
      <c r="A1441" s="0" t="s">
        <v>116</v>
      </c>
      <c r="B1441" s="0" t="n">
        <v>2015</v>
      </c>
      <c r="C1441" s="0" t="s">
        <v>69</v>
      </c>
      <c r="D1441" s="0" t="n">
        <v>18.3</v>
      </c>
      <c r="E1441" s="0" t="s">
        <v>3885</v>
      </c>
      <c r="F1441" s="0" t="s">
        <v>3892</v>
      </c>
      <c r="G1441" s="0" t="s">
        <v>3877</v>
      </c>
    </row>
    <row r="1442" customFormat="false" ht="15" hidden="false" customHeight="false" outlineLevel="0" collapsed="false">
      <c r="A1442" s="0" t="s">
        <v>116</v>
      </c>
      <c r="B1442" s="0" t="n">
        <v>2015</v>
      </c>
      <c r="C1442" s="0" t="s">
        <v>73</v>
      </c>
      <c r="D1442" s="0" t="n">
        <v>0</v>
      </c>
      <c r="E1442" s="0" t="s">
        <v>3885</v>
      </c>
      <c r="F1442" s="0" t="s">
        <v>3892</v>
      </c>
      <c r="G1442" s="0" t="s">
        <v>3877</v>
      </c>
    </row>
    <row r="1443" customFormat="false" ht="15" hidden="false" customHeight="false" outlineLevel="0" collapsed="false">
      <c r="A1443" s="0" t="s">
        <v>116</v>
      </c>
      <c r="B1443" s="0" t="n">
        <v>2015</v>
      </c>
      <c r="C1443" s="0" t="s">
        <v>920</v>
      </c>
      <c r="D1443" s="0" t="s">
        <v>3878</v>
      </c>
      <c r="E1443" s="0" t="s">
        <v>3885</v>
      </c>
      <c r="F1443" s="0" t="s">
        <v>3892</v>
      </c>
      <c r="G1443" s="0" t="s">
        <v>3877</v>
      </c>
    </row>
    <row r="1444" customFormat="false" ht="15" hidden="false" customHeight="false" outlineLevel="0" collapsed="false">
      <c r="A1444" s="0" t="s">
        <v>116</v>
      </c>
      <c r="B1444" s="0" t="n">
        <v>2016</v>
      </c>
      <c r="C1444" s="0" t="s">
        <v>54</v>
      </c>
      <c r="D1444" s="0" t="n">
        <v>15030</v>
      </c>
      <c r="E1444" s="0" t="s">
        <v>3885</v>
      </c>
      <c r="F1444" s="0" t="s">
        <v>3892</v>
      </c>
      <c r="G1444" s="0" t="s">
        <v>3877</v>
      </c>
    </row>
    <row r="1445" customFormat="false" ht="15" hidden="false" customHeight="false" outlineLevel="0" collapsed="false">
      <c r="A1445" s="0" t="s">
        <v>116</v>
      </c>
      <c r="B1445" s="0" t="n">
        <v>2016</v>
      </c>
      <c r="C1445" s="0" t="s">
        <v>670</v>
      </c>
      <c r="D1445" s="0" t="n">
        <v>142500</v>
      </c>
      <c r="E1445" s="0" t="s">
        <v>3885</v>
      </c>
      <c r="F1445" s="0" t="s">
        <v>3892</v>
      </c>
      <c r="G1445" s="0" t="s">
        <v>3877</v>
      </c>
    </row>
    <row r="1446" customFormat="false" ht="15" hidden="false" customHeight="false" outlineLevel="0" collapsed="false">
      <c r="A1446" s="0" t="s">
        <v>116</v>
      </c>
      <c r="B1446" s="0" t="n">
        <v>2016</v>
      </c>
      <c r="C1446" s="0" t="s">
        <v>55</v>
      </c>
      <c r="D1446" s="0" t="n">
        <v>993759</v>
      </c>
      <c r="E1446" s="0" t="s">
        <v>3885</v>
      </c>
      <c r="F1446" s="0" t="s">
        <v>3892</v>
      </c>
      <c r="G1446" s="0" t="s">
        <v>3877</v>
      </c>
    </row>
    <row r="1447" customFormat="false" ht="15" hidden="false" customHeight="false" outlineLevel="0" collapsed="false">
      <c r="A1447" s="0" t="s">
        <v>116</v>
      </c>
      <c r="B1447" s="0" t="n">
        <v>2016</v>
      </c>
      <c r="C1447" s="0" t="s">
        <v>60</v>
      </c>
      <c r="D1447" s="0" t="n">
        <v>390580</v>
      </c>
      <c r="E1447" s="0" t="s">
        <v>3885</v>
      </c>
      <c r="F1447" s="0" t="s">
        <v>3892</v>
      </c>
      <c r="G1447" s="0" t="s">
        <v>3877</v>
      </c>
    </row>
    <row r="1448" customFormat="false" ht="15" hidden="false" customHeight="false" outlineLevel="0" collapsed="false">
      <c r="A1448" s="0" t="s">
        <v>116</v>
      </c>
      <c r="B1448" s="0" t="n">
        <v>2016</v>
      </c>
      <c r="C1448" s="0" t="s">
        <v>61</v>
      </c>
      <c r="D1448" s="0" t="n">
        <v>22351</v>
      </c>
      <c r="E1448" s="0" t="s">
        <v>3885</v>
      </c>
      <c r="F1448" s="0" t="s">
        <v>3892</v>
      </c>
      <c r="G1448" s="0" t="s">
        <v>3877</v>
      </c>
    </row>
    <row r="1449" customFormat="false" ht="15" hidden="false" customHeight="false" outlineLevel="0" collapsed="false">
      <c r="A1449" s="0" t="s">
        <v>116</v>
      </c>
      <c r="B1449" s="0" t="n">
        <v>2016</v>
      </c>
      <c r="C1449" s="0" t="s">
        <v>63</v>
      </c>
      <c r="D1449" s="0" t="n">
        <v>20272</v>
      </c>
      <c r="E1449" s="0" t="s">
        <v>3885</v>
      </c>
      <c r="F1449" s="0" t="s">
        <v>3892</v>
      </c>
      <c r="G1449" s="0" t="s">
        <v>3877</v>
      </c>
    </row>
    <row r="1450" customFormat="false" ht="15" hidden="false" customHeight="false" outlineLevel="0" collapsed="false">
      <c r="A1450" s="0" t="s">
        <v>116</v>
      </c>
      <c r="B1450" s="0" t="n">
        <v>2016</v>
      </c>
      <c r="C1450" s="0" t="s">
        <v>266</v>
      </c>
      <c r="D1450" s="0" t="n">
        <v>4.78</v>
      </c>
      <c r="E1450" s="0" t="s">
        <v>3885</v>
      </c>
      <c r="F1450" s="0" t="s">
        <v>3892</v>
      </c>
      <c r="G1450" s="0" t="s">
        <v>3877</v>
      </c>
    </row>
    <row r="1451" customFormat="false" ht="15" hidden="false" customHeight="false" outlineLevel="0" collapsed="false">
      <c r="A1451" s="0" t="s">
        <v>116</v>
      </c>
      <c r="B1451" s="0" t="n">
        <v>2016</v>
      </c>
      <c r="C1451" s="0" t="s">
        <v>69</v>
      </c>
      <c r="D1451" s="0" t="n">
        <v>21</v>
      </c>
      <c r="E1451" s="0" t="s">
        <v>3885</v>
      </c>
      <c r="F1451" s="0" t="s">
        <v>3892</v>
      </c>
      <c r="G1451" s="0" t="s">
        <v>3877</v>
      </c>
    </row>
    <row r="1452" customFormat="false" ht="15" hidden="false" customHeight="false" outlineLevel="0" collapsed="false">
      <c r="A1452" s="0" t="s">
        <v>116</v>
      </c>
      <c r="B1452" s="0" t="n">
        <v>2016</v>
      </c>
      <c r="C1452" s="0" t="s">
        <v>73</v>
      </c>
      <c r="D1452" s="0" t="n">
        <v>0</v>
      </c>
      <c r="E1452" s="0" t="s">
        <v>3885</v>
      </c>
      <c r="F1452" s="0" t="s">
        <v>3892</v>
      </c>
      <c r="G1452" s="0" t="s">
        <v>3877</v>
      </c>
    </row>
    <row r="1453" customFormat="false" ht="15" hidden="false" customHeight="false" outlineLevel="0" collapsed="false">
      <c r="A1453" s="0" t="s">
        <v>116</v>
      </c>
      <c r="B1453" s="0" t="n">
        <v>2016</v>
      </c>
      <c r="C1453" s="0" t="s">
        <v>920</v>
      </c>
      <c r="D1453" s="0" t="s">
        <v>3878</v>
      </c>
      <c r="E1453" s="0" t="s">
        <v>3885</v>
      </c>
      <c r="F1453" s="0" t="s">
        <v>3892</v>
      </c>
      <c r="G1453" s="0" t="s">
        <v>3877</v>
      </c>
    </row>
    <row r="1454" customFormat="false" ht="15" hidden="false" customHeight="false" outlineLevel="0" collapsed="false">
      <c r="A1454" s="0" t="s">
        <v>116</v>
      </c>
      <c r="B1454" s="0" t="n">
        <v>2017</v>
      </c>
      <c r="C1454" s="0" t="s">
        <v>54</v>
      </c>
      <c r="D1454" s="0" t="n">
        <v>28842</v>
      </c>
      <c r="E1454" s="0" t="s">
        <v>3885</v>
      </c>
      <c r="F1454" s="0" t="s">
        <v>3892</v>
      </c>
      <c r="G1454" s="0" t="s">
        <v>3877</v>
      </c>
    </row>
    <row r="1455" customFormat="false" ht="15" hidden="false" customHeight="false" outlineLevel="0" collapsed="false">
      <c r="A1455" s="0" t="s">
        <v>116</v>
      </c>
      <c r="B1455" s="0" t="n">
        <v>2017</v>
      </c>
      <c r="C1455" s="0" t="s">
        <v>670</v>
      </c>
      <c r="D1455" s="0" t="n">
        <v>166302</v>
      </c>
      <c r="E1455" s="0" t="s">
        <v>3885</v>
      </c>
      <c r="F1455" s="0" t="s">
        <v>3892</v>
      </c>
      <c r="G1455" s="0" t="s">
        <v>3877</v>
      </c>
    </row>
    <row r="1456" customFormat="false" ht="15" hidden="false" customHeight="false" outlineLevel="0" collapsed="false">
      <c r="A1456" s="0" t="s">
        <v>116</v>
      </c>
      <c r="B1456" s="0" t="n">
        <v>2017</v>
      </c>
      <c r="C1456" s="0" t="s">
        <v>55</v>
      </c>
      <c r="D1456" s="0" t="n">
        <v>1332669</v>
      </c>
      <c r="E1456" s="0" t="s">
        <v>3885</v>
      </c>
      <c r="F1456" s="0" t="s">
        <v>3892</v>
      </c>
      <c r="G1456" s="0" t="s">
        <v>3877</v>
      </c>
    </row>
    <row r="1457" customFormat="false" ht="15" hidden="false" customHeight="false" outlineLevel="0" collapsed="false">
      <c r="A1457" s="0" t="s">
        <v>116</v>
      </c>
      <c r="B1457" s="0" t="n">
        <v>2017</v>
      </c>
      <c r="C1457" s="0" t="s">
        <v>60</v>
      </c>
      <c r="D1457" s="0" t="n">
        <v>391000</v>
      </c>
      <c r="E1457" s="0" t="s">
        <v>3885</v>
      </c>
      <c r="F1457" s="0" t="s">
        <v>3892</v>
      </c>
      <c r="G1457" s="0" t="s">
        <v>3877</v>
      </c>
    </row>
    <row r="1458" customFormat="false" ht="15" hidden="false" customHeight="false" outlineLevel="0" collapsed="false">
      <c r="A1458" s="0" t="s">
        <v>116</v>
      </c>
      <c r="B1458" s="0" t="n">
        <v>2017</v>
      </c>
      <c r="C1458" s="0" t="s">
        <v>61</v>
      </c>
      <c r="D1458" s="0" t="n">
        <v>26000</v>
      </c>
      <c r="E1458" s="0" t="s">
        <v>3885</v>
      </c>
      <c r="F1458" s="0" t="s">
        <v>3892</v>
      </c>
      <c r="G1458" s="0" t="s">
        <v>3877</v>
      </c>
    </row>
    <row r="1459" customFormat="false" ht="15" hidden="false" customHeight="false" outlineLevel="0" collapsed="false">
      <c r="A1459" s="0" t="s">
        <v>116</v>
      </c>
      <c r="B1459" s="0" t="n">
        <v>2017</v>
      </c>
      <c r="C1459" s="0" t="s">
        <v>63</v>
      </c>
      <c r="D1459" s="0" t="n">
        <v>-25577</v>
      </c>
      <c r="E1459" s="0" t="s">
        <v>3885</v>
      </c>
      <c r="F1459" s="0" t="s">
        <v>3892</v>
      </c>
      <c r="G1459" s="0" t="s">
        <v>3877</v>
      </c>
    </row>
    <row r="1460" customFormat="false" ht="15" hidden="false" customHeight="false" outlineLevel="0" collapsed="false">
      <c r="A1460" s="0" t="s">
        <v>116</v>
      </c>
      <c r="B1460" s="0" t="n">
        <v>2017</v>
      </c>
      <c r="C1460" s="0" t="s">
        <v>266</v>
      </c>
      <c r="D1460" s="0" t="n">
        <v>4.2</v>
      </c>
      <c r="E1460" s="0" t="s">
        <v>3885</v>
      </c>
      <c r="F1460" s="0" t="s">
        <v>3892</v>
      </c>
      <c r="G1460" s="0" t="s">
        <v>3877</v>
      </c>
    </row>
    <row r="1461" customFormat="false" ht="15" hidden="false" customHeight="false" outlineLevel="0" collapsed="false">
      <c r="A1461" s="0" t="s">
        <v>116</v>
      </c>
      <c r="B1461" s="0" t="n">
        <v>2017</v>
      </c>
      <c r="C1461" s="0" t="s">
        <v>69</v>
      </c>
      <c r="D1461" s="0" t="n">
        <v>20.5</v>
      </c>
      <c r="E1461" s="0" t="s">
        <v>3885</v>
      </c>
      <c r="F1461" s="0" t="s">
        <v>3892</v>
      </c>
      <c r="G1461" s="0" t="s">
        <v>3877</v>
      </c>
    </row>
    <row r="1462" customFormat="false" ht="15" hidden="false" customHeight="false" outlineLevel="0" collapsed="false">
      <c r="A1462" s="0" t="s">
        <v>116</v>
      </c>
      <c r="B1462" s="0" t="n">
        <v>2017</v>
      </c>
      <c r="C1462" s="0" t="s">
        <v>73</v>
      </c>
      <c r="D1462" s="0" t="n">
        <v>0</v>
      </c>
      <c r="E1462" s="0" t="s">
        <v>3885</v>
      </c>
      <c r="F1462" s="0" t="s">
        <v>3892</v>
      </c>
      <c r="G1462" s="0" t="s">
        <v>3877</v>
      </c>
    </row>
    <row r="1463" customFormat="false" ht="15" hidden="false" customHeight="false" outlineLevel="0" collapsed="false">
      <c r="A1463" s="0" t="s">
        <v>116</v>
      </c>
      <c r="B1463" s="0" t="n">
        <v>2017</v>
      </c>
      <c r="C1463" s="0" t="s">
        <v>920</v>
      </c>
      <c r="D1463" s="0" t="s">
        <v>1973</v>
      </c>
      <c r="E1463" s="0" t="s">
        <v>3885</v>
      </c>
      <c r="F1463" s="0" t="s">
        <v>3892</v>
      </c>
      <c r="G1463" s="0" t="s">
        <v>3877</v>
      </c>
    </row>
    <row r="1464" customFormat="false" ht="15" hidden="false" customHeight="false" outlineLevel="0" collapsed="false">
      <c r="A1464" s="0" t="s">
        <v>116</v>
      </c>
      <c r="B1464" s="0" t="n">
        <v>2018</v>
      </c>
      <c r="C1464" s="0" t="s">
        <v>54</v>
      </c>
      <c r="D1464" s="0" t="n">
        <v>49912</v>
      </c>
      <c r="E1464" s="0" t="s">
        <v>3885</v>
      </c>
      <c r="F1464" s="0" t="s">
        <v>3892</v>
      </c>
      <c r="G1464" s="0" t="s">
        <v>3877</v>
      </c>
    </row>
    <row r="1465" customFormat="false" ht="15" hidden="false" customHeight="false" outlineLevel="0" collapsed="false">
      <c r="A1465" s="0" t="s">
        <v>116</v>
      </c>
      <c r="B1465" s="0" t="n">
        <v>2018</v>
      </c>
      <c r="C1465" s="0" t="s">
        <v>670</v>
      </c>
      <c r="D1465" s="0" t="n">
        <v>169207</v>
      </c>
      <c r="E1465" s="0" t="s">
        <v>3885</v>
      </c>
      <c r="F1465" s="0" t="s">
        <v>3892</v>
      </c>
      <c r="G1465" s="0" t="s">
        <v>3877</v>
      </c>
    </row>
    <row r="1466" customFormat="false" ht="15" hidden="false" customHeight="false" outlineLevel="0" collapsed="false">
      <c r="A1466" s="0" t="s">
        <v>116</v>
      </c>
      <c r="B1466" s="0" t="n">
        <v>2018</v>
      </c>
      <c r="C1466" s="0" t="s">
        <v>55</v>
      </c>
      <c r="D1466" s="0" t="n">
        <v>1613500</v>
      </c>
      <c r="E1466" s="0" t="s">
        <v>3885</v>
      </c>
      <c r="F1466" s="0" t="s">
        <v>3892</v>
      </c>
      <c r="G1466" s="0" t="s">
        <v>3877</v>
      </c>
    </row>
    <row r="1467" customFormat="false" ht="15" hidden="false" customHeight="false" outlineLevel="0" collapsed="false">
      <c r="A1467" s="0" t="s">
        <v>116</v>
      </c>
      <c r="B1467" s="0" t="n">
        <v>2018</v>
      </c>
      <c r="C1467" s="0" t="s">
        <v>60</v>
      </c>
      <c r="D1467" s="0" t="n">
        <v>600000</v>
      </c>
      <c r="E1467" s="0" t="s">
        <v>3885</v>
      </c>
      <c r="F1467" s="0" t="s">
        <v>3892</v>
      </c>
      <c r="G1467" s="0" t="s">
        <v>3877</v>
      </c>
    </row>
    <row r="1468" customFormat="false" ht="15" hidden="false" customHeight="false" outlineLevel="0" collapsed="false">
      <c r="A1468" s="0" t="s">
        <v>116</v>
      </c>
      <c r="B1468" s="0" t="n">
        <v>2018</v>
      </c>
      <c r="C1468" s="0" t="s">
        <v>61</v>
      </c>
      <c r="D1468" s="0" t="n">
        <v>28500</v>
      </c>
      <c r="E1468" s="0" t="s">
        <v>3885</v>
      </c>
      <c r="F1468" s="0" t="s">
        <v>3892</v>
      </c>
      <c r="G1468" s="0" t="s">
        <v>3877</v>
      </c>
    </row>
    <row r="1469" customFormat="false" ht="15" hidden="false" customHeight="false" outlineLevel="0" collapsed="false">
      <c r="A1469" s="0" t="s">
        <v>116</v>
      </c>
      <c r="B1469" s="0" t="n">
        <v>2018</v>
      </c>
      <c r="C1469" s="0" t="s">
        <v>63</v>
      </c>
      <c r="D1469" s="0" t="n">
        <v>2988</v>
      </c>
      <c r="E1469" s="0" t="s">
        <v>3885</v>
      </c>
      <c r="F1469" s="0" t="s">
        <v>3892</v>
      </c>
      <c r="G1469" s="0" t="s">
        <v>3877</v>
      </c>
    </row>
    <row r="1470" customFormat="false" ht="15" hidden="false" customHeight="false" outlineLevel="0" collapsed="false">
      <c r="A1470" s="0" t="s">
        <v>116</v>
      </c>
      <c r="B1470" s="0" t="n">
        <v>2018</v>
      </c>
      <c r="C1470" s="0" t="s">
        <v>266</v>
      </c>
      <c r="D1470" s="0" t="n">
        <v>3.9</v>
      </c>
      <c r="E1470" s="0" t="s">
        <v>3885</v>
      </c>
      <c r="F1470" s="0" t="s">
        <v>3892</v>
      </c>
      <c r="G1470" s="0" t="s">
        <v>3877</v>
      </c>
    </row>
    <row r="1471" customFormat="false" ht="15" hidden="false" customHeight="false" outlineLevel="0" collapsed="false">
      <c r="A1471" s="0" t="s">
        <v>116</v>
      </c>
      <c r="B1471" s="0" t="n">
        <v>2018</v>
      </c>
      <c r="C1471" s="0" t="s">
        <v>69</v>
      </c>
      <c r="D1471" s="0" t="n">
        <v>18.5</v>
      </c>
      <c r="E1471" s="0" t="s">
        <v>3885</v>
      </c>
      <c r="F1471" s="0" t="s">
        <v>3892</v>
      </c>
      <c r="G1471" s="0" t="s">
        <v>3877</v>
      </c>
    </row>
    <row r="1472" customFormat="false" ht="15" hidden="false" customHeight="false" outlineLevel="0" collapsed="false">
      <c r="A1472" s="0" t="s">
        <v>116</v>
      </c>
      <c r="B1472" s="0" t="n">
        <v>2018</v>
      </c>
      <c r="C1472" s="0" t="s">
        <v>73</v>
      </c>
      <c r="D1472" s="0" t="n">
        <v>0</v>
      </c>
      <c r="E1472" s="0" t="s">
        <v>3885</v>
      </c>
      <c r="F1472" s="0" t="s">
        <v>3892</v>
      </c>
      <c r="G1472" s="0" t="s">
        <v>3877</v>
      </c>
    </row>
    <row r="1473" customFormat="false" ht="15" hidden="false" customHeight="false" outlineLevel="0" collapsed="false">
      <c r="A1473" s="0" t="s">
        <v>116</v>
      </c>
      <c r="B1473" s="0" t="n">
        <v>2018</v>
      </c>
      <c r="C1473" s="0" t="s">
        <v>920</v>
      </c>
      <c r="D1473" s="0" t="s">
        <v>3878</v>
      </c>
      <c r="E1473" s="0" t="s">
        <v>3885</v>
      </c>
      <c r="F1473" s="0" t="s">
        <v>3892</v>
      </c>
      <c r="G1473" s="0" t="s">
        <v>3877</v>
      </c>
    </row>
    <row r="1474" customFormat="false" ht="15" hidden="false" customHeight="false" outlineLevel="0" collapsed="false">
      <c r="A1474" s="0" t="s">
        <v>116</v>
      </c>
      <c r="B1474" s="0" t="n">
        <v>2019</v>
      </c>
      <c r="C1474" s="0" t="s">
        <v>54</v>
      </c>
      <c r="D1474" s="0" t="n">
        <v>52287</v>
      </c>
      <c r="E1474" s="0" t="s">
        <v>3885</v>
      </c>
      <c r="F1474" s="0" t="s">
        <v>3892</v>
      </c>
      <c r="G1474" s="0" t="s">
        <v>3877</v>
      </c>
    </row>
    <row r="1475" customFormat="false" ht="15" hidden="false" customHeight="false" outlineLevel="0" collapsed="false">
      <c r="A1475" s="0" t="s">
        <v>116</v>
      </c>
      <c r="B1475" s="0" t="n">
        <v>2019</v>
      </c>
      <c r="C1475" s="0" t="s">
        <v>670</v>
      </c>
      <c r="D1475" s="0" t="n">
        <v>178828</v>
      </c>
      <c r="E1475" s="0" t="s">
        <v>3885</v>
      </c>
      <c r="F1475" s="0" t="s">
        <v>3892</v>
      </c>
      <c r="G1475" s="0" t="s">
        <v>3877</v>
      </c>
    </row>
    <row r="1476" customFormat="false" ht="15" hidden="false" customHeight="false" outlineLevel="0" collapsed="false">
      <c r="A1476" s="0" t="s">
        <v>116</v>
      </c>
      <c r="B1476" s="0" t="n">
        <v>2019</v>
      </c>
      <c r="C1476" s="0" t="s">
        <v>55</v>
      </c>
      <c r="D1476" s="0" t="n">
        <v>1850000</v>
      </c>
      <c r="E1476" s="0" t="s">
        <v>3885</v>
      </c>
      <c r="F1476" s="0" t="s">
        <v>3892</v>
      </c>
      <c r="G1476" s="0" t="s">
        <v>3877</v>
      </c>
    </row>
    <row r="1477" customFormat="false" ht="15" hidden="false" customHeight="false" outlineLevel="0" collapsed="false">
      <c r="A1477" s="0" t="s">
        <v>116</v>
      </c>
      <c r="B1477" s="0" t="n">
        <v>2019</v>
      </c>
      <c r="C1477" s="0" t="s">
        <v>60</v>
      </c>
      <c r="D1477" s="0" t="n">
        <v>630000</v>
      </c>
      <c r="E1477" s="0" t="s">
        <v>3885</v>
      </c>
      <c r="F1477" s="0" t="s">
        <v>3892</v>
      </c>
      <c r="G1477" s="0" t="s">
        <v>3877</v>
      </c>
    </row>
    <row r="1478" customFormat="false" ht="15" hidden="false" customHeight="false" outlineLevel="0" collapsed="false">
      <c r="A1478" s="0" t="s">
        <v>116</v>
      </c>
      <c r="B1478" s="0" t="n">
        <v>2019</v>
      </c>
      <c r="C1478" s="0" t="s">
        <v>61</v>
      </c>
      <c r="D1478" s="0" t="n">
        <v>29000</v>
      </c>
      <c r="E1478" s="0" t="s">
        <v>3885</v>
      </c>
      <c r="F1478" s="0" t="s">
        <v>3892</v>
      </c>
      <c r="G1478" s="0" t="s">
        <v>3877</v>
      </c>
    </row>
    <row r="1479" customFormat="false" ht="15" hidden="false" customHeight="false" outlineLevel="0" collapsed="false">
      <c r="A1479" s="0" t="s">
        <v>116</v>
      </c>
      <c r="B1479" s="0" t="n">
        <v>2019</v>
      </c>
      <c r="C1479" s="0" t="s">
        <v>63</v>
      </c>
      <c r="D1479" s="0" t="n">
        <v>-1664</v>
      </c>
      <c r="E1479" s="0" t="s">
        <v>3885</v>
      </c>
      <c r="F1479" s="0" t="s">
        <v>3892</v>
      </c>
      <c r="G1479" s="0" t="s">
        <v>3877</v>
      </c>
    </row>
    <row r="1480" customFormat="false" ht="15" hidden="false" customHeight="false" outlineLevel="0" collapsed="false">
      <c r="A1480" s="0" t="s">
        <v>116</v>
      </c>
      <c r="B1480" s="0" t="n">
        <v>2019</v>
      </c>
      <c r="C1480" s="0" t="s">
        <v>266</v>
      </c>
      <c r="D1480" s="0" t="n">
        <v>3.5</v>
      </c>
      <c r="E1480" s="0" t="s">
        <v>3885</v>
      </c>
      <c r="F1480" s="0" t="s">
        <v>3892</v>
      </c>
      <c r="G1480" s="0" t="s">
        <v>3877</v>
      </c>
    </row>
    <row r="1481" customFormat="false" ht="15" hidden="false" customHeight="false" outlineLevel="0" collapsed="false">
      <c r="A1481" s="0" t="s">
        <v>116</v>
      </c>
      <c r="B1481" s="0" t="n">
        <v>2019</v>
      </c>
      <c r="C1481" s="0" t="s">
        <v>69</v>
      </c>
      <c r="D1481" s="0" t="n">
        <v>19</v>
      </c>
      <c r="E1481" s="0" t="s">
        <v>3885</v>
      </c>
      <c r="F1481" s="0" t="s">
        <v>3892</v>
      </c>
      <c r="G1481" s="0" t="s">
        <v>3877</v>
      </c>
    </row>
    <row r="1482" customFormat="false" ht="15" hidden="false" customHeight="false" outlineLevel="0" collapsed="false">
      <c r="A1482" s="0" t="s">
        <v>116</v>
      </c>
      <c r="B1482" s="0" t="n">
        <v>2019</v>
      </c>
      <c r="C1482" s="0" t="s">
        <v>73</v>
      </c>
      <c r="D1482" s="0" t="n">
        <v>0</v>
      </c>
      <c r="E1482" s="0" t="s">
        <v>3885</v>
      </c>
      <c r="F1482" s="0" t="s">
        <v>3892</v>
      </c>
      <c r="G1482" s="0" t="s">
        <v>3877</v>
      </c>
    </row>
    <row r="1483" customFormat="false" ht="15" hidden="false" customHeight="false" outlineLevel="0" collapsed="false">
      <c r="A1483" s="0" t="s">
        <v>116</v>
      </c>
      <c r="B1483" s="0" t="n">
        <v>2019</v>
      </c>
      <c r="C1483" s="0" t="s">
        <v>920</v>
      </c>
      <c r="D1483" s="0" t="s">
        <v>3878</v>
      </c>
      <c r="E1483" s="0" t="s">
        <v>3885</v>
      </c>
      <c r="F1483" s="0" t="s">
        <v>3892</v>
      </c>
      <c r="G1483" s="0" t="s">
        <v>3877</v>
      </c>
    </row>
    <row r="1484" customFormat="false" ht="15" hidden="false" customHeight="false" outlineLevel="0" collapsed="false">
      <c r="A1484" s="0" t="s">
        <v>116</v>
      </c>
      <c r="B1484" s="0" t="n">
        <v>2020</v>
      </c>
      <c r="C1484" s="0" t="s">
        <v>54</v>
      </c>
      <c r="D1484" s="0" t="n">
        <v>59489</v>
      </c>
      <c r="E1484" s="0" t="s">
        <v>3885</v>
      </c>
      <c r="F1484" s="0" t="s">
        <v>3892</v>
      </c>
      <c r="G1484" s="0" t="s">
        <v>3877</v>
      </c>
    </row>
    <row r="1485" customFormat="false" ht="15" hidden="false" customHeight="false" outlineLevel="0" collapsed="false">
      <c r="A1485" s="0" t="s">
        <v>116</v>
      </c>
      <c r="B1485" s="0" t="n">
        <v>2020</v>
      </c>
      <c r="C1485" s="0" t="s">
        <v>670</v>
      </c>
      <c r="D1485" s="0" t="n">
        <v>178308</v>
      </c>
      <c r="E1485" s="0" t="s">
        <v>3885</v>
      </c>
      <c r="F1485" s="0" t="s">
        <v>3892</v>
      </c>
      <c r="G1485" s="0" t="s">
        <v>3877</v>
      </c>
    </row>
    <row r="1486" customFormat="false" ht="15" hidden="false" customHeight="false" outlineLevel="0" collapsed="false">
      <c r="A1486" s="0" t="s">
        <v>116</v>
      </c>
      <c r="B1486" s="0" t="n">
        <v>2020</v>
      </c>
      <c r="C1486" s="0" t="s">
        <v>55</v>
      </c>
      <c r="D1486" s="0" t="n">
        <v>2370347</v>
      </c>
      <c r="E1486" s="0" t="s">
        <v>3885</v>
      </c>
      <c r="F1486" s="0" t="s">
        <v>3892</v>
      </c>
      <c r="G1486" s="0" t="s">
        <v>3877</v>
      </c>
    </row>
    <row r="1487" customFormat="false" ht="15" hidden="false" customHeight="false" outlineLevel="0" collapsed="false">
      <c r="A1487" s="0" t="s">
        <v>116</v>
      </c>
      <c r="B1487" s="0" t="n">
        <v>2020</v>
      </c>
      <c r="C1487" s="0" t="s">
        <v>60</v>
      </c>
      <c r="D1487" s="0" t="n">
        <v>655292</v>
      </c>
      <c r="E1487" s="0" t="s">
        <v>3885</v>
      </c>
      <c r="F1487" s="0" t="s">
        <v>3892</v>
      </c>
      <c r="G1487" s="0" t="s">
        <v>3877</v>
      </c>
    </row>
    <row r="1488" customFormat="false" ht="15" hidden="false" customHeight="false" outlineLevel="0" collapsed="false">
      <c r="A1488" s="0" t="s">
        <v>116</v>
      </c>
      <c r="B1488" s="0" t="n">
        <v>2020</v>
      </c>
      <c r="C1488" s="0" t="s">
        <v>61</v>
      </c>
      <c r="D1488" s="0" t="n">
        <v>30153</v>
      </c>
      <c r="E1488" s="0" t="s">
        <v>3885</v>
      </c>
      <c r="F1488" s="0" t="s">
        <v>3892</v>
      </c>
      <c r="G1488" s="0" t="s">
        <v>3877</v>
      </c>
    </row>
    <row r="1489" customFormat="false" ht="15" hidden="false" customHeight="false" outlineLevel="0" collapsed="false">
      <c r="A1489" s="0" t="s">
        <v>116</v>
      </c>
      <c r="B1489" s="0" t="n">
        <v>2020</v>
      </c>
      <c r="C1489" s="0" t="s">
        <v>63</v>
      </c>
      <c r="D1489" s="0" t="n">
        <v>-10170</v>
      </c>
      <c r="E1489" s="0" t="s">
        <v>3885</v>
      </c>
      <c r="F1489" s="0" t="s">
        <v>3892</v>
      </c>
      <c r="G1489" s="0" t="s">
        <v>3877</v>
      </c>
    </row>
    <row r="1490" customFormat="false" ht="15" hidden="false" customHeight="false" outlineLevel="0" collapsed="false">
      <c r="A1490" s="0" t="s">
        <v>116</v>
      </c>
      <c r="B1490" s="0" t="n">
        <v>2020</v>
      </c>
      <c r="C1490" s="0" t="s">
        <v>266</v>
      </c>
      <c r="D1490" s="0" t="n">
        <v>4.04</v>
      </c>
      <c r="E1490" s="0" t="s">
        <v>3885</v>
      </c>
      <c r="F1490" s="0" t="s">
        <v>3892</v>
      </c>
      <c r="G1490" s="0" t="s">
        <v>3877</v>
      </c>
    </row>
    <row r="1491" customFormat="false" ht="15" hidden="false" customHeight="false" outlineLevel="0" collapsed="false">
      <c r="A1491" s="0" t="s">
        <v>116</v>
      </c>
      <c r="B1491" s="0" t="n">
        <v>2020</v>
      </c>
      <c r="C1491" s="0" t="s">
        <v>69</v>
      </c>
      <c r="D1491" s="0" t="n">
        <v>19.4</v>
      </c>
      <c r="E1491" s="0" t="s">
        <v>3885</v>
      </c>
      <c r="F1491" s="0" t="s">
        <v>3892</v>
      </c>
      <c r="G1491" s="0" t="s">
        <v>3877</v>
      </c>
    </row>
    <row r="1492" customFormat="false" ht="15" hidden="false" customHeight="false" outlineLevel="0" collapsed="false">
      <c r="A1492" s="0" t="s">
        <v>116</v>
      </c>
      <c r="B1492" s="0" t="n">
        <v>2020</v>
      </c>
      <c r="C1492" s="0" t="s">
        <v>73</v>
      </c>
      <c r="D1492" s="0" t="n">
        <v>0</v>
      </c>
      <c r="E1492" s="0" t="s">
        <v>3885</v>
      </c>
      <c r="F1492" s="0" t="s">
        <v>3892</v>
      </c>
      <c r="G1492" s="0" t="s">
        <v>3877</v>
      </c>
    </row>
    <row r="1493" customFormat="false" ht="15" hidden="false" customHeight="false" outlineLevel="0" collapsed="false">
      <c r="A1493" s="0" t="s">
        <v>116</v>
      </c>
      <c r="B1493" s="0" t="n">
        <v>2020</v>
      </c>
      <c r="C1493" s="0" t="s">
        <v>920</v>
      </c>
      <c r="D1493" s="0" t="s">
        <v>3878</v>
      </c>
      <c r="E1493" s="0" t="s">
        <v>3885</v>
      </c>
      <c r="F1493" s="0" t="s">
        <v>3892</v>
      </c>
      <c r="G1493" s="0" t="s">
        <v>3877</v>
      </c>
    </row>
    <row r="1494" customFormat="false" ht="15" hidden="false" customHeight="false" outlineLevel="0" collapsed="false">
      <c r="A1494" s="0" t="s">
        <v>116</v>
      </c>
      <c r="B1494" s="0" t="n">
        <v>2021</v>
      </c>
      <c r="C1494" s="0" t="s">
        <v>54</v>
      </c>
      <c r="D1494" s="0" t="n">
        <v>29570</v>
      </c>
      <c r="E1494" s="0" t="s">
        <v>3885</v>
      </c>
      <c r="F1494" s="0" t="s">
        <v>3892</v>
      </c>
      <c r="G1494" s="0" t="s">
        <v>3877</v>
      </c>
    </row>
    <row r="1495" customFormat="false" ht="15" hidden="false" customHeight="false" outlineLevel="0" collapsed="false">
      <c r="A1495" s="0" t="s">
        <v>116</v>
      </c>
      <c r="B1495" s="0" t="n">
        <v>2021</v>
      </c>
      <c r="C1495" s="0" t="s">
        <v>670</v>
      </c>
      <c r="D1495" s="0" t="n">
        <v>140036</v>
      </c>
      <c r="E1495" s="0" t="s">
        <v>3885</v>
      </c>
      <c r="F1495" s="0" t="s">
        <v>3892</v>
      </c>
      <c r="G1495" s="0" t="s">
        <v>3877</v>
      </c>
    </row>
    <row r="1496" customFormat="false" ht="15" hidden="false" customHeight="false" outlineLevel="0" collapsed="false">
      <c r="A1496" s="0" t="s">
        <v>116</v>
      </c>
      <c r="B1496" s="0" t="n">
        <v>2021</v>
      </c>
      <c r="C1496" s="0" t="s">
        <v>55</v>
      </c>
      <c r="D1496" s="0" t="n">
        <v>2614087</v>
      </c>
      <c r="E1496" s="0" t="s">
        <v>3885</v>
      </c>
      <c r="F1496" s="0" t="s">
        <v>3892</v>
      </c>
      <c r="G1496" s="0" t="s">
        <v>3877</v>
      </c>
    </row>
    <row r="1497" customFormat="false" ht="15" hidden="false" customHeight="false" outlineLevel="0" collapsed="false">
      <c r="A1497" s="0" t="s">
        <v>116</v>
      </c>
      <c r="B1497" s="0" t="n">
        <v>2021</v>
      </c>
      <c r="C1497" s="0" t="s">
        <v>60</v>
      </c>
      <c r="D1497" s="0" t="n">
        <v>946259</v>
      </c>
      <c r="E1497" s="0" t="s">
        <v>3885</v>
      </c>
      <c r="F1497" s="0" t="s">
        <v>3892</v>
      </c>
      <c r="G1497" s="0" t="s">
        <v>3877</v>
      </c>
    </row>
    <row r="1498" customFormat="false" ht="15" hidden="false" customHeight="false" outlineLevel="0" collapsed="false">
      <c r="A1498" s="0" t="s">
        <v>116</v>
      </c>
      <c r="B1498" s="0" t="n">
        <v>2021</v>
      </c>
      <c r="C1498" s="0" t="s">
        <v>61</v>
      </c>
      <c r="D1498" s="0" t="n">
        <v>25215</v>
      </c>
      <c r="E1498" s="0" t="s">
        <v>3885</v>
      </c>
      <c r="F1498" s="0" t="s">
        <v>3892</v>
      </c>
      <c r="G1498" s="0" t="s">
        <v>3877</v>
      </c>
    </row>
    <row r="1499" customFormat="false" ht="15" hidden="false" customHeight="false" outlineLevel="0" collapsed="false">
      <c r="A1499" s="0" t="s">
        <v>116</v>
      </c>
      <c r="B1499" s="0" t="n">
        <v>2021</v>
      </c>
      <c r="C1499" s="0" t="s">
        <v>63</v>
      </c>
      <c r="D1499" s="0" t="n">
        <v>1208</v>
      </c>
      <c r="E1499" s="0" t="s">
        <v>3885</v>
      </c>
      <c r="F1499" s="0" t="s">
        <v>3892</v>
      </c>
      <c r="G1499" s="0" t="s">
        <v>3877</v>
      </c>
    </row>
    <row r="1500" customFormat="false" ht="15" hidden="false" customHeight="false" outlineLevel="0" collapsed="false">
      <c r="A1500" s="0" t="s">
        <v>116</v>
      </c>
      <c r="B1500" s="0" t="n">
        <v>2021</v>
      </c>
      <c r="C1500" s="0" t="s">
        <v>266</v>
      </c>
      <c r="D1500" s="0" t="n">
        <v>2.15</v>
      </c>
      <c r="E1500" s="0" t="s">
        <v>3885</v>
      </c>
      <c r="F1500" s="0" t="s">
        <v>3892</v>
      </c>
      <c r="G1500" s="0" t="s">
        <v>3877</v>
      </c>
    </row>
    <row r="1501" customFormat="false" ht="15" hidden="false" customHeight="false" outlineLevel="0" collapsed="false">
      <c r="A1501" s="0" t="s">
        <v>116</v>
      </c>
      <c r="B1501" s="0" t="n">
        <v>2021</v>
      </c>
      <c r="C1501" s="0" t="s">
        <v>69</v>
      </c>
      <c r="D1501" s="0" t="n">
        <v>16.1</v>
      </c>
      <c r="E1501" s="0" t="s">
        <v>3885</v>
      </c>
      <c r="F1501" s="0" t="s">
        <v>3892</v>
      </c>
      <c r="G1501" s="0" t="s">
        <v>3877</v>
      </c>
    </row>
    <row r="1502" customFormat="false" ht="15" hidden="false" customHeight="false" outlineLevel="0" collapsed="false">
      <c r="A1502" s="0" t="s">
        <v>116</v>
      </c>
      <c r="B1502" s="0" t="n">
        <v>2021</v>
      </c>
      <c r="C1502" s="0" t="s">
        <v>73</v>
      </c>
      <c r="D1502" s="0" t="n">
        <v>0</v>
      </c>
      <c r="E1502" s="0" t="s">
        <v>3885</v>
      </c>
      <c r="F1502" s="0" t="s">
        <v>3892</v>
      </c>
      <c r="G1502" s="0" t="s">
        <v>3877</v>
      </c>
    </row>
    <row r="1503" customFormat="false" ht="15" hidden="false" customHeight="false" outlineLevel="0" collapsed="false">
      <c r="A1503" s="0" t="s">
        <v>116</v>
      </c>
      <c r="B1503" s="0" t="n">
        <v>2021</v>
      </c>
      <c r="C1503" s="0" t="s">
        <v>920</v>
      </c>
      <c r="D1503" s="0" t="s">
        <v>3878</v>
      </c>
      <c r="E1503" s="0" t="s">
        <v>3885</v>
      </c>
      <c r="F1503" s="0" t="s">
        <v>3892</v>
      </c>
      <c r="G1503" s="0" t="s">
        <v>3877</v>
      </c>
    </row>
    <row r="1504" customFormat="false" ht="15" hidden="false" customHeight="false" outlineLevel="0" collapsed="false">
      <c r="A1504" s="0" t="s">
        <v>116</v>
      </c>
      <c r="B1504" s="0" t="n">
        <v>2022</v>
      </c>
      <c r="C1504" s="0" t="s">
        <v>54</v>
      </c>
      <c r="D1504" s="0" t="n">
        <v>55150</v>
      </c>
      <c r="E1504" s="0" t="s">
        <v>3885</v>
      </c>
      <c r="F1504" s="0" t="s">
        <v>3892</v>
      </c>
      <c r="G1504" s="0" t="s">
        <v>3877</v>
      </c>
    </row>
    <row r="1505" customFormat="false" ht="15" hidden="false" customHeight="false" outlineLevel="0" collapsed="false">
      <c r="A1505" s="0" t="s">
        <v>116</v>
      </c>
      <c r="B1505" s="0" t="n">
        <v>2022</v>
      </c>
      <c r="C1505" s="0" t="s">
        <v>670</v>
      </c>
      <c r="D1505" s="0" t="n">
        <v>211549</v>
      </c>
      <c r="E1505" s="0" t="s">
        <v>3885</v>
      </c>
      <c r="F1505" s="0" t="s">
        <v>3892</v>
      </c>
      <c r="G1505" s="0" t="s">
        <v>3877</v>
      </c>
    </row>
    <row r="1506" customFormat="false" ht="15" hidden="false" customHeight="false" outlineLevel="0" collapsed="false">
      <c r="A1506" s="0" t="s">
        <v>116</v>
      </c>
      <c r="B1506" s="0" t="n">
        <v>2022</v>
      </c>
      <c r="C1506" s="0" t="s">
        <v>55</v>
      </c>
      <c r="D1506" s="0" t="n">
        <v>2854509</v>
      </c>
      <c r="E1506" s="0" t="s">
        <v>3885</v>
      </c>
      <c r="F1506" s="0" t="s">
        <v>3892</v>
      </c>
      <c r="G1506" s="0" t="s">
        <v>3877</v>
      </c>
    </row>
    <row r="1507" customFormat="false" ht="15" hidden="false" customHeight="false" outlineLevel="0" collapsed="false">
      <c r="A1507" s="0" t="s">
        <v>116</v>
      </c>
      <c r="B1507" s="0" t="n">
        <v>2022</v>
      </c>
      <c r="C1507" s="0" t="s">
        <v>60</v>
      </c>
      <c r="D1507" s="0" t="n">
        <v>1241603</v>
      </c>
      <c r="E1507" s="0" t="s">
        <v>3885</v>
      </c>
      <c r="F1507" s="0" t="s">
        <v>3892</v>
      </c>
      <c r="G1507" s="0" t="s">
        <v>3877</v>
      </c>
    </row>
    <row r="1508" customFormat="false" ht="15" hidden="false" customHeight="false" outlineLevel="0" collapsed="false">
      <c r="A1508" s="0" t="s">
        <v>116</v>
      </c>
      <c r="B1508" s="0" t="n">
        <v>2022</v>
      </c>
      <c r="C1508" s="0" t="s">
        <v>61</v>
      </c>
      <c r="D1508" s="0" t="n">
        <v>33414</v>
      </c>
      <c r="E1508" s="0" t="s">
        <v>3885</v>
      </c>
      <c r="F1508" s="0" t="s">
        <v>3892</v>
      </c>
      <c r="G1508" s="0" t="s">
        <v>3877</v>
      </c>
    </row>
    <row r="1509" customFormat="false" ht="15" hidden="false" customHeight="false" outlineLevel="0" collapsed="false">
      <c r="A1509" s="0" t="s">
        <v>116</v>
      </c>
      <c r="B1509" s="0" t="n">
        <v>2022</v>
      </c>
      <c r="C1509" s="0" t="s">
        <v>63</v>
      </c>
      <c r="D1509" s="0" t="n">
        <v>10147</v>
      </c>
      <c r="E1509" s="0" t="s">
        <v>3885</v>
      </c>
      <c r="F1509" s="0" t="s">
        <v>3892</v>
      </c>
      <c r="G1509" s="0" t="s">
        <v>3877</v>
      </c>
    </row>
    <row r="1510" customFormat="false" ht="15" hidden="false" customHeight="false" outlineLevel="0" collapsed="false">
      <c r="A1510" s="0" t="s">
        <v>116</v>
      </c>
      <c r="B1510" s="0" t="n">
        <v>2022</v>
      </c>
      <c r="C1510" s="0" t="s">
        <v>266</v>
      </c>
      <c r="D1510" s="0" t="n">
        <v>2.38</v>
      </c>
      <c r="E1510" s="0" t="s">
        <v>3885</v>
      </c>
      <c r="F1510" s="0" t="s">
        <v>3892</v>
      </c>
      <c r="G1510" s="0" t="s">
        <v>3877</v>
      </c>
    </row>
    <row r="1511" customFormat="false" ht="15" hidden="false" customHeight="false" outlineLevel="0" collapsed="false">
      <c r="A1511" s="0" t="s">
        <v>116</v>
      </c>
      <c r="B1511" s="0" t="n">
        <v>2022</v>
      </c>
      <c r="C1511" s="0" t="s">
        <v>69</v>
      </c>
      <c r="D1511" s="0" t="n">
        <v>18.4</v>
      </c>
      <c r="E1511" s="0" t="s">
        <v>3885</v>
      </c>
      <c r="F1511" s="0" t="s">
        <v>3892</v>
      </c>
      <c r="G1511" s="0" t="s">
        <v>3877</v>
      </c>
    </row>
    <row r="1512" customFormat="false" ht="15" hidden="false" customHeight="false" outlineLevel="0" collapsed="false">
      <c r="A1512" s="0" t="s">
        <v>116</v>
      </c>
      <c r="B1512" s="0" t="n">
        <v>2022</v>
      </c>
      <c r="C1512" s="0" t="s">
        <v>73</v>
      </c>
      <c r="D1512" s="0" t="n">
        <v>0</v>
      </c>
      <c r="E1512" s="0" t="s">
        <v>3885</v>
      </c>
      <c r="F1512" s="0" t="s">
        <v>3892</v>
      </c>
      <c r="G1512" s="0" t="s">
        <v>3877</v>
      </c>
    </row>
    <row r="1513" customFormat="false" ht="15" hidden="false" customHeight="false" outlineLevel="0" collapsed="false">
      <c r="A1513" s="0" t="s">
        <v>116</v>
      </c>
      <c r="B1513" s="0" t="n">
        <v>2022</v>
      </c>
      <c r="C1513" s="0" t="s">
        <v>920</v>
      </c>
      <c r="D1513" s="0" t="s">
        <v>3878</v>
      </c>
      <c r="E1513" s="0" t="s">
        <v>3885</v>
      </c>
      <c r="F1513" s="0" t="s">
        <v>3892</v>
      </c>
      <c r="G1513" s="0" t="s">
        <v>3877</v>
      </c>
    </row>
    <row r="1514" customFormat="false" ht="15" hidden="false" customHeight="false" outlineLevel="0" collapsed="false">
      <c r="A1514" s="0" t="s">
        <v>126</v>
      </c>
      <c r="B1514" s="0" t="n">
        <v>2015</v>
      </c>
      <c r="C1514" s="0" t="s">
        <v>54</v>
      </c>
      <c r="D1514" s="0" t="n">
        <v>10293</v>
      </c>
      <c r="E1514" s="0" t="s">
        <v>3885</v>
      </c>
      <c r="F1514" s="0" t="s">
        <v>3893</v>
      </c>
      <c r="G1514" s="0" t="s">
        <v>3877</v>
      </c>
    </row>
    <row r="1515" customFormat="false" ht="15" hidden="false" customHeight="false" outlineLevel="0" collapsed="false">
      <c r="A1515" s="0" t="s">
        <v>126</v>
      </c>
      <c r="B1515" s="0" t="n">
        <v>2015</v>
      </c>
      <c r="C1515" s="0" t="s">
        <v>670</v>
      </c>
      <c r="D1515" s="0" t="n">
        <v>110194</v>
      </c>
      <c r="E1515" s="0" t="s">
        <v>3885</v>
      </c>
      <c r="F1515" s="0" t="s">
        <v>3893</v>
      </c>
      <c r="G1515" s="0" t="s">
        <v>3877</v>
      </c>
    </row>
    <row r="1516" customFormat="false" ht="15" hidden="false" customHeight="false" outlineLevel="0" collapsed="false">
      <c r="A1516" s="0" t="s">
        <v>126</v>
      </c>
      <c r="B1516" s="0" t="n">
        <v>2015</v>
      </c>
      <c r="C1516" s="0" t="s">
        <v>55</v>
      </c>
      <c r="D1516" s="0" t="n">
        <v>799451</v>
      </c>
      <c r="E1516" s="0" t="s">
        <v>3885</v>
      </c>
      <c r="F1516" s="0" t="s">
        <v>3893</v>
      </c>
      <c r="G1516" s="0" t="s">
        <v>3877</v>
      </c>
    </row>
    <row r="1517" customFormat="false" ht="15" hidden="false" customHeight="false" outlineLevel="0" collapsed="false">
      <c r="A1517" s="0" t="s">
        <v>126</v>
      </c>
      <c r="B1517" s="0" t="n">
        <v>2015</v>
      </c>
      <c r="C1517" s="0" t="s">
        <v>60</v>
      </c>
      <c r="D1517" s="0" t="n">
        <v>354475</v>
      </c>
      <c r="E1517" s="0" t="s">
        <v>3885</v>
      </c>
      <c r="F1517" s="0" t="s">
        <v>3893</v>
      </c>
      <c r="G1517" s="0" t="s">
        <v>3877</v>
      </c>
    </row>
    <row r="1518" customFormat="false" ht="15" hidden="false" customHeight="false" outlineLevel="0" collapsed="false">
      <c r="A1518" s="0" t="s">
        <v>126</v>
      </c>
      <c r="B1518" s="0" t="n">
        <v>2015</v>
      </c>
      <c r="C1518" s="0" t="s">
        <v>61</v>
      </c>
      <c r="D1518" s="0" t="n">
        <v>15749</v>
      </c>
      <c r="E1518" s="0" t="s">
        <v>3885</v>
      </c>
      <c r="F1518" s="0" t="s">
        <v>3893</v>
      </c>
      <c r="G1518" s="0" t="s">
        <v>3877</v>
      </c>
    </row>
    <row r="1519" customFormat="false" ht="15" hidden="false" customHeight="false" outlineLevel="0" collapsed="false">
      <c r="A1519" s="0" t="s">
        <v>126</v>
      </c>
      <c r="B1519" s="0" t="n">
        <v>2015</v>
      </c>
      <c r="C1519" s="0" t="s">
        <v>63</v>
      </c>
      <c r="D1519" s="0" t="n">
        <v>8151</v>
      </c>
      <c r="E1519" s="0" t="s">
        <v>3885</v>
      </c>
      <c r="F1519" s="0" t="s">
        <v>3893</v>
      </c>
      <c r="G1519" s="0" t="s">
        <v>3877</v>
      </c>
    </row>
    <row r="1520" customFormat="false" ht="15" hidden="false" customHeight="false" outlineLevel="0" collapsed="false">
      <c r="A1520" s="0" t="s">
        <v>126</v>
      </c>
      <c r="B1520" s="0" t="n">
        <v>2015</v>
      </c>
      <c r="C1520" s="0" t="s">
        <v>266</v>
      </c>
      <c r="D1520" s="0" t="n">
        <v>4.8</v>
      </c>
      <c r="E1520" s="0" t="s">
        <v>3885</v>
      </c>
      <c r="F1520" s="0" t="s">
        <v>3893</v>
      </c>
      <c r="G1520" s="0" t="s">
        <v>3877</v>
      </c>
    </row>
    <row r="1521" customFormat="false" ht="15" hidden="false" customHeight="false" outlineLevel="0" collapsed="false">
      <c r="A1521" s="0" t="s">
        <v>126</v>
      </c>
      <c r="B1521" s="0" t="n">
        <v>2015</v>
      </c>
      <c r="C1521" s="0" t="s">
        <v>69</v>
      </c>
      <c r="D1521" s="0" t="n">
        <v>17.5</v>
      </c>
      <c r="E1521" s="0" t="s">
        <v>3885</v>
      </c>
      <c r="F1521" s="0" t="s">
        <v>3893</v>
      </c>
      <c r="G1521" s="0" t="s">
        <v>3877</v>
      </c>
    </row>
    <row r="1522" customFormat="false" ht="15" hidden="false" customHeight="false" outlineLevel="0" collapsed="false">
      <c r="A1522" s="0" t="s">
        <v>126</v>
      </c>
      <c r="B1522" s="0" t="n">
        <v>2015</v>
      </c>
      <c r="C1522" s="0" t="s">
        <v>73</v>
      </c>
      <c r="D1522" s="0" t="n">
        <v>0</v>
      </c>
      <c r="E1522" s="0" t="s">
        <v>3885</v>
      </c>
      <c r="F1522" s="0" t="s">
        <v>3893</v>
      </c>
      <c r="G1522" s="0" t="s">
        <v>3877</v>
      </c>
    </row>
    <row r="1523" customFormat="false" ht="15" hidden="false" customHeight="false" outlineLevel="0" collapsed="false">
      <c r="A1523" s="0" t="s">
        <v>126</v>
      </c>
      <c r="B1523" s="0" t="n">
        <v>2015</v>
      </c>
      <c r="C1523" s="0" t="s">
        <v>920</v>
      </c>
      <c r="D1523" s="0" t="s">
        <v>976</v>
      </c>
      <c r="E1523" s="0" t="s">
        <v>3885</v>
      </c>
      <c r="F1523" s="0" t="s">
        <v>3893</v>
      </c>
      <c r="G1523" s="0" t="s">
        <v>3877</v>
      </c>
    </row>
    <row r="1524" customFormat="false" ht="15" hidden="false" customHeight="false" outlineLevel="0" collapsed="false">
      <c r="A1524" s="0" t="s">
        <v>126</v>
      </c>
      <c r="B1524" s="0" t="n">
        <v>2016</v>
      </c>
      <c r="C1524" s="0" t="s">
        <v>54</v>
      </c>
      <c r="D1524" s="0" t="n">
        <v>5181</v>
      </c>
      <c r="E1524" s="0" t="s">
        <v>3885</v>
      </c>
      <c r="F1524" s="0" t="s">
        <v>3893</v>
      </c>
      <c r="G1524" s="0" t="s">
        <v>3877</v>
      </c>
    </row>
    <row r="1525" customFormat="false" ht="15" hidden="false" customHeight="false" outlineLevel="0" collapsed="false">
      <c r="A1525" s="0" t="s">
        <v>126</v>
      </c>
      <c r="B1525" s="0" t="n">
        <v>2016</v>
      </c>
      <c r="C1525" s="0" t="s">
        <v>670</v>
      </c>
      <c r="D1525" s="0" t="n">
        <v>111238</v>
      </c>
      <c r="E1525" s="0" t="s">
        <v>3885</v>
      </c>
      <c r="F1525" s="0" t="s">
        <v>3893</v>
      </c>
      <c r="G1525" s="0" t="s">
        <v>3877</v>
      </c>
    </row>
    <row r="1526" customFormat="false" ht="15" hidden="false" customHeight="false" outlineLevel="0" collapsed="false">
      <c r="A1526" s="0" t="s">
        <v>126</v>
      </c>
      <c r="B1526" s="0" t="n">
        <v>2016</v>
      </c>
      <c r="C1526" s="0" t="s">
        <v>55</v>
      </c>
      <c r="D1526" s="0" t="n">
        <v>834190</v>
      </c>
      <c r="E1526" s="0" t="s">
        <v>3885</v>
      </c>
      <c r="F1526" s="0" t="s">
        <v>3893</v>
      </c>
      <c r="G1526" s="0" t="s">
        <v>3877</v>
      </c>
    </row>
    <row r="1527" customFormat="false" ht="15" hidden="false" customHeight="false" outlineLevel="0" collapsed="false">
      <c r="A1527" s="0" t="s">
        <v>126</v>
      </c>
      <c r="B1527" s="0" t="n">
        <v>2016</v>
      </c>
      <c r="C1527" s="0" t="s">
        <v>60</v>
      </c>
      <c r="D1527" s="0" t="n">
        <v>476713</v>
      </c>
      <c r="E1527" s="0" t="s">
        <v>3885</v>
      </c>
      <c r="F1527" s="0" t="s">
        <v>3893</v>
      </c>
      <c r="G1527" s="0" t="s">
        <v>3877</v>
      </c>
    </row>
    <row r="1528" customFormat="false" ht="15" hidden="false" customHeight="false" outlineLevel="0" collapsed="false">
      <c r="A1528" s="0" t="s">
        <v>126</v>
      </c>
      <c r="B1528" s="0" t="n">
        <v>2016</v>
      </c>
      <c r="C1528" s="0" t="s">
        <v>61</v>
      </c>
      <c r="D1528" s="0" t="n">
        <v>8463</v>
      </c>
      <c r="E1528" s="0" t="s">
        <v>3885</v>
      </c>
      <c r="F1528" s="0" t="s">
        <v>3893</v>
      </c>
      <c r="G1528" s="0" t="s">
        <v>3877</v>
      </c>
    </row>
    <row r="1529" customFormat="false" ht="15" hidden="false" customHeight="false" outlineLevel="0" collapsed="false">
      <c r="A1529" s="0" t="s">
        <v>126</v>
      </c>
      <c r="B1529" s="0" t="n">
        <v>2016</v>
      </c>
      <c r="C1529" s="0" t="s">
        <v>63</v>
      </c>
      <c r="D1529" s="0" t="n">
        <v>11714</v>
      </c>
      <c r="E1529" s="0" t="s">
        <v>3885</v>
      </c>
      <c r="F1529" s="0" t="s">
        <v>3893</v>
      </c>
      <c r="G1529" s="0" t="s">
        <v>3877</v>
      </c>
    </row>
    <row r="1530" customFormat="false" ht="15" hidden="false" customHeight="false" outlineLevel="0" collapsed="false">
      <c r="A1530" s="0" t="s">
        <v>126</v>
      </c>
      <c r="B1530" s="0" t="n">
        <v>2016</v>
      </c>
      <c r="C1530" s="0" t="s">
        <v>266</v>
      </c>
      <c r="D1530" s="0" t="n">
        <v>9.9</v>
      </c>
      <c r="E1530" s="0" t="s">
        <v>3885</v>
      </c>
      <c r="F1530" s="0" t="s">
        <v>3893</v>
      </c>
      <c r="G1530" s="0" t="s">
        <v>3877</v>
      </c>
    </row>
    <row r="1531" customFormat="false" ht="15" hidden="false" customHeight="false" outlineLevel="0" collapsed="false">
      <c r="A1531" s="0" t="s">
        <v>126</v>
      </c>
      <c r="B1531" s="0" t="n">
        <v>2016</v>
      </c>
      <c r="C1531" s="0" t="s">
        <v>69</v>
      </c>
      <c r="D1531" s="0" t="n">
        <v>11.16</v>
      </c>
      <c r="E1531" s="0" t="s">
        <v>3885</v>
      </c>
      <c r="F1531" s="0" t="s">
        <v>3893</v>
      </c>
      <c r="G1531" s="0" t="s">
        <v>3877</v>
      </c>
    </row>
    <row r="1532" customFormat="false" ht="15" hidden="false" customHeight="false" outlineLevel="0" collapsed="false">
      <c r="A1532" s="0" t="s">
        <v>126</v>
      </c>
      <c r="B1532" s="0" t="n">
        <v>2016</v>
      </c>
      <c r="C1532" s="0" t="s">
        <v>73</v>
      </c>
      <c r="D1532" s="0" t="n">
        <v>0</v>
      </c>
      <c r="E1532" s="0" t="s">
        <v>3885</v>
      </c>
      <c r="F1532" s="0" t="s">
        <v>3893</v>
      </c>
      <c r="G1532" s="0" t="s">
        <v>3877</v>
      </c>
    </row>
    <row r="1533" customFormat="false" ht="15" hidden="false" customHeight="false" outlineLevel="0" collapsed="false">
      <c r="A1533" s="0" t="s">
        <v>126</v>
      </c>
      <c r="B1533" s="0" t="n">
        <v>2016</v>
      </c>
      <c r="C1533" s="0" t="s">
        <v>920</v>
      </c>
      <c r="D1533" s="0" t="s">
        <v>1973</v>
      </c>
      <c r="E1533" s="0" t="s">
        <v>3885</v>
      </c>
      <c r="F1533" s="0" t="s">
        <v>3893</v>
      </c>
      <c r="G1533" s="0" t="s">
        <v>3877</v>
      </c>
    </row>
    <row r="1534" customFormat="false" ht="15" hidden="false" customHeight="false" outlineLevel="0" collapsed="false">
      <c r="A1534" s="0" t="s">
        <v>126</v>
      </c>
      <c r="B1534" s="0" t="n">
        <v>2017</v>
      </c>
      <c r="C1534" s="0" t="s">
        <v>54</v>
      </c>
      <c r="D1534" s="0" t="n">
        <v>8455</v>
      </c>
      <c r="E1534" s="0" t="s">
        <v>3885</v>
      </c>
      <c r="F1534" s="0" t="s">
        <v>3893</v>
      </c>
      <c r="G1534" s="0" t="s">
        <v>3877</v>
      </c>
    </row>
    <row r="1535" customFormat="false" ht="15" hidden="false" customHeight="false" outlineLevel="0" collapsed="false">
      <c r="A1535" s="0" t="s">
        <v>126</v>
      </c>
      <c r="B1535" s="0" t="n">
        <v>2017</v>
      </c>
      <c r="C1535" s="0" t="s">
        <v>670</v>
      </c>
      <c r="D1535" s="0" t="n">
        <v>133022</v>
      </c>
      <c r="E1535" s="0" t="s">
        <v>3885</v>
      </c>
      <c r="F1535" s="0" t="s">
        <v>3893</v>
      </c>
      <c r="G1535" s="0" t="s">
        <v>3877</v>
      </c>
    </row>
    <row r="1536" customFormat="false" ht="15" hidden="false" customHeight="false" outlineLevel="0" collapsed="false">
      <c r="A1536" s="0" t="s">
        <v>126</v>
      </c>
      <c r="B1536" s="0" t="n">
        <v>2017</v>
      </c>
      <c r="C1536" s="0" t="s">
        <v>55</v>
      </c>
      <c r="D1536" s="0" t="n">
        <v>1068798</v>
      </c>
      <c r="E1536" s="0" t="s">
        <v>3885</v>
      </c>
      <c r="F1536" s="0" t="s">
        <v>3893</v>
      </c>
      <c r="G1536" s="0" t="s">
        <v>3877</v>
      </c>
    </row>
    <row r="1537" customFormat="false" ht="15" hidden="false" customHeight="false" outlineLevel="0" collapsed="false">
      <c r="A1537" s="0" t="s">
        <v>126</v>
      </c>
      <c r="B1537" s="0" t="n">
        <v>2017</v>
      </c>
      <c r="C1537" s="0" t="s">
        <v>60</v>
      </c>
      <c r="D1537" s="0" t="n">
        <v>617577</v>
      </c>
      <c r="E1537" s="0" t="s">
        <v>3885</v>
      </c>
      <c r="F1537" s="0" t="s">
        <v>3893</v>
      </c>
      <c r="G1537" s="0" t="s">
        <v>3877</v>
      </c>
    </row>
    <row r="1538" customFormat="false" ht="15" hidden="false" customHeight="false" outlineLevel="0" collapsed="false">
      <c r="A1538" s="0" t="s">
        <v>126</v>
      </c>
      <c r="B1538" s="0" t="n">
        <v>2017</v>
      </c>
      <c r="C1538" s="0" t="s">
        <v>61</v>
      </c>
      <c r="D1538" s="0" t="n">
        <v>19504</v>
      </c>
      <c r="E1538" s="0" t="s">
        <v>3885</v>
      </c>
      <c r="F1538" s="0" t="s">
        <v>3893</v>
      </c>
      <c r="G1538" s="0" t="s">
        <v>3877</v>
      </c>
    </row>
    <row r="1539" customFormat="false" ht="15" hidden="false" customHeight="false" outlineLevel="0" collapsed="false">
      <c r="A1539" s="0" t="s">
        <v>126</v>
      </c>
      <c r="B1539" s="0" t="n">
        <v>2017</v>
      </c>
      <c r="C1539" s="0" t="s">
        <v>63</v>
      </c>
      <c r="D1539" s="0" t="n">
        <v>12267</v>
      </c>
      <c r="E1539" s="0" t="s">
        <v>3885</v>
      </c>
      <c r="F1539" s="0" t="s">
        <v>3893</v>
      </c>
      <c r="G1539" s="0" t="s">
        <v>3877</v>
      </c>
    </row>
    <row r="1540" customFormat="false" ht="15" hidden="false" customHeight="false" outlineLevel="0" collapsed="false">
      <c r="A1540" s="0" t="s">
        <v>126</v>
      </c>
      <c r="B1540" s="0" t="n">
        <v>2017</v>
      </c>
      <c r="C1540" s="0" t="s">
        <v>266</v>
      </c>
      <c r="D1540" s="0" t="n">
        <v>6.2</v>
      </c>
      <c r="E1540" s="0" t="s">
        <v>3885</v>
      </c>
      <c r="F1540" s="0" t="s">
        <v>3893</v>
      </c>
      <c r="G1540" s="0" t="s">
        <v>3877</v>
      </c>
    </row>
    <row r="1541" customFormat="false" ht="15" hidden="false" customHeight="false" outlineLevel="0" collapsed="false">
      <c r="A1541" s="0" t="s">
        <v>126</v>
      </c>
      <c r="B1541" s="0" t="n">
        <v>2017</v>
      </c>
      <c r="C1541" s="0" t="s">
        <v>69</v>
      </c>
      <c r="D1541" s="0" t="n">
        <v>11.73</v>
      </c>
      <c r="E1541" s="0" t="s">
        <v>3885</v>
      </c>
      <c r="F1541" s="0" t="s">
        <v>3893</v>
      </c>
      <c r="G1541" s="0" t="s">
        <v>3877</v>
      </c>
    </row>
    <row r="1542" customFormat="false" ht="15" hidden="false" customHeight="false" outlineLevel="0" collapsed="false">
      <c r="A1542" s="0" t="s">
        <v>126</v>
      </c>
      <c r="B1542" s="0" t="n">
        <v>2017</v>
      </c>
      <c r="C1542" s="0" t="s">
        <v>73</v>
      </c>
      <c r="D1542" s="0" t="n">
        <v>0</v>
      </c>
      <c r="E1542" s="0" t="s">
        <v>3885</v>
      </c>
      <c r="F1542" s="0" t="s">
        <v>3893</v>
      </c>
      <c r="G1542" s="0" t="s">
        <v>3877</v>
      </c>
    </row>
    <row r="1543" customFormat="false" ht="15" hidden="false" customHeight="false" outlineLevel="0" collapsed="false">
      <c r="A1543" s="0" t="s">
        <v>126</v>
      </c>
      <c r="B1543" s="0" t="n">
        <v>2017</v>
      </c>
      <c r="C1543" s="0" t="s">
        <v>920</v>
      </c>
      <c r="D1543" s="0" t="s">
        <v>976</v>
      </c>
      <c r="E1543" s="0" t="s">
        <v>3885</v>
      </c>
      <c r="F1543" s="0" t="s">
        <v>3893</v>
      </c>
      <c r="G1543" s="0" t="s">
        <v>3877</v>
      </c>
    </row>
    <row r="1544" customFormat="false" ht="15" hidden="false" customHeight="false" outlineLevel="0" collapsed="false">
      <c r="A1544" s="0" t="s">
        <v>126</v>
      </c>
      <c r="B1544" s="0" t="n">
        <v>2018</v>
      </c>
      <c r="C1544" s="0" t="s">
        <v>54</v>
      </c>
      <c r="D1544" s="0" t="n">
        <v>9218</v>
      </c>
      <c r="E1544" s="0" t="s">
        <v>3885</v>
      </c>
      <c r="F1544" s="0" t="s">
        <v>3893</v>
      </c>
      <c r="G1544" s="0" t="s">
        <v>3877</v>
      </c>
    </row>
    <row r="1545" customFormat="false" ht="15" hidden="false" customHeight="false" outlineLevel="0" collapsed="false">
      <c r="A1545" s="0" t="s">
        <v>126</v>
      </c>
      <c r="B1545" s="0" t="n">
        <v>2018</v>
      </c>
      <c r="C1545" s="0" t="s">
        <v>670</v>
      </c>
      <c r="D1545" s="0" t="n">
        <v>152164</v>
      </c>
      <c r="E1545" s="0" t="s">
        <v>3885</v>
      </c>
      <c r="F1545" s="0" t="s">
        <v>3893</v>
      </c>
      <c r="G1545" s="0" t="s">
        <v>3877</v>
      </c>
    </row>
    <row r="1546" customFormat="false" ht="15" hidden="false" customHeight="false" outlineLevel="0" collapsed="false">
      <c r="A1546" s="0" t="s">
        <v>126</v>
      </c>
      <c r="B1546" s="0" t="n">
        <v>2018</v>
      </c>
      <c r="C1546" s="0" t="s">
        <v>55</v>
      </c>
      <c r="D1546" s="0" t="n">
        <v>1102921</v>
      </c>
      <c r="E1546" s="0" t="s">
        <v>3885</v>
      </c>
      <c r="F1546" s="0" t="s">
        <v>3893</v>
      </c>
      <c r="G1546" s="0" t="s">
        <v>3877</v>
      </c>
    </row>
    <row r="1547" customFormat="false" ht="15" hidden="false" customHeight="false" outlineLevel="0" collapsed="false">
      <c r="A1547" s="0" t="s">
        <v>126</v>
      </c>
      <c r="B1547" s="0" t="n">
        <v>2018</v>
      </c>
      <c r="C1547" s="0" t="s">
        <v>60</v>
      </c>
      <c r="D1547" s="0" t="n">
        <v>646734</v>
      </c>
      <c r="E1547" s="0" t="s">
        <v>3885</v>
      </c>
      <c r="F1547" s="0" t="s">
        <v>3893</v>
      </c>
      <c r="G1547" s="0" t="s">
        <v>3877</v>
      </c>
    </row>
    <row r="1548" customFormat="false" ht="15" hidden="false" customHeight="false" outlineLevel="0" collapsed="false">
      <c r="A1548" s="0" t="s">
        <v>126</v>
      </c>
      <c r="B1548" s="0" t="n">
        <v>2018</v>
      </c>
      <c r="C1548" s="0" t="s">
        <v>61</v>
      </c>
      <c r="D1548" s="0" t="n">
        <v>25717</v>
      </c>
      <c r="E1548" s="0" t="s">
        <v>3885</v>
      </c>
      <c r="F1548" s="0" t="s">
        <v>3893</v>
      </c>
      <c r="G1548" s="0" t="s">
        <v>3877</v>
      </c>
    </row>
    <row r="1549" customFormat="false" ht="15" hidden="false" customHeight="false" outlineLevel="0" collapsed="false">
      <c r="A1549" s="0" t="s">
        <v>126</v>
      </c>
      <c r="B1549" s="0" t="n">
        <v>2018</v>
      </c>
      <c r="C1549" s="0" t="s">
        <v>266</v>
      </c>
      <c r="D1549" s="0" t="n">
        <v>8.7</v>
      </c>
      <c r="E1549" s="0" t="s">
        <v>3885</v>
      </c>
      <c r="F1549" s="0" t="s">
        <v>3893</v>
      </c>
      <c r="G1549" s="0" t="s">
        <v>3877</v>
      </c>
    </row>
    <row r="1550" customFormat="false" ht="15" hidden="false" customHeight="false" outlineLevel="0" collapsed="false">
      <c r="A1550" s="0" t="s">
        <v>126</v>
      </c>
      <c r="B1550" s="0" t="n">
        <v>2018</v>
      </c>
      <c r="C1550" s="0" t="s">
        <v>69</v>
      </c>
      <c r="D1550" s="0" t="n">
        <v>13.4</v>
      </c>
      <c r="E1550" s="0" t="s">
        <v>3885</v>
      </c>
      <c r="F1550" s="0" t="s">
        <v>3893</v>
      </c>
      <c r="G1550" s="0" t="s">
        <v>3877</v>
      </c>
    </row>
    <row r="1551" customFormat="false" ht="15" hidden="false" customHeight="false" outlineLevel="0" collapsed="false">
      <c r="A1551" s="0" t="s">
        <v>126</v>
      </c>
      <c r="B1551" s="0" t="n">
        <v>2018</v>
      </c>
      <c r="C1551" s="0" t="s">
        <v>73</v>
      </c>
      <c r="D1551" s="0" t="n">
        <v>0</v>
      </c>
      <c r="E1551" s="0" t="s">
        <v>3885</v>
      </c>
      <c r="F1551" s="0" t="s">
        <v>3893</v>
      </c>
      <c r="G1551" s="0" t="s">
        <v>3877</v>
      </c>
    </row>
    <row r="1552" customFormat="false" ht="15" hidden="false" customHeight="false" outlineLevel="0" collapsed="false">
      <c r="A1552" s="0" t="s">
        <v>126</v>
      </c>
      <c r="B1552" s="0" t="n">
        <v>2018</v>
      </c>
      <c r="C1552" s="0" t="s">
        <v>920</v>
      </c>
      <c r="D1552" s="0" t="s">
        <v>976</v>
      </c>
      <c r="E1552" s="0" t="s">
        <v>3885</v>
      </c>
      <c r="F1552" s="0" t="s">
        <v>3893</v>
      </c>
      <c r="G1552" s="0" t="s">
        <v>3877</v>
      </c>
    </row>
    <row r="1553" customFormat="false" ht="15" hidden="false" customHeight="false" outlineLevel="0" collapsed="false">
      <c r="A1553" s="0" t="s">
        <v>126</v>
      </c>
      <c r="B1553" s="0" t="n">
        <v>2019</v>
      </c>
      <c r="C1553" s="0" t="s">
        <v>54</v>
      </c>
      <c r="D1553" s="0" t="n">
        <v>10163</v>
      </c>
      <c r="E1553" s="0" t="s">
        <v>3885</v>
      </c>
      <c r="F1553" s="0" t="s">
        <v>3893</v>
      </c>
      <c r="G1553" s="0" t="s">
        <v>3877</v>
      </c>
    </row>
    <row r="1554" customFormat="false" ht="15" hidden="false" customHeight="false" outlineLevel="0" collapsed="false">
      <c r="A1554" s="0" t="s">
        <v>126</v>
      </c>
      <c r="B1554" s="0" t="n">
        <v>2019</v>
      </c>
      <c r="C1554" s="0" t="s">
        <v>670</v>
      </c>
      <c r="D1554" s="0" t="n">
        <v>147439</v>
      </c>
      <c r="E1554" s="0" t="s">
        <v>3885</v>
      </c>
      <c r="F1554" s="0" t="s">
        <v>3893</v>
      </c>
      <c r="G1554" s="0" t="s">
        <v>3877</v>
      </c>
    </row>
    <row r="1555" customFormat="false" ht="15" hidden="false" customHeight="false" outlineLevel="0" collapsed="false">
      <c r="A1555" s="0" t="s">
        <v>126</v>
      </c>
      <c r="B1555" s="0" t="n">
        <v>2019</v>
      </c>
      <c r="C1555" s="0" t="s">
        <v>55</v>
      </c>
      <c r="D1555" s="0" t="n">
        <v>1165509</v>
      </c>
      <c r="E1555" s="0" t="s">
        <v>3885</v>
      </c>
      <c r="F1555" s="0" t="s">
        <v>3893</v>
      </c>
      <c r="G1555" s="0" t="s">
        <v>3877</v>
      </c>
    </row>
    <row r="1556" customFormat="false" ht="15" hidden="false" customHeight="false" outlineLevel="0" collapsed="false">
      <c r="A1556" s="0" t="s">
        <v>126</v>
      </c>
      <c r="B1556" s="0" t="n">
        <v>2019</v>
      </c>
      <c r="C1556" s="0" t="s">
        <v>60</v>
      </c>
      <c r="D1556" s="0" t="n">
        <v>631698</v>
      </c>
      <c r="E1556" s="0" t="s">
        <v>3885</v>
      </c>
      <c r="F1556" s="0" t="s">
        <v>3893</v>
      </c>
      <c r="G1556" s="0" t="s">
        <v>3877</v>
      </c>
    </row>
    <row r="1557" customFormat="false" ht="15" hidden="false" customHeight="false" outlineLevel="0" collapsed="false">
      <c r="A1557" s="0" t="s">
        <v>126</v>
      </c>
      <c r="B1557" s="0" t="n">
        <v>2019</v>
      </c>
      <c r="C1557" s="0" t="s">
        <v>61</v>
      </c>
      <c r="D1557" s="0" t="n">
        <v>12966</v>
      </c>
      <c r="E1557" s="0" t="s">
        <v>3885</v>
      </c>
      <c r="F1557" s="0" t="s">
        <v>3893</v>
      </c>
      <c r="G1557" s="0" t="s">
        <v>3877</v>
      </c>
    </row>
    <row r="1558" customFormat="false" ht="15" hidden="false" customHeight="false" outlineLevel="0" collapsed="false">
      <c r="A1558" s="0" t="s">
        <v>126</v>
      </c>
      <c r="B1558" s="0" t="n">
        <v>2019</v>
      </c>
      <c r="C1558" s="0" t="s">
        <v>63</v>
      </c>
      <c r="D1558" s="0" t="n">
        <v>5842</v>
      </c>
      <c r="E1558" s="0" t="s">
        <v>3885</v>
      </c>
      <c r="F1558" s="0" t="s">
        <v>3893</v>
      </c>
      <c r="G1558" s="0" t="s">
        <v>3877</v>
      </c>
    </row>
    <row r="1559" customFormat="false" ht="15" hidden="false" customHeight="false" outlineLevel="0" collapsed="false">
      <c r="A1559" s="0" t="s">
        <v>126</v>
      </c>
      <c r="B1559" s="0" t="n">
        <v>2019</v>
      </c>
      <c r="C1559" s="0" t="s">
        <v>266</v>
      </c>
      <c r="D1559" s="0" t="n">
        <v>2.2</v>
      </c>
      <c r="E1559" s="0" t="s">
        <v>3885</v>
      </c>
      <c r="F1559" s="0" t="s">
        <v>3893</v>
      </c>
      <c r="G1559" s="0" t="s">
        <v>3877</v>
      </c>
    </row>
    <row r="1560" customFormat="false" ht="15" hidden="false" customHeight="false" outlineLevel="0" collapsed="false">
      <c r="A1560" s="0" t="s">
        <v>126</v>
      </c>
      <c r="B1560" s="0" t="n">
        <v>2019</v>
      </c>
      <c r="C1560" s="0" t="s">
        <v>69</v>
      </c>
      <c r="D1560" s="0" t="n">
        <v>14.7</v>
      </c>
      <c r="E1560" s="0" t="s">
        <v>3885</v>
      </c>
      <c r="F1560" s="0" t="s">
        <v>3893</v>
      </c>
      <c r="G1560" s="0" t="s">
        <v>3877</v>
      </c>
    </row>
    <row r="1561" customFormat="false" ht="15" hidden="false" customHeight="false" outlineLevel="0" collapsed="false">
      <c r="A1561" s="0" t="s">
        <v>126</v>
      </c>
      <c r="B1561" s="0" t="n">
        <v>2019</v>
      </c>
      <c r="C1561" s="0" t="s">
        <v>73</v>
      </c>
      <c r="D1561" s="0" t="n">
        <v>0</v>
      </c>
      <c r="E1561" s="0" t="s">
        <v>3885</v>
      </c>
      <c r="F1561" s="0" t="s">
        <v>3893</v>
      </c>
      <c r="G1561" s="0" t="s">
        <v>3877</v>
      </c>
    </row>
    <row r="1562" customFormat="false" ht="15" hidden="false" customHeight="false" outlineLevel="0" collapsed="false">
      <c r="A1562" s="0" t="s">
        <v>126</v>
      </c>
      <c r="B1562" s="0" t="n">
        <v>2019</v>
      </c>
      <c r="C1562" s="0" t="s">
        <v>920</v>
      </c>
      <c r="D1562" s="0" t="s">
        <v>976</v>
      </c>
      <c r="E1562" s="0" t="s">
        <v>3885</v>
      </c>
      <c r="F1562" s="0" t="s">
        <v>3893</v>
      </c>
      <c r="G1562" s="0" t="s">
        <v>3877</v>
      </c>
    </row>
    <row r="1563" customFormat="false" ht="15" hidden="false" customHeight="false" outlineLevel="0" collapsed="false">
      <c r="A1563" s="0" t="s">
        <v>126</v>
      </c>
      <c r="B1563" s="0" t="n">
        <v>2020</v>
      </c>
      <c r="C1563" s="0" t="s">
        <v>54</v>
      </c>
      <c r="D1563" s="0" t="n">
        <v>11110</v>
      </c>
      <c r="E1563" s="0" t="s">
        <v>3885</v>
      </c>
      <c r="F1563" s="0" t="s">
        <v>3893</v>
      </c>
      <c r="G1563" s="0" t="s">
        <v>3877</v>
      </c>
    </row>
    <row r="1564" customFormat="false" ht="15" hidden="false" customHeight="false" outlineLevel="0" collapsed="false">
      <c r="A1564" s="0" t="s">
        <v>126</v>
      </c>
      <c r="B1564" s="0" t="n">
        <v>2020</v>
      </c>
      <c r="C1564" s="0" t="s">
        <v>670</v>
      </c>
      <c r="D1564" s="0" t="n">
        <v>136475</v>
      </c>
      <c r="E1564" s="0" t="s">
        <v>3885</v>
      </c>
      <c r="F1564" s="0" t="s">
        <v>3893</v>
      </c>
      <c r="G1564" s="0" t="s">
        <v>3877</v>
      </c>
    </row>
    <row r="1565" customFormat="false" ht="15" hidden="false" customHeight="false" outlineLevel="0" collapsed="false">
      <c r="A1565" s="0" t="s">
        <v>126</v>
      </c>
      <c r="B1565" s="0" t="n">
        <v>2020</v>
      </c>
      <c r="C1565" s="0" t="s">
        <v>55</v>
      </c>
      <c r="D1565" s="0" t="n">
        <v>1281830</v>
      </c>
      <c r="E1565" s="0" t="s">
        <v>3885</v>
      </c>
      <c r="F1565" s="0" t="s">
        <v>3893</v>
      </c>
      <c r="G1565" s="0" t="s">
        <v>3877</v>
      </c>
    </row>
    <row r="1566" customFormat="false" ht="15" hidden="false" customHeight="false" outlineLevel="0" collapsed="false">
      <c r="A1566" s="0" t="s">
        <v>126</v>
      </c>
      <c r="B1566" s="0" t="n">
        <v>2020</v>
      </c>
      <c r="C1566" s="0" t="s">
        <v>60</v>
      </c>
      <c r="D1566" s="0" t="n">
        <v>613359</v>
      </c>
      <c r="E1566" s="0" t="s">
        <v>3885</v>
      </c>
      <c r="F1566" s="0" t="s">
        <v>3893</v>
      </c>
      <c r="G1566" s="0" t="s">
        <v>3877</v>
      </c>
    </row>
    <row r="1567" customFormat="false" ht="15" hidden="false" customHeight="false" outlineLevel="0" collapsed="false">
      <c r="A1567" s="0" t="s">
        <v>126</v>
      </c>
      <c r="B1567" s="0" t="n">
        <v>2020</v>
      </c>
      <c r="C1567" s="0" t="s">
        <v>61</v>
      </c>
      <c r="D1567" s="0" t="n">
        <v>16532</v>
      </c>
      <c r="E1567" s="0" t="s">
        <v>3885</v>
      </c>
      <c r="F1567" s="0" t="s">
        <v>3893</v>
      </c>
      <c r="G1567" s="0" t="s">
        <v>3877</v>
      </c>
    </row>
    <row r="1568" customFormat="false" ht="15" hidden="false" customHeight="false" outlineLevel="0" collapsed="false">
      <c r="A1568" s="0" t="s">
        <v>126</v>
      </c>
      <c r="B1568" s="0" t="n">
        <v>2020</v>
      </c>
      <c r="C1568" s="0" t="s">
        <v>63</v>
      </c>
      <c r="D1568" s="0" t="n">
        <v>7913</v>
      </c>
      <c r="E1568" s="0" t="s">
        <v>3885</v>
      </c>
      <c r="F1568" s="0" t="s">
        <v>3893</v>
      </c>
      <c r="G1568" s="0" t="s">
        <v>3877</v>
      </c>
    </row>
    <row r="1569" customFormat="false" ht="15" hidden="false" customHeight="false" outlineLevel="0" collapsed="false">
      <c r="A1569" s="0" t="s">
        <v>126</v>
      </c>
      <c r="B1569" s="0" t="n">
        <v>2020</v>
      </c>
      <c r="C1569" s="0" t="s">
        <v>266</v>
      </c>
      <c r="D1569" s="0" t="n">
        <v>1.9</v>
      </c>
      <c r="E1569" s="0" t="s">
        <v>3885</v>
      </c>
      <c r="F1569" s="0" t="s">
        <v>3893</v>
      </c>
      <c r="G1569" s="0" t="s">
        <v>3877</v>
      </c>
    </row>
    <row r="1570" customFormat="false" ht="15" hidden="false" customHeight="false" outlineLevel="0" collapsed="false">
      <c r="A1570" s="0" t="s">
        <v>126</v>
      </c>
      <c r="B1570" s="0" t="n">
        <v>2020</v>
      </c>
      <c r="C1570" s="0" t="s">
        <v>69</v>
      </c>
      <c r="D1570" s="0" t="n">
        <v>17.98</v>
      </c>
      <c r="E1570" s="0" t="s">
        <v>3885</v>
      </c>
      <c r="F1570" s="0" t="s">
        <v>3893</v>
      </c>
      <c r="G1570" s="0" t="s">
        <v>3877</v>
      </c>
    </row>
    <row r="1571" customFormat="false" ht="15" hidden="false" customHeight="false" outlineLevel="0" collapsed="false">
      <c r="A1571" s="0" t="s">
        <v>126</v>
      </c>
      <c r="B1571" s="0" t="n">
        <v>2020</v>
      </c>
      <c r="C1571" s="0" t="s">
        <v>73</v>
      </c>
      <c r="D1571" s="0" t="n">
        <v>0</v>
      </c>
      <c r="E1571" s="0" t="s">
        <v>3885</v>
      </c>
      <c r="F1571" s="0" t="s">
        <v>3893</v>
      </c>
      <c r="G1571" s="0" t="s">
        <v>3877</v>
      </c>
    </row>
    <row r="1572" customFormat="false" ht="15" hidden="false" customHeight="false" outlineLevel="0" collapsed="false">
      <c r="A1572" s="0" t="s">
        <v>126</v>
      </c>
      <c r="B1572" s="0" t="n">
        <v>2020</v>
      </c>
      <c r="C1572" s="0" t="s">
        <v>920</v>
      </c>
      <c r="D1572" s="0" t="s">
        <v>994</v>
      </c>
      <c r="E1572" s="0" t="s">
        <v>3885</v>
      </c>
      <c r="F1572" s="0" t="s">
        <v>3893</v>
      </c>
      <c r="G1572" s="0" t="s">
        <v>3877</v>
      </c>
    </row>
    <row r="1573" customFormat="false" ht="15" hidden="false" customHeight="false" outlineLevel="0" collapsed="false">
      <c r="A1573" s="0" t="s">
        <v>126</v>
      </c>
      <c r="B1573" s="0" t="n">
        <v>2021</v>
      </c>
      <c r="C1573" s="0" t="s">
        <v>54</v>
      </c>
      <c r="D1573" s="0" t="n">
        <v>13403</v>
      </c>
      <c r="E1573" s="0" t="s">
        <v>3885</v>
      </c>
      <c r="F1573" s="0" t="s">
        <v>3893</v>
      </c>
      <c r="G1573" s="0" t="s">
        <v>3877</v>
      </c>
    </row>
    <row r="1574" customFormat="false" ht="15" hidden="false" customHeight="false" outlineLevel="0" collapsed="false">
      <c r="A1574" s="0" t="s">
        <v>126</v>
      </c>
      <c r="B1574" s="0" t="n">
        <v>2021</v>
      </c>
      <c r="C1574" s="0" t="s">
        <v>670</v>
      </c>
      <c r="D1574" s="0" t="n">
        <v>139922</v>
      </c>
      <c r="E1574" s="0" t="s">
        <v>3885</v>
      </c>
      <c r="F1574" s="0" t="s">
        <v>3893</v>
      </c>
      <c r="G1574" s="0" t="s">
        <v>3877</v>
      </c>
    </row>
    <row r="1575" customFormat="false" ht="15" hidden="false" customHeight="false" outlineLevel="0" collapsed="false">
      <c r="A1575" s="0" t="s">
        <v>126</v>
      </c>
      <c r="B1575" s="0" t="n">
        <v>2021</v>
      </c>
      <c r="C1575" s="0" t="s">
        <v>55</v>
      </c>
      <c r="D1575" s="0" t="n">
        <v>1611749</v>
      </c>
      <c r="E1575" s="0" t="s">
        <v>3885</v>
      </c>
      <c r="F1575" s="0" t="s">
        <v>3893</v>
      </c>
      <c r="G1575" s="0" t="s">
        <v>3877</v>
      </c>
    </row>
    <row r="1576" customFormat="false" ht="15" hidden="false" customHeight="false" outlineLevel="0" collapsed="false">
      <c r="A1576" s="0" t="s">
        <v>126</v>
      </c>
      <c r="B1576" s="0" t="n">
        <v>2021</v>
      </c>
      <c r="C1576" s="0" t="s">
        <v>60</v>
      </c>
      <c r="D1576" s="0" t="n">
        <v>726080</v>
      </c>
      <c r="E1576" s="0" t="s">
        <v>3885</v>
      </c>
      <c r="F1576" s="0" t="s">
        <v>3893</v>
      </c>
      <c r="G1576" s="0" t="s">
        <v>3877</v>
      </c>
    </row>
    <row r="1577" customFormat="false" ht="15" hidden="false" customHeight="false" outlineLevel="0" collapsed="false">
      <c r="A1577" s="0" t="s">
        <v>126</v>
      </c>
      <c r="B1577" s="0" t="n">
        <v>2021</v>
      </c>
      <c r="C1577" s="0" t="s">
        <v>61</v>
      </c>
      <c r="D1577" s="0" t="n">
        <v>14180</v>
      </c>
      <c r="E1577" s="0" t="s">
        <v>3885</v>
      </c>
      <c r="F1577" s="0" t="s">
        <v>3893</v>
      </c>
      <c r="G1577" s="0" t="s">
        <v>3877</v>
      </c>
    </row>
    <row r="1578" customFormat="false" ht="15" hidden="false" customHeight="false" outlineLevel="0" collapsed="false">
      <c r="A1578" s="0" t="s">
        <v>126</v>
      </c>
      <c r="B1578" s="0" t="n">
        <v>2021</v>
      </c>
      <c r="C1578" s="0" t="s">
        <v>63</v>
      </c>
      <c r="D1578" s="0" t="n">
        <v>9822</v>
      </c>
      <c r="E1578" s="0" t="s">
        <v>3885</v>
      </c>
      <c r="F1578" s="0" t="s">
        <v>3893</v>
      </c>
      <c r="G1578" s="0" t="s">
        <v>3877</v>
      </c>
    </row>
    <row r="1579" customFormat="false" ht="15" hidden="false" customHeight="false" outlineLevel="0" collapsed="false">
      <c r="A1579" s="0" t="s">
        <v>126</v>
      </c>
      <c r="B1579" s="0" t="n">
        <v>2021</v>
      </c>
      <c r="C1579" s="0" t="s">
        <v>266</v>
      </c>
      <c r="D1579" s="0" t="n">
        <v>1</v>
      </c>
      <c r="E1579" s="0" t="s">
        <v>3885</v>
      </c>
      <c r="F1579" s="0" t="s">
        <v>3893</v>
      </c>
      <c r="G1579" s="0" t="s">
        <v>3877</v>
      </c>
    </row>
    <row r="1580" customFormat="false" ht="15" hidden="false" customHeight="false" outlineLevel="0" collapsed="false">
      <c r="A1580" s="0" t="s">
        <v>126</v>
      </c>
      <c r="B1580" s="0" t="n">
        <v>2021</v>
      </c>
      <c r="C1580" s="0" t="s">
        <v>69</v>
      </c>
      <c r="D1580" s="0" t="n">
        <v>14.82</v>
      </c>
      <c r="E1580" s="0" t="s">
        <v>3885</v>
      </c>
      <c r="F1580" s="0" t="s">
        <v>3893</v>
      </c>
      <c r="G1580" s="0" t="s">
        <v>3877</v>
      </c>
    </row>
    <row r="1581" customFormat="false" ht="15" hidden="false" customHeight="false" outlineLevel="0" collapsed="false">
      <c r="A1581" s="0" t="s">
        <v>126</v>
      </c>
      <c r="B1581" s="0" t="n">
        <v>2021</v>
      </c>
      <c r="C1581" s="0" t="s">
        <v>73</v>
      </c>
      <c r="D1581" s="0" t="n">
        <v>0</v>
      </c>
      <c r="E1581" s="0" t="s">
        <v>3885</v>
      </c>
      <c r="F1581" s="0" t="s">
        <v>3893</v>
      </c>
      <c r="G1581" s="0" t="s">
        <v>3877</v>
      </c>
    </row>
    <row r="1582" customFormat="false" ht="15" hidden="false" customHeight="false" outlineLevel="0" collapsed="false">
      <c r="A1582" s="0" t="s">
        <v>126</v>
      </c>
      <c r="B1582" s="0" t="n">
        <v>2021</v>
      </c>
      <c r="C1582" s="0" t="s">
        <v>920</v>
      </c>
      <c r="D1582" s="0" t="s">
        <v>994</v>
      </c>
      <c r="E1582" s="0" t="s">
        <v>3885</v>
      </c>
      <c r="F1582" s="0" t="s">
        <v>3893</v>
      </c>
      <c r="G1582" s="0" t="s">
        <v>3877</v>
      </c>
    </row>
    <row r="1583" customFormat="false" ht="15" hidden="false" customHeight="false" outlineLevel="0" collapsed="false">
      <c r="A1583" s="0" t="s">
        <v>126</v>
      </c>
      <c r="B1583" s="0" t="n">
        <v>2022</v>
      </c>
      <c r="C1583" s="0" t="s">
        <v>54</v>
      </c>
      <c r="D1583" s="0" t="n">
        <v>19327</v>
      </c>
      <c r="E1583" s="0" t="s">
        <v>3885</v>
      </c>
      <c r="F1583" s="0" t="s">
        <v>3893</v>
      </c>
      <c r="G1583" s="0" t="s">
        <v>3877</v>
      </c>
    </row>
    <row r="1584" customFormat="false" ht="15" hidden="false" customHeight="false" outlineLevel="0" collapsed="false">
      <c r="A1584" s="0" t="s">
        <v>126</v>
      </c>
      <c r="B1584" s="0" t="n">
        <v>2022</v>
      </c>
      <c r="C1584" s="0" t="s">
        <v>670</v>
      </c>
      <c r="D1584" s="0" t="n">
        <v>172832</v>
      </c>
      <c r="E1584" s="0" t="s">
        <v>3885</v>
      </c>
      <c r="F1584" s="0" t="s">
        <v>3893</v>
      </c>
      <c r="G1584" s="0" t="s">
        <v>3877</v>
      </c>
    </row>
    <row r="1585" customFormat="false" ht="15" hidden="false" customHeight="false" outlineLevel="0" collapsed="false">
      <c r="A1585" s="0" t="s">
        <v>126</v>
      </c>
      <c r="B1585" s="0" t="n">
        <v>2022</v>
      </c>
      <c r="C1585" s="0" t="s">
        <v>55</v>
      </c>
      <c r="D1585" s="0" t="n">
        <v>1840622</v>
      </c>
      <c r="E1585" s="0" t="s">
        <v>3885</v>
      </c>
      <c r="F1585" s="0" t="s">
        <v>3893</v>
      </c>
      <c r="G1585" s="0" t="s">
        <v>3877</v>
      </c>
    </row>
    <row r="1586" customFormat="false" ht="15" hidden="false" customHeight="false" outlineLevel="0" collapsed="false">
      <c r="A1586" s="0" t="s">
        <v>126</v>
      </c>
      <c r="B1586" s="0" t="n">
        <v>2022</v>
      </c>
      <c r="C1586" s="0" t="s">
        <v>60</v>
      </c>
      <c r="D1586" s="0" t="n">
        <v>758183</v>
      </c>
      <c r="E1586" s="0" t="s">
        <v>3885</v>
      </c>
      <c r="F1586" s="0" t="s">
        <v>3893</v>
      </c>
      <c r="G1586" s="0" t="s">
        <v>3877</v>
      </c>
    </row>
    <row r="1587" customFormat="false" ht="15" hidden="false" customHeight="false" outlineLevel="0" collapsed="false">
      <c r="A1587" s="0" t="s">
        <v>126</v>
      </c>
      <c r="B1587" s="0" t="n">
        <v>2022</v>
      </c>
      <c r="C1587" s="0" t="s">
        <v>61</v>
      </c>
      <c r="D1587" s="0" t="n">
        <v>20448</v>
      </c>
      <c r="E1587" s="0" t="s">
        <v>3885</v>
      </c>
      <c r="F1587" s="0" t="s">
        <v>3893</v>
      </c>
      <c r="G1587" s="0" t="s">
        <v>3877</v>
      </c>
    </row>
    <row r="1588" customFormat="false" ht="15" hidden="false" customHeight="false" outlineLevel="0" collapsed="false">
      <c r="A1588" s="0" t="s">
        <v>126</v>
      </c>
      <c r="B1588" s="0" t="n">
        <v>2022</v>
      </c>
      <c r="C1588" s="0" t="s">
        <v>63</v>
      </c>
      <c r="D1588" s="0" t="n">
        <v>9084</v>
      </c>
      <c r="E1588" s="0" t="s">
        <v>3885</v>
      </c>
      <c r="F1588" s="0" t="s">
        <v>3893</v>
      </c>
      <c r="G1588" s="0" t="s">
        <v>3877</v>
      </c>
    </row>
    <row r="1589" customFormat="false" ht="15" hidden="false" customHeight="false" outlineLevel="0" collapsed="false">
      <c r="A1589" s="0" t="s">
        <v>126</v>
      </c>
      <c r="B1589" s="0" t="n">
        <v>2022</v>
      </c>
      <c r="C1589" s="0" t="s">
        <v>266</v>
      </c>
      <c r="D1589" s="0" t="n">
        <v>4</v>
      </c>
      <c r="E1589" s="0" t="s">
        <v>3885</v>
      </c>
      <c r="F1589" s="0" t="s">
        <v>3893</v>
      </c>
      <c r="G1589" s="0" t="s">
        <v>3877</v>
      </c>
    </row>
    <row r="1590" customFormat="false" ht="15" hidden="false" customHeight="false" outlineLevel="0" collapsed="false">
      <c r="A1590" s="0" t="s">
        <v>126</v>
      </c>
      <c r="B1590" s="0" t="n">
        <v>2022</v>
      </c>
      <c r="C1590" s="0" t="s">
        <v>69</v>
      </c>
      <c r="D1590" s="0" t="n">
        <v>14.67</v>
      </c>
      <c r="E1590" s="0" t="s">
        <v>3885</v>
      </c>
      <c r="F1590" s="0" t="s">
        <v>3893</v>
      </c>
      <c r="G1590" s="0" t="s">
        <v>3877</v>
      </c>
    </row>
    <row r="1591" customFormat="false" ht="15" hidden="false" customHeight="false" outlineLevel="0" collapsed="false">
      <c r="A1591" s="0" t="s">
        <v>126</v>
      </c>
      <c r="B1591" s="0" t="n">
        <v>2022</v>
      </c>
      <c r="C1591" s="0" t="s">
        <v>73</v>
      </c>
      <c r="D1591" s="0" t="n">
        <v>0</v>
      </c>
      <c r="E1591" s="0" t="s">
        <v>3885</v>
      </c>
      <c r="F1591" s="0" t="s">
        <v>3893</v>
      </c>
      <c r="G1591" s="0" t="s">
        <v>3877</v>
      </c>
    </row>
    <row r="1592" customFormat="false" ht="15" hidden="false" customHeight="false" outlineLevel="0" collapsed="false">
      <c r="A1592" s="0" t="s">
        <v>126</v>
      </c>
      <c r="B1592" s="0" t="n">
        <v>2022</v>
      </c>
      <c r="C1592" s="0" t="s">
        <v>920</v>
      </c>
      <c r="D1592" s="0" t="s">
        <v>994</v>
      </c>
      <c r="E1592" s="0" t="s">
        <v>3885</v>
      </c>
      <c r="F1592" s="0" t="s">
        <v>3893</v>
      </c>
      <c r="G1592" s="0" t="s">
        <v>3877</v>
      </c>
    </row>
    <row r="1593" customFormat="false" ht="15" hidden="false" customHeight="false" outlineLevel="0" collapsed="false">
      <c r="A1593" s="0" t="s">
        <v>154</v>
      </c>
      <c r="B1593" s="0" t="n">
        <v>2015</v>
      </c>
      <c r="C1593" s="0" t="s">
        <v>54</v>
      </c>
      <c r="D1593" s="0" t="n">
        <v>2273</v>
      </c>
      <c r="E1593" s="0" t="s">
        <v>3885</v>
      </c>
      <c r="F1593" s="0" t="s">
        <v>3894</v>
      </c>
      <c r="G1593" s="0" t="s">
        <v>3877</v>
      </c>
    </row>
    <row r="1594" customFormat="false" ht="15" hidden="false" customHeight="false" outlineLevel="0" collapsed="false">
      <c r="A1594" s="0" t="s">
        <v>154</v>
      </c>
      <c r="B1594" s="0" t="n">
        <v>2015</v>
      </c>
      <c r="C1594" s="0" t="s">
        <v>670</v>
      </c>
      <c r="D1594" s="0" t="n">
        <v>45869</v>
      </c>
      <c r="E1594" s="0" t="s">
        <v>3885</v>
      </c>
      <c r="F1594" s="0" t="s">
        <v>3894</v>
      </c>
      <c r="G1594" s="0" t="s">
        <v>3877</v>
      </c>
    </row>
    <row r="1595" customFormat="false" ht="15" hidden="false" customHeight="false" outlineLevel="0" collapsed="false">
      <c r="A1595" s="0" t="s">
        <v>154</v>
      </c>
      <c r="B1595" s="0" t="n">
        <v>2015</v>
      </c>
      <c r="C1595" s="0" t="s">
        <v>55</v>
      </c>
      <c r="D1595" s="0" t="n">
        <v>396743</v>
      </c>
      <c r="E1595" s="0" t="s">
        <v>3885</v>
      </c>
      <c r="F1595" s="0" t="s">
        <v>3894</v>
      </c>
      <c r="G1595" s="0" t="s">
        <v>3877</v>
      </c>
    </row>
    <row r="1596" customFormat="false" ht="15" hidden="false" customHeight="false" outlineLevel="0" collapsed="false">
      <c r="A1596" s="0" t="s">
        <v>154</v>
      </c>
      <c r="B1596" s="0" t="n">
        <v>2015</v>
      </c>
      <c r="C1596" s="0" t="s">
        <v>60</v>
      </c>
      <c r="D1596" s="0" t="n">
        <v>188023</v>
      </c>
      <c r="E1596" s="0" t="s">
        <v>3885</v>
      </c>
      <c r="F1596" s="0" t="s">
        <v>3894</v>
      </c>
      <c r="G1596" s="0" t="s">
        <v>3877</v>
      </c>
    </row>
    <row r="1597" customFormat="false" ht="15" hidden="false" customHeight="false" outlineLevel="0" collapsed="false">
      <c r="A1597" s="0" t="s">
        <v>154</v>
      </c>
      <c r="B1597" s="0" t="n">
        <v>2015</v>
      </c>
      <c r="C1597" s="0" t="s">
        <v>61</v>
      </c>
      <c r="D1597" s="0" t="n">
        <v>2426</v>
      </c>
      <c r="E1597" s="0" t="s">
        <v>3885</v>
      </c>
      <c r="F1597" s="0" t="s">
        <v>3894</v>
      </c>
      <c r="G1597" s="0" t="s">
        <v>3877</v>
      </c>
    </row>
    <row r="1598" customFormat="false" ht="15" hidden="false" customHeight="false" outlineLevel="0" collapsed="false">
      <c r="A1598" s="0" t="s">
        <v>154</v>
      </c>
      <c r="B1598" s="0" t="n">
        <v>2015</v>
      </c>
      <c r="C1598" s="0" t="s">
        <v>266</v>
      </c>
      <c r="D1598" s="0" t="n">
        <v>2.67</v>
      </c>
      <c r="E1598" s="0" t="s">
        <v>3885</v>
      </c>
      <c r="F1598" s="0" t="s">
        <v>3894</v>
      </c>
      <c r="G1598" s="0" t="s">
        <v>3877</v>
      </c>
    </row>
    <row r="1599" customFormat="false" ht="15" hidden="false" customHeight="false" outlineLevel="0" collapsed="false">
      <c r="A1599" s="0" t="s">
        <v>154</v>
      </c>
      <c r="B1599" s="0" t="n">
        <v>2015</v>
      </c>
      <c r="C1599" s="0" t="s">
        <v>69</v>
      </c>
      <c r="D1599" s="0" t="n">
        <v>15.1</v>
      </c>
      <c r="E1599" s="0" t="s">
        <v>3885</v>
      </c>
      <c r="F1599" s="0" t="s">
        <v>3894</v>
      </c>
      <c r="G1599" s="0" t="s">
        <v>3877</v>
      </c>
    </row>
    <row r="1600" customFormat="false" ht="15" hidden="false" customHeight="false" outlineLevel="0" collapsed="false">
      <c r="A1600" s="0" t="s">
        <v>154</v>
      </c>
      <c r="B1600" s="0" t="n">
        <v>2015</v>
      </c>
      <c r="C1600" s="0" t="s">
        <v>73</v>
      </c>
      <c r="D1600" s="0" t="n">
        <v>0</v>
      </c>
      <c r="E1600" s="0" t="s">
        <v>3885</v>
      </c>
      <c r="F1600" s="0" t="s">
        <v>3894</v>
      </c>
      <c r="G1600" s="0" t="s">
        <v>3877</v>
      </c>
    </row>
    <row r="1601" customFormat="false" ht="15" hidden="false" customHeight="false" outlineLevel="0" collapsed="false">
      <c r="A1601" s="0" t="s">
        <v>154</v>
      </c>
      <c r="B1601" s="0" t="n">
        <v>2015</v>
      </c>
      <c r="C1601" s="0" t="s">
        <v>920</v>
      </c>
      <c r="D1601" s="0" t="s">
        <v>988</v>
      </c>
      <c r="E1601" s="0" t="s">
        <v>3885</v>
      </c>
      <c r="F1601" s="0" t="s">
        <v>3894</v>
      </c>
      <c r="G1601" s="0" t="s">
        <v>3877</v>
      </c>
    </row>
    <row r="1602" customFormat="false" ht="15" hidden="false" customHeight="false" outlineLevel="0" collapsed="false">
      <c r="A1602" s="0" t="s">
        <v>154</v>
      </c>
      <c r="B1602" s="0" t="n">
        <v>2016</v>
      </c>
      <c r="C1602" s="0" t="s">
        <v>54</v>
      </c>
      <c r="D1602" s="0" t="n">
        <v>2592</v>
      </c>
      <c r="E1602" s="0" t="s">
        <v>3885</v>
      </c>
      <c r="F1602" s="0" t="s">
        <v>3894</v>
      </c>
      <c r="G1602" s="0" t="s">
        <v>3877</v>
      </c>
    </row>
    <row r="1603" customFormat="false" ht="15" hidden="false" customHeight="false" outlineLevel="0" collapsed="false">
      <c r="A1603" s="0" t="s">
        <v>154</v>
      </c>
      <c r="B1603" s="0" t="n">
        <v>2016</v>
      </c>
      <c r="C1603" s="0" t="s">
        <v>670</v>
      </c>
      <c r="D1603" s="0" t="n">
        <v>53834</v>
      </c>
      <c r="E1603" s="0" t="s">
        <v>3885</v>
      </c>
      <c r="F1603" s="0" t="s">
        <v>3894</v>
      </c>
      <c r="G1603" s="0" t="s">
        <v>3877</v>
      </c>
    </row>
    <row r="1604" customFormat="false" ht="15" hidden="false" customHeight="false" outlineLevel="0" collapsed="false">
      <c r="A1604" s="0" t="s">
        <v>154</v>
      </c>
      <c r="B1604" s="0" t="n">
        <v>2016</v>
      </c>
      <c r="C1604" s="0" t="s">
        <v>55</v>
      </c>
      <c r="D1604" s="0" t="n">
        <v>421221</v>
      </c>
      <c r="E1604" s="0" t="s">
        <v>3885</v>
      </c>
      <c r="F1604" s="0" t="s">
        <v>3894</v>
      </c>
      <c r="G1604" s="0" t="s">
        <v>3877</v>
      </c>
    </row>
    <row r="1605" customFormat="false" ht="15" hidden="false" customHeight="false" outlineLevel="0" collapsed="false">
      <c r="A1605" s="0" t="s">
        <v>154</v>
      </c>
      <c r="B1605" s="0" t="n">
        <v>2016</v>
      </c>
      <c r="C1605" s="0" t="s">
        <v>60</v>
      </c>
      <c r="D1605" s="0" t="n">
        <v>229841</v>
      </c>
      <c r="E1605" s="0" t="s">
        <v>3885</v>
      </c>
      <c r="F1605" s="0" t="s">
        <v>3894</v>
      </c>
      <c r="G1605" s="0" t="s">
        <v>3877</v>
      </c>
    </row>
    <row r="1606" customFormat="false" ht="15" hidden="false" customHeight="false" outlineLevel="0" collapsed="false">
      <c r="A1606" s="0" t="s">
        <v>154</v>
      </c>
      <c r="B1606" s="0" t="n">
        <v>2016</v>
      </c>
      <c r="C1606" s="0" t="s">
        <v>61</v>
      </c>
      <c r="D1606" s="0" t="n">
        <v>2832</v>
      </c>
      <c r="E1606" s="0" t="s">
        <v>3885</v>
      </c>
      <c r="F1606" s="0" t="s">
        <v>3894</v>
      </c>
      <c r="G1606" s="0" t="s">
        <v>3877</v>
      </c>
    </row>
    <row r="1607" customFormat="false" ht="15" hidden="false" customHeight="false" outlineLevel="0" collapsed="false">
      <c r="A1607" s="0" t="s">
        <v>154</v>
      </c>
      <c r="B1607" s="0" t="n">
        <v>2016</v>
      </c>
      <c r="C1607" s="0" t="s">
        <v>63</v>
      </c>
      <c r="D1607" s="0" t="n">
        <v>412</v>
      </c>
      <c r="E1607" s="0" t="s">
        <v>3885</v>
      </c>
      <c r="F1607" s="0" t="s">
        <v>3894</v>
      </c>
      <c r="G1607" s="0" t="s">
        <v>3877</v>
      </c>
    </row>
    <row r="1608" customFormat="false" ht="15" hidden="false" customHeight="false" outlineLevel="0" collapsed="false">
      <c r="A1608" s="0" t="s">
        <v>154</v>
      </c>
      <c r="B1608" s="0" t="n">
        <v>2016</v>
      </c>
      <c r="C1608" s="0" t="s">
        <v>266</v>
      </c>
      <c r="D1608" s="0" t="n">
        <v>5.07</v>
      </c>
      <c r="E1608" s="0" t="s">
        <v>3885</v>
      </c>
      <c r="F1608" s="0" t="s">
        <v>3894</v>
      </c>
      <c r="G1608" s="0" t="s">
        <v>3877</v>
      </c>
    </row>
    <row r="1609" customFormat="false" ht="15" hidden="false" customHeight="false" outlineLevel="0" collapsed="false">
      <c r="A1609" s="0" t="s">
        <v>154</v>
      </c>
      <c r="B1609" s="0" t="n">
        <v>2016</v>
      </c>
      <c r="C1609" s="0" t="s">
        <v>69</v>
      </c>
      <c r="D1609" s="0" t="n">
        <v>11.07</v>
      </c>
      <c r="E1609" s="0" t="s">
        <v>3885</v>
      </c>
      <c r="F1609" s="0" t="s">
        <v>3894</v>
      </c>
      <c r="G1609" s="0" t="s">
        <v>3877</v>
      </c>
    </row>
    <row r="1610" customFormat="false" ht="15" hidden="false" customHeight="false" outlineLevel="0" collapsed="false">
      <c r="A1610" s="0" t="s">
        <v>154</v>
      </c>
      <c r="B1610" s="0" t="n">
        <v>2016</v>
      </c>
      <c r="C1610" s="0" t="s">
        <v>73</v>
      </c>
      <c r="D1610" s="0" t="n">
        <v>0</v>
      </c>
      <c r="E1610" s="0" t="s">
        <v>3885</v>
      </c>
      <c r="F1610" s="0" t="s">
        <v>3894</v>
      </c>
      <c r="G1610" s="0" t="s">
        <v>3877</v>
      </c>
    </row>
    <row r="1611" customFormat="false" ht="15" hidden="false" customHeight="false" outlineLevel="0" collapsed="false">
      <c r="A1611" s="0" t="s">
        <v>154</v>
      </c>
      <c r="B1611" s="0" t="n">
        <v>2016</v>
      </c>
      <c r="C1611" s="0" t="s">
        <v>920</v>
      </c>
      <c r="D1611" s="0" t="s">
        <v>988</v>
      </c>
      <c r="E1611" s="0" t="s">
        <v>3885</v>
      </c>
      <c r="F1611" s="0" t="s">
        <v>3894</v>
      </c>
      <c r="G1611" s="0" t="s">
        <v>3877</v>
      </c>
    </row>
    <row r="1612" customFormat="false" ht="15" hidden="false" customHeight="false" outlineLevel="0" collapsed="false">
      <c r="A1612" s="0" t="s">
        <v>154</v>
      </c>
      <c r="B1612" s="0" t="n">
        <v>2017</v>
      </c>
      <c r="C1612" s="0" t="s">
        <v>54</v>
      </c>
      <c r="D1612" s="0" t="n">
        <v>2301</v>
      </c>
      <c r="E1612" s="0" t="s">
        <v>3885</v>
      </c>
      <c r="F1612" s="0" t="s">
        <v>3894</v>
      </c>
      <c r="G1612" s="0" t="s">
        <v>3877</v>
      </c>
    </row>
    <row r="1613" customFormat="false" ht="15" hidden="false" customHeight="false" outlineLevel="0" collapsed="false">
      <c r="A1613" s="0" t="s">
        <v>154</v>
      </c>
      <c r="B1613" s="0" t="n">
        <v>2017</v>
      </c>
      <c r="C1613" s="0" t="s">
        <v>670</v>
      </c>
      <c r="D1613" s="0" t="n">
        <v>64858</v>
      </c>
      <c r="E1613" s="0" t="s">
        <v>3885</v>
      </c>
      <c r="F1613" s="0" t="s">
        <v>3894</v>
      </c>
      <c r="G1613" s="0" t="s">
        <v>3877</v>
      </c>
    </row>
    <row r="1614" customFormat="false" ht="15" hidden="false" customHeight="false" outlineLevel="0" collapsed="false">
      <c r="A1614" s="0" t="s">
        <v>154</v>
      </c>
      <c r="B1614" s="0" t="n">
        <v>2017</v>
      </c>
      <c r="C1614" s="0" t="s">
        <v>55</v>
      </c>
      <c r="D1614" s="0" t="n">
        <v>385388</v>
      </c>
      <c r="E1614" s="0" t="s">
        <v>3885</v>
      </c>
      <c r="F1614" s="0" t="s">
        <v>3894</v>
      </c>
      <c r="G1614" s="0" t="s">
        <v>3877</v>
      </c>
    </row>
    <row r="1615" customFormat="false" ht="15" hidden="false" customHeight="false" outlineLevel="0" collapsed="false">
      <c r="A1615" s="0" t="s">
        <v>154</v>
      </c>
      <c r="B1615" s="0" t="n">
        <v>2017</v>
      </c>
      <c r="C1615" s="0" t="s">
        <v>60</v>
      </c>
      <c r="D1615" s="0" t="n">
        <v>220076</v>
      </c>
      <c r="E1615" s="0" t="s">
        <v>3885</v>
      </c>
      <c r="F1615" s="0" t="s">
        <v>3894</v>
      </c>
      <c r="G1615" s="0" t="s">
        <v>3877</v>
      </c>
    </row>
    <row r="1616" customFormat="false" ht="15" hidden="false" customHeight="false" outlineLevel="0" collapsed="false">
      <c r="A1616" s="0" t="s">
        <v>154</v>
      </c>
      <c r="B1616" s="0" t="n">
        <v>2017</v>
      </c>
      <c r="C1616" s="0" t="s">
        <v>61</v>
      </c>
      <c r="D1616" s="0" t="n">
        <v>4236</v>
      </c>
      <c r="E1616" s="0" t="s">
        <v>3885</v>
      </c>
      <c r="F1616" s="0" t="s">
        <v>3894</v>
      </c>
      <c r="G1616" s="0" t="s">
        <v>3877</v>
      </c>
    </row>
    <row r="1617" customFormat="false" ht="15" hidden="false" customHeight="false" outlineLevel="0" collapsed="false">
      <c r="A1617" s="0" t="s">
        <v>154</v>
      </c>
      <c r="B1617" s="0" t="n">
        <v>2017</v>
      </c>
      <c r="C1617" s="0" t="s">
        <v>63</v>
      </c>
      <c r="D1617" s="0" t="n">
        <v>2180</v>
      </c>
      <c r="E1617" s="0" t="s">
        <v>3885</v>
      </c>
      <c r="F1617" s="0" t="s">
        <v>3894</v>
      </c>
      <c r="G1617" s="0" t="s">
        <v>3877</v>
      </c>
    </row>
    <row r="1618" customFormat="false" ht="15" hidden="false" customHeight="false" outlineLevel="0" collapsed="false">
      <c r="A1618" s="0" t="s">
        <v>154</v>
      </c>
      <c r="B1618" s="0" t="n">
        <v>2017</v>
      </c>
      <c r="C1618" s="0" t="s">
        <v>266</v>
      </c>
      <c r="D1618" s="0" t="n">
        <v>3.52</v>
      </c>
      <c r="E1618" s="0" t="s">
        <v>3885</v>
      </c>
      <c r="F1618" s="0" t="s">
        <v>3894</v>
      </c>
      <c r="G1618" s="0" t="s">
        <v>3877</v>
      </c>
    </row>
    <row r="1619" customFormat="false" ht="15" hidden="false" customHeight="false" outlineLevel="0" collapsed="false">
      <c r="A1619" s="0" t="s">
        <v>154</v>
      </c>
      <c r="B1619" s="0" t="n">
        <v>2017</v>
      </c>
      <c r="C1619" s="0" t="s">
        <v>69</v>
      </c>
      <c r="D1619" s="0" t="n">
        <v>14.32</v>
      </c>
      <c r="E1619" s="0" t="s">
        <v>3885</v>
      </c>
      <c r="F1619" s="0" t="s">
        <v>3894</v>
      </c>
      <c r="G1619" s="0" t="s">
        <v>3877</v>
      </c>
    </row>
    <row r="1620" customFormat="false" ht="15" hidden="false" customHeight="false" outlineLevel="0" collapsed="false">
      <c r="A1620" s="0" t="s">
        <v>154</v>
      </c>
      <c r="B1620" s="0" t="n">
        <v>2017</v>
      </c>
      <c r="C1620" s="0" t="s">
        <v>73</v>
      </c>
      <c r="D1620" s="0" t="n">
        <v>0</v>
      </c>
      <c r="E1620" s="0" t="s">
        <v>3885</v>
      </c>
      <c r="F1620" s="0" t="s">
        <v>3894</v>
      </c>
      <c r="G1620" s="0" t="s">
        <v>3877</v>
      </c>
    </row>
    <row r="1621" customFormat="false" ht="15" hidden="false" customHeight="false" outlineLevel="0" collapsed="false">
      <c r="A1621" s="0" t="s">
        <v>154</v>
      </c>
      <c r="B1621" s="0" t="n">
        <v>2017</v>
      </c>
      <c r="C1621" s="0" t="s">
        <v>920</v>
      </c>
      <c r="D1621" s="0" t="s">
        <v>994</v>
      </c>
      <c r="E1621" s="0" t="s">
        <v>3885</v>
      </c>
      <c r="F1621" s="0" t="s">
        <v>3894</v>
      </c>
      <c r="G1621" s="0" t="s">
        <v>3877</v>
      </c>
    </row>
    <row r="1622" customFormat="false" ht="15" hidden="false" customHeight="false" outlineLevel="0" collapsed="false">
      <c r="A1622" s="0" t="s">
        <v>154</v>
      </c>
      <c r="B1622" s="0" t="n">
        <v>2018</v>
      </c>
      <c r="C1622" s="0" t="s">
        <v>73</v>
      </c>
      <c r="D1622" s="0" t="n">
        <v>0</v>
      </c>
      <c r="E1622" s="0" t="s">
        <v>3885</v>
      </c>
      <c r="F1622" s="0" t="s">
        <v>3894</v>
      </c>
      <c r="G1622" s="0" t="s">
        <v>3877</v>
      </c>
    </row>
    <row r="1623" customFormat="false" ht="15" hidden="false" customHeight="false" outlineLevel="0" collapsed="false">
      <c r="A1623" s="0" t="s">
        <v>154</v>
      </c>
      <c r="B1623" s="0" t="n">
        <v>2018</v>
      </c>
      <c r="C1623" s="0" t="s">
        <v>920</v>
      </c>
      <c r="D1623" s="0" t="s">
        <v>3882</v>
      </c>
      <c r="E1623" s="0" t="s">
        <v>3885</v>
      </c>
      <c r="F1623" s="0" t="s">
        <v>3894</v>
      </c>
      <c r="G1623" s="0" t="s">
        <v>3877</v>
      </c>
    </row>
    <row r="1624" customFormat="false" ht="15" hidden="false" customHeight="false" outlineLevel="0" collapsed="false">
      <c r="A1624" s="0" t="s">
        <v>154</v>
      </c>
      <c r="B1624" s="0" t="n">
        <v>2019</v>
      </c>
      <c r="C1624" s="0" t="s">
        <v>54</v>
      </c>
      <c r="D1624" s="0" t="n">
        <v>5211</v>
      </c>
      <c r="E1624" s="0" t="s">
        <v>3885</v>
      </c>
      <c r="F1624" s="0" t="s">
        <v>3894</v>
      </c>
      <c r="G1624" s="0" t="s">
        <v>3877</v>
      </c>
    </row>
    <row r="1625" customFormat="false" ht="15" hidden="false" customHeight="false" outlineLevel="0" collapsed="false">
      <c r="A1625" s="0" t="s">
        <v>154</v>
      </c>
      <c r="B1625" s="0" t="n">
        <v>2019</v>
      </c>
      <c r="C1625" s="0" t="s">
        <v>670</v>
      </c>
      <c r="D1625" s="0" t="n">
        <v>93390</v>
      </c>
      <c r="E1625" s="0" t="s">
        <v>3885</v>
      </c>
      <c r="F1625" s="0" t="s">
        <v>3894</v>
      </c>
      <c r="G1625" s="0" t="s">
        <v>3877</v>
      </c>
    </row>
    <row r="1626" customFormat="false" ht="15" hidden="false" customHeight="false" outlineLevel="0" collapsed="false">
      <c r="A1626" s="0" t="s">
        <v>154</v>
      </c>
      <c r="B1626" s="0" t="n">
        <v>2019</v>
      </c>
      <c r="C1626" s="0" t="s">
        <v>55</v>
      </c>
      <c r="D1626" s="0" t="n">
        <v>704956</v>
      </c>
      <c r="E1626" s="0" t="s">
        <v>3885</v>
      </c>
      <c r="F1626" s="0" t="s">
        <v>3894</v>
      </c>
      <c r="G1626" s="0" t="s">
        <v>3877</v>
      </c>
    </row>
    <row r="1627" customFormat="false" ht="15" hidden="false" customHeight="false" outlineLevel="0" collapsed="false">
      <c r="A1627" s="0" t="s">
        <v>154</v>
      </c>
      <c r="B1627" s="0" t="n">
        <v>2019</v>
      </c>
      <c r="C1627" s="0" t="s">
        <v>60</v>
      </c>
      <c r="D1627" s="0" t="n">
        <v>301368</v>
      </c>
      <c r="E1627" s="0" t="s">
        <v>3885</v>
      </c>
      <c r="F1627" s="0" t="s">
        <v>3894</v>
      </c>
      <c r="G1627" s="0" t="s">
        <v>3877</v>
      </c>
    </row>
    <row r="1628" customFormat="false" ht="15" hidden="false" customHeight="false" outlineLevel="0" collapsed="false">
      <c r="A1628" s="0" t="s">
        <v>154</v>
      </c>
      <c r="B1628" s="0" t="n">
        <v>2019</v>
      </c>
      <c r="C1628" s="0" t="s">
        <v>61</v>
      </c>
      <c r="D1628" s="0" t="n">
        <v>12128</v>
      </c>
      <c r="E1628" s="0" t="s">
        <v>3885</v>
      </c>
      <c r="F1628" s="0" t="s">
        <v>3894</v>
      </c>
      <c r="G1628" s="0" t="s">
        <v>3877</v>
      </c>
    </row>
    <row r="1629" customFormat="false" ht="15" hidden="false" customHeight="false" outlineLevel="0" collapsed="false">
      <c r="A1629" s="0" t="s">
        <v>154</v>
      </c>
      <c r="B1629" s="0" t="n">
        <v>2019</v>
      </c>
      <c r="C1629" s="0" t="s">
        <v>63</v>
      </c>
      <c r="D1629" s="0" t="n">
        <v>6131</v>
      </c>
      <c r="E1629" s="0" t="s">
        <v>3885</v>
      </c>
      <c r="F1629" s="0" t="s">
        <v>3894</v>
      </c>
      <c r="G1629" s="0" t="s">
        <v>3877</v>
      </c>
    </row>
    <row r="1630" customFormat="false" ht="15" hidden="false" customHeight="false" outlineLevel="0" collapsed="false">
      <c r="A1630" s="0" t="s">
        <v>154</v>
      </c>
      <c r="B1630" s="0" t="n">
        <v>2019</v>
      </c>
      <c r="C1630" s="0" t="s">
        <v>266</v>
      </c>
      <c r="D1630" s="0" t="n">
        <v>7.38</v>
      </c>
      <c r="E1630" s="0" t="s">
        <v>3885</v>
      </c>
      <c r="F1630" s="0" t="s">
        <v>3894</v>
      </c>
      <c r="G1630" s="0" t="s">
        <v>3877</v>
      </c>
    </row>
    <row r="1631" customFormat="false" ht="15" hidden="false" customHeight="false" outlineLevel="0" collapsed="false">
      <c r="A1631" s="0" t="s">
        <v>154</v>
      </c>
      <c r="B1631" s="0" t="n">
        <v>2019</v>
      </c>
      <c r="C1631" s="0" t="s">
        <v>69</v>
      </c>
      <c r="D1631" s="0" t="n">
        <v>13.6</v>
      </c>
      <c r="E1631" s="0" t="s">
        <v>3885</v>
      </c>
      <c r="F1631" s="0" t="s">
        <v>3894</v>
      </c>
      <c r="G1631" s="0" t="s">
        <v>3877</v>
      </c>
    </row>
    <row r="1632" customFormat="false" ht="15" hidden="false" customHeight="false" outlineLevel="0" collapsed="false">
      <c r="A1632" s="0" t="s">
        <v>154</v>
      </c>
      <c r="B1632" s="0" t="n">
        <v>2019</v>
      </c>
      <c r="C1632" s="0" t="s">
        <v>73</v>
      </c>
      <c r="D1632" s="0" t="n">
        <v>0</v>
      </c>
      <c r="E1632" s="0" t="s">
        <v>3885</v>
      </c>
      <c r="F1632" s="0" t="s">
        <v>3894</v>
      </c>
      <c r="G1632" s="0" t="s">
        <v>3877</v>
      </c>
    </row>
    <row r="1633" customFormat="false" ht="15" hidden="false" customHeight="false" outlineLevel="0" collapsed="false">
      <c r="A1633" s="0" t="s">
        <v>154</v>
      </c>
      <c r="B1633" s="0" t="n">
        <v>2019</v>
      </c>
      <c r="C1633" s="0" t="s">
        <v>920</v>
      </c>
      <c r="D1633" s="0" t="s">
        <v>994</v>
      </c>
      <c r="E1633" s="0" t="s">
        <v>3885</v>
      </c>
      <c r="F1633" s="0" t="s">
        <v>3894</v>
      </c>
      <c r="G1633" s="0" t="s">
        <v>3877</v>
      </c>
    </row>
    <row r="1634" customFormat="false" ht="15" hidden="false" customHeight="false" outlineLevel="0" collapsed="false">
      <c r="A1634" s="0" t="s">
        <v>154</v>
      </c>
      <c r="B1634" s="0" t="n">
        <v>2020</v>
      </c>
      <c r="C1634" s="0" t="s">
        <v>54</v>
      </c>
      <c r="D1634" s="0" t="n">
        <v>4592</v>
      </c>
      <c r="E1634" s="0" t="s">
        <v>3885</v>
      </c>
      <c r="F1634" s="0" t="s">
        <v>3894</v>
      </c>
      <c r="G1634" s="0" t="s">
        <v>3877</v>
      </c>
    </row>
    <row r="1635" customFormat="false" ht="15" hidden="false" customHeight="false" outlineLevel="0" collapsed="false">
      <c r="A1635" s="0" t="s">
        <v>154</v>
      </c>
      <c r="B1635" s="0" t="n">
        <v>2020</v>
      </c>
      <c r="C1635" s="0" t="s">
        <v>670</v>
      </c>
      <c r="D1635" s="0" t="n">
        <v>79877</v>
      </c>
      <c r="E1635" s="0" t="s">
        <v>3885</v>
      </c>
      <c r="F1635" s="0" t="s">
        <v>3894</v>
      </c>
      <c r="G1635" s="0" t="s">
        <v>3877</v>
      </c>
    </row>
    <row r="1636" customFormat="false" ht="15" hidden="false" customHeight="false" outlineLevel="0" collapsed="false">
      <c r="A1636" s="0" t="s">
        <v>154</v>
      </c>
      <c r="B1636" s="0" t="n">
        <v>2020</v>
      </c>
      <c r="C1636" s="0" t="s">
        <v>55</v>
      </c>
      <c r="D1636" s="0" t="n">
        <v>968582</v>
      </c>
      <c r="E1636" s="0" t="s">
        <v>3885</v>
      </c>
      <c r="F1636" s="0" t="s">
        <v>3894</v>
      </c>
      <c r="G1636" s="0" t="s">
        <v>3877</v>
      </c>
    </row>
    <row r="1637" customFormat="false" ht="15" hidden="false" customHeight="false" outlineLevel="0" collapsed="false">
      <c r="A1637" s="0" t="s">
        <v>154</v>
      </c>
      <c r="B1637" s="0" t="n">
        <v>2020</v>
      </c>
      <c r="C1637" s="0" t="s">
        <v>60</v>
      </c>
      <c r="D1637" s="0" t="n">
        <v>375040</v>
      </c>
      <c r="E1637" s="0" t="s">
        <v>3885</v>
      </c>
      <c r="F1637" s="0" t="s">
        <v>3894</v>
      </c>
      <c r="G1637" s="0" t="s">
        <v>3877</v>
      </c>
    </row>
    <row r="1638" customFormat="false" ht="15" hidden="false" customHeight="false" outlineLevel="0" collapsed="false">
      <c r="A1638" s="0" t="s">
        <v>154</v>
      </c>
      <c r="B1638" s="0" t="n">
        <v>2020</v>
      </c>
      <c r="C1638" s="0" t="s">
        <v>61</v>
      </c>
      <c r="D1638" s="0" t="n">
        <v>14964</v>
      </c>
      <c r="E1638" s="0" t="s">
        <v>3885</v>
      </c>
      <c r="F1638" s="0" t="s">
        <v>3894</v>
      </c>
      <c r="G1638" s="0" t="s">
        <v>3877</v>
      </c>
    </row>
    <row r="1639" customFormat="false" ht="15" hidden="false" customHeight="false" outlineLevel="0" collapsed="false">
      <c r="A1639" s="0" t="s">
        <v>154</v>
      </c>
      <c r="B1639" s="0" t="n">
        <v>2020</v>
      </c>
      <c r="C1639" s="0" t="s">
        <v>63</v>
      </c>
      <c r="D1639" s="0" t="n">
        <v>5635</v>
      </c>
      <c r="E1639" s="0" t="s">
        <v>3885</v>
      </c>
      <c r="F1639" s="0" t="s">
        <v>3894</v>
      </c>
      <c r="G1639" s="0" t="s">
        <v>3877</v>
      </c>
    </row>
    <row r="1640" customFormat="false" ht="15" hidden="false" customHeight="false" outlineLevel="0" collapsed="false">
      <c r="A1640" s="0" t="s">
        <v>154</v>
      </c>
      <c r="B1640" s="0" t="n">
        <v>2020</v>
      </c>
      <c r="C1640" s="0" t="s">
        <v>266</v>
      </c>
      <c r="D1640" s="0" t="n">
        <v>4.69</v>
      </c>
      <c r="E1640" s="0" t="s">
        <v>3885</v>
      </c>
      <c r="F1640" s="0" t="s">
        <v>3894</v>
      </c>
      <c r="G1640" s="0" t="s">
        <v>3877</v>
      </c>
    </row>
    <row r="1641" customFormat="false" ht="15" hidden="false" customHeight="false" outlineLevel="0" collapsed="false">
      <c r="A1641" s="0" t="s">
        <v>154</v>
      </c>
      <c r="B1641" s="0" t="n">
        <v>2020</v>
      </c>
      <c r="C1641" s="0" t="s">
        <v>69</v>
      </c>
      <c r="D1641" s="0" t="n">
        <v>15.01</v>
      </c>
      <c r="E1641" s="0" t="s">
        <v>3885</v>
      </c>
      <c r="F1641" s="0" t="s">
        <v>3894</v>
      </c>
      <c r="G1641" s="0" t="s">
        <v>3877</v>
      </c>
    </row>
    <row r="1642" customFormat="false" ht="15" hidden="false" customHeight="false" outlineLevel="0" collapsed="false">
      <c r="A1642" s="0" t="s">
        <v>154</v>
      </c>
      <c r="B1642" s="0" t="n">
        <v>2020</v>
      </c>
      <c r="C1642" s="0" t="s">
        <v>73</v>
      </c>
      <c r="D1642" s="0" t="n">
        <v>0</v>
      </c>
      <c r="E1642" s="0" t="s">
        <v>3885</v>
      </c>
      <c r="F1642" s="0" t="s">
        <v>3894</v>
      </c>
      <c r="G1642" s="0" t="s">
        <v>3877</v>
      </c>
    </row>
    <row r="1643" customFormat="false" ht="15" hidden="false" customHeight="false" outlineLevel="0" collapsed="false">
      <c r="A1643" s="0" t="s">
        <v>154</v>
      </c>
      <c r="B1643" s="0" t="n">
        <v>2020</v>
      </c>
      <c r="C1643" s="0" t="s">
        <v>920</v>
      </c>
      <c r="D1643" s="0" t="s">
        <v>994</v>
      </c>
      <c r="E1643" s="0" t="s">
        <v>3885</v>
      </c>
      <c r="F1643" s="0" t="s">
        <v>3894</v>
      </c>
      <c r="G1643" s="0" t="s">
        <v>3877</v>
      </c>
    </row>
    <row r="1644" customFormat="false" ht="15" hidden="false" customHeight="false" outlineLevel="0" collapsed="false">
      <c r="A1644" s="0" t="s">
        <v>154</v>
      </c>
      <c r="B1644" s="0" t="n">
        <v>2021</v>
      </c>
      <c r="C1644" s="0" t="s">
        <v>54</v>
      </c>
      <c r="D1644" s="0" t="n">
        <v>8933</v>
      </c>
      <c r="E1644" s="0" t="s">
        <v>3885</v>
      </c>
      <c r="F1644" s="0" t="s">
        <v>3894</v>
      </c>
      <c r="G1644" s="0" t="s">
        <v>3877</v>
      </c>
    </row>
    <row r="1645" customFormat="false" ht="15" hidden="false" customHeight="false" outlineLevel="0" collapsed="false">
      <c r="A1645" s="0" t="s">
        <v>154</v>
      </c>
      <c r="B1645" s="0" t="n">
        <v>2021</v>
      </c>
      <c r="C1645" s="0" t="s">
        <v>670</v>
      </c>
      <c r="D1645" s="0" t="n">
        <v>92137</v>
      </c>
      <c r="E1645" s="0" t="s">
        <v>3885</v>
      </c>
      <c r="F1645" s="0" t="s">
        <v>3894</v>
      </c>
      <c r="G1645" s="0" t="s">
        <v>3877</v>
      </c>
    </row>
    <row r="1646" customFormat="false" ht="15" hidden="false" customHeight="false" outlineLevel="0" collapsed="false">
      <c r="A1646" s="0" t="s">
        <v>154</v>
      </c>
      <c r="B1646" s="0" t="n">
        <v>2021</v>
      </c>
      <c r="C1646" s="0" t="s">
        <v>55</v>
      </c>
      <c r="D1646" s="0" t="n">
        <v>1164518</v>
      </c>
      <c r="E1646" s="0" t="s">
        <v>3885</v>
      </c>
      <c r="F1646" s="0" t="s">
        <v>3894</v>
      </c>
      <c r="G1646" s="0" t="s">
        <v>3877</v>
      </c>
    </row>
    <row r="1647" customFormat="false" ht="15" hidden="false" customHeight="false" outlineLevel="0" collapsed="false">
      <c r="A1647" s="0" t="s">
        <v>154</v>
      </c>
      <c r="B1647" s="0" t="n">
        <v>2021</v>
      </c>
      <c r="C1647" s="0" t="s">
        <v>60</v>
      </c>
      <c r="D1647" s="0" t="n">
        <v>435552</v>
      </c>
      <c r="E1647" s="0" t="s">
        <v>3885</v>
      </c>
      <c r="F1647" s="0" t="s">
        <v>3894</v>
      </c>
      <c r="G1647" s="0" t="s">
        <v>3877</v>
      </c>
    </row>
    <row r="1648" customFormat="false" ht="15" hidden="false" customHeight="false" outlineLevel="0" collapsed="false">
      <c r="A1648" s="0" t="s">
        <v>154</v>
      </c>
      <c r="B1648" s="0" t="n">
        <v>2021</v>
      </c>
      <c r="C1648" s="0" t="s">
        <v>61</v>
      </c>
      <c r="D1648" s="0" t="n">
        <v>16688</v>
      </c>
      <c r="E1648" s="0" t="s">
        <v>3885</v>
      </c>
      <c r="F1648" s="0" t="s">
        <v>3894</v>
      </c>
      <c r="G1648" s="0" t="s">
        <v>3877</v>
      </c>
    </row>
    <row r="1649" customFormat="false" ht="15" hidden="false" customHeight="false" outlineLevel="0" collapsed="false">
      <c r="A1649" s="0" t="s">
        <v>154</v>
      </c>
      <c r="B1649" s="0" t="n">
        <v>2021</v>
      </c>
      <c r="C1649" s="0" t="s">
        <v>63</v>
      </c>
      <c r="D1649" s="0" t="n">
        <v>2104</v>
      </c>
      <c r="E1649" s="0" t="s">
        <v>3885</v>
      </c>
      <c r="F1649" s="0" t="s">
        <v>3894</v>
      </c>
      <c r="G1649" s="0" t="s">
        <v>3877</v>
      </c>
    </row>
    <row r="1650" customFormat="false" ht="15" hidden="false" customHeight="false" outlineLevel="0" collapsed="false">
      <c r="A1650" s="0" t="s">
        <v>154</v>
      </c>
      <c r="B1650" s="0" t="n">
        <v>2021</v>
      </c>
      <c r="C1650" s="0" t="s">
        <v>266</v>
      </c>
      <c r="D1650" s="0" t="n">
        <v>4.88</v>
      </c>
      <c r="E1650" s="0" t="s">
        <v>3885</v>
      </c>
      <c r="F1650" s="0" t="s">
        <v>3894</v>
      </c>
      <c r="G1650" s="0" t="s">
        <v>3877</v>
      </c>
    </row>
    <row r="1651" customFormat="false" ht="15" hidden="false" customHeight="false" outlineLevel="0" collapsed="false">
      <c r="A1651" s="0" t="s">
        <v>154</v>
      </c>
      <c r="B1651" s="0" t="n">
        <v>2021</v>
      </c>
      <c r="C1651" s="0" t="s">
        <v>69</v>
      </c>
      <c r="D1651" s="0" t="n">
        <v>11.71</v>
      </c>
      <c r="E1651" s="0" t="s">
        <v>3885</v>
      </c>
      <c r="F1651" s="0" t="s">
        <v>3894</v>
      </c>
      <c r="G1651" s="0" t="s">
        <v>3877</v>
      </c>
    </row>
    <row r="1652" customFormat="false" ht="15" hidden="false" customHeight="false" outlineLevel="0" collapsed="false">
      <c r="A1652" s="0" t="s">
        <v>154</v>
      </c>
      <c r="B1652" s="0" t="n">
        <v>2021</v>
      </c>
      <c r="C1652" s="0" t="s">
        <v>73</v>
      </c>
      <c r="D1652" s="0" t="n">
        <v>0</v>
      </c>
      <c r="E1652" s="0" t="s">
        <v>3885</v>
      </c>
      <c r="F1652" s="0" t="s">
        <v>3894</v>
      </c>
      <c r="G1652" s="0" t="s">
        <v>3877</v>
      </c>
    </row>
    <row r="1653" customFormat="false" ht="15" hidden="false" customHeight="false" outlineLevel="0" collapsed="false">
      <c r="A1653" s="0" t="s">
        <v>154</v>
      </c>
      <c r="B1653" s="0" t="n">
        <v>2021</v>
      </c>
      <c r="C1653" s="0" t="s">
        <v>920</v>
      </c>
      <c r="D1653" s="0" t="s">
        <v>1973</v>
      </c>
      <c r="E1653" s="0" t="s">
        <v>3885</v>
      </c>
      <c r="F1653" s="0" t="s">
        <v>3894</v>
      </c>
      <c r="G1653" s="0" t="s">
        <v>3877</v>
      </c>
    </row>
    <row r="1654" customFormat="false" ht="15" hidden="false" customHeight="false" outlineLevel="0" collapsed="false">
      <c r="A1654" s="0" t="s">
        <v>154</v>
      </c>
      <c r="B1654" s="0" t="n">
        <v>2022</v>
      </c>
      <c r="C1654" s="0" t="s">
        <v>54</v>
      </c>
      <c r="D1654" s="0" t="n">
        <v>11214</v>
      </c>
      <c r="E1654" s="0" t="s">
        <v>3885</v>
      </c>
      <c r="F1654" s="0" t="s">
        <v>3894</v>
      </c>
      <c r="G1654" s="0" t="s">
        <v>3877</v>
      </c>
    </row>
    <row r="1655" customFormat="false" ht="15" hidden="false" customHeight="false" outlineLevel="0" collapsed="false">
      <c r="A1655" s="0" t="s">
        <v>154</v>
      </c>
      <c r="B1655" s="0" t="n">
        <v>2022</v>
      </c>
      <c r="C1655" s="0" t="s">
        <v>670</v>
      </c>
      <c r="D1655" s="0" t="n">
        <v>131083</v>
      </c>
      <c r="E1655" s="0" t="s">
        <v>3885</v>
      </c>
      <c r="F1655" s="0" t="s">
        <v>3894</v>
      </c>
      <c r="G1655" s="0" t="s">
        <v>3877</v>
      </c>
    </row>
    <row r="1656" customFormat="false" ht="15" hidden="false" customHeight="false" outlineLevel="0" collapsed="false">
      <c r="A1656" s="0" t="s">
        <v>154</v>
      </c>
      <c r="B1656" s="0" t="n">
        <v>2022</v>
      </c>
      <c r="C1656" s="0" t="s">
        <v>55</v>
      </c>
      <c r="D1656" s="0" t="n">
        <v>1433704</v>
      </c>
      <c r="E1656" s="0" t="s">
        <v>3885</v>
      </c>
      <c r="F1656" s="0" t="s">
        <v>3894</v>
      </c>
      <c r="G1656" s="0" t="s">
        <v>3877</v>
      </c>
    </row>
    <row r="1657" customFormat="false" ht="15" hidden="false" customHeight="false" outlineLevel="0" collapsed="false">
      <c r="A1657" s="0" t="s">
        <v>154</v>
      </c>
      <c r="B1657" s="0" t="n">
        <v>2022</v>
      </c>
      <c r="C1657" s="0" t="s">
        <v>60</v>
      </c>
      <c r="D1657" s="0" t="n">
        <v>539372</v>
      </c>
      <c r="E1657" s="0" t="s">
        <v>3885</v>
      </c>
      <c r="F1657" s="0" t="s">
        <v>3894</v>
      </c>
      <c r="G1657" s="0" t="s">
        <v>3877</v>
      </c>
    </row>
    <row r="1658" customFormat="false" ht="15" hidden="false" customHeight="false" outlineLevel="0" collapsed="false">
      <c r="A1658" s="0" t="s">
        <v>154</v>
      </c>
      <c r="B1658" s="0" t="n">
        <v>2022</v>
      </c>
      <c r="C1658" s="0" t="s">
        <v>61</v>
      </c>
      <c r="D1658" s="0" t="n">
        <v>17941</v>
      </c>
      <c r="E1658" s="0" t="s">
        <v>3885</v>
      </c>
      <c r="F1658" s="0" t="s">
        <v>3894</v>
      </c>
      <c r="G1658" s="0" t="s">
        <v>3877</v>
      </c>
    </row>
    <row r="1659" customFormat="false" ht="15" hidden="false" customHeight="false" outlineLevel="0" collapsed="false">
      <c r="A1659" s="0" t="s">
        <v>154</v>
      </c>
      <c r="B1659" s="0" t="n">
        <v>2022</v>
      </c>
      <c r="C1659" s="0" t="s">
        <v>63</v>
      </c>
      <c r="D1659" s="0" t="n">
        <v>4808</v>
      </c>
      <c r="E1659" s="0" t="s">
        <v>3885</v>
      </c>
      <c r="F1659" s="0" t="s">
        <v>3894</v>
      </c>
      <c r="G1659" s="0" t="s">
        <v>3877</v>
      </c>
    </row>
    <row r="1660" customFormat="false" ht="15" hidden="false" customHeight="false" outlineLevel="0" collapsed="false">
      <c r="A1660" s="0" t="s">
        <v>154</v>
      </c>
      <c r="B1660" s="0" t="n">
        <v>2022</v>
      </c>
      <c r="C1660" s="0" t="s">
        <v>266</v>
      </c>
      <c r="D1660" s="0" t="n">
        <v>6.08</v>
      </c>
      <c r="E1660" s="0" t="s">
        <v>3885</v>
      </c>
      <c r="F1660" s="0" t="s">
        <v>3894</v>
      </c>
      <c r="G1660" s="0" t="s">
        <v>3877</v>
      </c>
    </row>
    <row r="1661" customFormat="false" ht="15" hidden="false" customHeight="false" outlineLevel="0" collapsed="false">
      <c r="A1661" s="0" t="s">
        <v>154</v>
      </c>
      <c r="B1661" s="0" t="n">
        <v>2022</v>
      </c>
      <c r="C1661" s="0" t="s">
        <v>69</v>
      </c>
      <c r="D1661" s="0" t="n">
        <v>12.74</v>
      </c>
      <c r="E1661" s="0" t="s">
        <v>3885</v>
      </c>
      <c r="F1661" s="0" t="s">
        <v>3894</v>
      </c>
      <c r="G1661" s="0" t="s">
        <v>3877</v>
      </c>
    </row>
    <row r="1662" customFormat="false" ht="15" hidden="false" customHeight="false" outlineLevel="0" collapsed="false">
      <c r="A1662" s="0" t="s">
        <v>154</v>
      </c>
      <c r="B1662" s="0" t="n">
        <v>2022</v>
      </c>
      <c r="C1662" s="0" t="s">
        <v>73</v>
      </c>
      <c r="D1662" s="0" t="n">
        <v>0</v>
      </c>
      <c r="E1662" s="0" t="s">
        <v>3885</v>
      </c>
      <c r="F1662" s="0" t="s">
        <v>3894</v>
      </c>
      <c r="G1662" s="0" t="s">
        <v>3877</v>
      </c>
    </row>
    <row r="1663" customFormat="false" ht="15" hidden="false" customHeight="false" outlineLevel="0" collapsed="false">
      <c r="A1663" s="0" t="s">
        <v>154</v>
      </c>
      <c r="B1663" s="0" t="n">
        <v>2022</v>
      </c>
      <c r="C1663" s="0" t="s">
        <v>920</v>
      </c>
      <c r="D1663" s="0" t="s">
        <v>1973</v>
      </c>
      <c r="E1663" s="0" t="s">
        <v>3885</v>
      </c>
      <c r="F1663" s="0" t="s">
        <v>3894</v>
      </c>
      <c r="G1663" s="0" t="s">
        <v>3877</v>
      </c>
    </row>
    <row r="1664" customFormat="false" ht="15" hidden="false" customHeight="false" outlineLevel="0" collapsed="false">
      <c r="A1664" s="0" t="s">
        <v>1246</v>
      </c>
      <c r="B1664" s="0" t="n">
        <v>2015</v>
      </c>
      <c r="C1664" s="0" t="s">
        <v>54</v>
      </c>
      <c r="D1664" s="0" t="n">
        <v>3542</v>
      </c>
      <c r="E1664" s="0" t="s">
        <v>3885</v>
      </c>
      <c r="F1664" s="0" t="s">
        <v>3895</v>
      </c>
      <c r="G1664" s="0" t="s">
        <v>3877</v>
      </c>
    </row>
    <row r="1665" customFormat="false" ht="15" hidden="false" customHeight="false" outlineLevel="0" collapsed="false">
      <c r="A1665" s="0" t="s">
        <v>1246</v>
      </c>
      <c r="B1665" s="0" t="n">
        <v>2015</v>
      </c>
      <c r="C1665" s="0" t="s">
        <v>670</v>
      </c>
      <c r="D1665" s="0" t="n">
        <v>84900</v>
      </c>
      <c r="E1665" s="0" t="s">
        <v>3885</v>
      </c>
      <c r="F1665" s="0" t="s">
        <v>3895</v>
      </c>
      <c r="G1665" s="0" t="s">
        <v>3877</v>
      </c>
    </row>
    <row r="1666" customFormat="false" ht="15" hidden="false" customHeight="false" outlineLevel="0" collapsed="false">
      <c r="A1666" s="0" t="s">
        <v>1246</v>
      </c>
      <c r="B1666" s="0" t="n">
        <v>2015</v>
      </c>
      <c r="C1666" s="0" t="s">
        <v>55</v>
      </c>
      <c r="D1666" s="0" t="n">
        <v>1150144</v>
      </c>
      <c r="E1666" s="0" t="s">
        <v>3885</v>
      </c>
      <c r="F1666" s="0" t="s">
        <v>3895</v>
      </c>
      <c r="G1666" s="0" t="s">
        <v>3877</v>
      </c>
    </row>
    <row r="1667" customFormat="false" ht="15" hidden="false" customHeight="false" outlineLevel="0" collapsed="false">
      <c r="A1667" s="0" t="s">
        <v>1246</v>
      </c>
      <c r="B1667" s="0" t="n">
        <v>2015</v>
      </c>
      <c r="C1667" s="0" t="s">
        <v>60</v>
      </c>
      <c r="D1667" s="0" t="n">
        <v>592672</v>
      </c>
      <c r="E1667" s="0" t="s">
        <v>3885</v>
      </c>
      <c r="F1667" s="0" t="s">
        <v>3895</v>
      </c>
      <c r="G1667" s="0" t="s">
        <v>3877</v>
      </c>
    </row>
    <row r="1668" customFormat="false" ht="15" hidden="false" customHeight="false" outlineLevel="0" collapsed="false">
      <c r="A1668" s="0" t="s">
        <v>1246</v>
      </c>
      <c r="B1668" s="0" t="n">
        <v>2015</v>
      </c>
      <c r="C1668" s="0" t="s">
        <v>61</v>
      </c>
      <c r="D1668" s="0" t="n">
        <v>36587</v>
      </c>
      <c r="E1668" s="0" t="s">
        <v>3885</v>
      </c>
      <c r="F1668" s="0" t="s">
        <v>3895</v>
      </c>
      <c r="G1668" s="0" t="s">
        <v>3877</v>
      </c>
    </row>
    <row r="1669" customFormat="false" ht="15" hidden="false" customHeight="false" outlineLevel="0" collapsed="false">
      <c r="A1669" s="0" t="s">
        <v>1246</v>
      </c>
      <c r="B1669" s="0" t="n">
        <v>2015</v>
      </c>
      <c r="C1669" s="0" t="s">
        <v>63</v>
      </c>
      <c r="D1669" s="0" t="n">
        <v>14102</v>
      </c>
      <c r="E1669" s="0" t="s">
        <v>3885</v>
      </c>
      <c r="F1669" s="0" t="s">
        <v>3895</v>
      </c>
      <c r="G1669" s="0" t="s">
        <v>3877</v>
      </c>
    </row>
    <row r="1670" customFormat="false" ht="15" hidden="false" customHeight="false" outlineLevel="0" collapsed="false">
      <c r="A1670" s="0" t="s">
        <v>1246</v>
      </c>
      <c r="B1670" s="0" t="n">
        <v>2015</v>
      </c>
      <c r="C1670" s="0" t="s">
        <v>266</v>
      </c>
      <c r="D1670" s="0" t="n">
        <v>4.15</v>
      </c>
      <c r="E1670" s="0" t="s">
        <v>3885</v>
      </c>
      <c r="F1670" s="0" t="s">
        <v>3895</v>
      </c>
      <c r="G1670" s="0" t="s">
        <v>3877</v>
      </c>
    </row>
    <row r="1671" customFormat="false" ht="15" hidden="false" customHeight="false" outlineLevel="0" collapsed="false">
      <c r="A1671" s="0" t="s">
        <v>1246</v>
      </c>
      <c r="B1671" s="0" t="n">
        <v>2015</v>
      </c>
      <c r="C1671" s="0" t="s">
        <v>69</v>
      </c>
      <c r="D1671" s="0" t="n">
        <v>16.88</v>
      </c>
      <c r="E1671" s="0" t="s">
        <v>3885</v>
      </c>
      <c r="F1671" s="0" t="s">
        <v>3895</v>
      </c>
      <c r="G1671" s="0" t="s">
        <v>3877</v>
      </c>
    </row>
    <row r="1672" customFormat="false" ht="15" hidden="false" customHeight="false" outlineLevel="0" collapsed="false">
      <c r="A1672" s="0" t="s">
        <v>1246</v>
      </c>
      <c r="B1672" s="0" t="n">
        <v>2015</v>
      </c>
      <c r="C1672" s="0" t="s">
        <v>73</v>
      </c>
      <c r="D1672" s="0" t="n">
        <v>0</v>
      </c>
      <c r="E1672" s="0" t="s">
        <v>3885</v>
      </c>
      <c r="F1672" s="0" t="s">
        <v>3895</v>
      </c>
      <c r="G1672" s="0" t="s">
        <v>3877</v>
      </c>
    </row>
    <row r="1673" customFormat="false" ht="15" hidden="false" customHeight="false" outlineLevel="0" collapsed="false">
      <c r="A1673" s="0" t="s">
        <v>1246</v>
      </c>
      <c r="B1673" s="0" t="n">
        <v>2015</v>
      </c>
      <c r="C1673" s="0" t="s">
        <v>920</v>
      </c>
      <c r="D1673" s="0" t="s">
        <v>1973</v>
      </c>
      <c r="E1673" s="0" t="s">
        <v>3885</v>
      </c>
      <c r="F1673" s="0" t="s">
        <v>3895</v>
      </c>
      <c r="G1673" s="0" t="s">
        <v>3877</v>
      </c>
    </row>
    <row r="1674" customFormat="false" ht="15" hidden="false" customHeight="false" outlineLevel="0" collapsed="false">
      <c r="A1674" s="0" t="s">
        <v>1246</v>
      </c>
      <c r="B1674" s="0" t="n">
        <v>2016</v>
      </c>
      <c r="C1674" s="0" t="s">
        <v>54</v>
      </c>
      <c r="D1674" s="0" t="n">
        <v>12076</v>
      </c>
      <c r="E1674" s="0" t="s">
        <v>3885</v>
      </c>
      <c r="F1674" s="0" t="s">
        <v>3895</v>
      </c>
      <c r="G1674" s="0" t="s">
        <v>3877</v>
      </c>
    </row>
    <row r="1675" customFormat="false" ht="15" hidden="false" customHeight="false" outlineLevel="0" collapsed="false">
      <c r="A1675" s="0" t="s">
        <v>1246</v>
      </c>
      <c r="B1675" s="0" t="n">
        <v>2016</v>
      </c>
      <c r="C1675" s="0" t="s">
        <v>670</v>
      </c>
      <c r="D1675" s="0" t="n">
        <v>112581</v>
      </c>
      <c r="E1675" s="0" t="s">
        <v>3885</v>
      </c>
      <c r="F1675" s="0" t="s">
        <v>3895</v>
      </c>
      <c r="G1675" s="0" t="s">
        <v>3877</v>
      </c>
    </row>
    <row r="1676" customFormat="false" ht="15" hidden="false" customHeight="false" outlineLevel="0" collapsed="false">
      <c r="A1676" s="0" t="s">
        <v>1246</v>
      </c>
      <c r="B1676" s="0" t="n">
        <v>2016</v>
      </c>
      <c r="C1676" s="0" t="s">
        <v>55</v>
      </c>
      <c r="D1676" s="0" t="n">
        <v>1163435</v>
      </c>
      <c r="E1676" s="0" t="s">
        <v>3885</v>
      </c>
      <c r="F1676" s="0" t="s">
        <v>3895</v>
      </c>
      <c r="G1676" s="0" t="s">
        <v>3877</v>
      </c>
    </row>
    <row r="1677" customFormat="false" ht="15" hidden="false" customHeight="false" outlineLevel="0" collapsed="false">
      <c r="A1677" s="0" t="s">
        <v>1246</v>
      </c>
      <c r="B1677" s="0" t="n">
        <v>2016</v>
      </c>
      <c r="C1677" s="0" t="s">
        <v>60</v>
      </c>
      <c r="D1677" s="0" t="n">
        <v>659700</v>
      </c>
      <c r="E1677" s="0" t="s">
        <v>3885</v>
      </c>
      <c r="F1677" s="0" t="s">
        <v>3895</v>
      </c>
      <c r="G1677" s="0" t="s">
        <v>3877</v>
      </c>
    </row>
    <row r="1678" customFormat="false" ht="15" hidden="false" customHeight="false" outlineLevel="0" collapsed="false">
      <c r="A1678" s="0" t="s">
        <v>1246</v>
      </c>
      <c r="B1678" s="0" t="n">
        <v>2016</v>
      </c>
      <c r="C1678" s="0" t="s">
        <v>61</v>
      </c>
      <c r="D1678" s="0" t="n">
        <v>33247</v>
      </c>
      <c r="E1678" s="0" t="s">
        <v>3885</v>
      </c>
      <c r="F1678" s="0" t="s">
        <v>3895</v>
      </c>
      <c r="G1678" s="0" t="s">
        <v>3877</v>
      </c>
    </row>
    <row r="1679" customFormat="false" ht="15" hidden="false" customHeight="false" outlineLevel="0" collapsed="false">
      <c r="A1679" s="0" t="s">
        <v>1246</v>
      </c>
      <c r="B1679" s="0" t="n">
        <v>2016</v>
      </c>
      <c r="C1679" s="0" t="s">
        <v>63</v>
      </c>
      <c r="D1679" s="0" t="n">
        <v>35311</v>
      </c>
      <c r="E1679" s="0" t="s">
        <v>3885</v>
      </c>
      <c r="F1679" s="0" t="s">
        <v>3895</v>
      </c>
      <c r="G1679" s="0" t="s">
        <v>3877</v>
      </c>
    </row>
    <row r="1680" customFormat="false" ht="15" hidden="false" customHeight="false" outlineLevel="0" collapsed="false">
      <c r="A1680" s="0" t="s">
        <v>1246</v>
      </c>
      <c r="B1680" s="0" t="n">
        <v>2016</v>
      </c>
      <c r="C1680" s="0" t="s">
        <v>266</v>
      </c>
      <c r="D1680" s="0" t="n">
        <v>3.74</v>
      </c>
      <c r="E1680" s="0" t="s">
        <v>3885</v>
      </c>
      <c r="F1680" s="0" t="s">
        <v>3895</v>
      </c>
      <c r="G1680" s="0" t="s">
        <v>3877</v>
      </c>
    </row>
    <row r="1681" customFormat="false" ht="15" hidden="false" customHeight="false" outlineLevel="0" collapsed="false">
      <c r="A1681" s="0" t="s">
        <v>1246</v>
      </c>
      <c r="B1681" s="0" t="n">
        <v>2016</v>
      </c>
      <c r="C1681" s="0" t="s">
        <v>69</v>
      </c>
      <c r="D1681" s="0" t="n">
        <v>16.54</v>
      </c>
      <c r="E1681" s="0" t="s">
        <v>3885</v>
      </c>
      <c r="F1681" s="0" t="s">
        <v>3895</v>
      </c>
      <c r="G1681" s="0" t="s">
        <v>3877</v>
      </c>
    </row>
    <row r="1682" customFormat="false" ht="15" hidden="false" customHeight="false" outlineLevel="0" collapsed="false">
      <c r="A1682" s="0" t="s">
        <v>1246</v>
      </c>
      <c r="B1682" s="0" t="n">
        <v>2016</v>
      </c>
      <c r="C1682" s="0" t="s">
        <v>73</v>
      </c>
      <c r="D1682" s="0" t="n">
        <v>0</v>
      </c>
      <c r="E1682" s="0" t="s">
        <v>3885</v>
      </c>
      <c r="F1682" s="0" t="s">
        <v>3895</v>
      </c>
      <c r="G1682" s="0" t="s">
        <v>3877</v>
      </c>
    </row>
    <row r="1683" customFormat="false" ht="15" hidden="false" customHeight="false" outlineLevel="0" collapsed="false">
      <c r="A1683" s="0" t="s">
        <v>1246</v>
      </c>
      <c r="B1683" s="0" t="n">
        <v>2016</v>
      </c>
      <c r="C1683" s="0" t="s">
        <v>920</v>
      </c>
      <c r="D1683" s="0" t="s">
        <v>1973</v>
      </c>
      <c r="E1683" s="0" t="s">
        <v>3885</v>
      </c>
      <c r="F1683" s="0" t="s">
        <v>3895</v>
      </c>
      <c r="G1683" s="0" t="s">
        <v>3877</v>
      </c>
    </row>
    <row r="1684" customFormat="false" ht="15" hidden="false" customHeight="false" outlineLevel="0" collapsed="false">
      <c r="A1684" s="0" t="s">
        <v>1246</v>
      </c>
      <c r="B1684" s="0" t="n">
        <v>2017</v>
      </c>
      <c r="C1684" s="0" t="s">
        <v>54</v>
      </c>
      <c r="D1684" s="0" t="n">
        <v>6794</v>
      </c>
      <c r="E1684" s="0" t="s">
        <v>3885</v>
      </c>
      <c r="F1684" s="0" t="s">
        <v>3895</v>
      </c>
      <c r="G1684" s="0" t="s">
        <v>3877</v>
      </c>
    </row>
    <row r="1685" customFormat="false" ht="15" hidden="false" customHeight="false" outlineLevel="0" collapsed="false">
      <c r="A1685" s="0" t="s">
        <v>1246</v>
      </c>
      <c r="B1685" s="0" t="n">
        <v>2017</v>
      </c>
      <c r="C1685" s="0" t="s">
        <v>670</v>
      </c>
      <c r="D1685" s="0" t="n">
        <v>98239</v>
      </c>
      <c r="E1685" s="0" t="s">
        <v>3885</v>
      </c>
      <c r="F1685" s="0" t="s">
        <v>3895</v>
      </c>
      <c r="G1685" s="0" t="s">
        <v>3877</v>
      </c>
    </row>
    <row r="1686" customFormat="false" ht="15" hidden="false" customHeight="false" outlineLevel="0" collapsed="false">
      <c r="A1686" s="0" t="s">
        <v>1246</v>
      </c>
      <c r="B1686" s="0" t="n">
        <v>2017</v>
      </c>
      <c r="C1686" s="0" t="s">
        <v>55</v>
      </c>
      <c r="D1686" s="0" t="n">
        <v>1169344</v>
      </c>
      <c r="E1686" s="0" t="s">
        <v>3885</v>
      </c>
      <c r="F1686" s="0" t="s">
        <v>3895</v>
      </c>
      <c r="G1686" s="0" t="s">
        <v>3877</v>
      </c>
    </row>
    <row r="1687" customFormat="false" ht="15" hidden="false" customHeight="false" outlineLevel="0" collapsed="false">
      <c r="A1687" s="0" t="s">
        <v>1246</v>
      </c>
      <c r="B1687" s="0" t="n">
        <v>2017</v>
      </c>
      <c r="C1687" s="0" t="s">
        <v>60</v>
      </c>
      <c r="D1687" s="0" t="n">
        <v>649379</v>
      </c>
      <c r="E1687" s="0" t="s">
        <v>3885</v>
      </c>
      <c r="F1687" s="0" t="s">
        <v>3895</v>
      </c>
      <c r="G1687" s="0" t="s">
        <v>3877</v>
      </c>
    </row>
    <row r="1688" customFormat="false" ht="15" hidden="false" customHeight="false" outlineLevel="0" collapsed="false">
      <c r="A1688" s="0" t="s">
        <v>1246</v>
      </c>
      <c r="B1688" s="0" t="n">
        <v>2017</v>
      </c>
      <c r="C1688" s="0" t="s">
        <v>61</v>
      </c>
      <c r="D1688" s="0" t="n">
        <v>25305</v>
      </c>
      <c r="E1688" s="0" t="s">
        <v>3885</v>
      </c>
      <c r="F1688" s="0" t="s">
        <v>3895</v>
      </c>
      <c r="G1688" s="0" t="s">
        <v>3877</v>
      </c>
    </row>
    <row r="1689" customFormat="false" ht="15" hidden="false" customHeight="false" outlineLevel="0" collapsed="false">
      <c r="A1689" s="0" t="s">
        <v>1246</v>
      </c>
      <c r="B1689" s="0" t="n">
        <v>2017</v>
      </c>
      <c r="C1689" s="0" t="s">
        <v>63</v>
      </c>
      <c r="D1689" s="0" t="n">
        <v>22653</v>
      </c>
      <c r="E1689" s="0" t="s">
        <v>3885</v>
      </c>
      <c r="F1689" s="0" t="s">
        <v>3895</v>
      </c>
      <c r="G1689" s="0" t="s">
        <v>3877</v>
      </c>
    </row>
    <row r="1690" customFormat="false" ht="15" hidden="false" customHeight="false" outlineLevel="0" collapsed="false">
      <c r="A1690" s="0" t="s">
        <v>1246</v>
      </c>
      <c r="B1690" s="0" t="n">
        <v>2017</v>
      </c>
      <c r="C1690" s="0" t="s">
        <v>266</v>
      </c>
      <c r="D1690" s="0" t="n">
        <v>4.92</v>
      </c>
      <c r="E1690" s="0" t="s">
        <v>3885</v>
      </c>
      <c r="F1690" s="0" t="s">
        <v>3895</v>
      </c>
      <c r="G1690" s="0" t="s">
        <v>3877</v>
      </c>
    </row>
    <row r="1691" customFormat="false" ht="15" hidden="false" customHeight="false" outlineLevel="0" collapsed="false">
      <c r="A1691" s="0" t="s">
        <v>1246</v>
      </c>
      <c r="B1691" s="0" t="n">
        <v>2017</v>
      </c>
      <c r="C1691" s="0" t="s">
        <v>69</v>
      </c>
      <c r="D1691" s="0" t="n">
        <v>17.21</v>
      </c>
      <c r="E1691" s="0" t="s">
        <v>3885</v>
      </c>
      <c r="F1691" s="0" t="s">
        <v>3895</v>
      </c>
      <c r="G1691" s="0" t="s">
        <v>3877</v>
      </c>
    </row>
    <row r="1692" customFormat="false" ht="15" hidden="false" customHeight="false" outlineLevel="0" collapsed="false">
      <c r="A1692" s="0" t="s">
        <v>1246</v>
      </c>
      <c r="B1692" s="0" t="n">
        <v>2017</v>
      </c>
      <c r="C1692" s="0" t="s">
        <v>73</v>
      </c>
      <c r="D1692" s="0" t="n">
        <v>0</v>
      </c>
      <c r="E1692" s="0" t="s">
        <v>3885</v>
      </c>
      <c r="F1692" s="0" t="s">
        <v>3895</v>
      </c>
      <c r="G1692" s="0" t="s">
        <v>3877</v>
      </c>
    </row>
    <row r="1693" customFormat="false" ht="15" hidden="false" customHeight="false" outlineLevel="0" collapsed="false">
      <c r="A1693" s="0" t="s">
        <v>1246</v>
      </c>
      <c r="B1693" s="0" t="n">
        <v>2017</v>
      </c>
      <c r="C1693" s="0" t="s">
        <v>920</v>
      </c>
      <c r="D1693" s="0" t="s">
        <v>1973</v>
      </c>
      <c r="E1693" s="0" t="s">
        <v>3885</v>
      </c>
      <c r="F1693" s="0" t="s">
        <v>3895</v>
      </c>
      <c r="G1693" s="0" t="s">
        <v>3877</v>
      </c>
    </row>
    <row r="1694" customFormat="false" ht="15" hidden="false" customHeight="false" outlineLevel="0" collapsed="false">
      <c r="A1694" s="0" t="s">
        <v>1246</v>
      </c>
      <c r="B1694" s="0" t="n">
        <v>2018</v>
      </c>
      <c r="C1694" s="0" t="s">
        <v>54</v>
      </c>
      <c r="D1694" s="0" t="n">
        <v>12355</v>
      </c>
      <c r="E1694" s="0" t="s">
        <v>3885</v>
      </c>
      <c r="F1694" s="0" t="s">
        <v>3895</v>
      </c>
      <c r="G1694" s="0" t="s">
        <v>3877</v>
      </c>
    </row>
    <row r="1695" customFormat="false" ht="15" hidden="false" customHeight="false" outlineLevel="0" collapsed="false">
      <c r="A1695" s="0" t="s">
        <v>1246</v>
      </c>
      <c r="B1695" s="0" t="n">
        <v>2018</v>
      </c>
      <c r="C1695" s="0" t="s">
        <v>670</v>
      </c>
      <c r="D1695" s="0" t="n">
        <v>101385</v>
      </c>
      <c r="E1695" s="0" t="s">
        <v>3885</v>
      </c>
      <c r="F1695" s="0" t="s">
        <v>3895</v>
      </c>
      <c r="G1695" s="0" t="s">
        <v>3877</v>
      </c>
    </row>
    <row r="1696" customFormat="false" ht="15" hidden="false" customHeight="false" outlineLevel="0" collapsed="false">
      <c r="A1696" s="0" t="s">
        <v>1246</v>
      </c>
      <c r="B1696" s="0" t="n">
        <v>2018</v>
      </c>
      <c r="C1696" s="0" t="s">
        <v>55</v>
      </c>
      <c r="D1696" s="0" t="n">
        <v>1391479</v>
      </c>
      <c r="E1696" s="0" t="s">
        <v>3885</v>
      </c>
      <c r="F1696" s="0" t="s">
        <v>3895</v>
      </c>
      <c r="G1696" s="0" t="s">
        <v>3877</v>
      </c>
    </row>
    <row r="1697" customFormat="false" ht="15" hidden="false" customHeight="false" outlineLevel="0" collapsed="false">
      <c r="A1697" s="0" t="s">
        <v>1246</v>
      </c>
      <c r="B1697" s="0" t="n">
        <v>2018</v>
      </c>
      <c r="C1697" s="0" t="s">
        <v>60</v>
      </c>
      <c r="D1697" s="0" t="n">
        <v>616006</v>
      </c>
      <c r="E1697" s="0" t="s">
        <v>3885</v>
      </c>
      <c r="F1697" s="0" t="s">
        <v>3895</v>
      </c>
      <c r="G1697" s="0" t="s">
        <v>3877</v>
      </c>
    </row>
    <row r="1698" customFormat="false" ht="15" hidden="false" customHeight="false" outlineLevel="0" collapsed="false">
      <c r="A1698" s="0" t="s">
        <v>1246</v>
      </c>
      <c r="B1698" s="0" t="n">
        <v>2018</v>
      </c>
      <c r="C1698" s="0" t="s">
        <v>61</v>
      </c>
      <c r="D1698" s="0" t="n">
        <v>48291</v>
      </c>
      <c r="E1698" s="0" t="s">
        <v>3885</v>
      </c>
      <c r="F1698" s="0" t="s">
        <v>3895</v>
      </c>
      <c r="G1698" s="0" t="s">
        <v>3877</v>
      </c>
    </row>
    <row r="1699" customFormat="false" ht="15" hidden="false" customHeight="false" outlineLevel="0" collapsed="false">
      <c r="A1699" s="0" t="s">
        <v>1246</v>
      </c>
      <c r="B1699" s="0" t="n">
        <v>2018</v>
      </c>
      <c r="C1699" s="0" t="s">
        <v>63</v>
      </c>
      <c r="D1699" s="0" t="n">
        <v>13954</v>
      </c>
      <c r="E1699" s="0" t="s">
        <v>3885</v>
      </c>
      <c r="F1699" s="0" t="s">
        <v>3895</v>
      </c>
      <c r="G1699" s="0" t="s">
        <v>3877</v>
      </c>
    </row>
    <row r="1700" customFormat="false" ht="15" hidden="false" customHeight="false" outlineLevel="0" collapsed="false">
      <c r="A1700" s="0" t="s">
        <v>1246</v>
      </c>
      <c r="B1700" s="0" t="n">
        <v>2018</v>
      </c>
      <c r="C1700" s="0" t="s">
        <v>266</v>
      </c>
      <c r="D1700" s="0" t="n">
        <v>5.9</v>
      </c>
      <c r="E1700" s="0" t="s">
        <v>3885</v>
      </c>
      <c r="F1700" s="0" t="s">
        <v>3895</v>
      </c>
      <c r="G1700" s="0" t="s">
        <v>3877</v>
      </c>
    </row>
    <row r="1701" customFormat="false" ht="15" hidden="false" customHeight="false" outlineLevel="0" collapsed="false">
      <c r="A1701" s="0" t="s">
        <v>1246</v>
      </c>
      <c r="B1701" s="0" t="n">
        <v>2018</v>
      </c>
      <c r="C1701" s="0" t="s">
        <v>69</v>
      </c>
      <c r="D1701" s="0" t="n">
        <v>15.79</v>
      </c>
      <c r="E1701" s="0" t="s">
        <v>3885</v>
      </c>
      <c r="F1701" s="0" t="s">
        <v>3895</v>
      </c>
      <c r="G1701" s="0" t="s">
        <v>3877</v>
      </c>
    </row>
    <row r="1702" customFormat="false" ht="15" hidden="false" customHeight="false" outlineLevel="0" collapsed="false">
      <c r="A1702" s="0" t="s">
        <v>1246</v>
      </c>
      <c r="B1702" s="0" t="n">
        <v>2018</v>
      </c>
      <c r="C1702" s="0" t="s">
        <v>73</v>
      </c>
      <c r="D1702" s="0" t="n">
        <v>0</v>
      </c>
      <c r="E1702" s="0" t="s">
        <v>3885</v>
      </c>
      <c r="F1702" s="0" t="s">
        <v>3895</v>
      </c>
      <c r="G1702" s="0" t="s">
        <v>3877</v>
      </c>
    </row>
    <row r="1703" customFormat="false" ht="15" hidden="false" customHeight="false" outlineLevel="0" collapsed="false">
      <c r="A1703" s="0" t="s">
        <v>1246</v>
      </c>
      <c r="B1703" s="0" t="n">
        <v>2018</v>
      </c>
      <c r="C1703" s="0" t="s">
        <v>920</v>
      </c>
      <c r="D1703" s="0" t="s">
        <v>1973</v>
      </c>
      <c r="E1703" s="0" t="s">
        <v>3885</v>
      </c>
      <c r="F1703" s="0" t="s">
        <v>3895</v>
      </c>
      <c r="G1703" s="0" t="s">
        <v>3877</v>
      </c>
    </row>
    <row r="1704" customFormat="false" ht="15" hidden="false" customHeight="false" outlineLevel="0" collapsed="false">
      <c r="A1704" s="0" t="s">
        <v>1246</v>
      </c>
      <c r="B1704" s="0" t="n">
        <v>2019</v>
      </c>
      <c r="C1704" s="0" t="s">
        <v>54</v>
      </c>
      <c r="D1704" s="0" t="n">
        <v>13642</v>
      </c>
      <c r="E1704" s="0" t="s">
        <v>3885</v>
      </c>
      <c r="F1704" s="0" t="s">
        <v>3895</v>
      </c>
      <c r="G1704" s="0" t="s">
        <v>3877</v>
      </c>
    </row>
    <row r="1705" customFormat="false" ht="15" hidden="false" customHeight="false" outlineLevel="0" collapsed="false">
      <c r="A1705" s="0" t="s">
        <v>1246</v>
      </c>
      <c r="B1705" s="0" t="n">
        <v>2019</v>
      </c>
      <c r="C1705" s="0" t="s">
        <v>670</v>
      </c>
      <c r="D1705" s="0" t="n">
        <v>94910</v>
      </c>
      <c r="E1705" s="0" t="s">
        <v>3885</v>
      </c>
      <c r="F1705" s="0" t="s">
        <v>3895</v>
      </c>
      <c r="G1705" s="0" t="s">
        <v>3877</v>
      </c>
    </row>
    <row r="1706" customFormat="false" ht="15" hidden="false" customHeight="false" outlineLevel="0" collapsed="false">
      <c r="A1706" s="0" t="s">
        <v>1246</v>
      </c>
      <c r="B1706" s="0" t="n">
        <v>2019</v>
      </c>
      <c r="C1706" s="0" t="s">
        <v>55</v>
      </c>
      <c r="D1706" s="0" t="n">
        <v>1621454</v>
      </c>
      <c r="E1706" s="0" t="s">
        <v>3885</v>
      </c>
      <c r="F1706" s="0" t="s">
        <v>3895</v>
      </c>
      <c r="G1706" s="0" t="s">
        <v>3877</v>
      </c>
    </row>
    <row r="1707" customFormat="false" ht="15" hidden="false" customHeight="false" outlineLevel="0" collapsed="false">
      <c r="A1707" s="0" t="s">
        <v>1246</v>
      </c>
      <c r="B1707" s="0" t="n">
        <v>2019</v>
      </c>
      <c r="C1707" s="0" t="s">
        <v>60</v>
      </c>
      <c r="D1707" s="0" t="n">
        <v>692974</v>
      </c>
      <c r="E1707" s="0" t="s">
        <v>3885</v>
      </c>
      <c r="F1707" s="0" t="s">
        <v>3895</v>
      </c>
      <c r="G1707" s="0" t="s">
        <v>3877</v>
      </c>
    </row>
    <row r="1708" customFormat="false" ht="15" hidden="false" customHeight="false" outlineLevel="0" collapsed="false">
      <c r="A1708" s="0" t="s">
        <v>1246</v>
      </c>
      <c r="B1708" s="0" t="n">
        <v>2019</v>
      </c>
      <c r="C1708" s="0" t="s">
        <v>61</v>
      </c>
      <c r="D1708" s="0" t="n">
        <v>46747</v>
      </c>
      <c r="E1708" s="0" t="s">
        <v>3885</v>
      </c>
      <c r="F1708" s="0" t="s">
        <v>3895</v>
      </c>
      <c r="G1708" s="0" t="s">
        <v>3877</v>
      </c>
    </row>
    <row r="1709" customFormat="false" ht="15" hidden="false" customHeight="false" outlineLevel="0" collapsed="false">
      <c r="A1709" s="0" t="s">
        <v>1246</v>
      </c>
      <c r="B1709" s="0" t="n">
        <v>2019</v>
      </c>
      <c r="C1709" s="0" t="s">
        <v>63</v>
      </c>
      <c r="D1709" s="0" t="n">
        <v>13406</v>
      </c>
      <c r="E1709" s="0" t="s">
        <v>3885</v>
      </c>
      <c r="F1709" s="0" t="s">
        <v>3895</v>
      </c>
      <c r="G1709" s="0" t="s">
        <v>3877</v>
      </c>
    </row>
    <row r="1710" customFormat="false" ht="15" hidden="false" customHeight="false" outlineLevel="0" collapsed="false">
      <c r="A1710" s="0" t="s">
        <v>1246</v>
      </c>
      <c r="B1710" s="0" t="n">
        <v>2019</v>
      </c>
      <c r="C1710" s="0" t="s">
        <v>266</v>
      </c>
      <c r="D1710" s="0" t="n">
        <v>3.7</v>
      </c>
      <c r="E1710" s="0" t="s">
        <v>3885</v>
      </c>
      <c r="F1710" s="0" t="s">
        <v>3895</v>
      </c>
      <c r="G1710" s="0" t="s">
        <v>3877</v>
      </c>
    </row>
    <row r="1711" customFormat="false" ht="15" hidden="false" customHeight="false" outlineLevel="0" collapsed="false">
      <c r="A1711" s="0" t="s">
        <v>1246</v>
      </c>
      <c r="B1711" s="0" t="n">
        <v>2019</v>
      </c>
      <c r="C1711" s="0" t="s">
        <v>69</v>
      </c>
      <c r="D1711" s="0" t="n">
        <v>17.16</v>
      </c>
      <c r="E1711" s="0" t="s">
        <v>3885</v>
      </c>
      <c r="F1711" s="0" t="s">
        <v>3895</v>
      </c>
      <c r="G1711" s="0" t="s">
        <v>3877</v>
      </c>
    </row>
    <row r="1712" customFormat="false" ht="15" hidden="false" customHeight="false" outlineLevel="0" collapsed="false">
      <c r="A1712" s="0" t="s">
        <v>1246</v>
      </c>
      <c r="B1712" s="0" t="n">
        <v>2019</v>
      </c>
      <c r="C1712" s="0" t="s">
        <v>73</v>
      </c>
      <c r="D1712" s="0" t="n">
        <v>0</v>
      </c>
      <c r="E1712" s="0" t="s">
        <v>3885</v>
      </c>
      <c r="F1712" s="0" t="s">
        <v>3895</v>
      </c>
      <c r="G1712" s="0" t="s">
        <v>3877</v>
      </c>
    </row>
    <row r="1713" customFormat="false" ht="15" hidden="false" customHeight="false" outlineLevel="0" collapsed="false">
      <c r="A1713" s="0" t="s">
        <v>1246</v>
      </c>
      <c r="B1713" s="0" t="n">
        <v>2019</v>
      </c>
      <c r="C1713" s="0" t="s">
        <v>920</v>
      </c>
      <c r="D1713" s="0" t="s">
        <v>1973</v>
      </c>
      <c r="E1713" s="0" t="s">
        <v>3885</v>
      </c>
      <c r="F1713" s="0" t="s">
        <v>3895</v>
      </c>
      <c r="G1713" s="0" t="s">
        <v>3877</v>
      </c>
    </row>
    <row r="1714" customFormat="false" ht="15" hidden="false" customHeight="false" outlineLevel="0" collapsed="false">
      <c r="A1714" s="0" t="s">
        <v>1246</v>
      </c>
      <c r="B1714" s="0" t="n">
        <v>2020</v>
      </c>
      <c r="C1714" s="0" t="s">
        <v>54</v>
      </c>
      <c r="D1714" s="0" t="n">
        <v>14510</v>
      </c>
      <c r="E1714" s="0" t="s">
        <v>3885</v>
      </c>
      <c r="F1714" s="0" t="s">
        <v>3895</v>
      </c>
      <c r="G1714" s="0" t="s">
        <v>3877</v>
      </c>
    </row>
    <row r="1715" customFormat="false" ht="15" hidden="false" customHeight="false" outlineLevel="0" collapsed="false">
      <c r="A1715" s="0" t="s">
        <v>1246</v>
      </c>
      <c r="B1715" s="0" t="n">
        <v>2020</v>
      </c>
      <c r="C1715" s="0" t="s">
        <v>670</v>
      </c>
      <c r="D1715" s="0" t="n">
        <v>109885</v>
      </c>
      <c r="E1715" s="0" t="s">
        <v>3885</v>
      </c>
      <c r="F1715" s="0" t="s">
        <v>3895</v>
      </c>
      <c r="G1715" s="0" t="s">
        <v>3877</v>
      </c>
    </row>
    <row r="1716" customFormat="false" ht="15" hidden="false" customHeight="false" outlineLevel="0" collapsed="false">
      <c r="A1716" s="0" t="s">
        <v>1246</v>
      </c>
      <c r="B1716" s="0" t="n">
        <v>2020</v>
      </c>
      <c r="C1716" s="0" t="s">
        <v>55</v>
      </c>
      <c r="D1716" s="0" t="n">
        <v>2014277</v>
      </c>
      <c r="E1716" s="0" t="s">
        <v>3885</v>
      </c>
      <c r="F1716" s="0" t="s">
        <v>3895</v>
      </c>
      <c r="G1716" s="0" t="s">
        <v>3877</v>
      </c>
    </row>
    <row r="1717" customFormat="false" ht="15" hidden="false" customHeight="false" outlineLevel="0" collapsed="false">
      <c r="A1717" s="0" t="s">
        <v>1246</v>
      </c>
      <c r="B1717" s="0" t="n">
        <v>2020</v>
      </c>
      <c r="C1717" s="0" t="s">
        <v>60</v>
      </c>
      <c r="D1717" s="0" t="n">
        <v>801282</v>
      </c>
      <c r="E1717" s="0" t="s">
        <v>3885</v>
      </c>
      <c r="F1717" s="0" t="s">
        <v>3895</v>
      </c>
      <c r="G1717" s="0" t="s">
        <v>3877</v>
      </c>
    </row>
    <row r="1718" customFormat="false" ht="15" hidden="false" customHeight="false" outlineLevel="0" collapsed="false">
      <c r="A1718" s="0" t="s">
        <v>1246</v>
      </c>
      <c r="B1718" s="0" t="n">
        <v>2020</v>
      </c>
      <c r="C1718" s="0" t="s">
        <v>61</v>
      </c>
      <c r="D1718" s="0" t="n">
        <v>56248</v>
      </c>
      <c r="E1718" s="0" t="s">
        <v>3885</v>
      </c>
      <c r="F1718" s="0" t="s">
        <v>3895</v>
      </c>
      <c r="G1718" s="0" t="s">
        <v>3877</v>
      </c>
    </row>
    <row r="1719" customFormat="false" ht="15" hidden="false" customHeight="false" outlineLevel="0" collapsed="false">
      <c r="A1719" s="0" t="s">
        <v>1246</v>
      </c>
      <c r="B1719" s="0" t="n">
        <v>2020</v>
      </c>
      <c r="C1719" s="0" t="s">
        <v>63</v>
      </c>
      <c r="D1719" s="0" t="n">
        <v>20697</v>
      </c>
      <c r="E1719" s="0" t="s">
        <v>3885</v>
      </c>
      <c r="F1719" s="0" t="s">
        <v>3895</v>
      </c>
      <c r="G1719" s="0" t="s">
        <v>3877</v>
      </c>
    </row>
    <row r="1720" customFormat="false" ht="15" hidden="false" customHeight="false" outlineLevel="0" collapsed="false">
      <c r="A1720" s="0" t="s">
        <v>1246</v>
      </c>
      <c r="B1720" s="0" t="n">
        <v>2020</v>
      </c>
      <c r="C1720" s="0" t="s">
        <v>266</v>
      </c>
      <c r="D1720" s="0" t="n">
        <v>3.3</v>
      </c>
      <c r="E1720" s="0" t="s">
        <v>3885</v>
      </c>
      <c r="F1720" s="0" t="s">
        <v>3895</v>
      </c>
      <c r="G1720" s="0" t="s">
        <v>3877</v>
      </c>
    </row>
    <row r="1721" customFormat="false" ht="15" hidden="false" customHeight="false" outlineLevel="0" collapsed="false">
      <c r="A1721" s="0" t="s">
        <v>1246</v>
      </c>
      <c r="B1721" s="0" t="n">
        <v>2020</v>
      </c>
      <c r="C1721" s="0" t="s">
        <v>69</v>
      </c>
      <c r="D1721" s="0" t="n">
        <v>17.49</v>
      </c>
      <c r="E1721" s="0" t="s">
        <v>3885</v>
      </c>
      <c r="F1721" s="0" t="s">
        <v>3895</v>
      </c>
      <c r="G1721" s="0" t="s">
        <v>3877</v>
      </c>
    </row>
    <row r="1722" customFormat="false" ht="15" hidden="false" customHeight="false" outlineLevel="0" collapsed="false">
      <c r="A1722" s="0" t="s">
        <v>1246</v>
      </c>
      <c r="B1722" s="0" t="n">
        <v>2020</v>
      </c>
      <c r="C1722" s="0" t="s">
        <v>73</v>
      </c>
      <c r="D1722" s="0" t="n">
        <v>0</v>
      </c>
      <c r="E1722" s="0" t="s">
        <v>3885</v>
      </c>
      <c r="F1722" s="0" t="s">
        <v>3895</v>
      </c>
      <c r="G1722" s="0" t="s">
        <v>3877</v>
      </c>
    </row>
    <row r="1723" customFormat="false" ht="15" hidden="false" customHeight="false" outlineLevel="0" collapsed="false">
      <c r="A1723" s="0" t="s">
        <v>1246</v>
      </c>
      <c r="B1723" s="0" t="n">
        <v>2020</v>
      </c>
      <c r="C1723" s="0" t="s">
        <v>920</v>
      </c>
      <c r="D1723" s="0" t="s">
        <v>3883</v>
      </c>
      <c r="E1723" s="0" t="s">
        <v>3885</v>
      </c>
      <c r="F1723" s="0" t="s">
        <v>3895</v>
      </c>
      <c r="G1723" s="0" t="s">
        <v>3877</v>
      </c>
    </row>
    <row r="1724" customFormat="false" ht="15" hidden="false" customHeight="false" outlineLevel="0" collapsed="false">
      <c r="A1724" s="0" t="s">
        <v>1246</v>
      </c>
      <c r="B1724" s="0" t="n">
        <v>2021</v>
      </c>
      <c r="C1724" s="0" t="s">
        <v>54</v>
      </c>
      <c r="D1724" s="0" t="n">
        <v>16176</v>
      </c>
      <c r="E1724" s="0" t="s">
        <v>3885</v>
      </c>
      <c r="F1724" s="0" t="s">
        <v>3895</v>
      </c>
      <c r="G1724" s="0" t="s">
        <v>3877</v>
      </c>
    </row>
    <row r="1725" customFormat="false" ht="15" hidden="false" customHeight="false" outlineLevel="0" collapsed="false">
      <c r="A1725" s="0" t="s">
        <v>1246</v>
      </c>
      <c r="B1725" s="0" t="n">
        <v>2021</v>
      </c>
      <c r="C1725" s="0" t="s">
        <v>670</v>
      </c>
      <c r="D1725" s="0" t="n">
        <v>183785</v>
      </c>
      <c r="E1725" s="0" t="s">
        <v>3885</v>
      </c>
      <c r="F1725" s="0" t="s">
        <v>3895</v>
      </c>
      <c r="G1725" s="0" t="s">
        <v>3877</v>
      </c>
    </row>
    <row r="1726" customFormat="false" ht="15" hidden="false" customHeight="false" outlineLevel="0" collapsed="false">
      <c r="A1726" s="0" t="s">
        <v>1246</v>
      </c>
      <c r="B1726" s="0" t="n">
        <v>2021</v>
      </c>
      <c r="C1726" s="0" t="s">
        <v>55</v>
      </c>
      <c r="D1726" s="0" t="n">
        <v>2434973</v>
      </c>
      <c r="E1726" s="0" t="s">
        <v>3885</v>
      </c>
      <c r="F1726" s="0" t="s">
        <v>3895</v>
      </c>
      <c r="G1726" s="0" t="s">
        <v>3877</v>
      </c>
    </row>
    <row r="1727" customFormat="false" ht="15" hidden="false" customHeight="false" outlineLevel="0" collapsed="false">
      <c r="A1727" s="0" t="s">
        <v>1246</v>
      </c>
      <c r="B1727" s="0" t="n">
        <v>2021</v>
      </c>
      <c r="C1727" s="0" t="s">
        <v>60</v>
      </c>
      <c r="D1727" s="0" t="n">
        <v>1039831</v>
      </c>
      <c r="E1727" s="0" t="s">
        <v>3885</v>
      </c>
      <c r="F1727" s="0" t="s">
        <v>3895</v>
      </c>
      <c r="G1727" s="0" t="s">
        <v>3877</v>
      </c>
    </row>
    <row r="1728" customFormat="false" ht="15" hidden="false" customHeight="false" outlineLevel="0" collapsed="false">
      <c r="A1728" s="0" t="s">
        <v>1246</v>
      </c>
      <c r="B1728" s="0" t="n">
        <v>2021</v>
      </c>
      <c r="C1728" s="0" t="s">
        <v>61</v>
      </c>
      <c r="D1728" s="0" t="n">
        <v>77924</v>
      </c>
      <c r="E1728" s="0" t="s">
        <v>3885</v>
      </c>
      <c r="F1728" s="0" t="s">
        <v>3895</v>
      </c>
      <c r="G1728" s="0" t="s">
        <v>3877</v>
      </c>
    </row>
    <row r="1729" customFormat="false" ht="15" hidden="false" customHeight="false" outlineLevel="0" collapsed="false">
      <c r="A1729" s="0" t="s">
        <v>1246</v>
      </c>
      <c r="B1729" s="0" t="n">
        <v>2021</v>
      </c>
      <c r="C1729" s="0" t="s">
        <v>63</v>
      </c>
      <c r="D1729" s="0" t="n">
        <v>13870</v>
      </c>
      <c r="E1729" s="0" t="s">
        <v>3885</v>
      </c>
      <c r="F1729" s="0" t="s">
        <v>3895</v>
      </c>
      <c r="G1729" s="0" t="s">
        <v>3877</v>
      </c>
    </row>
    <row r="1730" customFormat="false" ht="15" hidden="false" customHeight="false" outlineLevel="0" collapsed="false">
      <c r="A1730" s="0" t="s">
        <v>1246</v>
      </c>
      <c r="B1730" s="0" t="n">
        <v>2021</v>
      </c>
      <c r="C1730" s="0" t="s">
        <v>266</v>
      </c>
      <c r="D1730" s="0" t="n">
        <v>4.1</v>
      </c>
      <c r="E1730" s="0" t="s">
        <v>3885</v>
      </c>
      <c r="F1730" s="0" t="s">
        <v>3895</v>
      </c>
      <c r="G1730" s="0" t="s">
        <v>3877</v>
      </c>
    </row>
    <row r="1731" customFormat="false" ht="15" hidden="false" customHeight="false" outlineLevel="0" collapsed="false">
      <c r="A1731" s="0" t="s">
        <v>1246</v>
      </c>
      <c r="B1731" s="0" t="n">
        <v>2021</v>
      </c>
      <c r="C1731" s="0" t="s">
        <v>69</v>
      </c>
      <c r="D1731" s="0" t="n">
        <v>14.89</v>
      </c>
      <c r="E1731" s="0" t="s">
        <v>3885</v>
      </c>
      <c r="F1731" s="0" t="s">
        <v>3895</v>
      </c>
      <c r="G1731" s="0" t="s">
        <v>3877</v>
      </c>
    </row>
    <row r="1732" customFormat="false" ht="15" hidden="false" customHeight="false" outlineLevel="0" collapsed="false">
      <c r="A1732" s="0" t="s">
        <v>1246</v>
      </c>
      <c r="B1732" s="0" t="n">
        <v>2021</v>
      </c>
      <c r="C1732" s="0" t="s">
        <v>73</v>
      </c>
      <c r="D1732" s="0" t="n">
        <v>0</v>
      </c>
      <c r="E1732" s="0" t="s">
        <v>3885</v>
      </c>
      <c r="F1732" s="0" t="s">
        <v>3895</v>
      </c>
      <c r="G1732" s="0" t="s">
        <v>3877</v>
      </c>
    </row>
    <row r="1733" customFormat="false" ht="15" hidden="false" customHeight="false" outlineLevel="0" collapsed="false">
      <c r="A1733" s="0" t="s">
        <v>1246</v>
      </c>
      <c r="B1733" s="0" t="n">
        <v>2021</v>
      </c>
      <c r="C1733" s="0" t="s">
        <v>920</v>
      </c>
      <c r="D1733" s="0" t="s">
        <v>3883</v>
      </c>
      <c r="E1733" s="0" t="s">
        <v>3885</v>
      </c>
      <c r="F1733" s="0" t="s">
        <v>3895</v>
      </c>
      <c r="G1733" s="0" t="s">
        <v>3877</v>
      </c>
    </row>
    <row r="1734" customFormat="false" ht="15" hidden="false" customHeight="false" outlineLevel="0" collapsed="false">
      <c r="A1734" s="0" t="s">
        <v>1246</v>
      </c>
      <c r="B1734" s="0" t="n">
        <v>2022</v>
      </c>
      <c r="C1734" s="0" t="s">
        <v>54</v>
      </c>
      <c r="D1734" s="0" t="n">
        <v>24557</v>
      </c>
      <c r="E1734" s="0" t="s">
        <v>3885</v>
      </c>
      <c r="F1734" s="0" t="s">
        <v>3895</v>
      </c>
      <c r="G1734" s="0" t="s">
        <v>3877</v>
      </c>
    </row>
    <row r="1735" customFormat="false" ht="15" hidden="false" customHeight="false" outlineLevel="0" collapsed="false">
      <c r="A1735" s="0" t="s">
        <v>1246</v>
      </c>
      <c r="B1735" s="0" t="n">
        <v>2022</v>
      </c>
      <c r="C1735" s="0" t="s">
        <v>670</v>
      </c>
      <c r="D1735" s="0" t="n">
        <v>246936</v>
      </c>
      <c r="E1735" s="0" t="s">
        <v>3885</v>
      </c>
      <c r="F1735" s="0" t="s">
        <v>3895</v>
      </c>
      <c r="G1735" s="0" t="s">
        <v>3877</v>
      </c>
    </row>
    <row r="1736" customFormat="false" ht="15" hidden="false" customHeight="false" outlineLevel="0" collapsed="false">
      <c r="A1736" s="0" t="s">
        <v>1246</v>
      </c>
      <c r="B1736" s="0" t="n">
        <v>2022</v>
      </c>
      <c r="C1736" s="0" t="s">
        <v>55</v>
      </c>
      <c r="D1736" s="0" t="n">
        <v>2907400</v>
      </c>
      <c r="E1736" s="0" t="s">
        <v>3885</v>
      </c>
      <c r="F1736" s="0" t="s">
        <v>3895</v>
      </c>
      <c r="G1736" s="0" t="s">
        <v>3877</v>
      </c>
    </row>
    <row r="1737" customFormat="false" ht="15" hidden="false" customHeight="false" outlineLevel="0" collapsed="false">
      <c r="A1737" s="0" t="s">
        <v>1246</v>
      </c>
      <c r="B1737" s="0" t="n">
        <v>2022</v>
      </c>
      <c r="C1737" s="0" t="s">
        <v>60</v>
      </c>
      <c r="D1737" s="0" t="n">
        <v>1166622</v>
      </c>
      <c r="E1737" s="0" t="s">
        <v>3885</v>
      </c>
      <c r="F1737" s="0" t="s">
        <v>3895</v>
      </c>
      <c r="G1737" s="0" t="s">
        <v>3877</v>
      </c>
    </row>
    <row r="1738" customFormat="false" ht="15" hidden="false" customHeight="false" outlineLevel="0" collapsed="false">
      <c r="A1738" s="0" t="s">
        <v>1246</v>
      </c>
      <c r="B1738" s="0" t="n">
        <v>2022</v>
      </c>
      <c r="C1738" s="0" t="s">
        <v>61</v>
      </c>
      <c r="D1738" s="0" t="n">
        <v>86459</v>
      </c>
      <c r="E1738" s="0" t="s">
        <v>3885</v>
      </c>
      <c r="F1738" s="0" t="s">
        <v>3895</v>
      </c>
      <c r="G1738" s="0" t="s">
        <v>3877</v>
      </c>
    </row>
    <row r="1739" customFormat="false" ht="15" hidden="false" customHeight="false" outlineLevel="0" collapsed="false">
      <c r="A1739" s="0" t="s">
        <v>1246</v>
      </c>
      <c r="B1739" s="0" t="n">
        <v>2022</v>
      </c>
      <c r="C1739" s="0" t="s">
        <v>63</v>
      </c>
      <c r="D1739" s="0" t="n">
        <v>23862</v>
      </c>
      <c r="E1739" s="0" t="s">
        <v>3885</v>
      </c>
      <c r="F1739" s="0" t="s">
        <v>3895</v>
      </c>
      <c r="G1739" s="0" t="s">
        <v>3877</v>
      </c>
    </row>
    <row r="1740" customFormat="false" ht="15" hidden="false" customHeight="false" outlineLevel="0" collapsed="false">
      <c r="A1740" s="0" t="s">
        <v>1246</v>
      </c>
      <c r="B1740" s="0" t="n">
        <v>2022</v>
      </c>
      <c r="C1740" s="0" t="s">
        <v>266</v>
      </c>
      <c r="D1740" s="0" t="n">
        <v>6.6</v>
      </c>
      <c r="E1740" s="0" t="s">
        <v>3885</v>
      </c>
      <c r="F1740" s="0" t="s">
        <v>3895</v>
      </c>
      <c r="G1740" s="0" t="s">
        <v>3877</v>
      </c>
    </row>
    <row r="1741" customFormat="false" ht="15" hidden="false" customHeight="false" outlineLevel="0" collapsed="false">
      <c r="A1741" s="0" t="s">
        <v>1246</v>
      </c>
      <c r="B1741" s="0" t="n">
        <v>2022</v>
      </c>
      <c r="C1741" s="0" t="s">
        <v>69</v>
      </c>
      <c r="D1741" s="0" t="n">
        <v>16.03</v>
      </c>
      <c r="E1741" s="0" t="s">
        <v>3885</v>
      </c>
      <c r="F1741" s="0" t="s">
        <v>3895</v>
      </c>
      <c r="G1741" s="0" t="s">
        <v>3877</v>
      </c>
    </row>
    <row r="1742" customFormat="false" ht="15" hidden="false" customHeight="false" outlineLevel="0" collapsed="false">
      <c r="A1742" s="0" t="s">
        <v>1246</v>
      </c>
      <c r="B1742" s="0" t="n">
        <v>2022</v>
      </c>
      <c r="C1742" s="0" t="s">
        <v>73</v>
      </c>
      <c r="D1742" s="0" t="n">
        <v>0</v>
      </c>
      <c r="E1742" s="0" t="s">
        <v>3885</v>
      </c>
      <c r="F1742" s="0" t="s">
        <v>3895</v>
      </c>
      <c r="G1742" s="0" t="s">
        <v>3877</v>
      </c>
    </row>
    <row r="1743" customFormat="false" ht="15" hidden="false" customHeight="false" outlineLevel="0" collapsed="false">
      <c r="A1743" s="0" t="s">
        <v>1246</v>
      </c>
      <c r="B1743" s="0" t="n">
        <v>2022</v>
      </c>
      <c r="C1743" s="0" t="s">
        <v>920</v>
      </c>
      <c r="D1743" s="0" t="s">
        <v>3883</v>
      </c>
      <c r="E1743" s="0" t="s">
        <v>3885</v>
      </c>
      <c r="F1743" s="0" t="s">
        <v>3895</v>
      </c>
      <c r="G1743" s="0" t="s">
        <v>3877</v>
      </c>
    </row>
    <row r="1744" customFormat="false" ht="15" hidden="false" customHeight="false" outlineLevel="0" collapsed="false">
      <c r="A1744" s="0" t="s">
        <v>83</v>
      </c>
      <c r="B1744" s="0" t="n">
        <v>2015</v>
      </c>
      <c r="C1744" s="0" t="s">
        <v>54</v>
      </c>
      <c r="D1744" s="0" t="n">
        <v>5756</v>
      </c>
      <c r="E1744" s="0" t="s">
        <v>3885</v>
      </c>
      <c r="F1744" s="0" t="s">
        <v>3896</v>
      </c>
      <c r="G1744" s="0" t="s">
        <v>3877</v>
      </c>
    </row>
    <row r="1745" customFormat="false" ht="15" hidden="false" customHeight="false" outlineLevel="0" collapsed="false">
      <c r="A1745" s="0" t="s">
        <v>83</v>
      </c>
      <c r="B1745" s="0" t="n">
        <v>2015</v>
      </c>
      <c r="C1745" s="0" t="s">
        <v>670</v>
      </c>
      <c r="D1745" s="0" t="n">
        <v>204210</v>
      </c>
      <c r="E1745" s="0" t="s">
        <v>3885</v>
      </c>
      <c r="F1745" s="0" t="s">
        <v>3896</v>
      </c>
      <c r="G1745" s="0" t="s">
        <v>3877</v>
      </c>
    </row>
    <row r="1746" customFormat="false" ht="15" hidden="false" customHeight="false" outlineLevel="0" collapsed="false">
      <c r="A1746" s="0" t="s">
        <v>83</v>
      </c>
      <c r="B1746" s="0" t="n">
        <v>2015</v>
      </c>
      <c r="C1746" s="0" t="s">
        <v>55</v>
      </c>
      <c r="D1746" s="0" t="n">
        <v>1160000</v>
      </c>
      <c r="E1746" s="0" t="s">
        <v>3885</v>
      </c>
      <c r="F1746" s="0" t="s">
        <v>3896</v>
      </c>
      <c r="G1746" s="0" t="s">
        <v>3877</v>
      </c>
    </row>
    <row r="1747" customFormat="false" ht="15" hidden="false" customHeight="false" outlineLevel="0" collapsed="false">
      <c r="A1747" s="0" t="s">
        <v>83</v>
      </c>
      <c r="B1747" s="0" t="n">
        <v>2015</v>
      </c>
      <c r="C1747" s="0" t="s">
        <v>60</v>
      </c>
      <c r="D1747" s="0" t="n">
        <v>730419</v>
      </c>
      <c r="E1747" s="0" t="s">
        <v>3885</v>
      </c>
      <c r="F1747" s="0" t="s">
        <v>3896</v>
      </c>
      <c r="G1747" s="0" t="s">
        <v>3877</v>
      </c>
    </row>
    <row r="1748" customFormat="false" ht="15" hidden="false" customHeight="false" outlineLevel="0" collapsed="false">
      <c r="A1748" s="0" t="s">
        <v>83</v>
      </c>
      <c r="B1748" s="0" t="n">
        <v>2015</v>
      </c>
      <c r="C1748" s="0" t="s">
        <v>61</v>
      </c>
      <c r="D1748" s="0" t="n">
        <v>38910</v>
      </c>
      <c r="E1748" s="0" t="s">
        <v>3885</v>
      </c>
      <c r="F1748" s="0" t="s">
        <v>3896</v>
      </c>
      <c r="G1748" s="0" t="s">
        <v>3877</v>
      </c>
    </row>
    <row r="1749" customFormat="false" ht="15" hidden="false" customHeight="false" outlineLevel="0" collapsed="false">
      <c r="A1749" s="0" t="s">
        <v>83</v>
      </c>
      <c r="B1749" s="0" t="n">
        <v>2015</v>
      </c>
      <c r="C1749" s="0" t="s">
        <v>63</v>
      </c>
      <c r="D1749" s="0" t="n">
        <v>45210</v>
      </c>
      <c r="E1749" s="0" t="s">
        <v>3885</v>
      </c>
      <c r="F1749" s="0" t="s">
        <v>3896</v>
      </c>
      <c r="G1749" s="0" t="s">
        <v>3877</v>
      </c>
    </row>
    <row r="1750" customFormat="false" ht="15" hidden="false" customHeight="false" outlineLevel="0" collapsed="false">
      <c r="A1750" s="0" t="s">
        <v>83</v>
      </c>
      <c r="B1750" s="0" t="n">
        <v>2015</v>
      </c>
      <c r="C1750" s="0" t="s">
        <v>266</v>
      </c>
      <c r="D1750" s="0" t="n">
        <v>8.2</v>
      </c>
      <c r="E1750" s="0" t="s">
        <v>3885</v>
      </c>
      <c r="F1750" s="0" t="s">
        <v>3896</v>
      </c>
      <c r="G1750" s="0" t="s">
        <v>3877</v>
      </c>
    </row>
    <row r="1751" customFormat="false" ht="15" hidden="false" customHeight="false" outlineLevel="0" collapsed="false">
      <c r="A1751" s="0" t="s">
        <v>83</v>
      </c>
      <c r="B1751" s="0" t="n">
        <v>2015</v>
      </c>
      <c r="C1751" s="0" t="s">
        <v>69</v>
      </c>
      <c r="D1751" s="0" t="n">
        <v>15</v>
      </c>
      <c r="E1751" s="0" t="s">
        <v>3885</v>
      </c>
      <c r="F1751" s="0" t="s">
        <v>3896</v>
      </c>
      <c r="G1751" s="0" t="s">
        <v>3877</v>
      </c>
    </row>
    <row r="1752" customFormat="false" ht="15" hidden="false" customHeight="false" outlineLevel="0" collapsed="false">
      <c r="A1752" s="0" t="s">
        <v>83</v>
      </c>
      <c r="B1752" s="0" t="n">
        <v>2015</v>
      </c>
      <c r="C1752" s="0" t="s">
        <v>73</v>
      </c>
      <c r="D1752" s="0" t="n">
        <v>0</v>
      </c>
      <c r="E1752" s="0" t="s">
        <v>3885</v>
      </c>
      <c r="F1752" s="0" t="s">
        <v>3896</v>
      </c>
      <c r="G1752" s="0" t="s">
        <v>3877</v>
      </c>
    </row>
    <row r="1753" customFormat="false" ht="15" hidden="false" customHeight="false" outlineLevel="0" collapsed="false">
      <c r="A1753" s="0" t="s">
        <v>83</v>
      </c>
      <c r="B1753" s="0" t="n">
        <v>2015</v>
      </c>
      <c r="C1753" s="0" t="s">
        <v>920</v>
      </c>
      <c r="D1753" s="0" t="s">
        <v>3883</v>
      </c>
      <c r="E1753" s="0" t="s">
        <v>3885</v>
      </c>
      <c r="F1753" s="0" t="s">
        <v>3896</v>
      </c>
      <c r="G1753" s="0" t="s">
        <v>3877</v>
      </c>
    </row>
    <row r="1754" customFormat="false" ht="15" hidden="false" customHeight="false" outlineLevel="0" collapsed="false">
      <c r="A1754" s="0" t="s">
        <v>83</v>
      </c>
      <c r="B1754" s="0" t="n">
        <v>2016</v>
      </c>
      <c r="C1754" s="0" t="s">
        <v>54</v>
      </c>
      <c r="D1754" s="0" t="n">
        <v>5780</v>
      </c>
      <c r="E1754" s="0" t="s">
        <v>3885</v>
      </c>
      <c r="F1754" s="0" t="s">
        <v>3896</v>
      </c>
      <c r="G1754" s="0" t="s">
        <v>3877</v>
      </c>
    </row>
    <row r="1755" customFormat="false" ht="15" hidden="false" customHeight="false" outlineLevel="0" collapsed="false">
      <c r="A1755" s="0" t="s">
        <v>83</v>
      </c>
      <c r="B1755" s="0" t="n">
        <v>2016</v>
      </c>
      <c r="C1755" s="0" t="s">
        <v>670</v>
      </c>
      <c r="D1755" s="0" t="n">
        <v>259584</v>
      </c>
      <c r="E1755" s="0" t="s">
        <v>3885</v>
      </c>
      <c r="F1755" s="0" t="s">
        <v>3896</v>
      </c>
      <c r="G1755" s="0" t="s">
        <v>3877</v>
      </c>
    </row>
    <row r="1756" customFormat="false" ht="15" hidden="false" customHeight="false" outlineLevel="0" collapsed="false">
      <c r="A1756" s="0" t="s">
        <v>83</v>
      </c>
      <c r="B1756" s="0" t="n">
        <v>2016</v>
      </c>
      <c r="C1756" s="0" t="s">
        <v>55</v>
      </c>
      <c r="D1756" s="0" t="n">
        <v>1808503</v>
      </c>
      <c r="E1756" s="0" t="s">
        <v>3885</v>
      </c>
      <c r="F1756" s="0" t="s">
        <v>3896</v>
      </c>
      <c r="G1756" s="0" t="s">
        <v>3877</v>
      </c>
    </row>
    <row r="1757" customFormat="false" ht="15" hidden="false" customHeight="false" outlineLevel="0" collapsed="false">
      <c r="A1757" s="0" t="s">
        <v>83</v>
      </c>
      <c r="B1757" s="0" t="n">
        <v>2016</v>
      </c>
      <c r="C1757" s="0" t="s">
        <v>60</v>
      </c>
      <c r="D1757" s="0" t="n">
        <v>869872</v>
      </c>
      <c r="E1757" s="0" t="s">
        <v>3885</v>
      </c>
      <c r="F1757" s="0" t="s">
        <v>3896</v>
      </c>
      <c r="G1757" s="0" t="s">
        <v>3877</v>
      </c>
    </row>
    <row r="1758" customFormat="false" ht="15" hidden="false" customHeight="false" outlineLevel="0" collapsed="false">
      <c r="A1758" s="0" t="s">
        <v>83</v>
      </c>
      <c r="B1758" s="0" t="n">
        <v>2016</v>
      </c>
      <c r="C1758" s="0" t="s">
        <v>61</v>
      </c>
      <c r="D1758" s="0" t="n">
        <v>116480</v>
      </c>
      <c r="E1758" s="0" t="s">
        <v>3885</v>
      </c>
      <c r="F1758" s="0" t="s">
        <v>3896</v>
      </c>
      <c r="G1758" s="0" t="s">
        <v>3877</v>
      </c>
    </row>
    <row r="1759" customFormat="false" ht="15" hidden="false" customHeight="false" outlineLevel="0" collapsed="false">
      <c r="A1759" s="0" t="s">
        <v>83</v>
      </c>
      <c r="B1759" s="0" t="n">
        <v>2016</v>
      </c>
      <c r="C1759" s="0" t="s">
        <v>63</v>
      </c>
      <c r="D1759" s="0" t="n">
        <v>82783</v>
      </c>
      <c r="E1759" s="0" t="s">
        <v>3885</v>
      </c>
      <c r="F1759" s="0" t="s">
        <v>3896</v>
      </c>
      <c r="G1759" s="0" t="s">
        <v>3877</v>
      </c>
    </row>
    <row r="1760" customFormat="false" ht="15" hidden="false" customHeight="false" outlineLevel="0" collapsed="false">
      <c r="A1760" s="0" t="s">
        <v>83</v>
      </c>
      <c r="B1760" s="0" t="n">
        <v>2016</v>
      </c>
      <c r="C1760" s="0" t="s">
        <v>266</v>
      </c>
      <c r="D1760" s="0" t="n">
        <v>9.1</v>
      </c>
      <c r="E1760" s="0" t="s">
        <v>3885</v>
      </c>
      <c r="F1760" s="0" t="s">
        <v>3896</v>
      </c>
      <c r="G1760" s="0" t="s">
        <v>3877</v>
      </c>
    </row>
    <row r="1761" customFormat="false" ht="15" hidden="false" customHeight="false" outlineLevel="0" collapsed="false">
      <c r="A1761" s="0" t="s">
        <v>83</v>
      </c>
      <c r="B1761" s="0" t="n">
        <v>2016</v>
      </c>
      <c r="C1761" s="0" t="s">
        <v>69</v>
      </c>
      <c r="D1761" s="0" t="n">
        <v>15</v>
      </c>
      <c r="E1761" s="0" t="s">
        <v>3885</v>
      </c>
      <c r="F1761" s="0" t="s">
        <v>3896</v>
      </c>
      <c r="G1761" s="0" t="s">
        <v>3877</v>
      </c>
    </row>
    <row r="1762" customFormat="false" ht="15" hidden="false" customHeight="false" outlineLevel="0" collapsed="false">
      <c r="A1762" s="0" t="s">
        <v>83</v>
      </c>
      <c r="B1762" s="0" t="n">
        <v>2016</v>
      </c>
      <c r="C1762" s="0" t="s">
        <v>73</v>
      </c>
      <c r="D1762" s="0" t="n">
        <v>0</v>
      </c>
      <c r="E1762" s="0" t="s">
        <v>3885</v>
      </c>
      <c r="F1762" s="0" t="s">
        <v>3896</v>
      </c>
      <c r="G1762" s="0" t="s">
        <v>3877</v>
      </c>
    </row>
    <row r="1763" customFormat="false" ht="15" hidden="false" customHeight="false" outlineLevel="0" collapsed="false">
      <c r="A1763" s="0" t="s">
        <v>83</v>
      </c>
      <c r="B1763" s="0" t="n">
        <v>2016</v>
      </c>
      <c r="C1763" s="0" t="s">
        <v>920</v>
      </c>
      <c r="D1763" s="0" t="s">
        <v>3883</v>
      </c>
      <c r="E1763" s="0" t="s">
        <v>3885</v>
      </c>
      <c r="F1763" s="0" t="s">
        <v>3896</v>
      </c>
      <c r="G1763" s="0" t="s">
        <v>3877</v>
      </c>
    </row>
    <row r="1764" customFormat="false" ht="15" hidden="false" customHeight="false" outlineLevel="0" collapsed="false">
      <c r="A1764" s="0" t="s">
        <v>83</v>
      </c>
      <c r="B1764" s="0" t="n">
        <v>2017</v>
      </c>
      <c r="C1764" s="0" t="s">
        <v>54</v>
      </c>
      <c r="D1764" s="0" t="n">
        <v>20204</v>
      </c>
      <c r="E1764" s="0" t="s">
        <v>3885</v>
      </c>
      <c r="F1764" s="0" t="s">
        <v>3896</v>
      </c>
      <c r="G1764" s="0" t="s">
        <v>3877</v>
      </c>
    </row>
    <row r="1765" customFormat="false" ht="15" hidden="false" customHeight="false" outlineLevel="0" collapsed="false">
      <c r="A1765" s="0" t="s">
        <v>83</v>
      </c>
      <c r="B1765" s="0" t="n">
        <v>2017</v>
      </c>
      <c r="C1765" s="0" t="s">
        <v>670</v>
      </c>
      <c r="D1765" s="0" t="n">
        <v>251061</v>
      </c>
      <c r="E1765" s="0" t="s">
        <v>3885</v>
      </c>
      <c r="F1765" s="0" t="s">
        <v>3896</v>
      </c>
      <c r="G1765" s="0" t="s">
        <v>3877</v>
      </c>
    </row>
    <row r="1766" customFormat="false" ht="15" hidden="false" customHeight="false" outlineLevel="0" collapsed="false">
      <c r="A1766" s="0" t="s">
        <v>83</v>
      </c>
      <c r="B1766" s="0" t="n">
        <v>2017</v>
      </c>
      <c r="C1766" s="0" t="s">
        <v>55</v>
      </c>
      <c r="D1766" s="0" t="n">
        <v>1829761</v>
      </c>
      <c r="E1766" s="0" t="s">
        <v>3885</v>
      </c>
      <c r="F1766" s="0" t="s">
        <v>3896</v>
      </c>
      <c r="G1766" s="0" t="s">
        <v>3877</v>
      </c>
    </row>
    <row r="1767" customFormat="false" ht="15" hidden="false" customHeight="false" outlineLevel="0" collapsed="false">
      <c r="A1767" s="0" t="s">
        <v>83</v>
      </c>
      <c r="B1767" s="0" t="n">
        <v>2017</v>
      </c>
      <c r="C1767" s="0" t="s">
        <v>60</v>
      </c>
      <c r="D1767" s="0" t="n">
        <v>831573</v>
      </c>
      <c r="E1767" s="0" t="s">
        <v>3885</v>
      </c>
      <c r="F1767" s="0" t="s">
        <v>3896</v>
      </c>
      <c r="G1767" s="0" t="s">
        <v>3877</v>
      </c>
    </row>
    <row r="1768" customFormat="false" ht="15" hidden="false" customHeight="false" outlineLevel="0" collapsed="false">
      <c r="A1768" s="0" t="s">
        <v>83</v>
      </c>
      <c r="B1768" s="0" t="n">
        <v>2017</v>
      </c>
      <c r="C1768" s="0" t="s">
        <v>61</v>
      </c>
      <c r="D1768" s="0" t="n">
        <v>120510</v>
      </c>
      <c r="E1768" s="0" t="s">
        <v>3885</v>
      </c>
      <c r="F1768" s="0" t="s">
        <v>3896</v>
      </c>
      <c r="G1768" s="0" t="s">
        <v>3877</v>
      </c>
    </row>
    <row r="1769" customFormat="false" ht="15" hidden="false" customHeight="false" outlineLevel="0" collapsed="false">
      <c r="A1769" s="0" t="s">
        <v>83</v>
      </c>
      <c r="B1769" s="0" t="n">
        <v>2017</v>
      </c>
      <c r="C1769" s="0" t="s">
        <v>63</v>
      </c>
      <c r="D1769" s="0" t="n">
        <v>59901</v>
      </c>
      <c r="E1769" s="0" t="s">
        <v>3885</v>
      </c>
      <c r="F1769" s="0" t="s">
        <v>3896</v>
      </c>
      <c r="G1769" s="0" t="s">
        <v>3877</v>
      </c>
    </row>
    <row r="1770" customFormat="false" ht="15" hidden="false" customHeight="false" outlineLevel="0" collapsed="false">
      <c r="A1770" s="0" t="s">
        <v>83</v>
      </c>
      <c r="B1770" s="0" t="n">
        <v>2017</v>
      </c>
      <c r="C1770" s="0" t="s">
        <v>266</v>
      </c>
      <c r="D1770" s="0" t="n">
        <v>14.5</v>
      </c>
      <c r="E1770" s="0" t="s">
        <v>3885</v>
      </c>
      <c r="F1770" s="0" t="s">
        <v>3896</v>
      </c>
      <c r="G1770" s="0" t="s">
        <v>3877</v>
      </c>
    </row>
    <row r="1771" customFormat="false" ht="15" hidden="false" customHeight="false" outlineLevel="0" collapsed="false">
      <c r="A1771" s="0" t="s">
        <v>83</v>
      </c>
      <c r="B1771" s="0" t="n">
        <v>2017</v>
      </c>
      <c r="C1771" s="0" t="s">
        <v>69</v>
      </c>
      <c r="D1771" s="0" t="n">
        <v>13.6</v>
      </c>
      <c r="E1771" s="0" t="s">
        <v>3885</v>
      </c>
      <c r="F1771" s="0" t="s">
        <v>3896</v>
      </c>
      <c r="G1771" s="0" t="s">
        <v>3877</v>
      </c>
    </row>
    <row r="1772" customFormat="false" ht="15" hidden="false" customHeight="false" outlineLevel="0" collapsed="false">
      <c r="A1772" s="0" t="s">
        <v>83</v>
      </c>
      <c r="B1772" s="0" t="n">
        <v>2017</v>
      </c>
      <c r="C1772" s="0" t="s">
        <v>73</v>
      </c>
      <c r="D1772" s="0" t="n">
        <v>0</v>
      </c>
      <c r="E1772" s="0" t="s">
        <v>3885</v>
      </c>
      <c r="F1772" s="0" t="s">
        <v>3896</v>
      </c>
      <c r="G1772" s="0" t="s">
        <v>3877</v>
      </c>
    </row>
    <row r="1773" customFormat="false" ht="15" hidden="false" customHeight="false" outlineLevel="0" collapsed="false">
      <c r="A1773" s="0" t="s">
        <v>83</v>
      </c>
      <c r="B1773" s="0" t="n">
        <v>2017</v>
      </c>
      <c r="C1773" s="0" t="s">
        <v>920</v>
      </c>
      <c r="D1773" s="0" t="s">
        <v>3883</v>
      </c>
      <c r="E1773" s="0" t="s">
        <v>3885</v>
      </c>
      <c r="F1773" s="0" t="s">
        <v>3896</v>
      </c>
      <c r="G1773" s="0" t="s">
        <v>3877</v>
      </c>
    </row>
    <row r="1774" customFormat="false" ht="15" hidden="false" customHeight="false" outlineLevel="0" collapsed="false">
      <c r="A1774" s="0" t="s">
        <v>83</v>
      </c>
      <c r="B1774" s="0" t="n">
        <v>2018</v>
      </c>
      <c r="C1774" s="0" t="s">
        <v>54</v>
      </c>
      <c r="D1774" s="0" t="n">
        <v>27540</v>
      </c>
      <c r="E1774" s="0" t="s">
        <v>3885</v>
      </c>
      <c r="F1774" s="0" t="s">
        <v>3896</v>
      </c>
      <c r="G1774" s="0" t="s">
        <v>3877</v>
      </c>
    </row>
    <row r="1775" customFormat="false" ht="15" hidden="false" customHeight="false" outlineLevel="0" collapsed="false">
      <c r="A1775" s="0" t="s">
        <v>83</v>
      </c>
      <c r="B1775" s="0" t="n">
        <v>2018</v>
      </c>
      <c r="C1775" s="0" t="s">
        <v>670</v>
      </c>
      <c r="D1775" s="0" t="n">
        <v>179820</v>
      </c>
      <c r="E1775" s="0" t="s">
        <v>3885</v>
      </c>
      <c r="F1775" s="0" t="s">
        <v>3896</v>
      </c>
      <c r="G1775" s="0" t="s">
        <v>3877</v>
      </c>
    </row>
    <row r="1776" customFormat="false" ht="15" hidden="false" customHeight="false" outlineLevel="0" collapsed="false">
      <c r="A1776" s="0" t="s">
        <v>83</v>
      </c>
      <c r="B1776" s="0" t="n">
        <v>2018</v>
      </c>
      <c r="C1776" s="0" t="s">
        <v>55</v>
      </c>
      <c r="D1776" s="0" t="n">
        <v>1661886</v>
      </c>
      <c r="E1776" s="0" t="s">
        <v>3885</v>
      </c>
      <c r="F1776" s="0" t="s">
        <v>3896</v>
      </c>
      <c r="G1776" s="0" t="s">
        <v>3877</v>
      </c>
    </row>
    <row r="1777" customFormat="false" ht="15" hidden="false" customHeight="false" outlineLevel="0" collapsed="false">
      <c r="A1777" s="0" t="s">
        <v>83</v>
      </c>
      <c r="B1777" s="0" t="n">
        <v>2018</v>
      </c>
      <c r="C1777" s="0" t="s">
        <v>60</v>
      </c>
      <c r="D1777" s="0" t="n">
        <v>691500</v>
      </c>
      <c r="E1777" s="0" t="s">
        <v>3885</v>
      </c>
      <c r="F1777" s="0" t="s">
        <v>3896</v>
      </c>
      <c r="G1777" s="0" t="s">
        <v>3877</v>
      </c>
    </row>
    <row r="1778" customFormat="false" ht="15" hidden="false" customHeight="false" outlineLevel="0" collapsed="false">
      <c r="A1778" s="0" t="s">
        <v>83</v>
      </c>
      <c r="B1778" s="0" t="n">
        <v>2018</v>
      </c>
      <c r="C1778" s="0" t="s">
        <v>61</v>
      </c>
      <c r="D1778" s="0" t="n">
        <v>102300</v>
      </c>
      <c r="E1778" s="0" t="s">
        <v>3885</v>
      </c>
      <c r="F1778" s="0" t="s">
        <v>3896</v>
      </c>
      <c r="G1778" s="0" t="s">
        <v>3877</v>
      </c>
    </row>
    <row r="1779" customFormat="false" ht="15" hidden="false" customHeight="false" outlineLevel="0" collapsed="false">
      <c r="A1779" s="0" t="s">
        <v>83</v>
      </c>
      <c r="B1779" s="0" t="n">
        <v>2018</v>
      </c>
      <c r="C1779" s="0" t="s">
        <v>63</v>
      </c>
      <c r="D1779" s="0" t="n">
        <v>24510</v>
      </c>
      <c r="E1779" s="0" t="s">
        <v>3885</v>
      </c>
      <c r="F1779" s="0" t="s">
        <v>3896</v>
      </c>
      <c r="G1779" s="0" t="s">
        <v>3877</v>
      </c>
    </row>
    <row r="1780" customFormat="false" ht="15" hidden="false" customHeight="false" outlineLevel="0" collapsed="false">
      <c r="A1780" s="0" t="s">
        <v>83</v>
      </c>
      <c r="B1780" s="0" t="n">
        <v>2018</v>
      </c>
      <c r="C1780" s="0" t="s">
        <v>266</v>
      </c>
      <c r="D1780" s="0" t="n">
        <v>13.7</v>
      </c>
      <c r="E1780" s="0" t="s">
        <v>3885</v>
      </c>
      <c r="F1780" s="0" t="s">
        <v>3896</v>
      </c>
      <c r="G1780" s="0" t="s">
        <v>3877</v>
      </c>
    </row>
    <row r="1781" customFormat="false" ht="15" hidden="false" customHeight="false" outlineLevel="0" collapsed="false">
      <c r="A1781" s="0" t="s">
        <v>83</v>
      </c>
      <c r="B1781" s="0" t="n">
        <v>2018</v>
      </c>
      <c r="C1781" s="0" t="s">
        <v>69</v>
      </c>
      <c r="D1781" s="0" t="n">
        <v>12.1</v>
      </c>
      <c r="E1781" s="0" t="s">
        <v>3885</v>
      </c>
      <c r="F1781" s="0" t="s">
        <v>3896</v>
      </c>
      <c r="G1781" s="0" t="s">
        <v>3877</v>
      </c>
    </row>
    <row r="1782" customFormat="false" ht="15" hidden="false" customHeight="false" outlineLevel="0" collapsed="false">
      <c r="A1782" s="0" t="s">
        <v>83</v>
      </c>
      <c r="B1782" s="0" t="n">
        <v>2018</v>
      </c>
      <c r="C1782" s="0" t="s">
        <v>73</v>
      </c>
      <c r="D1782" s="0" t="n">
        <v>0</v>
      </c>
      <c r="E1782" s="0" t="s">
        <v>3885</v>
      </c>
      <c r="F1782" s="0" t="s">
        <v>3896</v>
      </c>
      <c r="G1782" s="0" t="s">
        <v>3877</v>
      </c>
    </row>
    <row r="1783" customFormat="false" ht="15" hidden="false" customHeight="false" outlineLevel="0" collapsed="false">
      <c r="A1783" s="0" t="s">
        <v>83</v>
      </c>
      <c r="B1783" s="0" t="n">
        <v>2018</v>
      </c>
      <c r="C1783" s="0" t="s">
        <v>920</v>
      </c>
      <c r="D1783" s="0" t="s">
        <v>3883</v>
      </c>
      <c r="E1783" s="0" t="s">
        <v>3885</v>
      </c>
      <c r="F1783" s="0" t="s">
        <v>3896</v>
      </c>
      <c r="G1783" s="0" t="s">
        <v>3877</v>
      </c>
    </row>
    <row r="1784" customFormat="false" ht="15" hidden="false" customHeight="false" outlineLevel="0" collapsed="false">
      <c r="A1784" s="0" t="s">
        <v>83</v>
      </c>
      <c r="B1784" s="0" t="n">
        <v>2019</v>
      </c>
      <c r="C1784" s="0" t="s">
        <v>54</v>
      </c>
      <c r="D1784" s="0" t="n">
        <v>32410</v>
      </c>
      <c r="E1784" s="0" t="s">
        <v>3885</v>
      </c>
      <c r="F1784" s="0" t="s">
        <v>3896</v>
      </c>
      <c r="G1784" s="0" t="s">
        <v>3877</v>
      </c>
    </row>
    <row r="1785" customFormat="false" ht="15" hidden="false" customHeight="false" outlineLevel="0" collapsed="false">
      <c r="A1785" s="0" t="s">
        <v>83</v>
      </c>
      <c r="B1785" s="0" t="n">
        <v>2019</v>
      </c>
      <c r="C1785" s="0" t="s">
        <v>670</v>
      </c>
      <c r="D1785" s="0" t="n">
        <v>161550</v>
      </c>
      <c r="E1785" s="0" t="s">
        <v>3885</v>
      </c>
      <c r="F1785" s="0" t="s">
        <v>3896</v>
      </c>
      <c r="G1785" s="0" t="s">
        <v>3877</v>
      </c>
    </row>
    <row r="1786" customFormat="false" ht="15" hidden="false" customHeight="false" outlineLevel="0" collapsed="false">
      <c r="A1786" s="0" t="s">
        <v>83</v>
      </c>
      <c r="B1786" s="0" t="n">
        <v>2019</v>
      </c>
      <c r="C1786" s="0" t="s">
        <v>55</v>
      </c>
      <c r="D1786" s="0" t="n">
        <v>1832100</v>
      </c>
      <c r="E1786" s="0" t="s">
        <v>3885</v>
      </c>
      <c r="F1786" s="0" t="s">
        <v>3896</v>
      </c>
      <c r="G1786" s="0" t="s">
        <v>3877</v>
      </c>
    </row>
    <row r="1787" customFormat="false" ht="15" hidden="false" customHeight="false" outlineLevel="0" collapsed="false">
      <c r="A1787" s="0" t="s">
        <v>83</v>
      </c>
      <c r="B1787" s="0" t="n">
        <v>2019</v>
      </c>
      <c r="C1787" s="0" t="s">
        <v>60</v>
      </c>
      <c r="D1787" s="0" t="n">
        <v>765400</v>
      </c>
      <c r="E1787" s="0" t="s">
        <v>3885</v>
      </c>
      <c r="F1787" s="0" t="s">
        <v>3896</v>
      </c>
      <c r="G1787" s="0" t="s">
        <v>3877</v>
      </c>
    </row>
    <row r="1788" customFormat="false" ht="15" hidden="false" customHeight="false" outlineLevel="0" collapsed="false">
      <c r="A1788" s="0" t="s">
        <v>83</v>
      </c>
      <c r="B1788" s="0" t="n">
        <v>2019</v>
      </c>
      <c r="C1788" s="0" t="s">
        <v>61</v>
      </c>
      <c r="D1788" s="0" t="n">
        <v>115400</v>
      </c>
      <c r="E1788" s="0" t="s">
        <v>3885</v>
      </c>
      <c r="F1788" s="0" t="s">
        <v>3896</v>
      </c>
      <c r="G1788" s="0" t="s">
        <v>3877</v>
      </c>
    </row>
    <row r="1789" customFormat="false" ht="15" hidden="false" customHeight="false" outlineLevel="0" collapsed="false">
      <c r="A1789" s="0" t="s">
        <v>83</v>
      </c>
      <c r="B1789" s="0" t="n">
        <v>2019</v>
      </c>
      <c r="C1789" s="0" t="s">
        <v>63</v>
      </c>
      <c r="D1789" s="0" t="n">
        <v>14200</v>
      </c>
      <c r="E1789" s="0" t="s">
        <v>3885</v>
      </c>
      <c r="F1789" s="0" t="s">
        <v>3896</v>
      </c>
      <c r="G1789" s="0" t="s">
        <v>3877</v>
      </c>
    </row>
    <row r="1790" customFormat="false" ht="15" hidden="false" customHeight="false" outlineLevel="0" collapsed="false">
      <c r="A1790" s="0" t="s">
        <v>83</v>
      </c>
      <c r="B1790" s="0" t="n">
        <v>2019</v>
      </c>
      <c r="C1790" s="0" t="s">
        <v>266</v>
      </c>
      <c r="D1790" s="0" t="n">
        <v>23.9</v>
      </c>
      <c r="E1790" s="0" t="s">
        <v>3885</v>
      </c>
      <c r="F1790" s="0" t="s">
        <v>3896</v>
      </c>
      <c r="G1790" s="0" t="s">
        <v>3877</v>
      </c>
    </row>
    <row r="1791" customFormat="false" ht="15" hidden="false" customHeight="false" outlineLevel="0" collapsed="false">
      <c r="A1791" s="0" t="s">
        <v>83</v>
      </c>
      <c r="B1791" s="0" t="n">
        <v>2019</v>
      </c>
      <c r="C1791" s="0" t="s">
        <v>69</v>
      </c>
      <c r="D1791" s="0" t="n">
        <v>10.6</v>
      </c>
      <c r="E1791" s="0" t="s">
        <v>3885</v>
      </c>
      <c r="F1791" s="0" t="s">
        <v>3896</v>
      </c>
      <c r="G1791" s="0" t="s">
        <v>3877</v>
      </c>
    </row>
    <row r="1792" customFormat="false" ht="15" hidden="false" customHeight="false" outlineLevel="0" collapsed="false">
      <c r="A1792" s="0" t="s">
        <v>83</v>
      </c>
      <c r="B1792" s="0" t="n">
        <v>2019</v>
      </c>
      <c r="C1792" s="0" t="s">
        <v>73</v>
      </c>
      <c r="D1792" s="0" t="n">
        <v>0</v>
      </c>
      <c r="E1792" s="0" t="s">
        <v>3885</v>
      </c>
      <c r="F1792" s="0" t="s">
        <v>3896</v>
      </c>
      <c r="G1792" s="0" t="s">
        <v>3877</v>
      </c>
    </row>
    <row r="1793" customFormat="false" ht="15" hidden="false" customHeight="false" outlineLevel="0" collapsed="false">
      <c r="A1793" s="0" t="s">
        <v>83</v>
      </c>
      <c r="B1793" s="0" t="n">
        <v>2019</v>
      </c>
      <c r="C1793" s="0" t="s">
        <v>920</v>
      </c>
      <c r="D1793" s="0" t="s">
        <v>3883</v>
      </c>
      <c r="E1793" s="0" t="s">
        <v>3885</v>
      </c>
      <c r="F1793" s="0" t="s">
        <v>3896</v>
      </c>
      <c r="G1793" s="0" t="s">
        <v>3877</v>
      </c>
    </row>
    <row r="1794" customFormat="false" ht="15" hidden="false" customHeight="false" outlineLevel="0" collapsed="false">
      <c r="A1794" s="0" t="s">
        <v>83</v>
      </c>
      <c r="B1794" s="0" t="n">
        <v>2020</v>
      </c>
      <c r="C1794" s="0" t="s">
        <v>54</v>
      </c>
      <c r="D1794" s="0" t="n">
        <v>8087</v>
      </c>
      <c r="E1794" s="0" t="s">
        <v>3885</v>
      </c>
      <c r="F1794" s="0" t="s">
        <v>3896</v>
      </c>
      <c r="G1794" s="0" t="s">
        <v>3877</v>
      </c>
    </row>
    <row r="1795" customFormat="false" ht="15" hidden="false" customHeight="false" outlineLevel="0" collapsed="false">
      <c r="A1795" s="0" t="s">
        <v>83</v>
      </c>
      <c r="B1795" s="0" t="n">
        <v>2020</v>
      </c>
      <c r="C1795" s="0" t="s">
        <v>670</v>
      </c>
      <c r="D1795" s="0" t="n">
        <v>158750</v>
      </c>
      <c r="E1795" s="0" t="s">
        <v>3885</v>
      </c>
      <c r="F1795" s="0" t="s">
        <v>3896</v>
      </c>
      <c r="G1795" s="0" t="s">
        <v>3877</v>
      </c>
    </row>
    <row r="1796" customFormat="false" ht="15" hidden="false" customHeight="false" outlineLevel="0" collapsed="false">
      <c r="A1796" s="0" t="s">
        <v>83</v>
      </c>
      <c r="B1796" s="0" t="n">
        <v>2020</v>
      </c>
      <c r="C1796" s="0" t="s">
        <v>55</v>
      </c>
      <c r="D1796" s="0" t="n">
        <v>2186711</v>
      </c>
      <c r="E1796" s="0" t="s">
        <v>3885</v>
      </c>
      <c r="F1796" s="0" t="s">
        <v>3896</v>
      </c>
      <c r="G1796" s="0" t="s">
        <v>3877</v>
      </c>
    </row>
    <row r="1797" customFormat="false" ht="15" hidden="false" customHeight="false" outlineLevel="0" collapsed="false">
      <c r="A1797" s="0" t="s">
        <v>83</v>
      </c>
      <c r="B1797" s="0" t="n">
        <v>2020</v>
      </c>
      <c r="C1797" s="0" t="s">
        <v>60</v>
      </c>
      <c r="D1797" s="0" t="n">
        <v>993191</v>
      </c>
      <c r="E1797" s="0" t="s">
        <v>3885</v>
      </c>
      <c r="F1797" s="0" t="s">
        <v>3896</v>
      </c>
      <c r="G1797" s="0" t="s">
        <v>3877</v>
      </c>
    </row>
    <row r="1798" customFormat="false" ht="15" hidden="false" customHeight="false" outlineLevel="0" collapsed="false">
      <c r="A1798" s="0" t="s">
        <v>83</v>
      </c>
      <c r="B1798" s="0" t="n">
        <v>2020</v>
      </c>
      <c r="C1798" s="0" t="s">
        <v>61</v>
      </c>
      <c r="D1798" s="0" t="n">
        <v>111609</v>
      </c>
      <c r="E1798" s="0" t="s">
        <v>3885</v>
      </c>
      <c r="F1798" s="0" t="s">
        <v>3896</v>
      </c>
      <c r="G1798" s="0" t="s">
        <v>3877</v>
      </c>
    </row>
    <row r="1799" customFormat="false" ht="15" hidden="false" customHeight="false" outlineLevel="0" collapsed="false">
      <c r="A1799" s="0" t="s">
        <v>83</v>
      </c>
      <c r="B1799" s="0" t="n">
        <v>2020</v>
      </c>
      <c r="C1799" s="0" t="s">
        <v>63</v>
      </c>
      <c r="D1799" s="0" t="n">
        <v>9164</v>
      </c>
      <c r="E1799" s="0" t="s">
        <v>3885</v>
      </c>
      <c r="F1799" s="0" t="s">
        <v>3896</v>
      </c>
      <c r="G1799" s="0" t="s">
        <v>3877</v>
      </c>
    </row>
    <row r="1800" customFormat="false" ht="15" hidden="false" customHeight="false" outlineLevel="0" collapsed="false">
      <c r="A1800" s="0" t="s">
        <v>83</v>
      </c>
      <c r="B1800" s="0" t="n">
        <v>2020</v>
      </c>
      <c r="C1800" s="0" t="s">
        <v>266</v>
      </c>
      <c r="D1800" s="0" t="n">
        <v>19.86</v>
      </c>
      <c r="E1800" s="0" t="s">
        <v>3885</v>
      </c>
      <c r="F1800" s="0" t="s">
        <v>3896</v>
      </c>
      <c r="G1800" s="0" t="s">
        <v>3877</v>
      </c>
    </row>
    <row r="1801" customFormat="false" ht="15" hidden="false" customHeight="false" outlineLevel="0" collapsed="false">
      <c r="A1801" s="0" t="s">
        <v>83</v>
      </c>
      <c r="B1801" s="0" t="n">
        <v>2020</v>
      </c>
      <c r="C1801" s="0" t="s">
        <v>69</v>
      </c>
      <c r="D1801" s="0" t="n">
        <v>23.21</v>
      </c>
      <c r="E1801" s="0" t="s">
        <v>3885</v>
      </c>
      <c r="F1801" s="0" t="s">
        <v>3896</v>
      </c>
      <c r="G1801" s="0" t="s">
        <v>3877</v>
      </c>
    </row>
    <row r="1802" customFormat="false" ht="15" hidden="false" customHeight="false" outlineLevel="0" collapsed="false">
      <c r="A1802" s="0" t="s">
        <v>83</v>
      </c>
      <c r="B1802" s="0" t="n">
        <v>2020</v>
      </c>
      <c r="C1802" s="0" t="s">
        <v>73</v>
      </c>
      <c r="D1802" s="0" t="n">
        <v>0</v>
      </c>
      <c r="E1802" s="0" t="s">
        <v>3885</v>
      </c>
      <c r="F1802" s="0" t="s">
        <v>3896</v>
      </c>
      <c r="G1802" s="0" t="s">
        <v>3877</v>
      </c>
    </row>
    <row r="1803" customFormat="false" ht="15" hidden="false" customHeight="false" outlineLevel="0" collapsed="false">
      <c r="A1803" s="0" t="s">
        <v>83</v>
      </c>
      <c r="B1803" s="0" t="n">
        <v>2020</v>
      </c>
      <c r="C1803" s="0" t="s">
        <v>920</v>
      </c>
      <c r="D1803" s="0" t="s">
        <v>976</v>
      </c>
      <c r="E1803" s="0" t="s">
        <v>3885</v>
      </c>
      <c r="F1803" s="0" t="s">
        <v>3896</v>
      </c>
      <c r="G1803" s="0" t="s">
        <v>3877</v>
      </c>
    </row>
    <row r="1804" customFormat="false" ht="15" hidden="false" customHeight="false" outlineLevel="0" collapsed="false">
      <c r="A1804" s="0" t="s">
        <v>83</v>
      </c>
      <c r="B1804" s="0" t="n">
        <v>2021</v>
      </c>
      <c r="C1804" s="0" t="s">
        <v>54</v>
      </c>
      <c r="D1804" s="0" t="n">
        <v>9766</v>
      </c>
      <c r="E1804" s="0" t="s">
        <v>3885</v>
      </c>
      <c r="F1804" s="0" t="s">
        <v>3896</v>
      </c>
      <c r="G1804" s="0" t="s">
        <v>3877</v>
      </c>
    </row>
    <row r="1805" customFormat="false" ht="15" hidden="false" customHeight="false" outlineLevel="0" collapsed="false">
      <c r="A1805" s="0" t="s">
        <v>83</v>
      </c>
      <c r="B1805" s="0" t="n">
        <v>2021</v>
      </c>
      <c r="C1805" s="0" t="s">
        <v>670</v>
      </c>
      <c r="D1805" s="0" t="n">
        <v>164304</v>
      </c>
      <c r="E1805" s="0" t="s">
        <v>3885</v>
      </c>
      <c r="F1805" s="0" t="s">
        <v>3896</v>
      </c>
      <c r="G1805" s="0" t="s">
        <v>3877</v>
      </c>
    </row>
    <row r="1806" customFormat="false" ht="15" hidden="false" customHeight="false" outlineLevel="0" collapsed="false">
      <c r="A1806" s="0" t="s">
        <v>83</v>
      </c>
      <c r="B1806" s="0" t="n">
        <v>2021</v>
      </c>
      <c r="C1806" s="0" t="s">
        <v>55</v>
      </c>
      <c r="D1806" s="0" t="n">
        <v>2475079</v>
      </c>
      <c r="E1806" s="0" t="s">
        <v>3885</v>
      </c>
      <c r="F1806" s="0" t="s">
        <v>3896</v>
      </c>
      <c r="G1806" s="0" t="s">
        <v>3877</v>
      </c>
    </row>
    <row r="1807" customFormat="false" ht="15" hidden="false" customHeight="false" outlineLevel="0" collapsed="false">
      <c r="A1807" s="0" t="s">
        <v>83</v>
      </c>
      <c r="B1807" s="0" t="n">
        <v>2021</v>
      </c>
      <c r="C1807" s="0" t="s">
        <v>60</v>
      </c>
      <c r="D1807" s="0" t="n">
        <v>1113022</v>
      </c>
      <c r="E1807" s="0" t="s">
        <v>3885</v>
      </c>
      <c r="F1807" s="0" t="s">
        <v>3896</v>
      </c>
      <c r="G1807" s="0" t="s">
        <v>3877</v>
      </c>
    </row>
    <row r="1808" customFormat="false" ht="15" hidden="false" customHeight="false" outlineLevel="0" collapsed="false">
      <c r="A1808" s="0" t="s">
        <v>83</v>
      </c>
      <c r="B1808" s="0" t="n">
        <v>2021</v>
      </c>
      <c r="C1808" s="0" t="s">
        <v>61</v>
      </c>
      <c r="D1808" s="0" t="n">
        <v>97419</v>
      </c>
      <c r="E1808" s="0" t="s">
        <v>3885</v>
      </c>
      <c r="F1808" s="0" t="s">
        <v>3896</v>
      </c>
      <c r="G1808" s="0" t="s">
        <v>3877</v>
      </c>
    </row>
    <row r="1809" customFormat="false" ht="15" hidden="false" customHeight="false" outlineLevel="0" collapsed="false">
      <c r="A1809" s="0" t="s">
        <v>83</v>
      </c>
      <c r="B1809" s="0" t="n">
        <v>2021</v>
      </c>
      <c r="C1809" s="0" t="s">
        <v>63</v>
      </c>
      <c r="D1809" s="0" t="n">
        <v>7041</v>
      </c>
      <c r="E1809" s="0" t="s">
        <v>3885</v>
      </c>
      <c r="F1809" s="0" t="s">
        <v>3896</v>
      </c>
      <c r="G1809" s="0" t="s">
        <v>3877</v>
      </c>
    </row>
    <row r="1810" customFormat="false" ht="15" hidden="false" customHeight="false" outlineLevel="0" collapsed="false">
      <c r="A1810" s="0" t="s">
        <v>83</v>
      </c>
      <c r="B1810" s="0" t="n">
        <v>2021</v>
      </c>
      <c r="C1810" s="0" t="s">
        <v>266</v>
      </c>
      <c r="D1810" s="0" t="n">
        <v>16.35</v>
      </c>
      <c r="E1810" s="0" t="s">
        <v>3885</v>
      </c>
      <c r="F1810" s="0" t="s">
        <v>3896</v>
      </c>
      <c r="G1810" s="0" t="s">
        <v>3877</v>
      </c>
    </row>
    <row r="1811" customFormat="false" ht="15" hidden="false" customHeight="false" outlineLevel="0" collapsed="false">
      <c r="A1811" s="0" t="s">
        <v>83</v>
      </c>
      <c r="B1811" s="0" t="n">
        <v>2021</v>
      </c>
      <c r="C1811" s="0" t="s">
        <v>69</v>
      </c>
      <c r="D1811" s="0" t="n">
        <v>11.48</v>
      </c>
      <c r="E1811" s="0" t="s">
        <v>3885</v>
      </c>
      <c r="F1811" s="0" t="s">
        <v>3896</v>
      </c>
      <c r="G1811" s="0" t="s">
        <v>3877</v>
      </c>
    </row>
    <row r="1812" customFormat="false" ht="15" hidden="false" customHeight="false" outlineLevel="0" collapsed="false">
      <c r="A1812" s="0" t="s">
        <v>83</v>
      </c>
      <c r="B1812" s="0" t="n">
        <v>2021</v>
      </c>
      <c r="C1812" s="0" t="s">
        <v>73</v>
      </c>
      <c r="D1812" s="0" t="n">
        <v>0</v>
      </c>
      <c r="E1812" s="0" t="s">
        <v>3885</v>
      </c>
      <c r="F1812" s="0" t="s">
        <v>3896</v>
      </c>
      <c r="G1812" s="0" t="s">
        <v>3877</v>
      </c>
    </row>
    <row r="1813" customFormat="false" ht="15" hidden="false" customHeight="false" outlineLevel="0" collapsed="false">
      <c r="A1813" s="0" t="s">
        <v>83</v>
      </c>
      <c r="B1813" s="0" t="n">
        <v>2021</v>
      </c>
      <c r="C1813" s="0" t="s">
        <v>920</v>
      </c>
      <c r="D1813" s="0" t="s">
        <v>976</v>
      </c>
      <c r="E1813" s="0" t="s">
        <v>3885</v>
      </c>
      <c r="F1813" s="0" t="s">
        <v>3896</v>
      </c>
      <c r="G1813" s="0" t="s">
        <v>3877</v>
      </c>
    </row>
    <row r="1814" customFormat="false" ht="15" hidden="false" customHeight="false" outlineLevel="0" collapsed="false">
      <c r="A1814" s="0" t="s">
        <v>83</v>
      </c>
      <c r="B1814" s="0" t="n">
        <v>2022</v>
      </c>
      <c r="C1814" s="0" t="s">
        <v>54</v>
      </c>
      <c r="D1814" s="0" t="n">
        <v>10396</v>
      </c>
      <c r="E1814" s="0" t="s">
        <v>3885</v>
      </c>
      <c r="F1814" s="0" t="s">
        <v>3896</v>
      </c>
      <c r="G1814" s="0" t="s">
        <v>3877</v>
      </c>
    </row>
    <row r="1815" customFormat="false" ht="15" hidden="false" customHeight="false" outlineLevel="0" collapsed="false">
      <c r="A1815" s="0" t="s">
        <v>83</v>
      </c>
      <c r="B1815" s="0" t="n">
        <v>2022</v>
      </c>
      <c r="C1815" s="0" t="s">
        <v>670</v>
      </c>
      <c r="D1815" s="0" t="n">
        <v>211771</v>
      </c>
      <c r="E1815" s="0" t="s">
        <v>3885</v>
      </c>
      <c r="F1815" s="0" t="s">
        <v>3896</v>
      </c>
      <c r="G1815" s="0" t="s">
        <v>3877</v>
      </c>
    </row>
    <row r="1816" customFormat="false" ht="15" hidden="false" customHeight="false" outlineLevel="0" collapsed="false">
      <c r="A1816" s="0" t="s">
        <v>83</v>
      </c>
      <c r="B1816" s="0" t="n">
        <v>2022</v>
      </c>
      <c r="C1816" s="0" t="s">
        <v>55</v>
      </c>
      <c r="D1816" s="0" t="n">
        <v>2917689</v>
      </c>
      <c r="E1816" s="0" t="s">
        <v>3885</v>
      </c>
      <c r="F1816" s="0" t="s">
        <v>3896</v>
      </c>
      <c r="G1816" s="0" t="s">
        <v>3877</v>
      </c>
    </row>
    <row r="1817" customFormat="false" ht="15" hidden="false" customHeight="false" outlineLevel="0" collapsed="false">
      <c r="A1817" s="0" t="s">
        <v>83</v>
      </c>
      <c r="B1817" s="0" t="n">
        <v>2022</v>
      </c>
      <c r="C1817" s="0" t="s">
        <v>60</v>
      </c>
      <c r="D1817" s="0" t="n">
        <v>1190306</v>
      </c>
      <c r="E1817" s="0" t="s">
        <v>3885</v>
      </c>
      <c r="F1817" s="0" t="s">
        <v>3896</v>
      </c>
      <c r="G1817" s="0" t="s">
        <v>3877</v>
      </c>
    </row>
    <row r="1818" customFormat="false" ht="15" hidden="false" customHeight="false" outlineLevel="0" collapsed="false">
      <c r="A1818" s="0" t="s">
        <v>83</v>
      </c>
      <c r="B1818" s="0" t="n">
        <v>2022</v>
      </c>
      <c r="C1818" s="0" t="s">
        <v>61</v>
      </c>
      <c r="D1818" s="0" t="n">
        <v>62880</v>
      </c>
      <c r="E1818" s="0" t="s">
        <v>3885</v>
      </c>
      <c r="F1818" s="0" t="s">
        <v>3896</v>
      </c>
      <c r="G1818" s="0" t="s">
        <v>3877</v>
      </c>
    </row>
    <row r="1819" customFormat="false" ht="15" hidden="false" customHeight="false" outlineLevel="0" collapsed="false">
      <c r="A1819" s="0" t="s">
        <v>83</v>
      </c>
      <c r="B1819" s="0" t="n">
        <v>2022</v>
      </c>
      <c r="C1819" s="0" t="s">
        <v>63</v>
      </c>
      <c r="D1819" s="0" t="n">
        <v>12377</v>
      </c>
      <c r="E1819" s="0" t="s">
        <v>3885</v>
      </c>
      <c r="F1819" s="0" t="s">
        <v>3896</v>
      </c>
      <c r="G1819" s="0" t="s">
        <v>3877</v>
      </c>
    </row>
    <row r="1820" customFormat="false" ht="15" hidden="false" customHeight="false" outlineLevel="0" collapsed="false">
      <c r="A1820" s="0" t="s">
        <v>83</v>
      </c>
      <c r="B1820" s="0" t="n">
        <v>2022</v>
      </c>
      <c r="C1820" s="0" t="s">
        <v>266</v>
      </c>
      <c r="D1820" s="0" t="n">
        <v>6.9</v>
      </c>
      <c r="E1820" s="0" t="s">
        <v>3885</v>
      </c>
      <c r="F1820" s="0" t="s">
        <v>3896</v>
      </c>
      <c r="G1820" s="0" t="s">
        <v>3877</v>
      </c>
    </row>
    <row r="1821" customFormat="false" ht="15" hidden="false" customHeight="false" outlineLevel="0" collapsed="false">
      <c r="A1821" s="0" t="s">
        <v>83</v>
      </c>
      <c r="B1821" s="0" t="n">
        <v>2022</v>
      </c>
      <c r="C1821" s="0" t="s">
        <v>69</v>
      </c>
      <c r="D1821" s="0" t="n">
        <v>13.27</v>
      </c>
      <c r="E1821" s="0" t="s">
        <v>3885</v>
      </c>
      <c r="F1821" s="0" t="s">
        <v>3896</v>
      </c>
      <c r="G1821" s="0" t="s">
        <v>3877</v>
      </c>
    </row>
    <row r="1822" customFormat="false" ht="15" hidden="false" customHeight="false" outlineLevel="0" collapsed="false">
      <c r="A1822" s="0" t="s">
        <v>83</v>
      </c>
      <c r="B1822" s="0" t="n">
        <v>2022</v>
      </c>
      <c r="C1822" s="0" t="s">
        <v>73</v>
      </c>
      <c r="D1822" s="0" t="n">
        <v>0</v>
      </c>
      <c r="E1822" s="0" t="s">
        <v>3885</v>
      </c>
      <c r="F1822" s="0" t="s">
        <v>3896</v>
      </c>
      <c r="G1822" s="0" t="s">
        <v>3877</v>
      </c>
    </row>
    <row r="1823" customFormat="false" ht="15" hidden="false" customHeight="false" outlineLevel="0" collapsed="false">
      <c r="A1823" s="0" t="s">
        <v>83</v>
      </c>
      <c r="B1823" s="0" t="n">
        <v>2022</v>
      </c>
      <c r="C1823" s="0" t="s">
        <v>920</v>
      </c>
      <c r="D1823" s="0" t="s">
        <v>976</v>
      </c>
      <c r="E1823" s="0" t="s">
        <v>3885</v>
      </c>
      <c r="F1823" s="0" t="s">
        <v>3896</v>
      </c>
      <c r="G1823" s="0" t="s">
        <v>3877</v>
      </c>
    </row>
    <row r="1824" customFormat="false" ht="15" hidden="false" customHeight="false" outlineLevel="0" collapsed="false">
      <c r="A1824" s="0" t="s">
        <v>152</v>
      </c>
      <c r="B1824" s="0" t="n">
        <v>2015</v>
      </c>
      <c r="C1824" s="0" t="s">
        <v>54</v>
      </c>
      <c r="D1824" s="0" t="n">
        <v>6255</v>
      </c>
      <c r="E1824" s="0" t="s">
        <v>3885</v>
      </c>
      <c r="F1824" s="0" t="s">
        <v>3897</v>
      </c>
      <c r="G1824" s="0" t="s">
        <v>3877</v>
      </c>
    </row>
    <row r="1825" customFormat="false" ht="15" hidden="false" customHeight="false" outlineLevel="0" collapsed="false">
      <c r="A1825" s="0" t="s">
        <v>152</v>
      </c>
      <c r="B1825" s="0" t="n">
        <v>2015</v>
      </c>
      <c r="C1825" s="0" t="s">
        <v>670</v>
      </c>
      <c r="D1825" s="0" t="n">
        <v>69663</v>
      </c>
      <c r="E1825" s="0" t="s">
        <v>3885</v>
      </c>
      <c r="F1825" s="0" t="s">
        <v>3897</v>
      </c>
      <c r="G1825" s="0" t="s">
        <v>3877</v>
      </c>
    </row>
    <row r="1826" customFormat="false" ht="15" hidden="false" customHeight="false" outlineLevel="0" collapsed="false">
      <c r="A1826" s="0" t="s">
        <v>152</v>
      </c>
      <c r="B1826" s="0" t="n">
        <v>2015</v>
      </c>
      <c r="C1826" s="0" t="s">
        <v>55</v>
      </c>
      <c r="D1826" s="0" t="n">
        <v>476586</v>
      </c>
      <c r="E1826" s="0" t="s">
        <v>3885</v>
      </c>
      <c r="F1826" s="0" t="s">
        <v>3897</v>
      </c>
      <c r="G1826" s="0" t="s">
        <v>3877</v>
      </c>
    </row>
    <row r="1827" customFormat="false" ht="15" hidden="false" customHeight="false" outlineLevel="0" collapsed="false">
      <c r="A1827" s="0" t="s">
        <v>152</v>
      </c>
      <c r="B1827" s="0" t="n">
        <v>2015</v>
      </c>
      <c r="C1827" s="0" t="s">
        <v>60</v>
      </c>
      <c r="D1827" s="0" t="n">
        <v>216221</v>
      </c>
      <c r="E1827" s="0" t="s">
        <v>3885</v>
      </c>
      <c r="F1827" s="0" t="s">
        <v>3897</v>
      </c>
      <c r="G1827" s="0" t="s">
        <v>3877</v>
      </c>
    </row>
    <row r="1828" customFormat="false" ht="15" hidden="false" customHeight="false" outlineLevel="0" collapsed="false">
      <c r="A1828" s="0" t="s">
        <v>152</v>
      </c>
      <c r="B1828" s="0" t="n">
        <v>2015</v>
      </c>
      <c r="C1828" s="0" t="s">
        <v>61</v>
      </c>
      <c r="D1828" s="0" t="n">
        <v>13450</v>
      </c>
      <c r="E1828" s="0" t="s">
        <v>3885</v>
      </c>
      <c r="F1828" s="0" t="s">
        <v>3897</v>
      </c>
      <c r="G1828" s="0" t="s">
        <v>3877</v>
      </c>
    </row>
    <row r="1829" customFormat="false" ht="15" hidden="false" customHeight="false" outlineLevel="0" collapsed="false">
      <c r="A1829" s="0" t="s">
        <v>152</v>
      </c>
      <c r="B1829" s="0" t="n">
        <v>2015</v>
      </c>
      <c r="C1829" s="0" t="s">
        <v>63</v>
      </c>
      <c r="D1829" s="0" t="n">
        <v>1800</v>
      </c>
      <c r="E1829" s="0" t="s">
        <v>3885</v>
      </c>
      <c r="F1829" s="0" t="s">
        <v>3897</v>
      </c>
      <c r="G1829" s="0" t="s">
        <v>3877</v>
      </c>
    </row>
    <row r="1830" customFormat="false" ht="15" hidden="false" customHeight="false" outlineLevel="0" collapsed="false">
      <c r="A1830" s="0" t="s">
        <v>152</v>
      </c>
      <c r="B1830" s="0" t="n">
        <v>2015</v>
      </c>
      <c r="C1830" s="0" t="s">
        <v>266</v>
      </c>
      <c r="D1830" s="0" t="n">
        <v>12</v>
      </c>
      <c r="E1830" s="0" t="s">
        <v>3885</v>
      </c>
      <c r="F1830" s="0" t="s">
        <v>3897</v>
      </c>
      <c r="G1830" s="0" t="s">
        <v>3877</v>
      </c>
    </row>
    <row r="1831" customFormat="false" ht="15" hidden="false" customHeight="false" outlineLevel="0" collapsed="false">
      <c r="A1831" s="0" t="s">
        <v>152</v>
      </c>
      <c r="B1831" s="0" t="n">
        <v>2015</v>
      </c>
      <c r="C1831" s="0" t="s">
        <v>69</v>
      </c>
      <c r="D1831" s="0" t="n">
        <v>16</v>
      </c>
      <c r="E1831" s="0" t="s">
        <v>3885</v>
      </c>
      <c r="F1831" s="0" t="s">
        <v>3897</v>
      </c>
      <c r="G1831" s="0" t="s">
        <v>3877</v>
      </c>
    </row>
    <row r="1832" customFormat="false" ht="15" hidden="false" customHeight="false" outlineLevel="0" collapsed="false">
      <c r="A1832" s="0" t="s">
        <v>152</v>
      </c>
      <c r="B1832" s="0" t="n">
        <v>2015</v>
      </c>
      <c r="C1832" s="0" t="s">
        <v>73</v>
      </c>
      <c r="D1832" s="0" t="n">
        <v>0</v>
      </c>
      <c r="E1832" s="0" t="s">
        <v>3885</v>
      </c>
      <c r="F1832" s="0" t="s">
        <v>3897</v>
      </c>
      <c r="G1832" s="0" t="s">
        <v>3877</v>
      </c>
    </row>
    <row r="1833" customFormat="false" ht="15" hidden="false" customHeight="false" outlineLevel="0" collapsed="false">
      <c r="A1833" s="0" t="s">
        <v>152</v>
      </c>
      <c r="B1833" s="0" t="n">
        <v>2015</v>
      </c>
      <c r="C1833" s="0" t="s">
        <v>920</v>
      </c>
      <c r="D1833" s="0" t="s">
        <v>3884</v>
      </c>
      <c r="E1833" s="0" t="s">
        <v>3885</v>
      </c>
      <c r="F1833" s="0" t="s">
        <v>3897</v>
      </c>
      <c r="G1833" s="0" t="s">
        <v>3877</v>
      </c>
    </row>
    <row r="1834" customFormat="false" ht="15" hidden="false" customHeight="false" outlineLevel="0" collapsed="false">
      <c r="A1834" s="0" t="s">
        <v>152</v>
      </c>
      <c r="B1834" s="0" t="n">
        <v>2016</v>
      </c>
      <c r="C1834" s="0" t="s">
        <v>54</v>
      </c>
      <c r="D1834" s="0" t="n">
        <v>3200</v>
      </c>
      <c r="E1834" s="0" t="s">
        <v>3885</v>
      </c>
      <c r="F1834" s="0" t="s">
        <v>3897</v>
      </c>
      <c r="G1834" s="0" t="s">
        <v>3877</v>
      </c>
    </row>
    <row r="1835" customFormat="false" ht="15" hidden="false" customHeight="false" outlineLevel="0" collapsed="false">
      <c r="A1835" s="0" t="s">
        <v>152</v>
      </c>
      <c r="B1835" s="0" t="n">
        <v>2016</v>
      </c>
      <c r="C1835" s="0" t="s">
        <v>670</v>
      </c>
      <c r="D1835" s="0" t="n">
        <v>82026</v>
      </c>
      <c r="E1835" s="0" t="s">
        <v>3885</v>
      </c>
      <c r="F1835" s="0" t="s">
        <v>3897</v>
      </c>
      <c r="G1835" s="0" t="s">
        <v>3877</v>
      </c>
    </row>
    <row r="1836" customFormat="false" ht="15" hidden="false" customHeight="false" outlineLevel="0" collapsed="false">
      <c r="A1836" s="0" t="s">
        <v>152</v>
      </c>
      <c r="B1836" s="0" t="n">
        <v>2016</v>
      </c>
      <c r="C1836" s="0" t="s">
        <v>55</v>
      </c>
      <c r="D1836" s="0" t="n">
        <v>492021</v>
      </c>
      <c r="E1836" s="0" t="s">
        <v>3885</v>
      </c>
      <c r="F1836" s="0" t="s">
        <v>3897</v>
      </c>
      <c r="G1836" s="0" t="s">
        <v>3877</v>
      </c>
    </row>
    <row r="1837" customFormat="false" ht="15" hidden="false" customHeight="false" outlineLevel="0" collapsed="false">
      <c r="A1837" s="0" t="s">
        <v>152</v>
      </c>
      <c r="B1837" s="0" t="n">
        <v>2016</v>
      </c>
      <c r="C1837" s="0" t="s">
        <v>60</v>
      </c>
      <c r="D1837" s="0" t="n">
        <v>237996</v>
      </c>
      <c r="E1837" s="0" t="s">
        <v>3885</v>
      </c>
      <c r="F1837" s="0" t="s">
        <v>3897</v>
      </c>
      <c r="G1837" s="0" t="s">
        <v>3877</v>
      </c>
    </row>
    <row r="1838" customFormat="false" ht="15" hidden="false" customHeight="false" outlineLevel="0" collapsed="false">
      <c r="A1838" s="0" t="s">
        <v>152</v>
      </c>
      <c r="B1838" s="0" t="n">
        <v>2016</v>
      </c>
      <c r="C1838" s="0" t="s">
        <v>61</v>
      </c>
      <c r="D1838" s="0" t="n">
        <v>14650</v>
      </c>
      <c r="E1838" s="0" t="s">
        <v>3885</v>
      </c>
      <c r="F1838" s="0" t="s">
        <v>3897</v>
      </c>
      <c r="G1838" s="0" t="s">
        <v>3877</v>
      </c>
    </row>
    <row r="1839" customFormat="false" ht="15" hidden="false" customHeight="false" outlineLevel="0" collapsed="false">
      <c r="A1839" s="0" t="s">
        <v>152</v>
      </c>
      <c r="B1839" s="0" t="n">
        <v>2016</v>
      </c>
      <c r="C1839" s="0" t="s">
        <v>63</v>
      </c>
      <c r="D1839" s="0" t="n">
        <v>1200</v>
      </c>
      <c r="E1839" s="0" t="s">
        <v>3885</v>
      </c>
      <c r="F1839" s="0" t="s">
        <v>3897</v>
      </c>
      <c r="G1839" s="0" t="s">
        <v>3877</v>
      </c>
    </row>
    <row r="1840" customFormat="false" ht="15" hidden="false" customHeight="false" outlineLevel="0" collapsed="false">
      <c r="A1840" s="0" t="s">
        <v>152</v>
      </c>
      <c r="B1840" s="0" t="n">
        <v>2016</v>
      </c>
      <c r="C1840" s="0" t="s">
        <v>266</v>
      </c>
      <c r="D1840" s="0" t="n">
        <v>13</v>
      </c>
      <c r="E1840" s="0" t="s">
        <v>3885</v>
      </c>
      <c r="F1840" s="0" t="s">
        <v>3897</v>
      </c>
      <c r="G1840" s="0" t="s">
        <v>3877</v>
      </c>
    </row>
    <row r="1841" customFormat="false" ht="15" hidden="false" customHeight="false" outlineLevel="0" collapsed="false">
      <c r="A1841" s="0" t="s">
        <v>152</v>
      </c>
      <c r="B1841" s="0" t="n">
        <v>2016</v>
      </c>
      <c r="C1841" s="0" t="s">
        <v>69</v>
      </c>
      <c r="D1841" s="0" t="n">
        <v>17</v>
      </c>
      <c r="E1841" s="0" t="s">
        <v>3885</v>
      </c>
      <c r="F1841" s="0" t="s">
        <v>3897</v>
      </c>
      <c r="G1841" s="0" t="s">
        <v>3877</v>
      </c>
    </row>
    <row r="1842" customFormat="false" ht="15" hidden="false" customHeight="false" outlineLevel="0" collapsed="false">
      <c r="A1842" s="0" t="s">
        <v>152</v>
      </c>
      <c r="B1842" s="0" t="n">
        <v>2016</v>
      </c>
      <c r="C1842" s="0" t="s">
        <v>73</v>
      </c>
      <c r="D1842" s="0" t="n">
        <v>0</v>
      </c>
      <c r="E1842" s="0" t="s">
        <v>3885</v>
      </c>
      <c r="F1842" s="0" t="s">
        <v>3897</v>
      </c>
      <c r="G1842" s="0" t="s">
        <v>3877</v>
      </c>
    </row>
    <row r="1843" customFormat="false" ht="15" hidden="false" customHeight="false" outlineLevel="0" collapsed="false">
      <c r="A1843" s="0" t="s">
        <v>152</v>
      </c>
      <c r="B1843" s="0" t="n">
        <v>2016</v>
      </c>
      <c r="C1843" s="0" t="s">
        <v>920</v>
      </c>
      <c r="D1843" s="0" t="s">
        <v>3884</v>
      </c>
      <c r="E1843" s="0" t="s">
        <v>3885</v>
      </c>
      <c r="F1843" s="0" t="s">
        <v>3897</v>
      </c>
      <c r="G1843" s="0" t="s">
        <v>3877</v>
      </c>
    </row>
    <row r="1844" customFormat="false" ht="15" hidden="false" customHeight="false" outlineLevel="0" collapsed="false">
      <c r="A1844" s="0" t="s">
        <v>152</v>
      </c>
      <c r="B1844" s="0" t="n">
        <v>2017</v>
      </c>
      <c r="C1844" s="0" t="s">
        <v>54</v>
      </c>
      <c r="D1844" s="0" t="n">
        <v>-14918</v>
      </c>
      <c r="E1844" s="0" t="s">
        <v>3885</v>
      </c>
      <c r="F1844" s="0" t="s">
        <v>3897</v>
      </c>
      <c r="G1844" s="0" t="s">
        <v>3877</v>
      </c>
    </row>
    <row r="1845" customFormat="false" ht="15" hidden="false" customHeight="false" outlineLevel="0" collapsed="false">
      <c r="A1845" s="0" t="s">
        <v>152</v>
      </c>
      <c r="B1845" s="0" t="n">
        <v>2017</v>
      </c>
      <c r="C1845" s="0" t="s">
        <v>670</v>
      </c>
      <c r="D1845" s="0" t="n">
        <v>89926</v>
      </c>
      <c r="E1845" s="0" t="s">
        <v>3885</v>
      </c>
      <c r="F1845" s="0" t="s">
        <v>3897</v>
      </c>
      <c r="G1845" s="0" t="s">
        <v>3877</v>
      </c>
    </row>
    <row r="1846" customFormat="false" ht="15" hidden="false" customHeight="false" outlineLevel="0" collapsed="false">
      <c r="A1846" s="0" t="s">
        <v>152</v>
      </c>
      <c r="B1846" s="0" t="n">
        <v>2017</v>
      </c>
      <c r="C1846" s="0" t="s">
        <v>55</v>
      </c>
      <c r="D1846" s="0" t="n">
        <v>156507</v>
      </c>
      <c r="E1846" s="0" t="s">
        <v>3885</v>
      </c>
      <c r="F1846" s="0" t="s">
        <v>3897</v>
      </c>
      <c r="G1846" s="0" t="s">
        <v>3877</v>
      </c>
    </row>
    <row r="1847" customFormat="false" ht="15" hidden="false" customHeight="false" outlineLevel="0" collapsed="false">
      <c r="A1847" s="0" t="s">
        <v>152</v>
      </c>
      <c r="B1847" s="0" t="n">
        <v>2017</v>
      </c>
      <c r="C1847" s="0" t="s">
        <v>60</v>
      </c>
      <c r="D1847" s="0" t="n">
        <v>9467</v>
      </c>
      <c r="E1847" s="0" t="s">
        <v>3885</v>
      </c>
      <c r="F1847" s="0" t="s">
        <v>3897</v>
      </c>
      <c r="G1847" s="0" t="s">
        <v>3877</v>
      </c>
    </row>
    <row r="1848" customFormat="false" ht="15" hidden="false" customHeight="false" outlineLevel="0" collapsed="false">
      <c r="A1848" s="0" t="s">
        <v>152</v>
      </c>
      <c r="B1848" s="0" t="n">
        <v>2017</v>
      </c>
      <c r="C1848" s="0" t="s">
        <v>61</v>
      </c>
      <c r="D1848" s="0" t="n">
        <v>509</v>
      </c>
      <c r="E1848" s="0" t="s">
        <v>3885</v>
      </c>
      <c r="F1848" s="0" t="s">
        <v>3897</v>
      </c>
      <c r="G1848" s="0" t="s">
        <v>3877</v>
      </c>
    </row>
    <row r="1849" customFormat="false" ht="15" hidden="false" customHeight="false" outlineLevel="0" collapsed="false">
      <c r="A1849" s="0" t="s">
        <v>152</v>
      </c>
      <c r="B1849" s="0" t="n">
        <v>2017</v>
      </c>
      <c r="C1849" s="0" t="s">
        <v>63</v>
      </c>
      <c r="D1849" s="0" t="n">
        <v>44255</v>
      </c>
      <c r="E1849" s="0" t="s">
        <v>3885</v>
      </c>
      <c r="F1849" s="0" t="s">
        <v>3897</v>
      </c>
      <c r="G1849" s="0" t="s">
        <v>3877</v>
      </c>
    </row>
    <row r="1850" customFormat="false" ht="15" hidden="false" customHeight="false" outlineLevel="0" collapsed="false">
      <c r="A1850" s="0" t="s">
        <v>152</v>
      </c>
      <c r="B1850" s="0" t="n">
        <v>2017</v>
      </c>
      <c r="C1850" s="0" t="s">
        <v>266</v>
      </c>
      <c r="D1850" s="0" t="n">
        <v>0</v>
      </c>
      <c r="E1850" s="0" t="s">
        <v>3885</v>
      </c>
      <c r="F1850" s="0" t="s">
        <v>3897</v>
      </c>
      <c r="G1850" s="0" t="s">
        <v>3877</v>
      </c>
    </row>
    <row r="1851" customFormat="false" ht="15" hidden="false" customHeight="false" outlineLevel="0" collapsed="false">
      <c r="A1851" s="0" t="s">
        <v>152</v>
      </c>
      <c r="B1851" s="0" t="n">
        <v>2017</v>
      </c>
      <c r="C1851" s="0" t="s">
        <v>69</v>
      </c>
      <c r="D1851" s="0" t="n">
        <v>-198.07</v>
      </c>
      <c r="E1851" s="0" t="s">
        <v>3885</v>
      </c>
      <c r="F1851" s="0" t="s">
        <v>3897</v>
      </c>
      <c r="G1851" s="0" t="s">
        <v>3877</v>
      </c>
    </row>
    <row r="1852" customFormat="false" ht="15" hidden="false" customHeight="false" outlineLevel="0" collapsed="false">
      <c r="A1852" s="0" t="s">
        <v>152</v>
      </c>
      <c r="B1852" s="0" t="n">
        <v>2017</v>
      </c>
      <c r="C1852" s="0" t="s">
        <v>73</v>
      </c>
      <c r="D1852" s="0" t="n">
        <v>0</v>
      </c>
      <c r="E1852" s="0" t="s">
        <v>3885</v>
      </c>
      <c r="F1852" s="0" t="s">
        <v>3897</v>
      </c>
      <c r="G1852" s="0" t="s">
        <v>3877</v>
      </c>
    </row>
    <row r="1853" customFormat="false" ht="15" hidden="false" customHeight="false" outlineLevel="0" collapsed="false">
      <c r="A1853" s="0" t="s">
        <v>152</v>
      </c>
      <c r="B1853" s="0" t="n">
        <v>2017</v>
      </c>
      <c r="C1853" s="0" t="s">
        <v>920</v>
      </c>
      <c r="D1853" s="0" t="s">
        <v>3884</v>
      </c>
      <c r="E1853" s="0" t="s">
        <v>3885</v>
      </c>
      <c r="F1853" s="0" t="s">
        <v>3897</v>
      </c>
      <c r="G1853" s="0" t="s">
        <v>3877</v>
      </c>
    </row>
    <row r="1854" customFormat="false" ht="15" hidden="false" customHeight="false" outlineLevel="0" collapsed="false">
      <c r="A1854" s="0" t="s">
        <v>152</v>
      </c>
      <c r="B1854" s="0" t="n">
        <v>2018</v>
      </c>
      <c r="C1854" s="0" t="s">
        <v>54</v>
      </c>
      <c r="D1854" s="0" t="n">
        <v>1269</v>
      </c>
      <c r="E1854" s="0" t="s">
        <v>3885</v>
      </c>
      <c r="F1854" s="0" t="s">
        <v>3897</v>
      </c>
      <c r="G1854" s="0" t="s">
        <v>3877</v>
      </c>
    </row>
    <row r="1855" customFormat="false" ht="15" hidden="false" customHeight="false" outlineLevel="0" collapsed="false">
      <c r="A1855" s="0" t="s">
        <v>152</v>
      </c>
      <c r="B1855" s="0" t="n">
        <v>2018</v>
      </c>
      <c r="C1855" s="0" t="s">
        <v>670</v>
      </c>
      <c r="D1855" s="0" t="n">
        <v>37325</v>
      </c>
      <c r="E1855" s="0" t="s">
        <v>3885</v>
      </c>
      <c r="F1855" s="0" t="s">
        <v>3897</v>
      </c>
      <c r="G1855" s="0" t="s">
        <v>3877</v>
      </c>
    </row>
    <row r="1856" customFormat="false" ht="15" hidden="false" customHeight="false" outlineLevel="0" collapsed="false">
      <c r="A1856" s="0" t="s">
        <v>152</v>
      </c>
      <c r="B1856" s="0" t="n">
        <v>2018</v>
      </c>
      <c r="C1856" s="0" t="s">
        <v>55</v>
      </c>
      <c r="D1856" s="0" t="n">
        <v>235976</v>
      </c>
      <c r="E1856" s="0" t="s">
        <v>3885</v>
      </c>
      <c r="F1856" s="0" t="s">
        <v>3897</v>
      </c>
      <c r="G1856" s="0" t="s">
        <v>3877</v>
      </c>
    </row>
    <row r="1857" customFormat="false" ht="15" hidden="false" customHeight="false" outlineLevel="0" collapsed="false">
      <c r="A1857" s="0" t="s">
        <v>152</v>
      </c>
      <c r="B1857" s="0" t="n">
        <v>2018</v>
      </c>
      <c r="C1857" s="0" t="s">
        <v>60</v>
      </c>
      <c r="D1857" s="0" t="n">
        <v>44402</v>
      </c>
      <c r="E1857" s="0" t="s">
        <v>3885</v>
      </c>
      <c r="F1857" s="0" t="s">
        <v>3897</v>
      </c>
      <c r="G1857" s="0" t="s">
        <v>3877</v>
      </c>
    </row>
    <row r="1858" customFormat="false" ht="15" hidden="false" customHeight="false" outlineLevel="0" collapsed="false">
      <c r="A1858" s="0" t="s">
        <v>152</v>
      </c>
      <c r="B1858" s="0" t="n">
        <v>2018</v>
      </c>
      <c r="C1858" s="0" t="s">
        <v>61</v>
      </c>
      <c r="D1858" s="0" t="n">
        <v>744</v>
      </c>
      <c r="E1858" s="0" t="s">
        <v>3885</v>
      </c>
      <c r="F1858" s="0" t="s">
        <v>3897</v>
      </c>
      <c r="G1858" s="0" t="s">
        <v>3877</v>
      </c>
    </row>
    <row r="1859" customFormat="false" ht="15" hidden="false" customHeight="false" outlineLevel="0" collapsed="false">
      <c r="A1859" s="0" t="s">
        <v>152</v>
      </c>
      <c r="B1859" s="0" t="n">
        <v>2018</v>
      </c>
      <c r="C1859" s="0" t="s">
        <v>63</v>
      </c>
      <c r="D1859" s="0" t="n">
        <v>161</v>
      </c>
      <c r="E1859" s="0" t="s">
        <v>3885</v>
      </c>
      <c r="F1859" s="0" t="s">
        <v>3897</v>
      </c>
      <c r="G1859" s="0" t="s">
        <v>3877</v>
      </c>
    </row>
    <row r="1860" customFormat="false" ht="15" hidden="false" customHeight="false" outlineLevel="0" collapsed="false">
      <c r="A1860" s="0" t="s">
        <v>152</v>
      </c>
      <c r="B1860" s="0" t="n">
        <v>2018</v>
      </c>
      <c r="C1860" s="0" t="s">
        <v>266</v>
      </c>
      <c r="D1860" s="0" t="n">
        <v>0</v>
      </c>
      <c r="E1860" s="0" t="s">
        <v>3885</v>
      </c>
      <c r="F1860" s="0" t="s">
        <v>3897</v>
      </c>
      <c r="G1860" s="0" t="s">
        <v>3877</v>
      </c>
    </row>
    <row r="1861" customFormat="false" ht="15" hidden="false" customHeight="false" outlineLevel="0" collapsed="false">
      <c r="A1861" s="0" t="s">
        <v>152</v>
      </c>
      <c r="B1861" s="0" t="n">
        <v>2018</v>
      </c>
      <c r="C1861" s="0" t="s">
        <v>69</v>
      </c>
      <c r="D1861" s="0" t="n">
        <v>-198.56</v>
      </c>
      <c r="E1861" s="0" t="s">
        <v>3885</v>
      </c>
      <c r="F1861" s="0" t="s">
        <v>3897</v>
      </c>
      <c r="G1861" s="0" t="s">
        <v>3877</v>
      </c>
    </row>
    <row r="1862" customFormat="false" ht="15" hidden="false" customHeight="false" outlineLevel="0" collapsed="false">
      <c r="A1862" s="0" t="s">
        <v>152</v>
      </c>
      <c r="B1862" s="0" t="n">
        <v>2018</v>
      </c>
      <c r="C1862" s="0" t="s">
        <v>73</v>
      </c>
      <c r="D1862" s="0" t="n">
        <v>0</v>
      </c>
      <c r="E1862" s="0" t="s">
        <v>3885</v>
      </c>
      <c r="F1862" s="0" t="s">
        <v>3897</v>
      </c>
      <c r="G1862" s="0" t="s">
        <v>3877</v>
      </c>
    </row>
    <row r="1863" customFormat="false" ht="15" hidden="false" customHeight="false" outlineLevel="0" collapsed="false">
      <c r="A1863" s="0" t="s">
        <v>152</v>
      </c>
      <c r="B1863" s="0" t="n">
        <v>2018</v>
      </c>
      <c r="C1863" s="0" t="s">
        <v>920</v>
      </c>
      <c r="D1863" s="0" t="s">
        <v>3884</v>
      </c>
      <c r="E1863" s="0" t="s">
        <v>3885</v>
      </c>
      <c r="F1863" s="0" t="s">
        <v>3897</v>
      </c>
      <c r="G1863" s="0" t="s">
        <v>3877</v>
      </c>
    </row>
    <row r="1864" customFormat="false" ht="15" hidden="false" customHeight="false" outlineLevel="0" collapsed="false">
      <c r="A1864" s="0" t="s">
        <v>152</v>
      </c>
      <c r="B1864" s="0" t="n">
        <v>2019</v>
      </c>
      <c r="C1864" s="0" t="s">
        <v>54</v>
      </c>
      <c r="D1864" s="0" t="n">
        <v>3383</v>
      </c>
      <c r="E1864" s="0" t="s">
        <v>3885</v>
      </c>
      <c r="F1864" s="0" t="s">
        <v>3897</v>
      </c>
      <c r="G1864" s="0" t="s">
        <v>3877</v>
      </c>
    </row>
    <row r="1865" customFormat="false" ht="15" hidden="false" customHeight="false" outlineLevel="0" collapsed="false">
      <c r="A1865" s="0" t="s">
        <v>152</v>
      </c>
      <c r="B1865" s="0" t="n">
        <v>2019</v>
      </c>
      <c r="C1865" s="0" t="s">
        <v>670</v>
      </c>
      <c r="D1865" s="0" t="n">
        <v>44587</v>
      </c>
      <c r="E1865" s="0" t="s">
        <v>3885</v>
      </c>
      <c r="F1865" s="0" t="s">
        <v>3897</v>
      </c>
      <c r="G1865" s="0" t="s">
        <v>3877</v>
      </c>
    </row>
    <row r="1866" customFormat="false" ht="15" hidden="false" customHeight="false" outlineLevel="0" collapsed="false">
      <c r="A1866" s="0" t="s">
        <v>152</v>
      </c>
      <c r="B1866" s="0" t="n">
        <v>2019</v>
      </c>
      <c r="C1866" s="0" t="s">
        <v>55</v>
      </c>
      <c r="D1866" s="0" t="n">
        <v>293052</v>
      </c>
      <c r="E1866" s="0" t="s">
        <v>3885</v>
      </c>
      <c r="F1866" s="0" t="s">
        <v>3897</v>
      </c>
      <c r="G1866" s="0" t="s">
        <v>3877</v>
      </c>
    </row>
    <row r="1867" customFormat="false" ht="15" hidden="false" customHeight="false" outlineLevel="0" collapsed="false">
      <c r="A1867" s="0" t="s">
        <v>152</v>
      </c>
      <c r="B1867" s="0" t="n">
        <v>2019</v>
      </c>
      <c r="C1867" s="0" t="s">
        <v>60</v>
      </c>
      <c r="D1867" s="0" t="n">
        <v>106914</v>
      </c>
      <c r="E1867" s="0" t="s">
        <v>3885</v>
      </c>
      <c r="F1867" s="0" t="s">
        <v>3897</v>
      </c>
      <c r="G1867" s="0" t="s">
        <v>3877</v>
      </c>
    </row>
    <row r="1868" customFormat="false" ht="15" hidden="false" customHeight="false" outlineLevel="0" collapsed="false">
      <c r="A1868" s="0" t="s">
        <v>152</v>
      </c>
      <c r="B1868" s="0" t="n">
        <v>2019</v>
      </c>
      <c r="C1868" s="0" t="s">
        <v>61</v>
      </c>
      <c r="D1868" s="0" t="n">
        <v>14841</v>
      </c>
      <c r="E1868" s="0" t="s">
        <v>3885</v>
      </c>
      <c r="F1868" s="0" t="s">
        <v>3897</v>
      </c>
      <c r="G1868" s="0" t="s">
        <v>3877</v>
      </c>
    </row>
    <row r="1869" customFormat="false" ht="15" hidden="false" customHeight="false" outlineLevel="0" collapsed="false">
      <c r="A1869" s="0" t="s">
        <v>152</v>
      </c>
      <c r="B1869" s="0" t="n">
        <v>2019</v>
      </c>
      <c r="C1869" s="0" t="s">
        <v>266</v>
      </c>
      <c r="D1869" s="0" t="n">
        <v>0.9</v>
      </c>
      <c r="E1869" s="0" t="s">
        <v>3885</v>
      </c>
      <c r="F1869" s="0" t="s">
        <v>3897</v>
      </c>
      <c r="G1869" s="0" t="s">
        <v>3877</v>
      </c>
    </row>
    <row r="1870" customFormat="false" ht="15" hidden="false" customHeight="false" outlineLevel="0" collapsed="false">
      <c r="A1870" s="0" t="s">
        <v>152</v>
      </c>
      <c r="B1870" s="0" t="n">
        <v>2019</v>
      </c>
      <c r="C1870" s="0" t="s">
        <v>69</v>
      </c>
      <c r="D1870" s="0" t="n">
        <v>-201.59</v>
      </c>
      <c r="E1870" s="0" t="s">
        <v>3885</v>
      </c>
      <c r="F1870" s="0" t="s">
        <v>3897</v>
      </c>
      <c r="G1870" s="0" t="s">
        <v>3877</v>
      </c>
    </row>
    <row r="1871" customFormat="false" ht="15" hidden="false" customHeight="false" outlineLevel="0" collapsed="false">
      <c r="A1871" s="0" t="s">
        <v>152</v>
      </c>
      <c r="B1871" s="0" t="n">
        <v>2019</v>
      </c>
      <c r="C1871" s="0" t="s">
        <v>73</v>
      </c>
      <c r="D1871" s="0" t="n">
        <v>1</v>
      </c>
      <c r="E1871" s="0" t="s">
        <v>3885</v>
      </c>
      <c r="F1871" s="0" t="s">
        <v>3897</v>
      </c>
      <c r="G1871" s="0" t="s">
        <v>3877</v>
      </c>
    </row>
    <row r="1872" customFormat="false" ht="15" hidden="false" customHeight="false" outlineLevel="0" collapsed="false">
      <c r="A1872" s="0" t="s">
        <v>152</v>
      </c>
      <c r="B1872" s="0" t="n">
        <v>2019</v>
      </c>
      <c r="C1872" s="0" t="s">
        <v>920</v>
      </c>
      <c r="D1872" s="0" t="s">
        <v>1973</v>
      </c>
      <c r="E1872" s="0" t="s">
        <v>3885</v>
      </c>
      <c r="F1872" s="0" t="s">
        <v>3897</v>
      </c>
      <c r="G1872" s="0" t="s">
        <v>3877</v>
      </c>
    </row>
    <row r="1873" customFormat="false" ht="15" hidden="false" customHeight="false" outlineLevel="0" collapsed="false">
      <c r="A1873" s="0" t="s">
        <v>152</v>
      </c>
      <c r="B1873" s="0" t="n">
        <v>2020</v>
      </c>
      <c r="C1873" s="0" t="s">
        <v>54</v>
      </c>
      <c r="D1873" s="0" t="n">
        <v>2086</v>
      </c>
      <c r="E1873" s="0" t="s">
        <v>3885</v>
      </c>
      <c r="F1873" s="0" t="s">
        <v>3897</v>
      </c>
      <c r="G1873" s="0" t="s">
        <v>3877</v>
      </c>
    </row>
    <row r="1874" customFormat="false" ht="15" hidden="false" customHeight="false" outlineLevel="0" collapsed="false">
      <c r="A1874" s="0" t="s">
        <v>152</v>
      </c>
      <c r="B1874" s="0" t="n">
        <v>2020</v>
      </c>
      <c r="C1874" s="0" t="s">
        <v>670</v>
      </c>
      <c r="D1874" s="0" t="n">
        <v>42709</v>
      </c>
      <c r="E1874" s="0" t="s">
        <v>3885</v>
      </c>
      <c r="F1874" s="0" t="s">
        <v>3897</v>
      </c>
      <c r="G1874" s="0" t="s">
        <v>3877</v>
      </c>
    </row>
    <row r="1875" customFormat="false" ht="15" hidden="false" customHeight="false" outlineLevel="0" collapsed="false">
      <c r="A1875" s="0" t="s">
        <v>152</v>
      </c>
      <c r="B1875" s="0" t="n">
        <v>2020</v>
      </c>
      <c r="C1875" s="0" t="s">
        <v>55</v>
      </c>
      <c r="D1875" s="0" t="n">
        <v>492020</v>
      </c>
      <c r="E1875" s="0" t="s">
        <v>3885</v>
      </c>
      <c r="F1875" s="0" t="s">
        <v>3897</v>
      </c>
      <c r="G1875" s="0" t="s">
        <v>3877</v>
      </c>
    </row>
    <row r="1876" customFormat="false" ht="15" hidden="false" customHeight="false" outlineLevel="0" collapsed="false">
      <c r="A1876" s="0" t="s">
        <v>152</v>
      </c>
      <c r="B1876" s="0" t="n">
        <v>2020</v>
      </c>
      <c r="C1876" s="0" t="s">
        <v>60</v>
      </c>
      <c r="D1876" s="0" t="n">
        <v>206206</v>
      </c>
      <c r="E1876" s="0" t="s">
        <v>3885</v>
      </c>
      <c r="F1876" s="0" t="s">
        <v>3897</v>
      </c>
      <c r="G1876" s="0" t="s">
        <v>3877</v>
      </c>
    </row>
    <row r="1877" customFormat="false" ht="15" hidden="false" customHeight="false" outlineLevel="0" collapsed="false">
      <c r="A1877" s="0" t="s">
        <v>152</v>
      </c>
      <c r="B1877" s="0" t="n">
        <v>2020</v>
      </c>
      <c r="C1877" s="0" t="s">
        <v>61</v>
      </c>
      <c r="D1877" s="0" t="n">
        <v>11909</v>
      </c>
      <c r="E1877" s="0" t="s">
        <v>3885</v>
      </c>
      <c r="F1877" s="0" t="s">
        <v>3897</v>
      </c>
      <c r="G1877" s="0" t="s">
        <v>3877</v>
      </c>
    </row>
    <row r="1878" customFormat="false" ht="15" hidden="false" customHeight="false" outlineLevel="0" collapsed="false">
      <c r="A1878" s="0" t="s">
        <v>152</v>
      </c>
      <c r="B1878" s="0" t="n">
        <v>2020</v>
      </c>
      <c r="C1878" s="0" t="s">
        <v>63</v>
      </c>
      <c r="D1878" s="0" t="n">
        <v>4127</v>
      </c>
      <c r="E1878" s="0" t="s">
        <v>3885</v>
      </c>
      <c r="F1878" s="0" t="s">
        <v>3897</v>
      </c>
      <c r="G1878" s="0" t="s">
        <v>3877</v>
      </c>
    </row>
    <row r="1879" customFormat="false" ht="15" hidden="false" customHeight="false" outlineLevel="0" collapsed="false">
      <c r="A1879" s="0" t="s">
        <v>152</v>
      </c>
      <c r="B1879" s="0" t="n">
        <v>2020</v>
      </c>
      <c r="C1879" s="0" t="s">
        <v>266</v>
      </c>
      <c r="D1879" s="0" t="n">
        <v>0.03</v>
      </c>
      <c r="E1879" s="0" t="s">
        <v>3885</v>
      </c>
      <c r="F1879" s="0" t="s">
        <v>3897</v>
      </c>
      <c r="G1879" s="0" t="s">
        <v>3877</v>
      </c>
    </row>
    <row r="1880" customFormat="false" ht="15" hidden="false" customHeight="false" outlineLevel="0" collapsed="false">
      <c r="A1880" s="0" t="s">
        <v>152</v>
      </c>
      <c r="B1880" s="0" t="n">
        <v>2020</v>
      </c>
      <c r="C1880" s="0" t="s">
        <v>69</v>
      </c>
      <c r="D1880" s="0" t="n">
        <v>-101.47</v>
      </c>
      <c r="E1880" s="0" t="s">
        <v>3885</v>
      </c>
      <c r="F1880" s="0" t="s">
        <v>3897</v>
      </c>
      <c r="G1880" s="0" t="s">
        <v>3877</v>
      </c>
    </row>
    <row r="1881" customFormat="false" ht="15" hidden="false" customHeight="false" outlineLevel="0" collapsed="false">
      <c r="A1881" s="0" t="s">
        <v>152</v>
      </c>
      <c r="B1881" s="0" t="n">
        <v>2020</v>
      </c>
      <c r="C1881" s="0" t="s">
        <v>73</v>
      </c>
      <c r="D1881" s="0" t="n">
        <v>1</v>
      </c>
      <c r="E1881" s="0" t="s">
        <v>3885</v>
      </c>
      <c r="F1881" s="0" t="s">
        <v>3897</v>
      </c>
      <c r="G1881" s="0" t="s">
        <v>3877</v>
      </c>
    </row>
    <row r="1882" customFormat="false" ht="15" hidden="false" customHeight="false" outlineLevel="0" collapsed="false">
      <c r="A1882" s="0" t="s">
        <v>152</v>
      </c>
      <c r="B1882" s="0" t="n">
        <v>2020</v>
      </c>
      <c r="C1882" s="0" t="s">
        <v>920</v>
      </c>
      <c r="D1882" s="0" t="s">
        <v>1973</v>
      </c>
      <c r="E1882" s="0" t="s">
        <v>3885</v>
      </c>
      <c r="F1882" s="0" t="s">
        <v>3897</v>
      </c>
      <c r="G1882" s="0" t="s">
        <v>3877</v>
      </c>
    </row>
    <row r="1883" customFormat="false" ht="15" hidden="false" customHeight="false" outlineLevel="0" collapsed="false">
      <c r="A1883" s="0" t="s">
        <v>152</v>
      </c>
      <c r="B1883" s="0" t="n">
        <v>2021</v>
      </c>
      <c r="C1883" s="0" t="s">
        <v>54</v>
      </c>
      <c r="D1883" s="0" t="n">
        <v>3173</v>
      </c>
      <c r="E1883" s="0" t="s">
        <v>3885</v>
      </c>
      <c r="F1883" s="0" t="s">
        <v>3897</v>
      </c>
      <c r="G1883" s="0" t="s">
        <v>3877</v>
      </c>
    </row>
    <row r="1884" customFormat="false" ht="15" hidden="false" customHeight="false" outlineLevel="0" collapsed="false">
      <c r="A1884" s="0" t="s">
        <v>152</v>
      </c>
      <c r="B1884" s="0" t="n">
        <v>2021</v>
      </c>
      <c r="C1884" s="0" t="s">
        <v>670</v>
      </c>
      <c r="D1884" s="0" t="n">
        <v>50284</v>
      </c>
      <c r="E1884" s="0" t="s">
        <v>3885</v>
      </c>
      <c r="F1884" s="0" t="s">
        <v>3897</v>
      </c>
      <c r="G1884" s="0" t="s">
        <v>3877</v>
      </c>
    </row>
    <row r="1885" customFormat="false" ht="15" hidden="false" customHeight="false" outlineLevel="0" collapsed="false">
      <c r="A1885" s="0" t="s">
        <v>152</v>
      </c>
      <c r="B1885" s="0" t="n">
        <v>2021</v>
      </c>
      <c r="C1885" s="0" t="s">
        <v>55</v>
      </c>
      <c r="D1885" s="0" t="n">
        <v>538869</v>
      </c>
      <c r="E1885" s="0" t="s">
        <v>3885</v>
      </c>
      <c r="F1885" s="0" t="s">
        <v>3897</v>
      </c>
      <c r="G1885" s="0" t="s">
        <v>3877</v>
      </c>
    </row>
    <row r="1886" customFormat="false" ht="15" hidden="false" customHeight="false" outlineLevel="0" collapsed="false">
      <c r="A1886" s="0" t="s">
        <v>152</v>
      </c>
      <c r="B1886" s="0" t="n">
        <v>2021</v>
      </c>
      <c r="C1886" s="0" t="s">
        <v>60</v>
      </c>
      <c r="D1886" s="0" t="n">
        <v>272469</v>
      </c>
      <c r="E1886" s="0" t="s">
        <v>3885</v>
      </c>
      <c r="F1886" s="0" t="s">
        <v>3897</v>
      </c>
      <c r="G1886" s="0" t="s">
        <v>3877</v>
      </c>
    </row>
    <row r="1887" customFormat="false" ht="15" hidden="false" customHeight="false" outlineLevel="0" collapsed="false">
      <c r="A1887" s="0" t="s">
        <v>152</v>
      </c>
      <c r="B1887" s="0" t="n">
        <v>2021</v>
      </c>
      <c r="C1887" s="0" t="s">
        <v>61</v>
      </c>
      <c r="D1887" s="0" t="n">
        <v>3199</v>
      </c>
      <c r="E1887" s="0" t="s">
        <v>3885</v>
      </c>
      <c r="F1887" s="0" t="s">
        <v>3897</v>
      </c>
      <c r="G1887" s="0" t="s">
        <v>3877</v>
      </c>
    </row>
    <row r="1888" customFormat="false" ht="15" hidden="false" customHeight="false" outlineLevel="0" collapsed="false">
      <c r="A1888" s="0" t="s">
        <v>152</v>
      </c>
      <c r="B1888" s="0" t="n">
        <v>2021</v>
      </c>
      <c r="C1888" s="0" t="s">
        <v>63</v>
      </c>
      <c r="D1888" s="0" t="n">
        <v>2564</v>
      </c>
      <c r="E1888" s="0" t="s">
        <v>3885</v>
      </c>
      <c r="F1888" s="0" t="s">
        <v>3897</v>
      </c>
      <c r="G1888" s="0" t="s">
        <v>3877</v>
      </c>
    </row>
    <row r="1889" customFormat="false" ht="15" hidden="false" customHeight="false" outlineLevel="0" collapsed="false">
      <c r="A1889" s="0" t="s">
        <v>152</v>
      </c>
      <c r="B1889" s="0" t="n">
        <v>2021</v>
      </c>
      <c r="C1889" s="0" t="s">
        <v>266</v>
      </c>
      <c r="D1889" s="0" t="n">
        <v>0.04</v>
      </c>
      <c r="E1889" s="0" t="s">
        <v>3885</v>
      </c>
      <c r="F1889" s="0" t="s">
        <v>3897</v>
      </c>
      <c r="G1889" s="0" t="s">
        <v>3877</v>
      </c>
    </row>
    <row r="1890" customFormat="false" ht="15" hidden="false" customHeight="false" outlineLevel="0" collapsed="false">
      <c r="A1890" s="0" t="s">
        <v>152</v>
      </c>
      <c r="B1890" s="0" t="n">
        <v>2021</v>
      </c>
      <c r="C1890" s="0" t="s">
        <v>69</v>
      </c>
      <c r="D1890" s="0" t="n">
        <v>-86.18</v>
      </c>
      <c r="E1890" s="0" t="s">
        <v>3885</v>
      </c>
      <c r="F1890" s="0" t="s">
        <v>3897</v>
      </c>
      <c r="G1890" s="0" t="s">
        <v>3877</v>
      </c>
    </row>
    <row r="1891" customFormat="false" ht="15" hidden="false" customHeight="false" outlineLevel="0" collapsed="false">
      <c r="A1891" s="0" t="s">
        <v>152</v>
      </c>
      <c r="B1891" s="0" t="n">
        <v>2021</v>
      </c>
      <c r="C1891" s="0" t="s">
        <v>73</v>
      </c>
      <c r="D1891" s="0" t="n">
        <v>1</v>
      </c>
      <c r="E1891" s="0" t="s">
        <v>3885</v>
      </c>
      <c r="F1891" s="0" t="s">
        <v>3897</v>
      </c>
      <c r="G1891" s="0" t="s">
        <v>3877</v>
      </c>
    </row>
    <row r="1892" customFormat="false" ht="15" hidden="false" customHeight="false" outlineLevel="0" collapsed="false">
      <c r="A1892" s="0" t="s">
        <v>152</v>
      </c>
      <c r="B1892" s="0" t="n">
        <v>2021</v>
      </c>
      <c r="C1892" s="0" t="s">
        <v>920</v>
      </c>
      <c r="D1892" s="0" t="s">
        <v>1973</v>
      </c>
      <c r="E1892" s="0" t="s">
        <v>3885</v>
      </c>
      <c r="F1892" s="0" t="s">
        <v>3897</v>
      </c>
      <c r="G1892" s="0" t="s">
        <v>3877</v>
      </c>
    </row>
    <row r="1893" customFormat="false" ht="15" hidden="false" customHeight="false" outlineLevel="0" collapsed="false">
      <c r="A1893" s="0" t="s">
        <v>152</v>
      </c>
      <c r="B1893" s="0" t="n">
        <v>2022</v>
      </c>
      <c r="C1893" s="0" t="s">
        <v>54</v>
      </c>
      <c r="D1893" s="0" t="n">
        <v>941</v>
      </c>
      <c r="E1893" s="0" t="s">
        <v>3885</v>
      </c>
      <c r="F1893" s="0" t="s">
        <v>3897</v>
      </c>
      <c r="G1893" s="0" t="s">
        <v>3877</v>
      </c>
    </row>
    <row r="1894" customFormat="false" ht="15" hidden="false" customHeight="false" outlineLevel="0" collapsed="false">
      <c r="A1894" s="0" t="s">
        <v>152</v>
      </c>
      <c r="B1894" s="0" t="n">
        <v>2022</v>
      </c>
      <c r="C1894" s="0" t="s">
        <v>670</v>
      </c>
      <c r="D1894" s="0" t="n">
        <v>57150</v>
      </c>
      <c r="E1894" s="0" t="s">
        <v>3885</v>
      </c>
      <c r="F1894" s="0" t="s">
        <v>3897</v>
      </c>
      <c r="G1894" s="0" t="s">
        <v>3877</v>
      </c>
    </row>
    <row r="1895" customFormat="false" ht="15" hidden="false" customHeight="false" outlineLevel="0" collapsed="false">
      <c r="A1895" s="0" t="s">
        <v>152</v>
      </c>
      <c r="B1895" s="0" t="n">
        <v>2022</v>
      </c>
      <c r="C1895" s="0" t="s">
        <v>55</v>
      </c>
      <c r="D1895" s="0" t="n">
        <v>510144</v>
      </c>
      <c r="E1895" s="0" t="s">
        <v>3885</v>
      </c>
      <c r="F1895" s="0" t="s">
        <v>3897</v>
      </c>
      <c r="G1895" s="0" t="s">
        <v>3877</v>
      </c>
    </row>
    <row r="1896" customFormat="false" ht="15" hidden="false" customHeight="false" outlineLevel="0" collapsed="false">
      <c r="A1896" s="0" t="s">
        <v>152</v>
      </c>
      <c r="B1896" s="0" t="n">
        <v>2022</v>
      </c>
      <c r="C1896" s="0" t="s">
        <v>60</v>
      </c>
      <c r="D1896" s="0" t="n">
        <v>292969</v>
      </c>
      <c r="E1896" s="0" t="s">
        <v>3885</v>
      </c>
      <c r="F1896" s="0" t="s">
        <v>3897</v>
      </c>
      <c r="G1896" s="0" t="s">
        <v>3877</v>
      </c>
    </row>
    <row r="1897" customFormat="false" ht="15" hidden="false" customHeight="false" outlineLevel="0" collapsed="false">
      <c r="A1897" s="0" t="s">
        <v>152</v>
      </c>
      <c r="B1897" s="0" t="n">
        <v>2022</v>
      </c>
      <c r="C1897" s="0" t="s">
        <v>61</v>
      </c>
      <c r="D1897" s="0" t="n">
        <v>3613</v>
      </c>
      <c r="E1897" s="0" t="s">
        <v>3885</v>
      </c>
      <c r="F1897" s="0" t="s">
        <v>3897</v>
      </c>
      <c r="G1897" s="0" t="s">
        <v>3877</v>
      </c>
    </row>
    <row r="1898" customFormat="false" ht="15" hidden="false" customHeight="false" outlineLevel="0" collapsed="false">
      <c r="A1898" s="0" t="s">
        <v>152</v>
      </c>
      <c r="B1898" s="0" t="n">
        <v>2022</v>
      </c>
      <c r="C1898" s="0" t="s">
        <v>63</v>
      </c>
      <c r="D1898" s="0" t="n">
        <v>1204</v>
      </c>
      <c r="E1898" s="0" t="s">
        <v>3885</v>
      </c>
      <c r="F1898" s="0" t="s">
        <v>3897</v>
      </c>
      <c r="G1898" s="0" t="s">
        <v>3877</v>
      </c>
    </row>
    <row r="1899" customFormat="false" ht="15" hidden="false" customHeight="false" outlineLevel="0" collapsed="false">
      <c r="A1899" s="0" t="s">
        <v>152</v>
      </c>
      <c r="B1899" s="0" t="n">
        <v>2022</v>
      </c>
      <c r="C1899" s="0" t="s">
        <v>266</v>
      </c>
      <c r="D1899" s="0" t="n">
        <v>3.62</v>
      </c>
      <c r="E1899" s="0" t="s">
        <v>3885</v>
      </c>
      <c r="F1899" s="0" t="s">
        <v>3897</v>
      </c>
      <c r="G1899" s="0" t="s">
        <v>3877</v>
      </c>
    </row>
    <row r="1900" customFormat="false" ht="15" hidden="false" customHeight="false" outlineLevel="0" collapsed="false">
      <c r="A1900" s="0" t="s">
        <v>152</v>
      </c>
      <c r="B1900" s="0" t="n">
        <v>2022</v>
      </c>
      <c r="C1900" s="0" t="s">
        <v>69</v>
      </c>
      <c r="D1900" s="0" t="n">
        <v>-89.69</v>
      </c>
      <c r="E1900" s="0" t="s">
        <v>3885</v>
      </c>
      <c r="F1900" s="0" t="s">
        <v>3897</v>
      </c>
      <c r="G1900" s="0" t="s">
        <v>3877</v>
      </c>
    </row>
    <row r="1901" customFormat="false" ht="15" hidden="false" customHeight="false" outlineLevel="0" collapsed="false">
      <c r="A1901" s="0" t="s">
        <v>152</v>
      </c>
      <c r="B1901" s="0" t="n">
        <v>2022</v>
      </c>
      <c r="C1901" s="0" t="s">
        <v>73</v>
      </c>
      <c r="D1901" s="0" t="n">
        <v>1</v>
      </c>
      <c r="E1901" s="0" t="s">
        <v>3885</v>
      </c>
      <c r="F1901" s="0" t="s">
        <v>3897</v>
      </c>
      <c r="G1901" s="0" t="s">
        <v>3877</v>
      </c>
    </row>
    <row r="1902" customFormat="false" ht="15" hidden="false" customHeight="false" outlineLevel="0" collapsed="false">
      <c r="A1902" s="0" t="s">
        <v>152</v>
      </c>
      <c r="B1902" s="0" t="n">
        <v>2022</v>
      </c>
      <c r="C1902" s="0" t="s">
        <v>920</v>
      </c>
      <c r="D1902" s="0" t="s">
        <v>1973</v>
      </c>
      <c r="E1902" s="0" t="s">
        <v>3885</v>
      </c>
      <c r="F1902" s="0" t="s">
        <v>3897</v>
      </c>
      <c r="G1902" s="0" t="s">
        <v>3877</v>
      </c>
    </row>
    <row r="1903" customFormat="false" ht="15" hidden="false" customHeight="false" outlineLevel="0" collapsed="false">
      <c r="A1903" s="0" t="s">
        <v>138</v>
      </c>
      <c r="B1903" s="0" t="n">
        <v>2015</v>
      </c>
      <c r="C1903" s="0" t="s">
        <v>54</v>
      </c>
      <c r="D1903" s="0" t="n">
        <v>17721</v>
      </c>
      <c r="E1903" s="0" t="s">
        <v>3885</v>
      </c>
      <c r="F1903" s="0" t="s">
        <v>3898</v>
      </c>
      <c r="G1903" s="0" t="s">
        <v>3877</v>
      </c>
    </row>
    <row r="1904" customFormat="false" ht="15" hidden="false" customHeight="false" outlineLevel="0" collapsed="false">
      <c r="A1904" s="0" t="s">
        <v>138</v>
      </c>
      <c r="B1904" s="0" t="n">
        <v>2015</v>
      </c>
      <c r="C1904" s="0" t="s">
        <v>670</v>
      </c>
      <c r="D1904" s="0" t="n">
        <v>118366</v>
      </c>
      <c r="E1904" s="0" t="s">
        <v>3885</v>
      </c>
      <c r="F1904" s="0" t="s">
        <v>3898</v>
      </c>
      <c r="G1904" s="0" t="s">
        <v>3877</v>
      </c>
    </row>
    <row r="1905" customFormat="false" ht="15" hidden="false" customHeight="false" outlineLevel="0" collapsed="false">
      <c r="A1905" s="0" t="s">
        <v>138</v>
      </c>
      <c r="B1905" s="0" t="n">
        <v>2015</v>
      </c>
      <c r="C1905" s="0" t="s">
        <v>55</v>
      </c>
      <c r="D1905" s="0" t="n">
        <v>998137</v>
      </c>
      <c r="E1905" s="0" t="s">
        <v>3885</v>
      </c>
      <c r="F1905" s="0" t="s">
        <v>3898</v>
      </c>
      <c r="G1905" s="0" t="s">
        <v>3877</v>
      </c>
    </row>
    <row r="1906" customFormat="false" ht="15" hidden="false" customHeight="false" outlineLevel="0" collapsed="false">
      <c r="A1906" s="0" t="s">
        <v>138</v>
      </c>
      <c r="B1906" s="0" t="n">
        <v>2015</v>
      </c>
      <c r="C1906" s="0" t="s">
        <v>60</v>
      </c>
      <c r="D1906" s="0" t="n">
        <v>370919</v>
      </c>
      <c r="E1906" s="0" t="s">
        <v>3885</v>
      </c>
      <c r="F1906" s="0" t="s">
        <v>3898</v>
      </c>
      <c r="G1906" s="0" t="s">
        <v>3877</v>
      </c>
    </row>
    <row r="1907" customFormat="false" ht="15" hidden="false" customHeight="false" outlineLevel="0" collapsed="false">
      <c r="A1907" s="0" t="s">
        <v>138</v>
      </c>
      <c r="B1907" s="0" t="n">
        <v>2015</v>
      </c>
      <c r="C1907" s="0" t="s">
        <v>61</v>
      </c>
      <c r="D1907" s="0" t="n">
        <v>21965</v>
      </c>
      <c r="E1907" s="0" t="s">
        <v>3885</v>
      </c>
      <c r="F1907" s="0" t="s">
        <v>3898</v>
      </c>
      <c r="G1907" s="0" t="s">
        <v>3877</v>
      </c>
    </row>
    <row r="1908" customFormat="false" ht="15" hidden="false" customHeight="false" outlineLevel="0" collapsed="false">
      <c r="A1908" s="0" t="s">
        <v>138</v>
      </c>
      <c r="B1908" s="0" t="n">
        <v>2015</v>
      </c>
      <c r="C1908" s="0" t="s">
        <v>63</v>
      </c>
      <c r="D1908" s="0" t="n">
        <v>9176</v>
      </c>
      <c r="E1908" s="0" t="s">
        <v>3885</v>
      </c>
      <c r="F1908" s="0" t="s">
        <v>3898</v>
      </c>
      <c r="G1908" s="0" t="s">
        <v>3877</v>
      </c>
    </row>
    <row r="1909" customFormat="false" ht="15" hidden="false" customHeight="false" outlineLevel="0" collapsed="false">
      <c r="A1909" s="0" t="s">
        <v>138</v>
      </c>
      <c r="B1909" s="0" t="n">
        <v>2015</v>
      </c>
      <c r="C1909" s="0" t="s">
        <v>266</v>
      </c>
      <c r="D1909" s="0" t="n">
        <v>6.99</v>
      </c>
      <c r="E1909" s="0" t="s">
        <v>3885</v>
      </c>
      <c r="F1909" s="0" t="s">
        <v>3898</v>
      </c>
      <c r="G1909" s="0" t="s">
        <v>3877</v>
      </c>
    </row>
    <row r="1910" customFormat="false" ht="15" hidden="false" customHeight="false" outlineLevel="0" collapsed="false">
      <c r="A1910" s="0" t="s">
        <v>138</v>
      </c>
      <c r="B1910" s="0" t="n">
        <v>2015</v>
      </c>
      <c r="C1910" s="0" t="s">
        <v>69</v>
      </c>
      <c r="D1910" s="0" t="n">
        <v>15.3</v>
      </c>
      <c r="E1910" s="0" t="s">
        <v>3885</v>
      </c>
      <c r="F1910" s="0" t="s">
        <v>3898</v>
      </c>
      <c r="G1910" s="0" t="s">
        <v>3877</v>
      </c>
    </row>
    <row r="1911" customFormat="false" ht="15" hidden="false" customHeight="false" outlineLevel="0" collapsed="false">
      <c r="A1911" s="0" t="s">
        <v>138</v>
      </c>
      <c r="B1911" s="0" t="n">
        <v>2015</v>
      </c>
      <c r="C1911" s="0" t="s">
        <v>73</v>
      </c>
      <c r="D1911" s="0" t="n">
        <v>0</v>
      </c>
      <c r="E1911" s="0" t="s">
        <v>3885</v>
      </c>
      <c r="F1911" s="0" t="s">
        <v>3898</v>
      </c>
      <c r="G1911" s="0" t="s">
        <v>3877</v>
      </c>
    </row>
    <row r="1912" customFormat="false" ht="15" hidden="false" customHeight="false" outlineLevel="0" collapsed="false">
      <c r="A1912" s="0" t="s">
        <v>138</v>
      </c>
      <c r="B1912" s="0" t="n">
        <v>2015</v>
      </c>
      <c r="C1912" s="0" t="s">
        <v>920</v>
      </c>
      <c r="D1912" s="0" t="s">
        <v>1973</v>
      </c>
      <c r="E1912" s="0" t="s">
        <v>3885</v>
      </c>
      <c r="F1912" s="0" t="s">
        <v>3898</v>
      </c>
      <c r="G1912" s="0" t="s">
        <v>3877</v>
      </c>
    </row>
    <row r="1913" customFormat="false" ht="15" hidden="false" customHeight="false" outlineLevel="0" collapsed="false">
      <c r="A1913" s="0" t="s">
        <v>138</v>
      </c>
      <c r="B1913" s="0" t="n">
        <v>2016</v>
      </c>
      <c r="C1913" s="0" t="s">
        <v>54</v>
      </c>
      <c r="D1913" s="0" t="n">
        <v>15885</v>
      </c>
      <c r="E1913" s="0" t="s">
        <v>3885</v>
      </c>
      <c r="F1913" s="0" t="s">
        <v>3898</v>
      </c>
      <c r="G1913" s="0" t="s">
        <v>3877</v>
      </c>
    </row>
    <row r="1914" customFormat="false" ht="15" hidden="false" customHeight="false" outlineLevel="0" collapsed="false">
      <c r="A1914" s="0" t="s">
        <v>138</v>
      </c>
      <c r="B1914" s="0" t="n">
        <v>2016</v>
      </c>
      <c r="C1914" s="0" t="s">
        <v>670</v>
      </c>
      <c r="D1914" s="0" t="n">
        <v>123455</v>
      </c>
      <c r="E1914" s="0" t="s">
        <v>3885</v>
      </c>
      <c r="F1914" s="0" t="s">
        <v>3898</v>
      </c>
      <c r="G1914" s="0" t="s">
        <v>3877</v>
      </c>
    </row>
    <row r="1915" customFormat="false" ht="15" hidden="false" customHeight="false" outlineLevel="0" collapsed="false">
      <c r="A1915" s="0" t="s">
        <v>138</v>
      </c>
      <c r="B1915" s="0" t="n">
        <v>2016</v>
      </c>
      <c r="C1915" s="0" t="s">
        <v>55</v>
      </c>
      <c r="D1915" s="0" t="n">
        <v>1123483</v>
      </c>
      <c r="E1915" s="0" t="s">
        <v>3885</v>
      </c>
      <c r="F1915" s="0" t="s">
        <v>3898</v>
      </c>
      <c r="G1915" s="0" t="s">
        <v>3877</v>
      </c>
    </row>
    <row r="1916" customFormat="false" ht="15" hidden="false" customHeight="false" outlineLevel="0" collapsed="false">
      <c r="A1916" s="0" t="s">
        <v>138</v>
      </c>
      <c r="B1916" s="0" t="n">
        <v>2016</v>
      </c>
      <c r="C1916" s="0" t="s">
        <v>60</v>
      </c>
      <c r="D1916" s="0" t="n">
        <v>518349</v>
      </c>
      <c r="E1916" s="0" t="s">
        <v>3885</v>
      </c>
      <c r="F1916" s="0" t="s">
        <v>3898</v>
      </c>
      <c r="G1916" s="0" t="s">
        <v>3877</v>
      </c>
    </row>
    <row r="1917" customFormat="false" ht="15" hidden="false" customHeight="false" outlineLevel="0" collapsed="false">
      <c r="A1917" s="0" t="s">
        <v>138</v>
      </c>
      <c r="B1917" s="0" t="n">
        <v>2016</v>
      </c>
      <c r="C1917" s="0" t="s">
        <v>61</v>
      </c>
      <c r="D1917" s="0" t="n">
        <v>28459</v>
      </c>
      <c r="E1917" s="0" t="s">
        <v>3885</v>
      </c>
      <c r="F1917" s="0" t="s">
        <v>3898</v>
      </c>
      <c r="G1917" s="0" t="s">
        <v>3877</v>
      </c>
    </row>
    <row r="1918" customFormat="false" ht="15" hidden="false" customHeight="false" outlineLevel="0" collapsed="false">
      <c r="A1918" s="0" t="s">
        <v>138</v>
      </c>
      <c r="B1918" s="0" t="n">
        <v>2016</v>
      </c>
      <c r="C1918" s="0" t="s">
        <v>63</v>
      </c>
      <c r="D1918" s="0" t="n">
        <v>15769</v>
      </c>
      <c r="E1918" s="0" t="s">
        <v>3885</v>
      </c>
      <c r="F1918" s="0" t="s">
        <v>3898</v>
      </c>
      <c r="G1918" s="0" t="s">
        <v>3877</v>
      </c>
    </row>
    <row r="1919" customFormat="false" ht="15" hidden="false" customHeight="false" outlineLevel="0" collapsed="false">
      <c r="A1919" s="0" t="s">
        <v>138</v>
      </c>
      <c r="B1919" s="0" t="n">
        <v>2016</v>
      </c>
      <c r="C1919" s="0" t="s">
        <v>266</v>
      </c>
      <c r="D1919" s="0" t="n">
        <v>7.14</v>
      </c>
      <c r="E1919" s="0" t="s">
        <v>3885</v>
      </c>
      <c r="F1919" s="0" t="s">
        <v>3898</v>
      </c>
      <c r="G1919" s="0" t="s">
        <v>3877</v>
      </c>
    </row>
    <row r="1920" customFormat="false" ht="15" hidden="false" customHeight="false" outlineLevel="0" collapsed="false">
      <c r="A1920" s="0" t="s">
        <v>138</v>
      </c>
      <c r="B1920" s="0" t="n">
        <v>2016</v>
      </c>
      <c r="C1920" s="0" t="s">
        <v>69</v>
      </c>
      <c r="D1920" s="0" t="n">
        <v>13.3</v>
      </c>
      <c r="E1920" s="0" t="s">
        <v>3885</v>
      </c>
      <c r="F1920" s="0" t="s">
        <v>3898</v>
      </c>
      <c r="G1920" s="0" t="s">
        <v>3877</v>
      </c>
    </row>
    <row r="1921" customFormat="false" ht="15" hidden="false" customHeight="false" outlineLevel="0" collapsed="false">
      <c r="A1921" s="0" t="s">
        <v>138</v>
      </c>
      <c r="B1921" s="0" t="n">
        <v>2016</v>
      </c>
      <c r="C1921" s="0" t="s">
        <v>73</v>
      </c>
      <c r="D1921" s="0" t="n">
        <v>0</v>
      </c>
      <c r="E1921" s="0" t="s">
        <v>3885</v>
      </c>
      <c r="F1921" s="0" t="s">
        <v>3898</v>
      </c>
      <c r="G1921" s="0" t="s">
        <v>3877</v>
      </c>
    </row>
    <row r="1922" customFormat="false" ht="15" hidden="false" customHeight="false" outlineLevel="0" collapsed="false">
      <c r="A1922" s="0" t="s">
        <v>138</v>
      </c>
      <c r="B1922" s="0" t="n">
        <v>2016</v>
      </c>
      <c r="C1922" s="0" t="s">
        <v>920</v>
      </c>
      <c r="D1922" s="0" t="s">
        <v>1973</v>
      </c>
      <c r="E1922" s="0" t="s">
        <v>3885</v>
      </c>
      <c r="F1922" s="0" t="s">
        <v>3898</v>
      </c>
      <c r="G1922" s="0" t="s">
        <v>3877</v>
      </c>
    </row>
    <row r="1923" customFormat="false" ht="15" hidden="false" customHeight="false" outlineLevel="0" collapsed="false">
      <c r="A1923" s="0" t="s">
        <v>138</v>
      </c>
      <c r="B1923" s="0" t="n">
        <v>2017</v>
      </c>
      <c r="C1923" s="0" t="s">
        <v>54</v>
      </c>
      <c r="D1923" s="0" t="n">
        <v>12839</v>
      </c>
      <c r="E1923" s="0" t="s">
        <v>3885</v>
      </c>
      <c r="F1923" s="0" t="s">
        <v>3898</v>
      </c>
      <c r="G1923" s="0" t="s">
        <v>3877</v>
      </c>
    </row>
    <row r="1924" customFormat="false" ht="15" hidden="false" customHeight="false" outlineLevel="0" collapsed="false">
      <c r="A1924" s="0" t="s">
        <v>138</v>
      </c>
      <c r="B1924" s="0" t="n">
        <v>2017</v>
      </c>
      <c r="C1924" s="0" t="s">
        <v>670</v>
      </c>
      <c r="D1924" s="0" t="n">
        <v>157566</v>
      </c>
      <c r="E1924" s="0" t="s">
        <v>3885</v>
      </c>
      <c r="F1924" s="0" t="s">
        <v>3898</v>
      </c>
      <c r="G1924" s="0" t="s">
        <v>3877</v>
      </c>
    </row>
    <row r="1925" customFormat="false" ht="15" hidden="false" customHeight="false" outlineLevel="0" collapsed="false">
      <c r="A1925" s="0" t="s">
        <v>138</v>
      </c>
      <c r="B1925" s="0" t="n">
        <v>2017</v>
      </c>
      <c r="C1925" s="0" t="s">
        <v>55</v>
      </c>
      <c r="D1925" s="0" t="n">
        <v>1334921</v>
      </c>
      <c r="E1925" s="0" t="s">
        <v>3885</v>
      </c>
      <c r="F1925" s="0" t="s">
        <v>3898</v>
      </c>
      <c r="G1925" s="0" t="s">
        <v>3877</v>
      </c>
    </row>
    <row r="1926" customFormat="false" ht="15" hidden="false" customHeight="false" outlineLevel="0" collapsed="false">
      <c r="A1926" s="0" t="s">
        <v>138</v>
      </c>
      <c r="B1926" s="0" t="n">
        <v>2017</v>
      </c>
      <c r="C1926" s="0" t="s">
        <v>60</v>
      </c>
      <c r="D1926" s="0" t="n">
        <v>531807</v>
      </c>
      <c r="E1926" s="0" t="s">
        <v>3885</v>
      </c>
      <c r="F1926" s="0" t="s">
        <v>3898</v>
      </c>
      <c r="G1926" s="0" t="s">
        <v>3877</v>
      </c>
    </row>
    <row r="1927" customFormat="false" ht="15" hidden="false" customHeight="false" outlineLevel="0" collapsed="false">
      <c r="A1927" s="0" t="s">
        <v>138</v>
      </c>
      <c r="B1927" s="0" t="n">
        <v>2017</v>
      </c>
      <c r="C1927" s="0" t="s">
        <v>61</v>
      </c>
      <c r="D1927" s="0" t="n">
        <v>43252</v>
      </c>
      <c r="E1927" s="0" t="s">
        <v>3885</v>
      </c>
      <c r="F1927" s="0" t="s">
        <v>3898</v>
      </c>
      <c r="G1927" s="0" t="s">
        <v>3877</v>
      </c>
    </row>
    <row r="1928" customFormat="false" ht="15" hidden="false" customHeight="false" outlineLevel="0" collapsed="false">
      <c r="A1928" s="0" t="s">
        <v>138</v>
      </c>
      <c r="B1928" s="0" t="n">
        <v>2017</v>
      </c>
      <c r="C1928" s="0" t="s">
        <v>63</v>
      </c>
      <c r="D1928" s="0" t="n">
        <v>25478</v>
      </c>
      <c r="E1928" s="0" t="s">
        <v>3885</v>
      </c>
      <c r="F1928" s="0" t="s">
        <v>3898</v>
      </c>
      <c r="G1928" s="0" t="s">
        <v>3877</v>
      </c>
    </row>
    <row r="1929" customFormat="false" ht="15" hidden="false" customHeight="false" outlineLevel="0" collapsed="false">
      <c r="A1929" s="0" t="s">
        <v>138</v>
      </c>
      <c r="B1929" s="0" t="n">
        <v>2017</v>
      </c>
      <c r="C1929" s="0" t="s">
        <v>266</v>
      </c>
      <c r="D1929" s="0" t="n">
        <v>20.81</v>
      </c>
      <c r="E1929" s="0" t="s">
        <v>3885</v>
      </c>
      <c r="F1929" s="0" t="s">
        <v>3898</v>
      </c>
      <c r="G1929" s="0" t="s">
        <v>3877</v>
      </c>
    </row>
    <row r="1930" customFormat="false" ht="15" hidden="false" customHeight="false" outlineLevel="0" collapsed="false">
      <c r="A1930" s="0" t="s">
        <v>138</v>
      </c>
      <c r="B1930" s="0" t="n">
        <v>2017</v>
      </c>
      <c r="C1930" s="0" t="s">
        <v>69</v>
      </c>
      <c r="D1930" s="0" t="n">
        <v>17.8</v>
      </c>
      <c r="E1930" s="0" t="s">
        <v>3885</v>
      </c>
      <c r="F1930" s="0" t="s">
        <v>3898</v>
      </c>
      <c r="G1930" s="0" t="s">
        <v>3877</v>
      </c>
    </row>
    <row r="1931" customFormat="false" ht="15" hidden="false" customHeight="false" outlineLevel="0" collapsed="false">
      <c r="A1931" s="0" t="s">
        <v>138</v>
      </c>
      <c r="B1931" s="0" t="n">
        <v>2017</v>
      </c>
      <c r="C1931" s="0" t="s">
        <v>73</v>
      </c>
      <c r="D1931" s="0" t="n">
        <v>0</v>
      </c>
      <c r="E1931" s="0" t="s">
        <v>3885</v>
      </c>
      <c r="F1931" s="0" t="s">
        <v>3898</v>
      </c>
      <c r="G1931" s="0" t="s">
        <v>3877</v>
      </c>
    </row>
    <row r="1932" customFormat="false" ht="15" hidden="false" customHeight="false" outlineLevel="0" collapsed="false">
      <c r="A1932" s="0" t="s">
        <v>138</v>
      </c>
      <c r="B1932" s="0" t="n">
        <v>2017</v>
      </c>
      <c r="C1932" s="0" t="s">
        <v>920</v>
      </c>
      <c r="D1932" s="0" t="s">
        <v>1973</v>
      </c>
      <c r="E1932" s="0" t="s">
        <v>3885</v>
      </c>
      <c r="F1932" s="0" t="s">
        <v>3898</v>
      </c>
      <c r="G1932" s="0" t="s">
        <v>3877</v>
      </c>
    </row>
    <row r="1933" customFormat="false" ht="15" hidden="false" customHeight="false" outlineLevel="0" collapsed="false">
      <c r="A1933" s="0" t="s">
        <v>138</v>
      </c>
      <c r="B1933" s="0" t="n">
        <v>2018</v>
      </c>
      <c r="C1933" s="0" t="s">
        <v>54</v>
      </c>
      <c r="D1933" s="0" t="n">
        <v>18438</v>
      </c>
      <c r="E1933" s="0" t="s">
        <v>3885</v>
      </c>
      <c r="F1933" s="0" t="s">
        <v>3898</v>
      </c>
      <c r="G1933" s="0" t="s">
        <v>3877</v>
      </c>
    </row>
    <row r="1934" customFormat="false" ht="15" hidden="false" customHeight="false" outlineLevel="0" collapsed="false">
      <c r="A1934" s="0" t="s">
        <v>138</v>
      </c>
      <c r="B1934" s="0" t="n">
        <v>2018</v>
      </c>
      <c r="C1934" s="0" t="s">
        <v>670</v>
      </c>
      <c r="D1934" s="0" t="n">
        <v>140066</v>
      </c>
      <c r="E1934" s="0" t="s">
        <v>3885</v>
      </c>
      <c r="F1934" s="0" t="s">
        <v>3898</v>
      </c>
      <c r="G1934" s="0" t="s">
        <v>3877</v>
      </c>
    </row>
    <row r="1935" customFormat="false" ht="15" hidden="false" customHeight="false" outlineLevel="0" collapsed="false">
      <c r="A1935" s="0" t="s">
        <v>138</v>
      </c>
      <c r="B1935" s="0" t="n">
        <v>2018</v>
      </c>
      <c r="C1935" s="0" t="s">
        <v>55</v>
      </c>
      <c r="D1935" s="0" t="n">
        <v>1324297</v>
      </c>
      <c r="E1935" s="0" t="s">
        <v>3885</v>
      </c>
      <c r="F1935" s="0" t="s">
        <v>3898</v>
      </c>
      <c r="G1935" s="0" t="s">
        <v>3877</v>
      </c>
    </row>
    <row r="1936" customFormat="false" ht="15" hidden="false" customHeight="false" outlineLevel="0" collapsed="false">
      <c r="A1936" s="0" t="s">
        <v>138</v>
      </c>
      <c r="B1936" s="0" t="n">
        <v>2018</v>
      </c>
      <c r="C1936" s="0" t="s">
        <v>60</v>
      </c>
      <c r="D1936" s="0" t="n">
        <v>473396</v>
      </c>
      <c r="E1936" s="0" t="s">
        <v>3885</v>
      </c>
      <c r="F1936" s="0" t="s">
        <v>3898</v>
      </c>
      <c r="G1936" s="0" t="s">
        <v>3877</v>
      </c>
    </row>
    <row r="1937" customFormat="false" ht="15" hidden="false" customHeight="false" outlineLevel="0" collapsed="false">
      <c r="A1937" s="0" t="s">
        <v>138</v>
      </c>
      <c r="B1937" s="0" t="n">
        <v>2018</v>
      </c>
      <c r="C1937" s="0" t="s">
        <v>61</v>
      </c>
      <c r="D1937" s="0" t="n">
        <v>45359</v>
      </c>
      <c r="E1937" s="0" t="s">
        <v>3885</v>
      </c>
      <c r="F1937" s="0" t="s">
        <v>3898</v>
      </c>
      <c r="G1937" s="0" t="s">
        <v>3877</v>
      </c>
    </row>
    <row r="1938" customFormat="false" ht="15" hidden="false" customHeight="false" outlineLevel="0" collapsed="false">
      <c r="A1938" s="0" t="s">
        <v>138</v>
      </c>
      <c r="B1938" s="0" t="n">
        <v>2018</v>
      </c>
      <c r="C1938" s="0" t="s">
        <v>63</v>
      </c>
      <c r="D1938" s="0" t="n">
        <v>-3515</v>
      </c>
      <c r="E1938" s="0" t="s">
        <v>3885</v>
      </c>
      <c r="F1938" s="0" t="s">
        <v>3898</v>
      </c>
      <c r="G1938" s="0" t="s">
        <v>3877</v>
      </c>
    </row>
    <row r="1939" customFormat="false" ht="15" hidden="false" customHeight="false" outlineLevel="0" collapsed="false">
      <c r="A1939" s="0" t="s">
        <v>138</v>
      </c>
      <c r="B1939" s="0" t="n">
        <v>2018</v>
      </c>
      <c r="C1939" s="0" t="s">
        <v>266</v>
      </c>
      <c r="D1939" s="0" t="n">
        <v>8.13</v>
      </c>
      <c r="E1939" s="0" t="s">
        <v>3885</v>
      </c>
      <c r="F1939" s="0" t="s">
        <v>3898</v>
      </c>
      <c r="G1939" s="0" t="s">
        <v>3877</v>
      </c>
    </row>
    <row r="1940" customFormat="false" ht="15" hidden="false" customHeight="false" outlineLevel="0" collapsed="false">
      <c r="A1940" s="0" t="s">
        <v>138</v>
      </c>
      <c r="B1940" s="0" t="n">
        <v>2018</v>
      </c>
      <c r="C1940" s="0" t="s">
        <v>69</v>
      </c>
      <c r="D1940" s="0" t="n">
        <v>16.4</v>
      </c>
      <c r="E1940" s="0" t="s">
        <v>3885</v>
      </c>
      <c r="F1940" s="0" t="s">
        <v>3898</v>
      </c>
      <c r="G1940" s="0" t="s">
        <v>3877</v>
      </c>
    </row>
    <row r="1941" customFormat="false" ht="15" hidden="false" customHeight="false" outlineLevel="0" collapsed="false">
      <c r="A1941" s="0" t="s">
        <v>138</v>
      </c>
      <c r="B1941" s="0" t="n">
        <v>2018</v>
      </c>
      <c r="C1941" s="0" t="s">
        <v>73</v>
      </c>
      <c r="D1941" s="0" t="n">
        <v>0</v>
      </c>
      <c r="E1941" s="0" t="s">
        <v>3885</v>
      </c>
      <c r="F1941" s="0" t="s">
        <v>3898</v>
      </c>
      <c r="G1941" s="0" t="s">
        <v>3877</v>
      </c>
    </row>
    <row r="1942" customFormat="false" ht="15" hidden="false" customHeight="false" outlineLevel="0" collapsed="false">
      <c r="A1942" s="0" t="s">
        <v>138</v>
      </c>
      <c r="B1942" s="0" t="n">
        <v>2018</v>
      </c>
      <c r="C1942" s="0" t="s">
        <v>920</v>
      </c>
      <c r="D1942" s="0" t="s">
        <v>1973</v>
      </c>
      <c r="E1942" s="0" t="s">
        <v>3885</v>
      </c>
      <c r="F1942" s="0" t="s">
        <v>3898</v>
      </c>
      <c r="G1942" s="0" t="s">
        <v>3877</v>
      </c>
    </row>
    <row r="1943" customFormat="false" ht="15" hidden="false" customHeight="false" outlineLevel="0" collapsed="false">
      <c r="A1943" s="0" t="s">
        <v>138</v>
      </c>
      <c r="B1943" s="0" t="n">
        <v>2019</v>
      </c>
      <c r="C1943" s="0" t="s">
        <v>54</v>
      </c>
      <c r="D1943" s="0" t="n">
        <v>24375</v>
      </c>
      <c r="E1943" s="0" t="s">
        <v>3885</v>
      </c>
      <c r="F1943" s="0" t="s">
        <v>3898</v>
      </c>
      <c r="G1943" s="0" t="s">
        <v>3877</v>
      </c>
    </row>
    <row r="1944" customFormat="false" ht="15" hidden="false" customHeight="false" outlineLevel="0" collapsed="false">
      <c r="A1944" s="0" t="s">
        <v>138</v>
      </c>
      <c r="B1944" s="0" t="n">
        <v>2019</v>
      </c>
      <c r="C1944" s="0" t="s">
        <v>670</v>
      </c>
      <c r="D1944" s="0" t="n">
        <v>159861</v>
      </c>
      <c r="E1944" s="0" t="s">
        <v>3885</v>
      </c>
      <c r="F1944" s="0" t="s">
        <v>3898</v>
      </c>
      <c r="G1944" s="0" t="s">
        <v>3877</v>
      </c>
    </row>
    <row r="1945" customFormat="false" ht="15" hidden="false" customHeight="false" outlineLevel="0" collapsed="false">
      <c r="A1945" s="0" t="s">
        <v>138</v>
      </c>
      <c r="B1945" s="0" t="n">
        <v>2019</v>
      </c>
      <c r="C1945" s="0" t="s">
        <v>55</v>
      </c>
      <c r="D1945" s="0" t="n">
        <v>1711739</v>
      </c>
      <c r="E1945" s="0" t="s">
        <v>3885</v>
      </c>
      <c r="F1945" s="0" t="s">
        <v>3898</v>
      </c>
      <c r="G1945" s="0" t="s">
        <v>3877</v>
      </c>
    </row>
    <row r="1946" customFormat="false" ht="15" hidden="false" customHeight="false" outlineLevel="0" collapsed="false">
      <c r="A1946" s="0" t="s">
        <v>138</v>
      </c>
      <c r="B1946" s="0" t="n">
        <v>2019</v>
      </c>
      <c r="C1946" s="0" t="s">
        <v>60</v>
      </c>
      <c r="D1946" s="0" t="n">
        <v>595298</v>
      </c>
      <c r="E1946" s="0" t="s">
        <v>3885</v>
      </c>
      <c r="F1946" s="0" t="s">
        <v>3898</v>
      </c>
      <c r="G1946" s="0" t="s">
        <v>3877</v>
      </c>
    </row>
    <row r="1947" customFormat="false" ht="15" hidden="false" customHeight="false" outlineLevel="0" collapsed="false">
      <c r="A1947" s="0" t="s">
        <v>138</v>
      </c>
      <c r="B1947" s="0" t="n">
        <v>2019</v>
      </c>
      <c r="C1947" s="0" t="s">
        <v>61</v>
      </c>
      <c r="D1947" s="0" t="n">
        <v>44685</v>
      </c>
      <c r="E1947" s="0" t="s">
        <v>3885</v>
      </c>
      <c r="F1947" s="0" t="s">
        <v>3898</v>
      </c>
      <c r="G1947" s="0" t="s">
        <v>3877</v>
      </c>
    </row>
    <row r="1948" customFormat="false" ht="15" hidden="false" customHeight="false" outlineLevel="0" collapsed="false">
      <c r="A1948" s="0" t="s">
        <v>138</v>
      </c>
      <c r="B1948" s="0" t="n">
        <v>2019</v>
      </c>
      <c r="C1948" s="0" t="s">
        <v>63</v>
      </c>
      <c r="D1948" s="0" t="n">
        <v>504</v>
      </c>
      <c r="E1948" s="0" t="s">
        <v>3885</v>
      </c>
      <c r="F1948" s="0" t="s">
        <v>3898</v>
      </c>
      <c r="G1948" s="0" t="s">
        <v>3877</v>
      </c>
    </row>
    <row r="1949" customFormat="false" ht="15" hidden="false" customHeight="false" outlineLevel="0" collapsed="false">
      <c r="A1949" s="0" t="s">
        <v>138</v>
      </c>
      <c r="B1949" s="0" t="n">
        <v>2019</v>
      </c>
      <c r="C1949" s="0" t="s">
        <v>266</v>
      </c>
      <c r="D1949" s="0" t="n">
        <v>5.84</v>
      </c>
      <c r="E1949" s="0" t="s">
        <v>3885</v>
      </c>
      <c r="F1949" s="0" t="s">
        <v>3898</v>
      </c>
      <c r="G1949" s="0" t="s">
        <v>3877</v>
      </c>
    </row>
    <row r="1950" customFormat="false" ht="15" hidden="false" customHeight="false" outlineLevel="0" collapsed="false">
      <c r="A1950" s="0" t="s">
        <v>138</v>
      </c>
      <c r="B1950" s="0" t="n">
        <v>2019</v>
      </c>
      <c r="C1950" s="0" t="s">
        <v>69</v>
      </c>
      <c r="D1950" s="0" t="n">
        <v>19.73</v>
      </c>
      <c r="E1950" s="0" t="s">
        <v>3885</v>
      </c>
      <c r="F1950" s="0" t="s">
        <v>3898</v>
      </c>
      <c r="G1950" s="0" t="s">
        <v>3877</v>
      </c>
    </row>
    <row r="1951" customFormat="false" ht="15" hidden="false" customHeight="false" outlineLevel="0" collapsed="false">
      <c r="A1951" s="0" t="s">
        <v>138</v>
      </c>
      <c r="B1951" s="0" t="n">
        <v>2019</v>
      </c>
      <c r="C1951" s="0" t="s">
        <v>73</v>
      </c>
      <c r="D1951" s="0" t="n">
        <v>0</v>
      </c>
      <c r="E1951" s="0" t="s">
        <v>3885</v>
      </c>
      <c r="F1951" s="0" t="s">
        <v>3898</v>
      </c>
      <c r="G1951" s="0" t="s">
        <v>3877</v>
      </c>
    </row>
    <row r="1952" customFormat="false" ht="15" hidden="false" customHeight="false" outlineLevel="0" collapsed="false">
      <c r="A1952" s="0" t="s">
        <v>138</v>
      </c>
      <c r="B1952" s="0" t="n">
        <v>2019</v>
      </c>
      <c r="C1952" s="0" t="s">
        <v>920</v>
      </c>
      <c r="D1952" s="0" t="s">
        <v>1973</v>
      </c>
      <c r="E1952" s="0" t="s">
        <v>3885</v>
      </c>
      <c r="F1952" s="0" t="s">
        <v>3898</v>
      </c>
      <c r="G1952" s="0" t="s">
        <v>3877</v>
      </c>
    </row>
    <row r="1953" customFormat="false" ht="15" hidden="false" customHeight="false" outlineLevel="0" collapsed="false">
      <c r="A1953" s="0" t="s">
        <v>138</v>
      </c>
      <c r="B1953" s="0" t="n">
        <v>2020</v>
      </c>
      <c r="C1953" s="0" t="s">
        <v>54</v>
      </c>
      <c r="D1953" s="0" t="n">
        <v>24653</v>
      </c>
      <c r="E1953" s="0" t="s">
        <v>3885</v>
      </c>
      <c r="F1953" s="0" t="s">
        <v>3898</v>
      </c>
      <c r="G1953" s="0" t="s">
        <v>3877</v>
      </c>
    </row>
    <row r="1954" customFormat="false" ht="15" hidden="false" customHeight="false" outlineLevel="0" collapsed="false">
      <c r="A1954" s="0" t="s">
        <v>138</v>
      </c>
      <c r="B1954" s="0" t="n">
        <v>2020</v>
      </c>
      <c r="C1954" s="0" t="s">
        <v>670</v>
      </c>
      <c r="D1954" s="0" t="n">
        <v>156885</v>
      </c>
      <c r="E1954" s="0" t="s">
        <v>3885</v>
      </c>
      <c r="F1954" s="0" t="s">
        <v>3898</v>
      </c>
      <c r="G1954" s="0" t="s">
        <v>3877</v>
      </c>
    </row>
    <row r="1955" customFormat="false" ht="15" hidden="false" customHeight="false" outlineLevel="0" collapsed="false">
      <c r="A1955" s="0" t="s">
        <v>138</v>
      </c>
      <c r="B1955" s="0" t="n">
        <v>2020</v>
      </c>
      <c r="C1955" s="0" t="s">
        <v>55</v>
      </c>
      <c r="D1955" s="0" t="n">
        <v>2073758</v>
      </c>
      <c r="E1955" s="0" t="s">
        <v>3885</v>
      </c>
      <c r="F1955" s="0" t="s">
        <v>3898</v>
      </c>
      <c r="G1955" s="0" t="s">
        <v>3877</v>
      </c>
    </row>
    <row r="1956" customFormat="false" ht="15" hidden="false" customHeight="false" outlineLevel="0" collapsed="false">
      <c r="A1956" s="0" t="s">
        <v>138</v>
      </c>
      <c r="B1956" s="0" t="n">
        <v>2020</v>
      </c>
      <c r="C1956" s="0" t="s">
        <v>60</v>
      </c>
      <c r="D1956" s="0" t="n">
        <v>736712</v>
      </c>
      <c r="E1956" s="0" t="s">
        <v>3885</v>
      </c>
      <c r="F1956" s="0" t="s">
        <v>3898</v>
      </c>
      <c r="G1956" s="0" t="s">
        <v>3877</v>
      </c>
    </row>
    <row r="1957" customFormat="false" ht="15" hidden="false" customHeight="false" outlineLevel="0" collapsed="false">
      <c r="A1957" s="0" t="s">
        <v>138</v>
      </c>
      <c r="B1957" s="0" t="n">
        <v>2020</v>
      </c>
      <c r="C1957" s="0" t="s">
        <v>61</v>
      </c>
      <c r="D1957" s="0" t="n">
        <v>43909</v>
      </c>
      <c r="E1957" s="0" t="s">
        <v>3885</v>
      </c>
      <c r="F1957" s="0" t="s">
        <v>3898</v>
      </c>
      <c r="G1957" s="0" t="s">
        <v>3877</v>
      </c>
    </row>
    <row r="1958" customFormat="false" ht="15" hidden="false" customHeight="false" outlineLevel="0" collapsed="false">
      <c r="A1958" s="0" t="s">
        <v>138</v>
      </c>
      <c r="B1958" s="0" t="n">
        <v>2020</v>
      </c>
      <c r="C1958" s="0" t="s">
        <v>63</v>
      </c>
      <c r="D1958" s="0" t="n">
        <v>-2559</v>
      </c>
      <c r="E1958" s="0" t="s">
        <v>3885</v>
      </c>
      <c r="F1958" s="0" t="s">
        <v>3898</v>
      </c>
      <c r="G1958" s="0" t="s">
        <v>3877</v>
      </c>
    </row>
    <row r="1959" customFormat="false" ht="15" hidden="false" customHeight="false" outlineLevel="0" collapsed="false">
      <c r="A1959" s="0" t="s">
        <v>138</v>
      </c>
      <c r="B1959" s="0" t="n">
        <v>2020</v>
      </c>
      <c r="C1959" s="0" t="s">
        <v>266</v>
      </c>
      <c r="D1959" s="0" t="n">
        <v>4</v>
      </c>
      <c r="E1959" s="0" t="s">
        <v>3885</v>
      </c>
      <c r="F1959" s="0" t="s">
        <v>3898</v>
      </c>
      <c r="G1959" s="0" t="s">
        <v>3877</v>
      </c>
    </row>
    <row r="1960" customFormat="false" ht="15" hidden="false" customHeight="false" outlineLevel="0" collapsed="false">
      <c r="A1960" s="0" t="s">
        <v>138</v>
      </c>
      <c r="B1960" s="0" t="n">
        <v>2020</v>
      </c>
      <c r="C1960" s="0" t="s">
        <v>69</v>
      </c>
      <c r="D1960" s="0" t="n">
        <v>17.46</v>
      </c>
      <c r="E1960" s="0" t="s">
        <v>3885</v>
      </c>
      <c r="F1960" s="0" t="s">
        <v>3898</v>
      </c>
      <c r="G1960" s="0" t="s">
        <v>3877</v>
      </c>
    </row>
    <row r="1961" customFormat="false" ht="15" hidden="false" customHeight="false" outlineLevel="0" collapsed="false">
      <c r="A1961" s="0" t="s">
        <v>138</v>
      </c>
      <c r="B1961" s="0" t="n">
        <v>2020</v>
      </c>
      <c r="C1961" s="0" t="s">
        <v>73</v>
      </c>
      <c r="D1961" s="0" t="n">
        <v>0</v>
      </c>
      <c r="E1961" s="0" t="s">
        <v>3885</v>
      </c>
      <c r="F1961" s="0" t="s">
        <v>3898</v>
      </c>
      <c r="G1961" s="0" t="s">
        <v>3877</v>
      </c>
    </row>
    <row r="1962" customFormat="false" ht="15" hidden="false" customHeight="false" outlineLevel="0" collapsed="false">
      <c r="A1962" s="0" t="s">
        <v>138</v>
      </c>
      <c r="B1962" s="0" t="n">
        <v>2020</v>
      </c>
      <c r="C1962" s="0" t="s">
        <v>920</v>
      </c>
      <c r="D1962" s="0" t="s">
        <v>3879</v>
      </c>
      <c r="E1962" s="0" t="s">
        <v>3885</v>
      </c>
      <c r="F1962" s="0" t="s">
        <v>3898</v>
      </c>
      <c r="G1962" s="0" t="s">
        <v>3877</v>
      </c>
    </row>
    <row r="1963" customFormat="false" ht="15" hidden="false" customHeight="false" outlineLevel="0" collapsed="false">
      <c r="A1963" s="0" t="s">
        <v>138</v>
      </c>
      <c r="B1963" s="0" t="n">
        <v>2021</v>
      </c>
      <c r="C1963" s="0" t="s">
        <v>54</v>
      </c>
      <c r="D1963" s="0" t="n">
        <v>19180</v>
      </c>
      <c r="E1963" s="0" t="s">
        <v>3885</v>
      </c>
      <c r="F1963" s="0" t="s">
        <v>3898</v>
      </c>
      <c r="G1963" s="0" t="s">
        <v>3877</v>
      </c>
    </row>
    <row r="1964" customFormat="false" ht="15" hidden="false" customHeight="false" outlineLevel="0" collapsed="false">
      <c r="A1964" s="0" t="s">
        <v>138</v>
      </c>
      <c r="B1964" s="0" t="n">
        <v>2021</v>
      </c>
      <c r="C1964" s="0" t="s">
        <v>670</v>
      </c>
      <c r="D1964" s="0" t="n">
        <v>175006</v>
      </c>
      <c r="E1964" s="0" t="s">
        <v>3885</v>
      </c>
      <c r="F1964" s="0" t="s">
        <v>3898</v>
      </c>
      <c r="G1964" s="0" t="s">
        <v>3877</v>
      </c>
    </row>
    <row r="1965" customFormat="false" ht="15" hidden="false" customHeight="false" outlineLevel="0" collapsed="false">
      <c r="A1965" s="0" t="s">
        <v>138</v>
      </c>
      <c r="B1965" s="0" t="n">
        <v>2021</v>
      </c>
      <c r="C1965" s="0" t="s">
        <v>55</v>
      </c>
      <c r="D1965" s="0" t="n">
        <v>2567441</v>
      </c>
      <c r="E1965" s="0" t="s">
        <v>3885</v>
      </c>
      <c r="F1965" s="0" t="s">
        <v>3898</v>
      </c>
      <c r="G1965" s="0" t="s">
        <v>3877</v>
      </c>
    </row>
    <row r="1966" customFormat="false" ht="15" hidden="false" customHeight="false" outlineLevel="0" collapsed="false">
      <c r="A1966" s="0" t="s">
        <v>138</v>
      </c>
      <c r="B1966" s="0" t="n">
        <v>2021</v>
      </c>
      <c r="C1966" s="0" t="s">
        <v>60</v>
      </c>
      <c r="D1966" s="0" t="n">
        <v>868840</v>
      </c>
      <c r="E1966" s="0" t="s">
        <v>3885</v>
      </c>
      <c r="F1966" s="0" t="s">
        <v>3898</v>
      </c>
      <c r="G1966" s="0" t="s">
        <v>3877</v>
      </c>
    </row>
    <row r="1967" customFormat="false" ht="15" hidden="false" customHeight="false" outlineLevel="0" collapsed="false">
      <c r="A1967" s="0" t="s">
        <v>138</v>
      </c>
      <c r="B1967" s="0" t="n">
        <v>2021</v>
      </c>
      <c r="C1967" s="0" t="s">
        <v>61</v>
      </c>
      <c r="D1967" s="0" t="n">
        <v>41537</v>
      </c>
      <c r="E1967" s="0" t="s">
        <v>3885</v>
      </c>
      <c r="F1967" s="0" t="s">
        <v>3898</v>
      </c>
      <c r="G1967" s="0" t="s">
        <v>3877</v>
      </c>
    </row>
    <row r="1968" customFormat="false" ht="15" hidden="false" customHeight="false" outlineLevel="0" collapsed="false">
      <c r="A1968" s="0" t="s">
        <v>138</v>
      </c>
      <c r="B1968" s="0" t="n">
        <v>2021</v>
      </c>
      <c r="C1968" s="0" t="s">
        <v>63</v>
      </c>
      <c r="D1968" s="0" t="n">
        <v>34</v>
      </c>
      <c r="E1968" s="0" t="s">
        <v>3885</v>
      </c>
      <c r="F1968" s="0" t="s">
        <v>3898</v>
      </c>
      <c r="G1968" s="0" t="s">
        <v>3877</v>
      </c>
    </row>
    <row r="1969" customFormat="false" ht="15" hidden="false" customHeight="false" outlineLevel="0" collapsed="false">
      <c r="A1969" s="0" t="s">
        <v>138</v>
      </c>
      <c r="B1969" s="0" t="n">
        <v>2021</v>
      </c>
      <c r="C1969" s="0" t="s">
        <v>266</v>
      </c>
      <c r="D1969" s="0" t="n">
        <v>4.3</v>
      </c>
      <c r="E1969" s="0" t="s">
        <v>3885</v>
      </c>
      <c r="F1969" s="0" t="s">
        <v>3898</v>
      </c>
      <c r="G1969" s="0" t="s">
        <v>3877</v>
      </c>
    </row>
    <row r="1970" customFormat="false" ht="15" hidden="false" customHeight="false" outlineLevel="0" collapsed="false">
      <c r="A1970" s="0" t="s">
        <v>138</v>
      </c>
      <c r="B1970" s="0" t="n">
        <v>2021</v>
      </c>
      <c r="C1970" s="0" t="s">
        <v>69</v>
      </c>
      <c r="D1970" s="0" t="n">
        <v>14.61</v>
      </c>
      <c r="E1970" s="0" t="s">
        <v>3885</v>
      </c>
      <c r="F1970" s="0" t="s">
        <v>3898</v>
      </c>
      <c r="G1970" s="0" t="s">
        <v>3877</v>
      </c>
    </row>
    <row r="1971" customFormat="false" ht="15" hidden="false" customHeight="false" outlineLevel="0" collapsed="false">
      <c r="A1971" s="0" t="s">
        <v>138</v>
      </c>
      <c r="B1971" s="0" t="n">
        <v>2021</v>
      </c>
      <c r="C1971" s="0" t="s">
        <v>73</v>
      </c>
      <c r="D1971" s="0" t="n">
        <v>0</v>
      </c>
      <c r="E1971" s="0" t="s">
        <v>3885</v>
      </c>
      <c r="F1971" s="0" t="s">
        <v>3898</v>
      </c>
      <c r="G1971" s="0" t="s">
        <v>3877</v>
      </c>
    </row>
    <row r="1972" customFormat="false" ht="15" hidden="false" customHeight="false" outlineLevel="0" collapsed="false">
      <c r="A1972" s="0" t="s">
        <v>138</v>
      </c>
      <c r="B1972" s="0" t="n">
        <v>2021</v>
      </c>
      <c r="C1972" s="0" t="s">
        <v>920</v>
      </c>
      <c r="D1972" s="0" t="s">
        <v>3879</v>
      </c>
      <c r="E1972" s="0" t="s">
        <v>3885</v>
      </c>
      <c r="F1972" s="0" t="s">
        <v>3898</v>
      </c>
      <c r="G1972" s="0" t="s">
        <v>3877</v>
      </c>
    </row>
    <row r="1973" customFormat="false" ht="15" hidden="false" customHeight="false" outlineLevel="0" collapsed="false">
      <c r="A1973" s="0" t="s">
        <v>138</v>
      </c>
      <c r="B1973" s="0" t="n">
        <v>2022</v>
      </c>
      <c r="C1973" s="0" t="s">
        <v>54</v>
      </c>
      <c r="D1973" s="0" t="n">
        <v>29009</v>
      </c>
      <c r="E1973" s="0" t="s">
        <v>3885</v>
      </c>
      <c r="F1973" s="0" t="s">
        <v>3898</v>
      </c>
      <c r="G1973" s="0" t="s">
        <v>3877</v>
      </c>
    </row>
    <row r="1974" customFormat="false" ht="15" hidden="false" customHeight="false" outlineLevel="0" collapsed="false">
      <c r="A1974" s="0" t="s">
        <v>138</v>
      </c>
      <c r="B1974" s="0" t="n">
        <v>2022</v>
      </c>
      <c r="C1974" s="0" t="s">
        <v>670</v>
      </c>
      <c r="D1974" s="0" t="n">
        <v>208171</v>
      </c>
      <c r="E1974" s="0" t="s">
        <v>3885</v>
      </c>
      <c r="F1974" s="0" t="s">
        <v>3898</v>
      </c>
      <c r="G1974" s="0" t="s">
        <v>3877</v>
      </c>
    </row>
    <row r="1975" customFormat="false" ht="15" hidden="false" customHeight="false" outlineLevel="0" collapsed="false">
      <c r="A1975" s="0" t="s">
        <v>138</v>
      </c>
      <c r="B1975" s="0" t="n">
        <v>2022</v>
      </c>
      <c r="C1975" s="0" t="s">
        <v>55</v>
      </c>
      <c r="D1975" s="0" t="n">
        <v>2793674</v>
      </c>
      <c r="E1975" s="0" t="s">
        <v>3885</v>
      </c>
      <c r="F1975" s="0" t="s">
        <v>3898</v>
      </c>
      <c r="G1975" s="0" t="s">
        <v>3877</v>
      </c>
    </row>
    <row r="1976" customFormat="false" ht="15" hidden="false" customHeight="false" outlineLevel="0" collapsed="false">
      <c r="A1976" s="0" t="s">
        <v>138</v>
      </c>
      <c r="B1976" s="0" t="n">
        <v>2022</v>
      </c>
      <c r="C1976" s="0" t="s">
        <v>60</v>
      </c>
      <c r="D1976" s="0" t="n">
        <v>1000903</v>
      </c>
      <c r="E1976" s="0" t="s">
        <v>3885</v>
      </c>
      <c r="F1976" s="0" t="s">
        <v>3898</v>
      </c>
      <c r="G1976" s="0" t="s">
        <v>3877</v>
      </c>
    </row>
    <row r="1977" customFormat="false" ht="15" hidden="false" customHeight="false" outlineLevel="0" collapsed="false">
      <c r="A1977" s="0" t="s">
        <v>138</v>
      </c>
      <c r="B1977" s="0" t="n">
        <v>2022</v>
      </c>
      <c r="C1977" s="0" t="s">
        <v>61</v>
      </c>
      <c r="D1977" s="0" t="n">
        <v>46628</v>
      </c>
      <c r="E1977" s="0" t="s">
        <v>3885</v>
      </c>
      <c r="F1977" s="0" t="s">
        <v>3898</v>
      </c>
      <c r="G1977" s="0" t="s">
        <v>3877</v>
      </c>
    </row>
    <row r="1978" customFormat="false" ht="15" hidden="false" customHeight="false" outlineLevel="0" collapsed="false">
      <c r="A1978" s="0" t="s">
        <v>138</v>
      </c>
      <c r="B1978" s="0" t="n">
        <v>2022</v>
      </c>
      <c r="C1978" s="0" t="s">
        <v>63</v>
      </c>
      <c r="D1978" s="0" t="n">
        <v>1749</v>
      </c>
      <c r="E1978" s="0" t="s">
        <v>3885</v>
      </c>
      <c r="F1978" s="0" t="s">
        <v>3898</v>
      </c>
      <c r="G1978" s="0" t="s">
        <v>3877</v>
      </c>
    </row>
    <row r="1979" customFormat="false" ht="15" hidden="false" customHeight="false" outlineLevel="0" collapsed="false">
      <c r="A1979" s="0" t="s">
        <v>138</v>
      </c>
      <c r="B1979" s="0" t="n">
        <v>2022</v>
      </c>
      <c r="C1979" s="0" t="s">
        <v>266</v>
      </c>
      <c r="D1979" s="0" t="n">
        <v>4.02</v>
      </c>
      <c r="E1979" s="0" t="s">
        <v>3885</v>
      </c>
      <c r="F1979" s="0" t="s">
        <v>3898</v>
      </c>
      <c r="G1979" s="0" t="s">
        <v>3877</v>
      </c>
    </row>
    <row r="1980" customFormat="false" ht="15" hidden="false" customHeight="false" outlineLevel="0" collapsed="false">
      <c r="A1980" s="0" t="s">
        <v>138</v>
      </c>
      <c r="B1980" s="0" t="n">
        <v>2022</v>
      </c>
      <c r="C1980" s="0" t="s">
        <v>69</v>
      </c>
      <c r="D1980" s="0" t="n">
        <v>14.42</v>
      </c>
      <c r="E1980" s="0" t="s">
        <v>3885</v>
      </c>
      <c r="F1980" s="0" t="s">
        <v>3898</v>
      </c>
      <c r="G1980" s="0" t="s">
        <v>3877</v>
      </c>
    </row>
    <row r="1981" customFormat="false" ht="15" hidden="false" customHeight="false" outlineLevel="0" collapsed="false">
      <c r="A1981" s="0" t="s">
        <v>138</v>
      </c>
      <c r="B1981" s="0" t="n">
        <v>2022</v>
      </c>
      <c r="C1981" s="0" t="s">
        <v>73</v>
      </c>
      <c r="D1981" s="0" t="n">
        <v>0</v>
      </c>
      <c r="E1981" s="0" t="s">
        <v>3885</v>
      </c>
      <c r="F1981" s="0" t="s">
        <v>3898</v>
      </c>
      <c r="G1981" s="0" t="s">
        <v>3877</v>
      </c>
    </row>
    <row r="1982" customFormat="false" ht="15" hidden="false" customHeight="false" outlineLevel="0" collapsed="false">
      <c r="A1982" s="0" t="s">
        <v>138</v>
      </c>
      <c r="B1982" s="0" t="n">
        <v>2022</v>
      </c>
      <c r="C1982" s="0" t="s">
        <v>920</v>
      </c>
      <c r="D1982" s="0" t="s">
        <v>3879</v>
      </c>
      <c r="E1982" s="0" t="s">
        <v>3885</v>
      </c>
      <c r="F1982" s="0" t="s">
        <v>3898</v>
      </c>
      <c r="G1982" s="0" t="s">
        <v>3877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2026-10-10T21:24:32Z</dcterms:created>
  <dc:creator>openpyxl</dc:creator>
  <dc:description/>
  <dc:language>en-US</dc:language>
  <cp:lastModifiedBy/>
  <dcterms:modified xsi:type="dcterms:W3CDTF">2026-10-10T21:24:32Z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